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ngine A" sheetId="3" state="visible" r:id="rId3"/>
    <sheet xmlns:r="http://schemas.openxmlformats.org/officeDocument/2006/relationships" name="Engine B" sheetId="4" state="visible" r:id="rId4"/>
    <sheet xmlns:r="http://schemas.openxmlformats.org/officeDocument/2006/relationships" name="Engine C" sheetId="5" state="visible" r:id="rId5"/>
    <sheet xmlns:r="http://schemas.openxmlformats.org/officeDocument/2006/relationships" name="Engine D" sheetId="6" state="visible" r:id="rId6"/>
    <sheet xmlns:r="http://schemas.openxmlformats.org/officeDocument/2006/relationships" name="Assumptions" sheetId="7" state="visible" r:id="rId7"/>
  </sheets>
  <definedNames>
    <definedName name="StartMonth">Inputs!$B$5</definedName>
    <definedName name="InitInvest">Inputs!$B$6</definedName>
    <definedName name="LotValue0">Inputs!$B$7</definedName>
    <definedName name="LotGrowth">Inputs!$B$8</definedName>
    <definedName name="NYears">Inputs!$B$9</definedName>
    <definedName name="RateA">Inputs!$B$13</definedName>
    <definedName name="RateB">Inputs!$B$14</definedName>
    <definedName name="RateC">Inputs!$B$15</definedName>
    <definedName name="RateD">Inputs!$B$16</definedName>
    <definedName name="WdrPct">Inputs!$B$19</definedName>
    <definedName name="WdrCap">Inputs!$B$20</definedName>
    <definedName name="WdrBase">Inputs!$B$21</definedName>
    <definedName name="TaxFreq">Inputs!$B$25</definedName>
    <definedName name="TaxLower">Inputs!$B$28:$B$32</definedName>
    <definedName name="TaxRate">Inputs!$D$28:$D$32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mmm-yyyy"/>
    <numFmt numFmtId="166" formatCode="[&gt;=10000000]₹##\,##\,##\,##0;[&gt;=100000]₹##\,##\,##0;₹##,##0"/>
    <numFmt numFmtId="167" formatCode="0.000%"/>
    <numFmt numFmtId="168" formatCode="0.0&quot;×&quot;"/>
  </numFmts>
  <fonts count="10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666666"/>
      <sz val="9"/>
    </font>
    <font>
      <b val="1"/>
      <color rgb="001F3864"/>
    </font>
    <font>
      <b val="1"/>
    </font>
    <font>
      <b val="1"/>
      <color rgb="00FFFFFF"/>
      <sz val="11"/>
    </font>
    <font>
      <b val="1"/>
      <color rgb="00C00000"/>
    </font>
    <font>
      <i val="1"/>
      <color rgb="001F3864"/>
    </font>
    <font>
      <b val="1"/>
      <color rgb="001F3864"/>
      <sz val="12"/>
    </font>
    <font>
      <b val="1"/>
      <color rgb="001F3864"/>
      <sz val="1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5" fontId="0" fillId="3" borderId="1" pivotButton="0" quotePrefix="0" xfId="0"/>
    <xf numFmtId="166" fontId="0" fillId="3" borderId="1" pivotButton="0" quotePrefix="0" xfId="0"/>
    <xf numFmtId="10" fontId="0" fillId="3" borderId="1" pivotButton="0" quotePrefix="0" xfId="0"/>
    <xf numFmtId="1" fontId="0" fillId="3" borderId="1" pivotButton="0" quotePrefix="0" xfId="0"/>
    <xf numFmtId="0" fontId="3" fillId="0" borderId="0" pivotButton="0" quotePrefix="0" xfId="0"/>
    <xf numFmtId="0" fontId="0" fillId="3" borderId="1" pivotButton="0" quotePrefix="0" xfId="0"/>
    <xf numFmtId="0" fontId="5" fillId="4" borderId="1" applyAlignment="1" pivotButton="0" quotePrefix="0" xfId="0">
      <alignment vertical="center" wrapText="1"/>
    </xf>
    <xf numFmtId="0" fontId="0" fillId="0" borderId="1" pivotButton="0" quotePrefix="0" xfId="0"/>
    <xf numFmtId="9" fontId="0" fillId="0" borderId="1" pivotButton="0" quotePrefix="0" xfId="0"/>
    <xf numFmtId="167" fontId="0" fillId="3" borderId="1" pivotButton="0" quotePrefix="0" xfId="0"/>
    <xf numFmtId="167" fontId="0" fillId="0" borderId="1" pivotButton="0" quotePrefix="0" xfId="0"/>
    <xf numFmtId="0" fontId="7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10" fontId="0" fillId="0" borderId="1" pivotButton="0" quotePrefix="0" xfId="0"/>
    <xf numFmtId="166" fontId="3" fillId="0" borderId="1" pivotButton="0" quotePrefix="0" xfId="0"/>
    <xf numFmtId="1" fontId="3" fillId="0" borderId="1" pivotButton="0" quotePrefix="0" xfId="0"/>
    <xf numFmtId="168" fontId="0" fillId="0" borderId="1" pivotButton="0" quotePrefix="0" xfId="0"/>
    <xf numFmtId="166" fontId="0" fillId="0" borderId="1" pivotButton="0" quotePrefix="0" xfId="0"/>
    <xf numFmtId="168" fontId="3" fillId="0" borderId="1" pivotButton="0" quotePrefix="0" xfId="0"/>
    <xf numFmtId="0" fontId="8" fillId="2" borderId="0" pivotButton="0" quotePrefix="0" xfId="0"/>
    <xf numFmtId="10" fontId="6" fillId="2" borderId="0" pivotButton="0" quotePrefix="0" xfId="0"/>
    <xf numFmtId="0" fontId="2" fillId="2" borderId="0" pivotButton="0" quotePrefix="0" xfId="0"/>
    <xf numFmtId="1" fontId="0" fillId="0" borderId="1" pivotButton="0" quotePrefix="0" xfId="0"/>
    <xf numFmtId="165" fontId="0" fillId="0" borderId="1" pivotButton="0" quotePrefix="0" xfId="0"/>
    <xf numFmtId="166" fontId="4" fillId="0" borderId="1" pivotButton="0" quotePrefix="0" xfId="0"/>
    <xf numFmtId="10" fontId="6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0" fillId="5" borderId="0" pivotButton="0" quotePrefix="0" xfId="0"/>
    <xf numFmtId="165" fontId="0" fillId="5" borderId="0" pivotButton="0" quotePrefix="0" xfId="0"/>
    <xf numFmtId="166" fontId="0" fillId="5" borderId="0" pivotButton="0" quotePrefix="0" xfId="0"/>
    <xf numFmtId="167" fontId="0" fillId="5" borderId="0" pivotButton="0" quotePrefix="0" xfId="0"/>
    <xf numFmtId="0" fontId="9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30" customWidth="1" min="3" max="3"/>
    <col width="30" customWidth="1" min="4" max="4"/>
    <col width="30" customWidth="1" min="5" max="5"/>
    <col width="14" customWidth="1" min="6" max="6"/>
  </cols>
  <sheetData>
    <row r="1">
      <c r="A1" s="1" t="inlineStr">
        <is>
          <t>Straddle Income — Investment Growth Analysis</t>
        </is>
      </c>
    </row>
    <row r="2">
      <c r="A2" s="2" t="inlineStr">
        <is>
          <t>Yellow cells are inputs. Everything else is a live formula — change any input and the whole workbook recomputes.</t>
        </is>
      </c>
    </row>
    <row r="4">
      <c r="A4" s="3" t="inlineStr">
        <is>
          <t>1 · CAPITAL &amp; TIME</t>
        </is>
      </c>
      <c r="B4" s="4" t="n"/>
      <c r="C4" s="4" t="n"/>
      <c r="D4" s="4" t="n"/>
      <c r="E4" s="4" t="n"/>
      <c r="F4" s="4" t="n"/>
    </row>
    <row r="5">
      <c r="A5" s="5" t="inlineStr">
        <is>
          <t>Starting month</t>
        </is>
      </c>
      <c r="B5" s="6" t="n">
        <v>46266</v>
      </c>
      <c r="C5" s="2" t="inlineStr">
        <is>
          <t>First month of deployment (Mon-YYYY)</t>
        </is>
      </c>
    </row>
    <row r="6">
      <c r="A6" s="5" t="inlineStr">
        <is>
          <t>Initial investment (INR)</t>
        </is>
      </c>
      <c r="B6" s="7" t="n">
        <v>500000</v>
      </c>
      <c r="C6" s="2" t="inlineStr">
        <is>
          <t>Corpus at the starting month</t>
        </is>
      </c>
    </row>
    <row r="7">
      <c r="A7" s="5" t="inlineStr">
        <is>
          <t>Value of 1 lot at start (INR)</t>
        </is>
      </c>
      <c r="B7" s="7" t="n">
        <v>83333</v>
      </c>
      <c r="C7" s="2" t="inlineStr">
        <is>
          <t>₹5,00,000 / 6 lots ≈ ₹83,333</t>
        </is>
      </c>
    </row>
    <row r="8">
      <c r="A8" s="5" t="inlineStr">
        <is>
          <t>Lot value increase — year on year</t>
        </is>
      </c>
      <c r="B8" s="8" t="n">
        <v>0.05</v>
      </c>
      <c r="C8" s="2" t="inlineStr">
        <is>
          <t>Margin per lot rises as NIFTY/premium grow</t>
        </is>
      </c>
    </row>
    <row r="9">
      <c r="A9" s="5" t="inlineStr">
        <is>
          <t>Number of years to model</t>
        </is>
      </c>
      <c r="B9" s="9" t="n">
        <v>10</v>
      </c>
      <c r="C9" s="2" t="inlineStr">
        <is>
          <t>1 to 30</t>
        </is>
      </c>
    </row>
    <row r="10">
      <c r="C10" s="5" t="inlineStr">
        <is>
          <t>→ Starting lots (derived):</t>
        </is>
      </c>
      <c r="E10" s="10">
        <f>INT(Inputs!$B$6/Inputs!$B$7)</f>
        <v/>
      </c>
    </row>
    <row r="12">
      <c r="A12" s="3" t="inlineStr">
        <is>
          <t>2 · MONTHLY RETURN SCENARIOS  —  enter returns NET of brokerage, STT and slippage</t>
        </is>
      </c>
      <c r="B12" s="4" t="n"/>
      <c r="C12" s="4" t="n"/>
      <c r="D12" s="4" t="n"/>
      <c r="E12" s="4" t="n"/>
      <c r="F12" s="4" t="n"/>
    </row>
    <row r="13">
      <c r="A13" s="5" t="inlineStr">
        <is>
          <t>Scenario A — monthly return</t>
        </is>
      </c>
      <c r="B13" s="8" t="n">
        <v>0.05</v>
      </c>
    </row>
    <row r="14">
      <c r="A14" s="5" t="inlineStr">
        <is>
          <t>Scenario B — monthly return</t>
        </is>
      </c>
      <c r="B14" s="8" t="n">
        <v>0.08</v>
      </c>
    </row>
    <row r="15">
      <c r="A15" s="5" t="inlineStr">
        <is>
          <t>Scenario C — monthly return</t>
        </is>
      </c>
      <c r="B15" s="8" t="n">
        <v>0.1</v>
      </c>
    </row>
    <row r="16">
      <c r="A16" s="5" t="inlineStr">
        <is>
          <t>Scenario D — monthly return (your own)</t>
        </is>
      </c>
      <c r="B16" s="8" t="n">
        <v>0.0425</v>
      </c>
      <c r="C16" s="2" t="inlineStr">
        <is>
          <t>2-decimal precision, e.g. 4.25%</t>
        </is>
      </c>
    </row>
    <row r="17">
      <c r="A17" s="2" t="inlineStr">
        <is>
          <t>Earned on DEPLOYED capital only (lots × lot value); idle cash earns nothing. These % are assumed ALREADY NET of transaction costs — the only further deductions are govt tax and withdrawals.</t>
        </is>
      </c>
    </row>
    <row r="18">
      <c r="A18" s="3" t="inlineStr">
        <is>
          <t>3 · ANNUAL WITHDRAWAL</t>
        </is>
      </c>
      <c r="B18" s="4" t="n"/>
      <c r="C18" s="4" t="n"/>
      <c r="D18" s="4" t="n"/>
      <c r="E18" s="4" t="n"/>
      <c r="F18" s="4" t="n"/>
    </row>
    <row r="19">
      <c r="A19" s="5" t="inlineStr">
        <is>
          <t>Withdrawal — % of that year's profit</t>
        </is>
      </c>
      <c r="B19" s="8" t="n">
        <v>0.1</v>
      </c>
    </row>
    <row r="20">
      <c r="A20" s="5" t="inlineStr">
        <is>
          <t>Withdrawal — absolute cap (INR)</t>
        </is>
      </c>
      <c r="B20" s="7" t="n">
        <v>10000000</v>
      </c>
      <c r="C20" s="2" t="inlineStr">
        <is>
          <t>₹1 crore</t>
        </is>
      </c>
    </row>
    <row r="21">
      <c r="A21" s="5" t="inlineStr">
        <is>
          <t>Withdrawal calculated on</t>
        </is>
      </c>
      <c r="B21" s="11" t="inlineStr">
        <is>
          <t>Post-tax profit</t>
        </is>
      </c>
      <c r="C21" s="2" t="inlineStr">
        <is>
          <t>Whichever is LOWER of the % and the cap is withdrawn</t>
        </is>
      </c>
    </row>
    <row r="22">
      <c r="A22" s="2" t="inlineStr">
        <is>
          <t>Withdrawn each year = MIN( % × profit , cap )</t>
        </is>
      </c>
    </row>
    <row r="24">
      <c r="A24" s="3" t="inlineStr">
        <is>
          <t>4 · GOVERNMENT TAX  (New Regime — 30% base slab already included)</t>
        </is>
      </c>
      <c r="B24" s="4" t="n"/>
      <c r="C24" s="4" t="n"/>
      <c r="D24" s="4" t="n"/>
      <c r="E24" s="4" t="n"/>
      <c r="F24" s="4" t="n"/>
    </row>
    <row r="25">
      <c r="A25" s="5" t="inlineStr">
        <is>
          <t>Tax deducted</t>
        </is>
      </c>
      <c r="B25" s="11" t="inlineStr">
        <is>
          <t>Quarterly</t>
        </is>
      </c>
      <c r="C25" s="2" t="inlineStr">
        <is>
          <t>Quarterly = advance tax leaves the corpus 4×/yr, so it compounds less</t>
        </is>
      </c>
    </row>
    <row r="27">
      <c r="A27" s="12" t="inlineStr">
        <is>
          <t>Income range</t>
        </is>
      </c>
      <c r="B27" s="12" t="inlineStr">
        <is>
          <t>Lower bound (INR)</t>
        </is>
      </c>
      <c r="C27" s="12" t="inlineStr">
        <is>
          <t>Surcharge</t>
        </is>
      </c>
      <c r="D27" s="12" t="inlineStr">
        <is>
          <t>Effective rate — NEW  ← USED</t>
        </is>
      </c>
      <c r="E27" s="12" t="inlineStr">
        <is>
          <t>Effective rate — OLD (reference only)</t>
        </is>
      </c>
    </row>
    <row r="28">
      <c r="A28" s="13" t="inlineStr">
        <is>
          <t>Up to ₹50 Lakh</t>
        </is>
      </c>
      <c r="B28" s="7" t="n">
        <v>0</v>
      </c>
      <c r="C28" s="14" t="n">
        <v>0</v>
      </c>
      <c r="D28" s="15" t="n">
        <v>0.312</v>
      </c>
      <c r="E28" s="16" t="n">
        <v>0.312</v>
      </c>
    </row>
    <row r="29">
      <c r="A29" s="13" t="inlineStr">
        <is>
          <t>₹50 Lakh – ₹1 Crore</t>
        </is>
      </c>
      <c r="B29" s="7" t="n">
        <v>5000000</v>
      </c>
      <c r="C29" s="14" t="n">
        <v>0.1</v>
      </c>
      <c r="D29" s="15" t="n">
        <v>0.3432</v>
      </c>
      <c r="E29" s="16" t="n">
        <v>0.3432</v>
      </c>
    </row>
    <row r="30">
      <c r="A30" s="13" t="inlineStr">
        <is>
          <t>₹1 Crore – ₹2 Crore</t>
        </is>
      </c>
      <c r="B30" s="7" t="n">
        <v>10000000</v>
      </c>
      <c r="C30" s="14" t="n">
        <v>0.15</v>
      </c>
      <c r="D30" s="15" t="n">
        <v>0.3588</v>
      </c>
      <c r="E30" s="16" t="n">
        <v>0.3588</v>
      </c>
    </row>
    <row r="31">
      <c r="A31" s="13" t="inlineStr">
        <is>
          <t>₹2 Crore – ₹5 Crore</t>
        </is>
      </c>
      <c r="B31" s="7" t="n">
        <v>20000000</v>
      </c>
      <c r="C31" s="14" t="n">
        <v>0.25</v>
      </c>
      <c r="D31" s="15" t="n">
        <v>0.39</v>
      </c>
      <c r="E31" s="16" t="n">
        <v>0.39</v>
      </c>
    </row>
    <row r="32">
      <c r="A32" s="13" t="inlineStr">
        <is>
          <t>Above ₹5 Crore</t>
        </is>
      </c>
      <c r="B32" s="7" t="n">
        <v>50000000</v>
      </c>
      <c r="C32" s="14" t="n">
        <v>0.25</v>
      </c>
      <c r="D32" s="15" t="n">
        <v>0.39</v>
      </c>
      <c r="E32" s="16" t="n">
        <v>0.42744</v>
      </c>
    </row>
    <row r="34">
      <c r="A34" s="2" t="inlineStr">
        <is>
          <t>Slab is chosen from ANNUALISED profit, so a growing book climbs into higher surcharge bands over time. Only the NEW-regime column drives the maths.</t>
        </is>
      </c>
    </row>
  </sheetData>
  <dataValidations count="2">
    <dataValidation sqref="B21" showDropDown="0" showInputMessage="0" showErrorMessage="0" allowBlank="0" type="list">
      <formula1>"Post-tax profit,Gross profit"</formula1>
    </dataValidation>
    <dataValidation sqref="B25" showDropDown="0" showInputMessage="0" showErrorMessage="0" allowBlank="0" type="list">
      <formula1>"Quarterly,Annually"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3" customWidth="1" min="3" max="3"/>
    <col width="16" customWidth="1" min="4" max="4"/>
    <col width="10" customWidth="1" min="5" max="5"/>
    <col width="9" customWidth="1" min="6" max="6"/>
    <col width="10" customWidth="1" min="7" max="7"/>
    <col width="16" customWidth="1" min="8" max="8"/>
    <col width="20" customWidth="1" min="9" max="9"/>
    <col width="15" customWidth="1" min="10" max="10"/>
    <col width="15" customWidth="1" min="11" max="11"/>
    <col width="20" customWidth="1" min="12" max="12"/>
    <col width="17" customWidth="1" min="13" max="13"/>
  </cols>
  <sheetData>
    <row r="1">
      <c r="A1" s="1" t="inlineStr">
        <is>
          <t>Annual Summary — one row per year, per scenario</t>
        </is>
      </c>
    </row>
    <row r="2">
      <c r="A2" s="17">
        <f>TEXT(StartMonth,"mmm-yyyy")&amp;"  to  "&amp;TEXT(EDATE(StartMonth,NYears*12-1),"mmm-yyyy")&amp;"   ·   "&amp;TEXT(NYears,"0")&amp;" years   ·   initial "&amp;TEXT(InitInvest,"₹##\,##\,##0")&amp;" = "&amp;TEXT(INT(InitInvest/LotValue0),"0")&amp;" lots"</f>
        <v/>
      </c>
    </row>
    <row r="4">
      <c r="A4" s="3" t="inlineStr">
        <is>
          <t>HEADLINE — where each scenario ends up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18" t="inlineStr">
        <is>
          <t>Scenario</t>
        </is>
      </c>
      <c r="B5" s="18" t="inlineStr">
        <is>
          <t>Monthly return</t>
        </is>
      </c>
      <c r="C5" s="18" t="inlineStr">
        <is>
          <t>Final corpus</t>
        </is>
      </c>
      <c r="D5" s="18" t="inlineStr">
        <is>
          <t>Final lots</t>
        </is>
      </c>
      <c r="E5" s="18" t="inlineStr">
        <is>
          <t>Lots growth ×</t>
        </is>
      </c>
      <c r="F5" s="18" t="inlineStr">
        <is>
          <t>Total tax paid</t>
        </is>
      </c>
      <c r="G5" s="18" t="inlineStr">
        <is>
          <t>Total withdrawn</t>
        </is>
      </c>
      <c r="H5" s="18" t="inlineStr">
        <is>
          <t>Corpus ×</t>
        </is>
      </c>
    </row>
    <row r="6">
      <c r="A6" s="19" t="inlineStr">
        <is>
          <t>Scenario A</t>
        </is>
      </c>
      <c r="B6" s="20">
        <f>RateA</f>
        <v/>
      </c>
      <c r="C6" s="21">
        <f>INDEX($M$14:$M$43,NYears)</f>
        <v/>
      </c>
      <c r="D6" s="22">
        <f>INDEX($F$14:$F$43,NYears)</f>
        <v/>
      </c>
      <c r="E6" s="23">
        <f>INDEX($F$14:$F$43,NYears)/INT(InitInvest/LotValue0)</f>
        <v/>
      </c>
      <c r="F6" s="24">
        <f>SUM($J$14:$J$43)</f>
        <v/>
      </c>
      <c r="G6" s="24">
        <f>SUM($K$14:$K$43)</f>
        <v/>
      </c>
      <c r="H6" s="25">
        <f>(INDEX($M$14:$M$43,NYears)+SUM($K$14:$K$43))/InitInvest</f>
        <v/>
      </c>
    </row>
    <row r="7">
      <c r="A7" s="19" t="inlineStr">
        <is>
          <t>Scenario B</t>
        </is>
      </c>
      <c r="B7" s="20">
        <f>RateB</f>
        <v/>
      </c>
      <c r="C7" s="21">
        <f>INDEX($M$47:$M$76,NYears)</f>
        <v/>
      </c>
      <c r="D7" s="22">
        <f>INDEX($F$47:$F$76,NYears)</f>
        <v/>
      </c>
      <c r="E7" s="23">
        <f>INDEX($F$47:$F$76,NYears)/INT(InitInvest/LotValue0)</f>
        <v/>
      </c>
      <c r="F7" s="24">
        <f>SUM($J$47:$J$76)</f>
        <v/>
      </c>
      <c r="G7" s="24">
        <f>SUM($K$47:$K$76)</f>
        <v/>
      </c>
      <c r="H7" s="25">
        <f>(INDEX($M$47:$M$76,NYears)+SUM($K$47:$K$76))/InitInvest</f>
        <v/>
      </c>
    </row>
    <row r="8">
      <c r="A8" s="19" t="inlineStr">
        <is>
          <t>Scenario C</t>
        </is>
      </c>
      <c r="B8" s="20">
        <f>RateC</f>
        <v/>
      </c>
      <c r="C8" s="21">
        <f>INDEX($M$80:$M$109,NYears)</f>
        <v/>
      </c>
      <c r="D8" s="22">
        <f>INDEX($F$80:$F$109,NYears)</f>
        <v/>
      </c>
      <c r="E8" s="23">
        <f>INDEX($F$80:$F$109,NYears)/INT(InitInvest/LotValue0)</f>
        <v/>
      </c>
      <c r="F8" s="24">
        <f>SUM($J$80:$J$109)</f>
        <v/>
      </c>
      <c r="G8" s="24">
        <f>SUM($K$80:$K$109)</f>
        <v/>
      </c>
      <c r="H8" s="25">
        <f>(INDEX($M$80:$M$109,NYears)+SUM($K$80:$K$109))/InitInvest</f>
        <v/>
      </c>
    </row>
    <row r="9">
      <c r="A9" s="19" t="inlineStr">
        <is>
          <t>Scenario D</t>
        </is>
      </c>
      <c r="B9" s="20">
        <f>RateD</f>
        <v/>
      </c>
      <c r="C9" s="21">
        <f>INDEX($M$113:$M$142,NYears)</f>
        <v/>
      </c>
      <c r="D9" s="22">
        <f>INDEX($F$113:$F$142,NYears)</f>
        <v/>
      </c>
      <c r="E9" s="23">
        <f>INDEX($F$113:$F$142,NYears)/INT(InitInvest/LotValue0)</f>
        <v/>
      </c>
      <c r="F9" s="24">
        <f>SUM($J$113:$J$142)</f>
        <v/>
      </c>
      <c r="G9" s="24">
        <f>SUM($K$113:$K$142)</f>
        <v/>
      </c>
      <c r="H9" s="25">
        <f>(INDEX($M$113:$M$142,NYears)+SUM($K$113:$K$142))/InitInvest</f>
        <v/>
      </c>
    </row>
    <row r="10">
      <c r="A10" s="2" t="inlineStr">
        <is>
          <t>"Corpus ×" counts money taken out as well as money still invested — otherwise a big withdrawal looks like worse performance. Lots growth is the honest measure of deployed scale.</t>
        </is>
      </c>
    </row>
    <row r="12">
      <c r="A12" s="26" t="inlineStr">
        <is>
          <t>SCENARIO A</t>
        </is>
      </c>
      <c r="B12" s="27">
        <f>RateA</f>
        <v/>
      </c>
      <c r="C12" s="28" t="inlineStr">
        <is>
          <t>per month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>
      <c r="A13" s="18" t="inlineStr">
        <is>
          <t>Year</t>
        </is>
      </c>
      <c r="B13" s="18" t="inlineStr">
        <is>
          <t>Year ending</t>
        </is>
      </c>
      <c r="C13" s="18" t="inlineStr">
        <is>
          <t>Lot value</t>
        </is>
      </c>
      <c r="D13" s="18" t="inlineStr">
        <is>
          <t>Opening corpus</t>
        </is>
      </c>
      <c r="E13" s="18" t="inlineStr">
        <is>
          <t>Lots start</t>
        </is>
      </c>
      <c r="F13" s="18" t="inlineStr">
        <is>
          <t>Lots end</t>
        </is>
      </c>
      <c r="G13" s="18" t="inlineStr">
        <is>
          <t>Lots added</t>
        </is>
      </c>
      <c r="H13" s="18" t="inlineStr">
        <is>
          <t>Deployed capital</t>
        </is>
      </c>
      <c r="I13" s="18" t="inlineStr">
        <is>
          <t>TRADING PROFIT
(net of charges, pre-tax)</t>
        </is>
      </c>
      <c r="J13" s="18" t="inlineStr">
        <is>
          <t>Govt tax</t>
        </is>
      </c>
      <c r="K13" s="18" t="inlineStr">
        <is>
          <t>Withdrawal</t>
        </is>
      </c>
      <c r="L13" s="18" t="inlineStr">
        <is>
          <t>REAL PROFIT (post tax &amp; withdrawal)</t>
        </is>
      </c>
      <c r="M13" s="18" t="inlineStr">
        <is>
          <t>Closing corpus</t>
        </is>
      </c>
    </row>
    <row r="14">
      <c r="A14" s="29">
        <f>1</f>
        <v/>
      </c>
      <c r="B14" s="30">
        <f>IF($A14&gt;NYears,"",EDATE(StartMonth,$A14*12-1))</f>
        <v/>
      </c>
      <c r="C14" s="24">
        <f>IF($A14&gt;NYears,"",'Engine A'!$E16)</f>
        <v/>
      </c>
      <c r="D14" s="24">
        <f>IF($A14&gt;NYears,"",'Engine A'!$F5)</f>
        <v/>
      </c>
      <c r="E14" s="29">
        <f>IF($A14&gt;NYears,"",'Engine A'!$G5)</f>
        <v/>
      </c>
      <c r="F14" s="29">
        <f>IF($A14&gt;NYears,"",'Engine A'!$S16)</f>
        <v/>
      </c>
      <c r="G14" s="29">
        <f>IF($A14&gt;NYears,"",'Engine A'!$S16-'Engine A'!$G5)</f>
        <v/>
      </c>
      <c r="H14" s="24">
        <f>IF($A14&gt;NYears,"",'Engine A'!$S16*'Engine A'!$E16)</f>
        <v/>
      </c>
      <c r="I14" s="31">
        <f>IF($A14&gt;NYears,"",'Engine A'!$K16)</f>
        <v/>
      </c>
      <c r="J14" s="24">
        <f>IF($A14&gt;NYears,"",'Engine A'!$P16)</f>
        <v/>
      </c>
      <c r="K14" s="24">
        <f>IF($A14&gt;NYears,"",'Engine A'!$Q16)</f>
        <v/>
      </c>
      <c r="L14" s="31">
        <f>IF($A14&gt;NYears,"",'Engine A'!$K16-'Engine A'!$P16-'Engine A'!$Q16)</f>
        <v/>
      </c>
      <c r="M14" s="31">
        <f>IF($A14&gt;NYears,"",'Engine A'!$R16)</f>
        <v/>
      </c>
    </row>
    <row r="15">
      <c r="A15" s="29">
        <f>2</f>
        <v/>
      </c>
      <c r="B15" s="30">
        <f>IF($A15&gt;NYears,"",EDATE(StartMonth,$A15*12-1))</f>
        <v/>
      </c>
      <c r="C15" s="24">
        <f>IF($A15&gt;NYears,"",'Engine A'!$E28)</f>
        <v/>
      </c>
      <c r="D15" s="24">
        <f>IF($A15&gt;NYears,"",'Engine A'!$F17)</f>
        <v/>
      </c>
      <c r="E15" s="29">
        <f>IF($A15&gt;NYears,"",'Engine A'!$G17)</f>
        <v/>
      </c>
      <c r="F15" s="29">
        <f>IF($A15&gt;NYears,"",'Engine A'!$S28)</f>
        <v/>
      </c>
      <c r="G15" s="29">
        <f>IF($A15&gt;NYears,"",'Engine A'!$S28-'Engine A'!$G17)</f>
        <v/>
      </c>
      <c r="H15" s="24">
        <f>IF($A15&gt;NYears,"",'Engine A'!$S28*'Engine A'!$E28)</f>
        <v/>
      </c>
      <c r="I15" s="31">
        <f>IF($A15&gt;NYears,"",'Engine A'!$K28)</f>
        <v/>
      </c>
      <c r="J15" s="24">
        <f>IF($A15&gt;NYears,"",'Engine A'!$P28)</f>
        <v/>
      </c>
      <c r="K15" s="24">
        <f>IF($A15&gt;NYears,"",'Engine A'!$Q28)</f>
        <v/>
      </c>
      <c r="L15" s="31">
        <f>IF($A15&gt;NYears,"",'Engine A'!$K28-'Engine A'!$P28-'Engine A'!$Q28)</f>
        <v/>
      </c>
      <c r="M15" s="31">
        <f>IF($A15&gt;NYears,"",'Engine A'!$R28)</f>
        <v/>
      </c>
    </row>
    <row r="16">
      <c r="A16" s="29">
        <f>3</f>
        <v/>
      </c>
      <c r="B16" s="30">
        <f>IF($A16&gt;NYears,"",EDATE(StartMonth,$A16*12-1))</f>
        <v/>
      </c>
      <c r="C16" s="24">
        <f>IF($A16&gt;NYears,"",'Engine A'!$E40)</f>
        <v/>
      </c>
      <c r="D16" s="24">
        <f>IF($A16&gt;NYears,"",'Engine A'!$F29)</f>
        <v/>
      </c>
      <c r="E16" s="29">
        <f>IF($A16&gt;NYears,"",'Engine A'!$G29)</f>
        <v/>
      </c>
      <c r="F16" s="29">
        <f>IF($A16&gt;NYears,"",'Engine A'!$S40)</f>
        <v/>
      </c>
      <c r="G16" s="29">
        <f>IF($A16&gt;NYears,"",'Engine A'!$S40-'Engine A'!$G29)</f>
        <v/>
      </c>
      <c r="H16" s="24">
        <f>IF($A16&gt;NYears,"",'Engine A'!$S40*'Engine A'!$E40)</f>
        <v/>
      </c>
      <c r="I16" s="31">
        <f>IF($A16&gt;NYears,"",'Engine A'!$K40)</f>
        <v/>
      </c>
      <c r="J16" s="24">
        <f>IF($A16&gt;NYears,"",'Engine A'!$P40)</f>
        <v/>
      </c>
      <c r="K16" s="24">
        <f>IF($A16&gt;NYears,"",'Engine A'!$Q40)</f>
        <v/>
      </c>
      <c r="L16" s="31">
        <f>IF($A16&gt;NYears,"",'Engine A'!$K40-'Engine A'!$P40-'Engine A'!$Q40)</f>
        <v/>
      </c>
      <c r="M16" s="31">
        <f>IF($A16&gt;NYears,"",'Engine A'!$R40)</f>
        <v/>
      </c>
    </row>
    <row r="17">
      <c r="A17" s="29">
        <f>4</f>
        <v/>
      </c>
      <c r="B17" s="30">
        <f>IF($A17&gt;NYears,"",EDATE(StartMonth,$A17*12-1))</f>
        <v/>
      </c>
      <c r="C17" s="24">
        <f>IF($A17&gt;NYears,"",'Engine A'!$E52)</f>
        <v/>
      </c>
      <c r="D17" s="24">
        <f>IF($A17&gt;NYears,"",'Engine A'!$F41)</f>
        <v/>
      </c>
      <c r="E17" s="29">
        <f>IF($A17&gt;NYears,"",'Engine A'!$G41)</f>
        <v/>
      </c>
      <c r="F17" s="29">
        <f>IF($A17&gt;NYears,"",'Engine A'!$S52)</f>
        <v/>
      </c>
      <c r="G17" s="29">
        <f>IF($A17&gt;NYears,"",'Engine A'!$S52-'Engine A'!$G41)</f>
        <v/>
      </c>
      <c r="H17" s="24">
        <f>IF($A17&gt;NYears,"",'Engine A'!$S52*'Engine A'!$E52)</f>
        <v/>
      </c>
      <c r="I17" s="31">
        <f>IF($A17&gt;NYears,"",'Engine A'!$K52)</f>
        <v/>
      </c>
      <c r="J17" s="24">
        <f>IF($A17&gt;NYears,"",'Engine A'!$P52)</f>
        <v/>
      </c>
      <c r="K17" s="24">
        <f>IF($A17&gt;NYears,"",'Engine A'!$Q52)</f>
        <v/>
      </c>
      <c r="L17" s="31">
        <f>IF($A17&gt;NYears,"",'Engine A'!$K52-'Engine A'!$P52-'Engine A'!$Q52)</f>
        <v/>
      </c>
      <c r="M17" s="31">
        <f>IF($A17&gt;NYears,"",'Engine A'!$R52)</f>
        <v/>
      </c>
    </row>
    <row r="18">
      <c r="A18" s="29">
        <f>5</f>
        <v/>
      </c>
      <c r="B18" s="30">
        <f>IF($A18&gt;NYears,"",EDATE(StartMonth,$A18*12-1))</f>
        <v/>
      </c>
      <c r="C18" s="24">
        <f>IF($A18&gt;NYears,"",'Engine A'!$E64)</f>
        <v/>
      </c>
      <c r="D18" s="24">
        <f>IF($A18&gt;NYears,"",'Engine A'!$F53)</f>
        <v/>
      </c>
      <c r="E18" s="29">
        <f>IF($A18&gt;NYears,"",'Engine A'!$G53)</f>
        <v/>
      </c>
      <c r="F18" s="29">
        <f>IF($A18&gt;NYears,"",'Engine A'!$S64)</f>
        <v/>
      </c>
      <c r="G18" s="29">
        <f>IF($A18&gt;NYears,"",'Engine A'!$S64-'Engine A'!$G53)</f>
        <v/>
      </c>
      <c r="H18" s="24">
        <f>IF($A18&gt;NYears,"",'Engine A'!$S64*'Engine A'!$E64)</f>
        <v/>
      </c>
      <c r="I18" s="31">
        <f>IF($A18&gt;NYears,"",'Engine A'!$K64)</f>
        <v/>
      </c>
      <c r="J18" s="24">
        <f>IF($A18&gt;NYears,"",'Engine A'!$P64)</f>
        <v/>
      </c>
      <c r="K18" s="24">
        <f>IF($A18&gt;NYears,"",'Engine A'!$Q64)</f>
        <v/>
      </c>
      <c r="L18" s="31">
        <f>IF($A18&gt;NYears,"",'Engine A'!$K64-'Engine A'!$P64-'Engine A'!$Q64)</f>
        <v/>
      </c>
      <c r="M18" s="31">
        <f>IF($A18&gt;NYears,"",'Engine A'!$R64)</f>
        <v/>
      </c>
    </row>
    <row r="19">
      <c r="A19" s="29">
        <f>6</f>
        <v/>
      </c>
      <c r="B19" s="30">
        <f>IF($A19&gt;NYears,"",EDATE(StartMonth,$A19*12-1))</f>
        <v/>
      </c>
      <c r="C19" s="24">
        <f>IF($A19&gt;NYears,"",'Engine A'!$E76)</f>
        <v/>
      </c>
      <c r="D19" s="24">
        <f>IF($A19&gt;NYears,"",'Engine A'!$F65)</f>
        <v/>
      </c>
      <c r="E19" s="29">
        <f>IF($A19&gt;NYears,"",'Engine A'!$G65)</f>
        <v/>
      </c>
      <c r="F19" s="29">
        <f>IF($A19&gt;NYears,"",'Engine A'!$S76)</f>
        <v/>
      </c>
      <c r="G19" s="29">
        <f>IF($A19&gt;NYears,"",'Engine A'!$S76-'Engine A'!$G65)</f>
        <v/>
      </c>
      <c r="H19" s="24">
        <f>IF($A19&gt;NYears,"",'Engine A'!$S76*'Engine A'!$E76)</f>
        <v/>
      </c>
      <c r="I19" s="31">
        <f>IF($A19&gt;NYears,"",'Engine A'!$K76)</f>
        <v/>
      </c>
      <c r="J19" s="24">
        <f>IF($A19&gt;NYears,"",'Engine A'!$P76)</f>
        <v/>
      </c>
      <c r="K19" s="24">
        <f>IF($A19&gt;NYears,"",'Engine A'!$Q76)</f>
        <v/>
      </c>
      <c r="L19" s="31">
        <f>IF($A19&gt;NYears,"",'Engine A'!$K76-'Engine A'!$P76-'Engine A'!$Q76)</f>
        <v/>
      </c>
      <c r="M19" s="31">
        <f>IF($A19&gt;NYears,"",'Engine A'!$R76)</f>
        <v/>
      </c>
    </row>
    <row r="20">
      <c r="A20" s="29">
        <f>7</f>
        <v/>
      </c>
      <c r="B20" s="30">
        <f>IF($A20&gt;NYears,"",EDATE(StartMonth,$A20*12-1))</f>
        <v/>
      </c>
      <c r="C20" s="24">
        <f>IF($A20&gt;NYears,"",'Engine A'!$E88)</f>
        <v/>
      </c>
      <c r="D20" s="24">
        <f>IF($A20&gt;NYears,"",'Engine A'!$F77)</f>
        <v/>
      </c>
      <c r="E20" s="29">
        <f>IF($A20&gt;NYears,"",'Engine A'!$G77)</f>
        <v/>
      </c>
      <c r="F20" s="29">
        <f>IF($A20&gt;NYears,"",'Engine A'!$S88)</f>
        <v/>
      </c>
      <c r="G20" s="29">
        <f>IF($A20&gt;NYears,"",'Engine A'!$S88-'Engine A'!$G77)</f>
        <v/>
      </c>
      <c r="H20" s="24">
        <f>IF($A20&gt;NYears,"",'Engine A'!$S88*'Engine A'!$E88)</f>
        <v/>
      </c>
      <c r="I20" s="31">
        <f>IF($A20&gt;NYears,"",'Engine A'!$K88)</f>
        <v/>
      </c>
      <c r="J20" s="24">
        <f>IF($A20&gt;NYears,"",'Engine A'!$P88)</f>
        <v/>
      </c>
      <c r="K20" s="24">
        <f>IF($A20&gt;NYears,"",'Engine A'!$Q88)</f>
        <v/>
      </c>
      <c r="L20" s="31">
        <f>IF($A20&gt;NYears,"",'Engine A'!$K88-'Engine A'!$P88-'Engine A'!$Q88)</f>
        <v/>
      </c>
      <c r="M20" s="31">
        <f>IF($A20&gt;NYears,"",'Engine A'!$R88)</f>
        <v/>
      </c>
    </row>
    <row r="21">
      <c r="A21" s="29">
        <f>8</f>
        <v/>
      </c>
      <c r="B21" s="30">
        <f>IF($A21&gt;NYears,"",EDATE(StartMonth,$A21*12-1))</f>
        <v/>
      </c>
      <c r="C21" s="24">
        <f>IF($A21&gt;NYears,"",'Engine A'!$E100)</f>
        <v/>
      </c>
      <c r="D21" s="24">
        <f>IF($A21&gt;NYears,"",'Engine A'!$F89)</f>
        <v/>
      </c>
      <c r="E21" s="29">
        <f>IF($A21&gt;NYears,"",'Engine A'!$G89)</f>
        <v/>
      </c>
      <c r="F21" s="29">
        <f>IF($A21&gt;NYears,"",'Engine A'!$S100)</f>
        <v/>
      </c>
      <c r="G21" s="29">
        <f>IF($A21&gt;NYears,"",'Engine A'!$S100-'Engine A'!$G89)</f>
        <v/>
      </c>
      <c r="H21" s="24">
        <f>IF($A21&gt;NYears,"",'Engine A'!$S100*'Engine A'!$E100)</f>
        <v/>
      </c>
      <c r="I21" s="31">
        <f>IF($A21&gt;NYears,"",'Engine A'!$K100)</f>
        <v/>
      </c>
      <c r="J21" s="24">
        <f>IF($A21&gt;NYears,"",'Engine A'!$P100)</f>
        <v/>
      </c>
      <c r="K21" s="24">
        <f>IF($A21&gt;NYears,"",'Engine A'!$Q100)</f>
        <v/>
      </c>
      <c r="L21" s="31">
        <f>IF($A21&gt;NYears,"",'Engine A'!$K100-'Engine A'!$P100-'Engine A'!$Q100)</f>
        <v/>
      </c>
      <c r="M21" s="31">
        <f>IF($A21&gt;NYears,"",'Engine A'!$R100)</f>
        <v/>
      </c>
    </row>
    <row r="22">
      <c r="A22" s="29">
        <f>9</f>
        <v/>
      </c>
      <c r="B22" s="30">
        <f>IF($A22&gt;NYears,"",EDATE(StartMonth,$A22*12-1))</f>
        <v/>
      </c>
      <c r="C22" s="24">
        <f>IF($A22&gt;NYears,"",'Engine A'!$E112)</f>
        <v/>
      </c>
      <c r="D22" s="24">
        <f>IF($A22&gt;NYears,"",'Engine A'!$F101)</f>
        <v/>
      </c>
      <c r="E22" s="29">
        <f>IF($A22&gt;NYears,"",'Engine A'!$G101)</f>
        <v/>
      </c>
      <c r="F22" s="29">
        <f>IF($A22&gt;NYears,"",'Engine A'!$S112)</f>
        <v/>
      </c>
      <c r="G22" s="29">
        <f>IF($A22&gt;NYears,"",'Engine A'!$S112-'Engine A'!$G101)</f>
        <v/>
      </c>
      <c r="H22" s="24">
        <f>IF($A22&gt;NYears,"",'Engine A'!$S112*'Engine A'!$E112)</f>
        <v/>
      </c>
      <c r="I22" s="31">
        <f>IF($A22&gt;NYears,"",'Engine A'!$K112)</f>
        <v/>
      </c>
      <c r="J22" s="24">
        <f>IF($A22&gt;NYears,"",'Engine A'!$P112)</f>
        <v/>
      </c>
      <c r="K22" s="24">
        <f>IF($A22&gt;NYears,"",'Engine A'!$Q112)</f>
        <v/>
      </c>
      <c r="L22" s="31">
        <f>IF($A22&gt;NYears,"",'Engine A'!$K112-'Engine A'!$P112-'Engine A'!$Q112)</f>
        <v/>
      </c>
      <c r="M22" s="31">
        <f>IF($A22&gt;NYears,"",'Engine A'!$R112)</f>
        <v/>
      </c>
    </row>
    <row r="23">
      <c r="A23" s="29">
        <f>10</f>
        <v/>
      </c>
      <c r="B23" s="30">
        <f>IF($A23&gt;NYears,"",EDATE(StartMonth,$A23*12-1))</f>
        <v/>
      </c>
      <c r="C23" s="24">
        <f>IF($A23&gt;NYears,"",'Engine A'!$E124)</f>
        <v/>
      </c>
      <c r="D23" s="24">
        <f>IF($A23&gt;NYears,"",'Engine A'!$F113)</f>
        <v/>
      </c>
      <c r="E23" s="29">
        <f>IF($A23&gt;NYears,"",'Engine A'!$G113)</f>
        <v/>
      </c>
      <c r="F23" s="29">
        <f>IF($A23&gt;NYears,"",'Engine A'!$S124)</f>
        <v/>
      </c>
      <c r="G23" s="29">
        <f>IF($A23&gt;NYears,"",'Engine A'!$S124-'Engine A'!$G113)</f>
        <v/>
      </c>
      <c r="H23" s="24">
        <f>IF($A23&gt;NYears,"",'Engine A'!$S124*'Engine A'!$E124)</f>
        <v/>
      </c>
      <c r="I23" s="31">
        <f>IF($A23&gt;NYears,"",'Engine A'!$K124)</f>
        <v/>
      </c>
      <c r="J23" s="24">
        <f>IF($A23&gt;NYears,"",'Engine A'!$P124)</f>
        <v/>
      </c>
      <c r="K23" s="24">
        <f>IF($A23&gt;NYears,"",'Engine A'!$Q124)</f>
        <v/>
      </c>
      <c r="L23" s="31">
        <f>IF($A23&gt;NYears,"",'Engine A'!$K124-'Engine A'!$P124-'Engine A'!$Q124)</f>
        <v/>
      </c>
      <c r="M23" s="31">
        <f>IF($A23&gt;NYears,"",'Engine A'!$R124)</f>
        <v/>
      </c>
    </row>
    <row r="24">
      <c r="A24" s="29">
        <f>11</f>
        <v/>
      </c>
      <c r="B24" s="30">
        <f>IF($A24&gt;NYears,"",EDATE(StartMonth,$A24*12-1))</f>
        <v/>
      </c>
      <c r="C24" s="24">
        <f>IF($A24&gt;NYears,"",'Engine A'!$E136)</f>
        <v/>
      </c>
      <c r="D24" s="24">
        <f>IF($A24&gt;NYears,"",'Engine A'!$F125)</f>
        <v/>
      </c>
      <c r="E24" s="29">
        <f>IF($A24&gt;NYears,"",'Engine A'!$G125)</f>
        <v/>
      </c>
      <c r="F24" s="29">
        <f>IF($A24&gt;NYears,"",'Engine A'!$S136)</f>
        <v/>
      </c>
      <c r="G24" s="29">
        <f>IF($A24&gt;NYears,"",'Engine A'!$S136-'Engine A'!$G125)</f>
        <v/>
      </c>
      <c r="H24" s="24">
        <f>IF($A24&gt;NYears,"",'Engine A'!$S136*'Engine A'!$E136)</f>
        <v/>
      </c>
      <c r="I24" s="31">
        <f>IF($A24&gt;NYears,"",'Engine A'!$K136)</f>
        <v/>
      </c>
      <c r="J24" s="24">
        <f>IF($A24&gt;NYears,"",'Engine A'!$P136)</f>
        <v/>
      </c>
      <c r="K24" s="24">
        <f>IF($A24&gt;NYears,"",'Engine A'!$Q136)</f>
        <v/>
      </c>
      <c r="L24" s="31">
        <f>IF($A24&gt;NYears,"",'Engine A'!$K136-'Engine A'!$P136-'Engine A'!$Q136)</f>
        <v/>
      </c>
      <c r="M24" s="31">
        <f>IF($A24&gt;NYears,"",'Engine A'!$R136)</f>
        <v/>
      </c>
    </row>
    <row r="25">
      <c r="A25" s="29">
        <f>12</f>
        <v/>
      </c>
      <c r="B25" s="30">
        <f>IF($A25&gt;NYears,"",EDATE(StartMonth,$A25*12-1))</f>
        <v/>
      </c>
      <c r="C25" s="24">
        <f>IF($A25&gt;NYears,"",'Engine A'!$E148)</f>
        <v/>
      </c>
      <c r="D25" s="24">
        <f>IF($A25&gt;NYears,"",'Engine A'!$F137)</f>
        <v/>
      </c>
      <c r="E25" s="29">
        <f>IF($A25&gt;NYears,"",'Engine A'!$G137)</f>
        <v/>
      </c>
      <c r="F25" s="29">
        <f>IF($A25&gt;NYears,"",'Engine A'!$S148)</f>
        <v/>
      </c>
      <c r="G25" s="29">
        <f>IF($A25&gt;NYears,"",'Engine A'!$S148-'Engine A'!$G137)</f>
        <v/>
      </c>
      <c r="H25" s="24">
        <f>IF($A25&gt;NYears,"",'Engine A'!$S148*'Engine A'!$E148)</f>
        <v/>
      </c>
      <c r="I25" s="31">
        <f>IF($A25&gt;NYears,"",'Engine A'!$K148)</f>
        <v/>
      </c>
      <c r="J25" s="24">
        <f>IF($A25&gt;NYears,"",'Engine A'!$P148)</f>
        <v/>
      </c>
      <c r="K25" s="24">
        <f>IF($A25&gt;NYears,"",'Engine A'!$Q148)</f>
        <v/>
      </c>
      <c r="L25" s="31">
        <f>IF($A25&gt;NYears,"",'Engine A'!$K148-'Engine A'!$P148-'Engine A'!$Q148)</f>
        <v/>
      </c>
      <c r="M25" s="31">
        <f>IF($A25&gt;NYears,"",'Engine A'!$R148)</f>
        <v/>
      </c>
    </row>
    <row r="26">
      <c r="A26" s="29">
        <f>13</f>
        <v/>
      </c>
      <c r="B26" s="30">
        <f>IF($A26&gt;NYears,"",EDATE(StartMonth,$A26*12-1))</f>
        <v/>
      </c>
      <c r="C26" s="24">
        <f>IF($A26&gt;NYears,"",'Engine A'!$E160)</f>
        <v/>
      </c>
      <c r="D26" s="24">
        <f>IF($A26&gt;NYears,"",'Engine A'!$F149)</f>
        <v/>
      </c>
      <c r="E26" s="29">
        <f>IF($A26&gt;NYears,"",'Engine A'!$G149)</f>
        <v/>
      </c>
      <c r="F26" s="29">
        <f>IF($A26&gt;NYears,"",'Engine A'!$S160)</f>
        <v/>
      </c>
      <c r="G26" s="29">
        <f>IF($A26&gt;NYears,"",'Engine A'!$S160-'Engine A'!$G149)</f>
        <v/>
      </c>
      <c r="H26" s="24">
        <f>IF($A26&gt;NYears,"",'Engine A'!$S160*'Engine A'!$E160)</f>
        <v/>
      </c>
      <c r="I26" s="31">
        <f>IF($A26&gt;NYears,"",'Engine A'!$K160)</f>
        <v/>
      </c>
      <c r="J26" s="24">
        <f>IF($A26&gt;NYears,"",'Engine A'!$P160)</f>
        <v/>
      </c>
      <c r="K26" s="24">
        <f>IF($A26&gt;NYears,"",'Engine A'!$Q160)</f>
        <v/>
      </c>
      <c r="L26" s="31">
        <f>IF($A26&gt;NYears,"",'Engine A'!$K160-'Engine A'!$P160-'Engine A'!$Q160)</f>
        <v/>
      </c>
      <c r="M26" s="31">
        <f>IF($A26&gt;NYears,"",'Engine A'!$R160)</f>
        <v/>
      </c>
    </row>
    <row r="27">
      <c r="A27" s="29">
        <f>14</f>
        <v/>
      </c>
      <c r="B27" s="30">
        <f>IF($A27&gt;NYears,"",EDATE(StartMonth,$A27*12-1))</f>
        <v/>
      </c>
      <c r="C27" s="24">
        <f>IF($A27&gt;NYears,"",'Engine A'!$E172)</f>
        <v/>
      </c>
      <c r="D27" s="24">
        <f>IF($A27&gt;NYears,"",'Engine A'!$F161)</f>
        <v/>
      </c>
      <c r="E27" s="29">
        <f>IF($A27&gt;NYears,"",'Engine A'!$G161)</f>
        <v/>
      </c>
      <c r="F27" s="29">
        <f>IF($A27&gt;NYears,"",'Engine A'!$S172)</f>
        <v/>
      </c>
      <c r="G27" s="29">
        <f>IF($A27&gt;NYears,"",'Engine A'!$S172-'Engine A'!$G161)</f>
        <v/>
      </c>
      <c r="H27" s="24">
        <f>IF($A27&gt;NYears,"",'Engine A'!$S172*'Engine A'!$E172)</f>
        <v/>
      </c>
      <c r="I27" s="31">
        <f>IF($A27&gt;NYears,"",'Engine A'!$K172)</f>
        <v/>
      </c>
      <c r="J27" s="24">
        <f>IF($A27&gt;NYears,"",'Engine A'!$P172)</f>
        <v/>
      </c>
      <c r="K27" s="24">
        <f>IF($A27&gt;NYears,"",'Engine A'!$Q172)</f>
        <v/>
      </c>
      <c r="L27" s="31">
        <f>IF($A27&gt;NYears,"",'Engine A'!$K172-'Engine A'!$P172-'Engine A'!$Q172)</f>
        <v/>
      </c>
      <c r="M27" s="31">
        <f>IF($A27&gt;NYears,"",'Engine A'!$R172)</f>
        <v/>
      </c>
    </row>
    <row r="28">
      <c r="A28" s="29">
        <f>15</f>
        <v/>
      </c>
      <c r="B28" s="30">
        <f>IF($A28&gt;NYears,"",EDATE(StartMonth,$A28*12-1))</f>
        <v/>
      </c>
      <c r="C28" s="24">
        <f>IF($A28&gt;NYears,"",'Engine A'!$E184)</f>
        <v/>
      </c>
      <c r="D28" s="24">
        <f>IF($A28&gt;NYears,"",'Engine A'!$F173)</f>
        <v/>
      </c>
      <c r="E28" s="29">
        <f>IF($A28&gt;NYears,"",'Engine A'!$G173)</f>
        <v/>
      </c>
      <c r="F28" s="29">
        <f>IF($A28&gt;NYears,"",'Engine A'!$S184)</f>
        <v/>
      </c>
      <c r="G28" s="29">
        <f>IF($A28&gt;NYears,"",'Engine A'!$S184-'Engine A'!$G173)</f>
        <v/>
      </c>
      <c r="H28" s="24">
        <f>IF($A28&gt;NYears,"",'Engine A'!$S184*'Engine A'!$E184)</f>
        <v/>
      </c>
      <c r="I28" s="31">
        <f>IF($A28&gt;NYears,"",'Engine A'!$K184)</f>
        <v/>
      </c>
      <c r="J28" s="24">
        <f>IF($A28&gt;NYears,"",'Engine A'!$P184)</f>
        <v/>
      </c>
      <c r="K28" s="24">
        <f>IF($A28&gt;NYears,"",'Engine A'!$Q184)</f>
        <v/>
      </c>
      <c r="L28" s="31">
        <f>IF($A28&gt;NYears,"",'Engine A'!$K184-'Engine A'!$P184-'Engine A'!$Q184)</f>
        <v/>
      </c>
      <c r="M28" s="31">
        <f>IF($A28&gt;NYears,"",'Engine A'!$R184)</f>
        <v/>
      </c>
    </row>
    <row r="29">
      <c r="A29" s="29">
        <f>16</f>
        <v/>
      </c>
      <c r="B29" s="30">
        <f>IF($A29&gt;NYears,"",EDATE(StartMonth,$A29*12-1))</f>
        <v/>
      </c>
      <c r="C29" s="24">
        <f>IF($A29&gt;NYears,"",'Engine A'!$E196)</f>
        <v/>
      </c>
      <c r="D29" s="24">
        <f>IF($A29&gt;NYears,"",'Engine A'!$F185)</f>
        <v/>
      </c>
      <c r="E29" s="29">
        <f>IF($A29&gt;NYears,"",'Engine A'!$G185)</f>
        <v/>
      </c>
      <c r="F29" s="29">
        <f>IF($A29&gt;NYears,"",'Engine A'!$S196)</f>
        <v/>
      </c>
      <c r="G29" s="29">
        <f>IF($A29&gt;NYears,"",'Engine A'!$S196-'Engine A'!$G185)</f>
        <v/>
      </c>
      <c r="H29" s="24">
        <f>IF($A29&gt;NYears,"",'Engine A'!$S196*'Engine A'!$E196)</f>
        <v/>
      </c>
      <c r="I29" s="31">
        <f>IF($A29&gt;NYears,"",'Engine A'!$K196)</f>
        <v/>
      </c>
      <c r="J29" s="24">
        <f>IF($A29&gt;NYears,"",'Engine A'!$P196)</f>
        <v/>
      </c>
      <c r="K29" s="24">
        <f>IF($A29&gt;NYears,"",'Engine A'!$Q196)</f>
        <v/>
      </c>
      <c r="L29" s="31">
        <f>IF($A29&gt;NYears,"",'Engine A'!$K196-'Engine A'!$P196-'Engine A'!$Q196)</f>
        <v/>
      </c>
      <c r="M29" s="31">
        <f>IF($A29&gt;NYears,"",'Engine A'!$R196)</f>
        <v/>
      </c>
    </row>
    <row r="30">
      <c r="A30" s="29">
        <f>17</f>
        <v/>
      </c>
      <c r="B30" s="30">
        <f>IF($A30&gt;NYears,"",EDATE(StartMonth,$A30*12-1))</f>
        <v/>
      </c>
      <c r="C30" s="24">
        <f>IF($A30&gt;NYears,"",'Engine A'!$E208)</f>
        <v/>
      </c>
      <c r="D30" s="24">
        <f>IF($A30&gt;NYears,"",'Engine A'!$F197)</f>
        <v/>
      </c>
      <c r="E30" s="29">
        <f>IF($A30&gt;NYears,"",'Engine A'!$G197)</f>
        <v/>
      </c>
      <c r="F30" s="29">
        <f>IF($A30&gt;NYears,"",'Engine A'!$S208)</f>
        <v/>
      </c>
      <c r="G30" s="29">
        <f>IF($A30&gt;NYears,"",'Engine A'!$S208-'Engine A'!$G197)</f>
        <v/>
      </c>
      <c r="H30" s="24">
        <f>IF($A30&gt;NYears,"",'Engine A'!$S208*'Engine A'!$E208)</f>
        <v/>
      </c>
      <c r="I30" s="31">
        <f>IF($A30&gt;NYears,"",'Engine A'!$K208)</f>
        <v/>
      </c>
      <c r="J30" s="24">
        <f>IF($A30&gt;NYears,"",'Engine A'!$P208)</f>
        <v/>
      </c>
      <c r="K30" s="24">
        <f>IF($A30&gt;NYears,"",'Engine A'!$Q208)</f>
        <v/>
      </c>
      <c r="L30" s="31">
        <f>IF($A30&gt;NYears,"",'Engine A'!$K208-'Engine A'!$P208-'Engine A'!$Q208)</f>
        <v/>
      </c>
      <c r="M30" s="31">
        <f>IF($A30&gt;NYears,"",'Engine A'!$R208)</f>
        <v/>
      </c>
    </row>
    <row r="31">
      <c r="A31" s="29">
        <f>18</f>
        <v/>
      </c>
      <c r="B31" s="30">
        <f>IF($A31&gt;NYears,"",EDATE(StartMonth,$A31*12-1))</f>
        <v/>
      </c>
      <c r="C31" s="24">
        <f>IF($A31&gt;NYears,"",'Engine A'!$E220)</f>
        <v/>
      </c>
      <c r="D31" s="24">
        <f>IF($A31&gt;NYears,"",'Engine A'!$F209)</f>
        <v/>
      </c>
      <c r="E31" s="29">
        <f>IF($A31&gt;NYears,"",'Engine A'!$G209)</f>
        <v/>
      </c>
      <c r="F31" s="29">
        <f>IF($A31&gt;NYears,"",'Engine A'!$S220)</f>
        <v/>
      </c>
      <c r="G31" s="29">
        <f>IF($A31&gt;NYears,"",'Engine A'!$S220-'Engine A'!$G209)</f>
        <v/>
      </c>
      <c r="H31" s="24">
        <f>IF($A31&gt;NYears,"",'Engine A'!$S220*'Engine A'!$E220)</f>
        <v/>
      </c>
      <c r="I31" s="31">
        <f>IF($A31&gt;NYears,"",'Engine A'!$K220)</f>
        <v/>
      </c>
      <c r="J31" s="24">
        <f>IF($A31&gt;NYears,"",'Engine A'!$P220)</f>
        <v/>
      </c>
      <c r="K31" s="24">
        <f>IF($A31&gt;NYears,"",'Engine A'!$Q220)</f>
        <v/>
      </c>
      <c r="L31" s="31">
        <f>IF($A31&gt;NYears,"",'Engine A'!$K220-'Engine A'!$P220-'Engine A'!$Q220)</f>
        <v/>
      </c>
      <c r="M31" s="31">
        <f>IF($A31&gt;NYears,"",'Engine A'!$R220)</f>
        <v/>
      </c>
    </row>
    <row r="32">
      <c r="A32" s="29">
        <f>19</f>
        <v/>
      </c>
      <c r="B32" s="30">
        <f>IF($A32&gt;NYears,"",EDATE(StartMonth,$A32*12-1))</f>
        <v/>
      </c>
      <c r="C32" s="24">
        <f>IF($A32&gt;NYears,"",'Engine A'!$E232)</f>
        <v/>
      </c>
      <c r="D32" s="24">
        <f>IF($A32&gt;NYears,"",'Engine A'!$F221)</f>
        <v/>
      </c>
      <c r="E32" s="29">
        <f>IF($A32&gt;NYears,"",'Engine A'!$G221)</f>
        <v/>
      </c>
      <c r="F32" s="29">
        <f>IF($A32&gt;NYears,"",'Engine A'!$S232)</f>
        <v/>
      </c>
      <c r="G32" s="29">
        <f>IF($A32&gt;NYears,"",'Engine A'!$S232-'Engine A'!$G221)</f>
        <v/>
      </c>
      <c r="H32" s="24">
        <f>IF($A32&gt;NYears,"",'Engine A'!$S232*'Engine A'!$E232)</f>
        <v/>
      </c>
      <c r="I32" s="31">
        <f>IF($A32&gt;NYears,"",'Engine A'!$K232)</f>
        <v/>
      </c>
      <c r="J32" s="24">
        <f>IF($A32&gt;NYears,"",'Engine A'!$P232)</f>
        <v/>
      </c>
      <c r="K32" s="24">
        <f>IF($A32&gt;NYears,"",'Engine A'!$Q232)</f>
        <v/>
      </c>
      <c r="L32" s="31">
        <f>IF($A32&gt;NYears,"",'Engine A'!$K232-'Engine A'!$P232-'Engine A'!$Q232)</f>
        <v/>
      </c>
      <c r="M32" s="31">
        <f>IF($A32&gt;NYears,"",'Engine A'!$R232)</f>
        <v/>
      </c>
    </row>
    <row r="33">
      <c r="A33" s="29">
        <f>20</f>
        <v/>
      </c>
      <c r="B33" s="30">
        <f>IF($A33&gt;NYears,"",EDATE(StartMonth,$A33*12-1))</f>
        <v/>
      </c>
      <c r="C33" s="24">
        <f>IF($A33&gt;NYears,"",'Engine A'!$E244)</f>
        <v/>
      </c>
      <c r="D33" s="24">
        <f>IF($A33&gt;NYears,"",'Engine A'!$F233)</f>
        <v/>
      </c>
      <c r="E33" s="29">
        <f>IF($A33&gt;NYears,"",'Engine A'!$G233)</f>
        <v/>
      </c>
      <c r="F33" s="29">
        <f>IF($A33&gt;NYears,"",'Engine A'!$S244)</f>
        <v/>
      </c>
      <c r="G33" s="29">
        <f>IF($A33&gt;NYears,"",'Engine A'!$S244-'Engine A'!$G233)</f>
        <v/>
      </c>
      <c r="H33" s="24">
        <f>IF($A33&gt;NYears,"",'Engine A'!$S244*'Engine A'!$E244)</f>
        <v/>
      </c>
      <c r="I33" s="31">
        <f>IF($A33&gt;NYears,"",'Engine A'!$K244)</f>
        <v/>
      </c>
      <c r="J33" s="24">
        <f>IF($A33&gt;NYears,"",'Engine A'!$P244)</f>
        <v/>
      </c>
      <c r="K33" s="24">
        <f>IF($A33&gt;NYears,"",'Engine A'!$Q244)</f>
        <v/>
      </c>
      <c r="L33" s="31">
        <f>IF($A33&gt;NYears,"",'Engine A'!$K244-'Engine A'!$P244-'Engine A'!$Q244)</f>
        <v/>
      </c>
      <c r="M33" s="31">
        <f>IF($A33&gt;NYears,"",'Engine A'!$R244)</f>
        <v/>
      </c>
    </row>
    <row r="34">
      <c r="A34" s="29">
        <f>21</f>
        <v/>
      </c>
      <c r="B34" s="30">
        <f>IF($A34&gt;NYears,"",EDATE(StartMonth,$A34*12-1))</f>
        <v/>
      </c>
      <c r="C34" s="24">
        <f>IF($A34&gt;NYears,"",'Engine A'!$E256)</f>
        <v/>
      </c>
      <c r="D34" s="24">
        <f>IF($A34&gt;NYears,"",'Engine A'!$F245)</f>
        <v/>
      </c>
      <c r="E34" s="29">
        <f>IF($A34&gt;NYears,"",'Engine A'!$G245)</f>
        <v/>
      </c>
      <c r="F34" s="29">
        <f>IF($A34&gt;NYears,"",'Engine A'!$S256)</f>
        <v/>
      </c>
      <c r="G34" s="29">
        <f>IF($A34&gt;NYears,"",'Engine A'!$S256-'Engine A'!$G245)</f>
        <v/>
      </c>
      <c r="H34" s="24">
        <f>IF($A34&gt;NYears,"",'Engine A'!$S256*'Engine A'!$E256)</f>
        <v/>
      </c>
      <c r="I34" s="31">
        <f>IF($A34&gt;NYears,"",'Engine A'!$K256)</f>
        <v/>
      </c>
      <c r="J34" s="24">
        <f>IF($A34&gt;NYears,"",'Engine A'!$P256)</f>
        <v/>
      </c>
      <c r="K34" s="24">
        <f>IF($A34&gt;NYears,"",'Engine A'!$Q256)</f>
        <v/>
      </c>
      <c r="L34" s="31">
        <f>IF($A34&gt;NYears,"",'Engine A'!$K256-'Engine A'!$P256-'Engine A'!$Q256)</f>
        <v/>
      </c>
      <c r="M34" s="31">
        <f>IF($A34&gt;NYears,"",'Engine A'!$R256)</f>
        <v/>
      </c>
    </row>
    <row r="35">
      <c r="A35" s="29">
        <f>22</f>
        <v/>
      </c>
      <c r="B35" s="30">
        <f>IF($A35&gt;NYears,"",EDATE(StartMonth,$A35*12-1))</f>
        <v/>
      </c>
      <c r="C35" s="24">
        <f>IF($A35&gt;NYears,"",'Engine A'!$E268)</f>
        <v/>
      </c>
      <c r="D35" s="24">
        <f>IF($A35&gt;NYears,"",'Engine A'!$F257)</f>
        <v/>
      </c>
      <c r="E35" s="29">
        <f>IF($A35&gt;NYears,"",'Engine A'!$G257)</f>
        <v/>
      </c>
      <c r="F35" s="29">
        <f>IF($A35&gt;NYears,"",'Engine A'!$S268)</f>
        <v/>
      </c>
      <c r="G35" s="29">
        <f>IF($A35&gt;NYears,"",'Engine A'!$S268-'Engine A'!$G257)</f>
        <v/>
      </c>
      <c r="H35" s="24">
        <f>IF($A35&gt;NYears,"",'Engine A'!$S268*'Engine A'!$E268)</f>
        <v/>
      </c>
      <c r="I35" s="31">
        <f>IF($A35&gt;NYears,"",'Engine A'!$K268)</f>
        <v/>
      </c>
      <c r="J35" s="24">
        <f>IF($A35&gt;NYears,"",'Engine A'!$P268)</f>
        <v/>
      </c>
      <c r="K35" s="24">
        <f>IF($A35&gt;NYears,"",'Engine A'!$Q268)</f>
        <v/>
      </c>
      <c r="L35" s="31">
        <f>IF($A35&gt;NYears,"",'Engine A'!$K268-'Engine A'!$P268-'Engine A'!$Q268)</f>
        <v/>
      </c>
      <c r="M35" s="31">
        <f>IF($A35&gt;NYears,"",'Engine A'!$R268)</f>
        <v/>
      </c>
    </row>
    <row r="36">
      <c r="A36" s="29">
        <f>23</f>
        <v/>
      </c>
      <c r="B36" s="30">
        <f>IF($A36&gt;NYears,"",EDATE(StartMonth,$A36*12-1))</f>
        <v/>
      </c>
      <c r="C36" s="24">
        <f>IF($A36&gt;NYears,"",'Engine A'!$E280)</f>
        <v/>
      </c>
      <c r="D36" s="24">
        <f>IF($A36&gt;NYears,"",'Engine A'!$F269)</f>
        <v/>
      </c>
      <c r="E36" s="29">
        <f>IF($A36&gt;NYears,"",'Engine A'!$G269)</f>
        <v/>
      </c>
      <c r="F36" s="29">
        <f>IF($A36&gt;NYears,"",'Engine A'!$S280)</f>
        <v/>
      </c>
      <c r="G36" s="29">
        <f>IF($A36&gt;NYears,"",'Engine A'!$S280-'Engine A'!$G269)</f>
        <v/>
      </c>
      <c r="H36" s="24">
        <f>IF($A36&gt;NYears,"",'Engine A'!$S280*'Engine A'!$E280)</f>
        <v/>
      </c>
      <c r="I36" s="31">
        <f>IF($A36&gt;NYears,"",'Engine A'!$K280)</f>
        <v/>
      </c>
      <c r="J36" s="24">
        <f>IF($A36&gt;NYears,"",'Engine A'!$P280)</f>
        <v/>
      </c>
      <c r="K36" s="24">
        <f>IF($A36&gt;NYears,"",'Engine A'!$Q280)</f>
        <v/>
      </c>
      <c r="L36" s="31">
        <f>IF($A36&gt;NYears,"",'Engine A'!$K280-'Engine A'!$P280-'Engine A'!$Q280)</f>
        <v/>
      </c>
      <c r="M36" s="31">
        <f>IF($A36&gt;NYears,"",'Engine A'!$R280)</f>
        <v/>
      </c>
    </row>
    <row r="37">
      <c r="A37" s="29">
        <f>24</f>
        <v/>
      </c>
      <c r="B37" s="30">
        <f>IF($A37&gt;NYears,"",EDATE(StartMonth,$A37*12-1))</f>
        <v/>
      </c>
      <c r="C37" s="24">
        <f>IF($A37&gt;NYears,"",'Engine A'!$E292)</f>
        <v/>
      </c>
      <c r="D37" s="24">
        <f>IF($A37&gt;NYears,"",'Engine A'!$F281)</f>
        <v/>
      </c>
      <c r="E37" s="29">
        <f>IF($A37&gt;NYears,"",'Engine A'!$G281)</f>
        <v/>
      </c>
      <c r="F37" s="29">
        <f>IF($A37&gt;NYears,"",'Engine A'!$S292)</f>
        <v/>
      </c>
      <c r="G37" s="29">
        <f>IF($A37&gt;NYears,"",'Engine A'!$S292-'Engine A'!$G281)</f>
        <v/>
      </c>
      <c r="H37" s="24">
        <f>IF($A37&gt;NYears,"",'Engine A'!$S292*'Engine A'!$E292)</f>
        <v/>
      </c>
      <c r="I37" s="31">
        <f>IF($A37&gt;NYears,"",'Engine A'!$K292)</f>
        <v/>
      </c>
      <c r="J37" s="24">
        <f>IF($A37&gt;NYears,"",'Engine A'!$P292)</f>
        <v/>
      </c>
      <c r="K37" s="24">
        <f>IF($A37&gt;NYears,"",'Engine A'!$Q292)</f>
        <v/>
      </c>
      <c r="L37" s="31">
        <f>IF($A37&gt;NYears,"",'Engine A'!$K292-'Engine A'!$P292-'Engine A'!$Q292)</f>
        <v/>
      </c>
      <c r="M37" s="31">
        <f>IF($A37&gt;NYears,"",'Engine A'!$R292)</f>
        <v/>
      </c>
    </row>
    <row r="38">
      <c r="A38" s="29">
        <f>25</f>
        <v/>
      </c>
      <c r="B38" s="30">
        <f>IF($A38&gt;NYears,"",EDATE(StartMonth,$A38*12-1))</f>
        <v/>
      </c>
      <c r="C38" s="24">
        <f>IF($A38&gt;NYears,"",'Engine A'!$E304)</f>
        <v/>
      </c>
      <c r="D38" s="24">
        <f>IF($A38&gt;NYears,"",'Engine A'!$F293)</f>
        <v/>
      </c>
      <c r="E38" s="29">
        <f>IF($A38&gt;NYears,"",'Engine A'!$G293)</f>
        <v/>
      </c>
      <c r="F38" s="29">
        <f>IF($A38&gt;NYears,"",'Engine A'!$S304)</f>
        <v/>
      </c>
      <c r="G38" s="29">
        <f>IF($A38&gt;NYears,"",'Engine A'!$S304-'Engine A'!$G293)</f>
        <v/>
      </c>
      <c r="H38" s="24">
        <f>IF($A38&gt;NYears,"",'Engine A'!$S304*'Engine A'!$E304)</f>
        <v/>
      </c>
      <c r="I38" s="31">
        <f>IF($A38&gt;NYears,"",'Engine A'!$K304)</f>
        <v/>
      </c>
      <c r="J38" s="24">
        <f>IF($A38&gt;NYears,"",'Engine A'!$P304)</f>
        <v/>
      </c>
      <c r="K38" s="24">
        <f>IF($A38&gt;NYears,"",'Engine A'!$Q304)</f>
        <v/>
      </c>
      <c r="L38" s="31">
        <f>IF($A38&gt;NYears,"",'Engine A'!$K304-'Engine A'!$P304-'Engine A'!$Q304)</f>
        <v/>
      </c>
      <c r="M38" s="31">
        <f>IF($A38&gt;NYears,"",'Engine A'!$R304)</f>
        <v/>
      </c>
    </row>
    <row r="39">
      <c r="A39" s="29">
        <f>26</f>
        <v/>
      </c>
      <c r="B39" s="30">
        <f>IF($A39&gt;NYears,"",EDATE(StartMonth,$A39*12-1))</f>
        <v/>
      </c>
      <c r="C39" s="24">
        <f>IF($A39&gt;NYears,"",'Engine A'!$E316)</f>
        <v/>
      </c>
      <c r="D39" s="24">
        <f>IF($A39&gt;NYears,"",'Engine A'!$F305)</f>
        <v/>
      </c>
      <c r="E39" s="29">
        <f>IF($A39&gt;NYears,"",'Engine A'!$G305)</f>
        <v/>
      </c>
      <c r="F39" s="29">
        <f>IF($A39&gt;NYears,"",'Engine A'!$S316)</f>
        <v/>
      </c>
      <c r="G39" s="29">
        <f>IF($A39&gt;NYears,"",'Engine A'!$S316-'Engine A'!$G305)</f>
        <v/>
      </c>
      <c r="H39" s="24">
        <f>IF($A39&gt;NYears,"",'Engine A'!$S316*'Engine A'!$E316)</f>
        <v/>
      </c>
      <c r="I39" s="31">
        <f>IF($A39&gt;NYears,"",'Engine A'!$K316)</f>
        <v/>
      </c>
      <c r="J39" s="24">
        <f>IF($A39&gt;NYears,"",'Engine A'!$P316)</f>
        <v/>
      </c>
      <c r="K39" s="24">
        <f>IF($A39&gt;NYears,"",'Engine A'!$Q316)</f>
        <v/>
      </c>
      <c r="L39" s="31">
        <f>IF($A39&gt;NYears,"",'Engine A'!$K316-'Engine A'!$P316-'Engine A'!$Q316)</f>
        <v/>
      </c>
      <c r="M39" s="31">
        <f>IF($A39&gt;NYears,"",'Engine A'!$R316)</f>
        <v/>
      </c>
    </row>
    <row r="40">
      <c r="A40" s="29">
        <f>27</f>
        <v/>
      </c>
      <c r="B40" s="30">
        <f>IF($A40&gt;NYears,"",EDATE(StartMonth,$A40*12-1))</f>
        <v/>
      </c>
      <c r="C40" s="24">
        <f>IF($A40&gt;NYears,"",'Engine A'!$E328)</f>
        <v/>
      </c>
      <c r="D40" s="24">
        <f>IF($A40&gt;NYears,"",'Engine A'!$F317)</f>
        <v/>
      </c>
      <c r="E40" s="29">
        <f>IF($A40&gt;NYears,"",'Engine A'!$G317)</f>
        <v/>
      </c>
      <c r="F40" s="29">
        <f>IF($A40&gt;NYears,"",'Engine A'!$S328)</f>
        <v/>
      </c>
      <c r="G40" s="29">
        <f>IF($A40&gt;NYears,"",'Engine A'!$S328-'Engine A'!$G317)</f>
        <v/>
      </c>
      <c r="H40" s="24">
        <f>IF($A40&gt;NYears,"",'Engine A'!$S328*'Engine A'!$E328)</f>
        <v/>
      </c>
      <c r="I40" s="31">
        <f>IF($A40&gt;NYears,"",'Engine A'!$K328)</f>
        <v/>
      </c>
      <c r="J40" s="24">
        <f>IF($A40&gt;NYears,"",'Engine A'!$P328)</f>
        <v/>
      </c>
      <c r="K40" s="24">
        <f>IF($A40&gt;NYears,"",'Engine A'!$Q328)</f>
        <v/>
      </c>
      <c r="L40" s="31">
        <f>IF($A40&gt;NYears,"",'Engine A'!$K328-'Engine A'!$P328-'Engine A'!$Q328)</f>
        <v/>
      </c>
      <c r="M40" s="31">
        <f>IF($A40&gt;NYears,"",'Engine A'!$R328)</f>
        <v/>
      </c>
    </row>
    <row r="41">
      <c r="A41" s="29">
        <f>28</f>
        <v/>
      </c>
      <c r="B41" s="30">
        <f>IF($A41&gt;NYears,"",EDATE(StartMonth,$A41*12-1))</f>
        <v/>
      </c>
      <c r="C41" s="24">
        <f>IF($A41&gt;NYears,"",'Engine A'!$E340)</f>
        <v/>
      </c>
      <c r="D41" s="24">
        <f>IF($A41&gt;NYears,"",'Engine A'!$F329)</f>
        <v/>
      </c>
      <c r="E41" s="29">
        <f>IF($A41&gt;NYears,"",'Engine A'!$G329)</f>
        <v/>
      </c>
      <c r="F41" s="29">
        <f>IF($A41&gt;NYears,"",'Engine A'!$S340)</f>
        <v/>
      </c>
      <c r="G41" s="29">
        <f>IF($A41&gt;NYears,"",'Engine A'!$S340-'Engine A'!$G329)</f>
        <v/>
      </c>
      <c r="H41" s="24">
        <f>IF($A41&gt;NYears,"",'Engine A'!$S340*'Engine A'!$E340)</f>
        <v/>
      </c>
      <c r="I41" s="31">
        <f>IF($A41&gt;NYears,"",'Engine A'!$K340)</f>
        <v/>
      </c>
      <c r="J41" s="24">
        <f>IF($A41&gt;NYears,"",'Engine A'!$P340)</f>
        <v/>
      </c>
      <c r="K41" s="24">
        <f>IF($A41&gt;NYears,"",'Engine A'!$Q340)</f>
        <v/>
      </c>
      <c r="L41" s="31">
        <f>IF($A41&gt;NYears,"",'Engine A'!$K340-'Engine A'!$P340-'Engine A'!$Q340)</f>
        <v/>
      </c>
      <c r="M41" s="31">
        <f>IF($A41&gt;NYears,"",'Engine A'!$R340)</f>
        <v/>
      </c>
    </row>
    <row r="42">
      <c r="A42" s="29">
        <f>29</f>
        <v/>
      </c>
      <c r="B42" s="30">
        <f>IF($A42&gt;NYears,"",EDATE(StartMonth,$A42*12-1))</f>
        <v/>
      </c>
      <c r="C42" s="24">
        <f>IF($A42&gt;NYears,"",'Engine A'!$E352)</f>
        <v/>
      </c>
      <c r="D42" s="24">
        <f>IF($A42&gt;NYears,"",'Engine A'!$F341)</f>
        <v/>
      </c>
      <c r="E42" s="29">
        <f>IF($A42&gt;NYears,"",'Engine A'!$G341)</f>
        <v/>
      </c>
      <c r="F42" s="29">
        <f>IF($A42&gt;NYears,"",'Engine A'!$S352)</f>
        <v/>
      </c>
      <c r="G42" s="29">
        <f>IF($A42&gt;NYears,"",'Engine A'!$S352-'Engine A'!$G341)</f>
        <v/>
      </c>
      <c r="H42" s="24">
        <f>IF($A42&gt;NYears,"",'Engine A'!$S352*'Engine A'!$E352)</f>
        <v/>
      </c>
      <c r="I42" s="31">
        <f>IF($A42&gt;NYears,"",'Engine A'!$K352)</f>
        <v/>
      </c>
      <c r="J42" s="24">
        <f>IF($A42&gt;NYears,"",'Engine A'!$P352)</f>
        <v/>
      </c>
      <c r="K42" s="24">
        <f>IF($A42&gt;NYears,"",'Engine A'!$Q352)</f>
        <v/>
      </c>
      <c r="L42" s="31">
        <f>IF($A42&gt;NYears,"",'Engine A'!$K352-'Engine A'!$P352-'Engine A'!$Q352)</f>
        <v/>
      </c>
      <c r="M42" s="31">
        <f>IF($A42&gt;NYears,"",'Engine A'!$R352)</f>
        <v/>
      </c>
    </row>
    <row r="43">
      <c r="A43" s="29">
        <f>30</f>
        <v/>
      </c>
      <c r="B43" s="30">
        <f>IF($A43&gt;NYears,"",EDATE(StartMonth,$A43*12-1))</f>
        <v/>
      </c>
      <c r="C43" s="24">
        <f>IF($A43&gt;NYears,"",'Engine A'!$E364)</f>
        <v/>
      </c>
      <c r="D43" s="24">
        <f>IF($A43&gt;NYears,"",'Engine A'!$F353)</f>
        <v/>
      </c>
      <c r="E43" s="29">
        <f>IF($A43&gt;NYears,"",'Engine A'!$G353)</f>
        <v/>
      </c>
      <c r="F43" s="29">
        <f>IF($A43&gt;NYears,"",'Engine A'!$S364)</f>
        <v/>
      </c>
      <c r="G43" s="29">
        <f>IF($A43&gt;NYears,"",'Engine A'!$S364-'Engine A'!$G353)</f>
        <v/>
      </c>
      <c r="H43" s="24">
        <f>IF($A43&gt;NYears,"",'Engine A'!$S364*'Engine A'!$E364)</f>
        <v/>
      </c>
      <c r="I43" s="31">
        <f>IF($A43&gt;NYears,"",'Engine A'!$K364)</f>
        <v/>
      </c>
      <c r="J43" s="24">
        <f>IF($A43&gt;NYears,"",'Engine A'!$P364)</f>
        <v/>
      </c>
      <c r="K43" s="24">
        <f>IF($A43&gt;NYears,"",'Engine A'!$Q364)</f>
        <v/>
      </c>
      <c r="L43" s="31">
        <f>IF($A43&gt;NYears,"",'Engine A'!$K364-'Engine A'!$P364-'Engine A'!$Q364)</f>
        <v/>
      </c>
      <c r="M43" s="31">
        <f>IF($A43&gt;NYears,"",'Engine A'!$R364)</f>
        <v/>
      </c>
    </row>
    <row r="45">
      <c r="A45" s="26" t="inlineStr">
        <is>
          <t>SCENARIO B</t>
        </is>
      </c>
      <c r="B45" s="27">
        <f>RateB</f>
        <v/>
      </c>
      <c r="C45" s="28" t="inlineStr">
        <is>
          <t>per month</t>
        </is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>
      <c r="A46" s="18" t="inlineStr">
        <is>
          <t>Year</t>
        </is>
      </c>
      <c r="B46" s="18" t="inlineStr">
        <is>
          <t>Year ending</t>
        </is>
      </c>
      <c r="C46" s="18" t="inlineStr">
        <is>
          <t>Lot value</t>
        </is>
      </c>
      <c r="D46" s="18" t="inlineStr">
        <is>
          <t>Opening corpus</t>
        </is>
      </c>
      <c r="E46" s="18" t="inlineStr">
        <is>
          <t>Lots start</t>
        </is>
      </c>
      <c r="F46" s="18" t="inlineStr">
        <is>
          <t>Lots end</t>
        </is>
      </c>
      <c r="G46" s="18" t="inlineStr">
        <is>
          <t>Lots added</t>
        </is>
      </c>
      <c r="H46" s="18" t="inlineStr">
        <is>
          <t>Deployed capital</t>
        </is>
      </c>
      <c r="I46" s="18" t="inlineStr">
        <is>
          <t>TRADING PROFIT
(net of charges, pre-tax)</t>
        </is>
      </c>
      <c r="J46" s="18" t="inlineStr">
        <is>
          <t>Govt tax</t>
        </is>
      </c>
      <c r="K46" s="18" t="inlineStr">
        <is>
          <t>Withdrawal</t>
        </is>
      </c>
      <c r="L46" s="18" t="inlineStr">
        <is>
          <t>REAL PROFIT (post tax &amp; withdrawal)</t>
        </is>
      </c>
      <c r="M46" s="18" t="inlineStr">
        <is>
          <t>Closing corpus</t>
        </is>
      </c>
    </row>
    <row r="47">
      <c r="A47" s="29">
        <f>1</f>
        <v/>
      </c>
      <c r="B47" s="30">
        <f>IF($A47&gt;NYears,"",EDATE(StartMonth,$A47*12-1))</f>
        <v/>
      </c>
      <c r="C47" s="24">
        <f>IF($A47&gt;NYears,"",'Engine B'!$E16)</f>
        <v/>
      </c>
      <c r="D47" s="24">
        <f>IF($A47&gt;NYears,"",'Engine B'!$F5)</f>
        <v/>
      </c>
      <c r="E47" s="29">
        <f>IF($A47&gt;NYears,"",'Engine B'!$G5)</f>
        <v/>
      </c>
      <c r="F47" s="29">
        <f>IF($A47&gt;NYears,"",'Engine B'!$S16)</f>
        <v/>
      </c>
      <c r="G47" s="29">
        <f>IF($A47&gt;NYears,"",'Engine B'!$S16-'Engine B'!$G5)</f>
        <v/>
      </c>
      <c r="H47" s="24">
        <f>IF($A47&gt;NYears,"",'Engine B'!$S16*'Engine B'!$E16)</f>
        <v/>
      </c>
      <c r="I47" s="31">
        <f>IF($A47&gt;NYears,"",'Engine B'!$K16)</f>
        <v/>
      </c>
      <c r="J47" s="24">
        <f>IF($A47&gt;NYears,"",'Engine B'!$P16)</f>
        <v/>
      </c>
      <c r="K47" s="24">
        <f>IF($A47&gt;NYears,"",'Engine B'!$Q16)</f>
        <v/>
      </c>
      <c r="L47" s="31">
        <f>IF($A47&gt;NYears,"",'Engine B'!$K16-'Engine B'!$P16-'Engine B'!$Q16)</f>
        <v/>
      </c>
      <c r="M47" s="31">
        <f>IF($A47&gt;NYears,"",'Engine B'!$R16)</f>
        <v/>
      </c>
    </row>
    <row r="48">
      <c r="A48" s="29">
        <f>2</f>
        <v/>
      </c>
      <c r="B48" s="30">
        <f>IF($A48&gt;NYears,"",EDATE(StartMonth,$A48*12-1))</f>
        <v/>
      </c>
      <c r="C48" s="24">
        <f>IF($A48&gt;NYears,"",'Engine B'!$E28)</f>
        <v/>
      </c>
      <c r="D48" s="24">
        <f>IF($A48&gt;NYears,"",'Engine B'!$F17)</f>
        <v/>
      </c>
      <c r="E48" s="29">
        <f>IF($A48&gt;NYears,"",'Engine B'!$G17)</f>
        <v/>
      </c>
      <c r="F48" s="29">
        <f>IF($A48&gt;NYears,"",'Engine B'!$S28)</f>
        <v/>
      </c>
      <c r="G48" s="29">
        <f>IF($A48&gt;NYears,"",'Engine B'!$S28-'Engine B'!$G17)</f>
        <v/>
      </c>
      <c r="H48" s="24">
        <f>IF($A48&gt;NYears,"",'Engine B'!$S28*'Engine B'!$E28)</f>
        <v/>
      </c>
      <c r="I48" s="31">
        <f>IF($A48&gt;NYears,"",'Engine B'!$K28)</f>
        <v/>
      </c>
      <c r="J48" s="24">
        <f>IF($A48&gt;NYears,"",'Engine B'!$P28)</f>
        <v/>
      </c>
      <c r="K48" s="24">
        <f>IF($A48&gt;NYears,"",'Engine B'!$Q28)</f>
        <v/>
      </c>
      <c r="L48" s="31">
        <f>IF($A48&gt;NYears,"",'Engine B'!$K28-'Engine B'!$P28-'Engine B'!$Q28)</f>
        <v/>
      </c>
      <c r="M48" s="31">
        <f>IF($A48&gt;NYears,"",'Engine B'!$R28)</f>
        <v/>
      </c>
    </row>
    <row r="49">
      <c r="A49" s="29">
        <f>3</f>
        <v/>
      </c>
      <c r="B49" s="30">
        <f>IF($A49&gt;NYears,"",EDATE(StartMonth,$A49*12-1))</f>
        <v/>
      </c>
      <c r="C49" s="24">
        <f>IF($A49&gt;NYears,"",'Engine B'!$E40)</f>
        <v/>
      </c>
      <c r="D49" s="24">
        <f>IF($A49&gt;NYears,"",'Engine B'!$F29)</f>
        <v/>
      </c>
      <c r="E49" s="29">
        <f>IF($A49&gt;NYears,"",'Engine B'!$G29)</f>
        <v/>
      </c>
      <c r="F49" s="29">
        <f>IF($A49&gt;NYears,"",'Engine B'!$S40)</f>
        <v/>
      </c>
      <c r="G49" s="29">
        <f>IF($A49&gt;NYears,"",'Engine B'!$S40-'Engine B'!$G29)</f>
        <v/>
      </c>
      <c r="H49" s="24">
        <f>IF($A49&gt;NYears,"",'Engine B'!$S40*'Engine B'!$E40)</f>
        <v/>
      </c>
      <c r="I49" s="31">
        <f>IF($A49&gt;NYears,"",'Engine B'!$K40)</f>
        <v/>
      </c>
      <c r="J49" s="24">
        <f>IF($A49&gt;NYears,"",'Engine B'!$P40)</f>
        <v/>
      </c>
      <c r="K49" s="24">
        <f>IF($A49&gt;NYears,"",'Engine B'!$Q40)</f>
        <v/>
      </c>
      <c r="L49" s="31">
        <f>IF($A49&gt;NYears,"",'Engine B'!$K40-'Engine B'!$P40-'Engine B'!$Q40)</f>
        <v/>
      </c>
      <c r="M49" s="31">
        <f>IF($A49&gt;NYears,"",'Engine B'!$R40)</f>
        <v/>
      </c>
    </row>
    <row r="50">
      <c r="A50" s="29">
        <f>4</f>
        <v/>
      </c>
      <c r="B50" s="30">
        <f>IF($A50&gt;NYears,"",EDATE(StartMonth,$A50*12-1))</f>
        <v/>
      </c>
      <c r="C50" s="24">
        <f>IF($A50&gt;NYears,"",'Engine B'!$E52)</f>
        <v/>
      </c>
      <c r="D50" s="24">
        <f>IF($A50&gt;NYears,"",'Engine B'!$F41)</f>
        <v/>
      </c>
      <c r="E50" s="29">
        <f>IF($A50&gt;NYears,"",'Engine B'!$G41)</f>
        <v/>
      </c>
      <c r="F50" s="29">
        <f>IF($A50&gt;NYears,"",'Engine B'!$S52)</f>
        <v/>
      </c>
      <c r="G50" s="29">
        <f>IF($A50&gt;NYears,"",'Engine B'!$S52-'Engine B'!$G41)</f>
        <v/>
      </c>
      <c r="H50" s="24">
        <f>IF($A50&gt;NYears,"",'Engine B'!$S52*'Engine B'!$E52)</f>
        <v/>
      </c>
      <c r="I50" s="31">
        <f>IF($A50&gt;NYears,"",'Engine B'!$K52)</f>
        <v/>
      </c>
      <c r="J50" s="24">
        <f>IF($A50&gt;NYears,"",'Engine B'!$P52)</f>
        <v/>
      </c>
      <c r="K50" s="24">
        <f>IF($A50&gt;NYears,"",'Engine B'!$Q52)</f>
        <v/>
      </c>
      <c r="L50" s="31">
        <f>IF($A50&gt;NYears,"",'Engine B'!$K52-'Engine B'!$P52-'Engine B'!$Q52)</f>
        <v/>
      </c>
      <c r="M50" s="31">
        <f>IF($A50&gt;NYears,"",'Engine B'!$R52)</f>
        <v/>
      </c>
    </row>
    <row r="51">
      <c r="A51" s="29">
        <f>5</f>
        <v/>
      </c>
      <c r="B51" s="30">
        <f>IF($A51&gt;NYears,"",EDATE(StartMonth,$A51*12-1))</f>
        <v/>
      </c>
      <c r="C51" s="24">
        <f>IF($A51&gt;NYears,"",'Engine B'!$E64)</f>
        <v/>
      </c>
      <c r="D51" s="24">
        <f>IF($A51&gt;NYears,"",'Engine B'!$F53)</f>
        <v/>
      </c>
      <c r="E51" s="29">
        <f>IF($A51&gt;NYears,"",'Engine B'!$G53)</f>
        <v/>
      </c>
      <c r="F51" s="29">
        <f>IF($A51&gt;NYears,"",'Engine B'!$S64)</f>
        <v/>
      </c>
      <c r="G51" s="29">
        <f>IF($A51&gt;NYears,"",'Engine B'!$S64-'Engine B'!$G53)</f>
        <v/>
      </c>
      <c r="H51" s="24">
        <f>IF($A51&gt;NYears,"",'Engine B'!$S64*'Engine B'!$E64)</f>
        <v/>
      </c>
      <c r="I51" s="31">
        <f>IF($A51&gt;NYears,"",'Engine B'!$K64)</f>
        <v/>
      </c>
      <c r="J51" s="24">
        <f>IF($A51&gt;NYears,"",'Engine B'!$P64)</f>
        <v/>
      </c>
      <c r="K51" s="24">
        <f>IF($A51&gt;NYears,"",'Engine B'!$Q64)</f>
        <v/>
      </c>
      <c r="L51" s="31">
        <f>IF($A51&gt;NYears,"",'Engine B'!$K64-'Engine B'!$P64-'Engine B'!$Q64)</f>
        <v/>
      </c>
      <c r="M51" s="31">
        <f>IF($A51&gt;NYears,"",'Engine B'!$R64)</f>
        <v/>
      </c>
    </row>
    <row r="52">
      <c r="A52" s="29">
        <f>6</f>
        <v/>
      </c>
      <c r="B52" s="30">
        <f>IF($A52&gt;NYears,"",EDATE(StartMonth,$A52*12-1))</f>
        <v/>
      </c>
      <c r="C52" s="24">
        <f>IF($A52&gt;NYears,"",'Engine B'!$E76)</f>
        <v/>
      </c>
      <c r="D52" s="24">
        <f>IF($A52&gt;NYears,"",'Engine B'!$F65)</f>
        <v/>
      </c>
      <c r="E52" s="29">
        <f>IF($A52&gt;NYears,"",'Engine B'!$G65)</f>
        <v/>
      </c>
      <c r="F52" s="29">
        <f>IF($A52&gt;NYears,"",'Engine B'!$S76)</f>
        <v/>
      </c>
      <c r="G52" s="29">
        <f>IF($A52&gt;NYears,"",'Engine B'!$S76-'Engine B'!$G65)</f>
        <v/>
      </c>
      <c r="H52" s="24">
        <f>IF($A52&gt;NYears,"",'Engine B'!$S76*'Engine B'!$E76)</f>
        <v/>
      </c>
      <c r="I52" s="31">
        <f>IF($A52&gt;NYears,"",'Engine B'!$K76)</f>
        <v/>
      </c>
      <c r="J52" s="24">
        <f>IF($A52&gt;NYears,"",'Engine B'!$P76)</f>
        <v/>
      </c>
      <c r="K52" s="24">
        <f>IF($A52&gt;NYears,"",'Engine B'!$Q76)</f>
        <v/>
      </c>
      <c r="L52" s="31">
        <f>IF($A52&gt;NYears,"",'Engine B'!$K76-'Engine B'!$P76-'Engine B'!$Q76)</f>
        <v/>
      </c>
      <c r="M52" s="31">
        <f>IF($A52&gt;NYears,"",'Engine B'!$R76)</f>
        <v/>
      </c>
    </row>
    <row r="53">
      <c r="A53" s="29">
        <f>7</f>
        <v/>
      </c>
      <c r="B53" s="30">
        <f>IF($A53&gt;NYears,"",EDATE(StartMonth,$A53*12-1))</f>
        <v/>
      </c>
      <c r="C53" s="24">
        <f>IF($A53&gt;NYears,"",'Engine B'!$E88)</f>
        <v/>
      </c>
      <c r="D53" s="24">
        <f>IF($A53&gt;NYears,"",'Engine B'!$F77)</f>
        <v/>
      </c>
      <c r="E53" s="29">
        <f>IF($A53&gt;NYears,"",'Engine B'!$G77)</f>
        <v/>
      </c>
      <c r="F53" s="29">
        <f>IF($A53&gt;NYears,"",'Engine B'!$S88)</f>
        <v/>
      </c>
      <c r="G53" s="29">
        <f>IF($A53&gt;NYears,"",'Engine B'!$S88-'Engine B'!$G77)</f>
        <v/>
      </c>
      <c r="H53" s="24">
        <f>IF($A53&gt;NYears,"",'Engine B'!$S88*'Engine B'!$E88)</f>
        <v/>
      </c>
      <c r="I53" s="31">
        <f>IF($A53&gt;NYears,"",'Engine B'!$K88)</f>
        <v/>
      </c>
      <c r="J53" s="24">
        <f>IF($A53&gt;NYears,"",'Engine B'!$P88)</f>
        <v/>
      </c>
      <c r="K53" s="24">
        <f>IF($A53&gt;NYears,"",'Engine B'!$Q88)</f>
        <v/>
      </c>
      <c r="L53" s="31">
        <f>IF($A53&gt;NYears,"",'Engine B'!$K88-'Engine B'!$P88-'Engine B'!$Q88)</f>
        <v/>
      </c>
      <c r="M53" s="31">
        <f>IF($A53&gt;NYears,"",'Engine B'!$R88)</f>
        <v/>
      </c>
    </row>
    <row r="54">
      <c r="A54" s="29">
        <f>8</f>
        <v/>
      </c>
      <c r="B54" s="30">
        <f>IF($A54&gt;NYears,"",EDATE(StartMonth,$A54*12-1))</f>
        <v/>
      </c>
      <c r="C54" s="24">
        <f>IF($A54&gt;NYears,"",'Engine B'!$E100)</f>
        <v/>
      </c>
      <c r="D54" s="24">
        <f>IF($A54&gt;NYears,"",'Engine B'!$F89)</f>
        <v/>
      </c>
      <c r="E54" s="29">
        <f>IF($A54&gt;NYears,"",'Engine B'!$G89)</f>
        <v/>
      </c>
      <c r="F54" s="29">
        <f>IF($A54&gt;NYears,"",'Engine B'!$S100)</f>
        <v/>
      </c>
      <c r="G54" s="29">
        <f>IF($A54&gt;NYears,"",'Engine B'!$S100-'Engine B'!$G89)</f>
        <v/>
      </c>
      <c r="H54" s="24">
        <f>IF($A54&gt;NYears,"",'Engine B'!$S100*'Engine B'!$E100)</f>
        <v/>
      </c>
      <c r="I54" s="31">
        <f>IF($A54&gt;NYears,"",'Engine B'!$K100)</f>
        <v/>
      </c>
      <c r="J54" s="24">
        <f>IF($A54&gt;NYears,"",'Engine B'!$P100)</f>
        <v/>
      </c>
      <c r="K54" s="24">
        <f>IF($A54&gt;NYears,"",'Engine B'!$Q100)</f>
        <v/>
      </c>
      <c r="L54" s="31">
        <f>IF($A54&gt;NYears,"",'Engine B'!$K100-'Engine B'!$P100-'Engine B'!$Q100)</f>
        <v/>
      </c>
      <c r="M54" s="31">
        <f>IF($A54&gt;NYears,"",'Engine B'!$R100)</f>
        <v/>
      </c>
    </row>
    <row r="55">
      <c r="A55" s="29">
        <f>9</f>
        <v/>
      </c>
      <c r="B55" s="30">
        <f>IF($A55&gt;NYears,"",EDATE(StartMonth,$A55*12-1))</f>
        <v/>
      </c>
      <c r="C55" s="24">
        <f>IF($A55&gt;NYears,"",'Engine B'!$E112)</f>
        <v/>
      </c>
      <c r="D55" s="24">
        <f>IF($A55&gt;NYears,"",'Engine B'!$F101)</f>
        <v/>
      </c>
      <c r="E55" s="29">
        <f>IF($A55&gt;NYears,"",'Engine B'!$G101)</f>
        <v/>
      </c>
      <c r="F55" s="29">
        <f>IF($A55&gt;NYears,"",'Engine B'!$S112)</f>
        <v/>
      </c>
      <c r="G55" s="29">
        <f>IF($A55&gt;NYears,"",'Engine B'!$S112-'Engine B'!$G101)</f>
        <v/>
      </c>
      <c r="H55" s="24">
        <f>IF($A55&gt;NYears,"",'Engine B'!$S112*'Engine B'!$E112)</f>
        <v/>
      </c>
      <c r="I55" s="31">
        <f>IF($A55&gt;NYears,"",'Engine B'!$K112)</f>
        <v/>
      </c>
      <c r="J55" s="24">
        <f>IF($A55&gt;NYears,"",'Engine B'!$P112)</f>
        <v/>
      </c>
      <c r="K55" s="24">
        <f>IF($A55&gt;NYears,"",'Engine B'!$Q112)</f>
        <v/>
      </c>
      <c r="L55" s="31">
        <f>IF($A55&gt;NYears,"",'Engine B'!$K112-'Engine B'!$P112-'Engine B'!$Q112)</f>
        <v/>
      </c>
      <c r="M55" s="31">
        <f>IF($A55&gt;NYears,"",'Engine B'!$R112)</f>
        <v/>
      </c>
    </row>
    <row r="56">
      <c r="A56" s="29">
        <f>10</f>
        <v/>
      </c>
      <c r="B56" s="30">
        <f>IF($A56&gt;NYears,"",EDATE(StartMonth,$A56*12-1))</f>
        <v/>
      </c>
      <c r="C56" s="24">
        <f>IF($A56&gt;NYears,"",'Engine B'!$E124)</f>
        <v/>
      </c>
      <c r="D56" s="24">
        <f>IF($A56&gt;NYears,"",'Engine B'!$F113)</f>
        <v/>
      </c>
      <c r="E56" s="29">
        <f>IF($A56&gt;NYears,"",'Engine B'!$G113)</f>
        <v/>
      </c>
      <c r="F56" s="29">
        <f>IF($A56&gt;NYears,"",'Engine B'!$S124)</f>
        <v/>
      </c>
      <c r="G56" s="29">
        <f>IF($A56&gt;NYears,"",'Engine B'!$S124-'Engine B'!$G113)</f>
        <v/>
      </c>
      <c r="H56" s="24">
        <f>IF($A56&gt;NYears,"",'Engine B'!$S124*'Engine B'!$E124)</f>
        <v/>
      </c>
      <c r="I56" s="31">
        <f>IF($A56&gt;NYears,"",'Engine B'!$K124)</f>
        <v/>
      </c>
      <c r="J56" s="24">
        <f>IF($A56&gt;NYears,"",'Engine B'!$P124)</f>
        <v/>
      </c>
      <c r="K56" s="24">
        <f>IF($A56&gt;NYears,"",'Engine B'!$Q124)</f>
        <v/>
      </c>
      <c r="L56" s="31">
        <f>IF($A56&gt;NYears,"",'Engine B'!$K124-'Engine B'!$P124-'Engine B'!$Q124)</f>
        <v/>
      </c>
      <c r="M56" s="31">
        <f>IF($A56&gt;NYears,"",'Engine B'!$R124)</f>
        <v/>
      </c>
    </row>
    <row r="57">
      <c r="A57" s="29">
        <f>11</f>
        <v/>
      </c>
      <c r="B57" s="30">
        <f>IF($A57&gt;NYears,"",EDATE(StartMonth,$A57*12-1))</f>
        <v/>
      </c>
      <c r="C57" s="24">
        <f>IF($A57&gt;NYears,"",'Engine B'!$E136)</f>
        <v/>
      </c>
      <c r="D57" s="24">
        <f>IF($A57&gt;NYears,"",'Engine B'!$F125)</f>
        <v/>
      </c>
      <c r="E57" s="29">
        <f>IF($A57&gt;NYears,"",'Engine B'!$G125)</f>
        <v/>
      </c>
      <c r="F57" s="29">
        <f>IF($A57&gt;NYears,"",'Engine B'!$S136)</f>
        <v/>
      </c>
      <c r="G57" s="29">
        <f>IF($A57&gt;NYears,"",'Engine B'!$S136-'Engine B'!$G125)</f>
        <v/>
      </c>
      <c r="H57" s="24">
        <f>IF($A57&gt;NYears,"",'Engine B'!$S136*'Engine B'!$E136)</f>
        <v/>
      </c>
      <c r="I57" s="31">
        <f>IF($A57&gt;NYears,"",'Engine B'!$K136)</f>
        <v/>
      </c>
      <c r="J57" s="24">
        <f>IF($A57&gt;NYears,"",'Engine B'!$P136)</f>
        <v/>
      </c>
      <c r="K57" s="24">
        <f>IF($A57&gt;NYears,"",'Engine B'!$Q136)</f>
        <v/>
      </c>
      <c r="L57" s="31">
        <f>IF($A57&gt;NYears,"",'Engine B'!$K136-'Engine B'!$P136-'Engine B'!$Q136)</f>
        <v/>
      </c>
      <c r="M57" s="31">
        <f>IF($A57&gt;NYears,"",'Engine B'!$R136)</f>
        <v/>
      </c>
    </row>
    <row r="58">
      <c r="A58" s="29">
        <f>12</f>
        <v/>
      </c>
      <c r="B58" s="30">
        <f>IF($A58&gt;NYears,"",EDATE(StartMonth,$A58*12-1))</f>
        <v/>
      </c>
      <c r="C58" s="24">
        <f>IF($A58&gt;NYears,"",'Engine B'!$E148)</f>
        <v/>
      </c>
      <c r="D58" s="24">
        <f>IF($A58&gt;NYears,"",'Engine B'!$F137)</f>
        <v/>
      </c>
      <c r="E58" s="29">
        <f>IF($A58&gt;NYears,"",'Engine B'!$G137)</f>
        <v/>
      </c>
      <c r="F58" s="29">
        <f>IF($A58&gt;NYears,"",'Engine B'!$S148)</f>
        <v/>
      </c>
      <c r="G58" s="29">
        <f>IF($A58&gt;NYears,"",'Engine B'!$S148-'Engine B'!$G137)</f>
        <v/>
      </c>
      <c r="H58" s="24">
        <f>IF($A58&gt;NYears,"",'Engine B'!$S148*'Engine B'!$E148)</f>
        <v/>
      </c>
      <c r="I58" s="31">
        <f>IF($A58&gt;NYears,"",'Engine B'!$K148)</f>
        <v/>
      </c>
      <c r="J58" s="24">
        <f>IF($A58&gt;NYears,"",'Engine B'!$P148)</f>
        <v/>
      </c>
      <c r="K58" s="24">
        <f>IF($A58&gt;NYears,"",'Engine B'!$Q148)</f>
        <v/>
      </c>
      <c r="L58" s="31">
        <f>IF($A58&gt;NYears,"",'Engine B'!$K148-'Engine B'!$P148-'Engine B'!$Q148)</f>
        <v/>
      </c>
      <c r="M58" s="31">
        <f>IF($A58&gt;NYears,"",'Engine B'!$R148)</f>
        <v/>
      </c>
    </row>
    <row r="59">
      <c r="A59" s="29">
        <f>13</f>
        <v/>
      </c>
      <c r="B59" s="30">
        <f>IF($A59&gt;NYears,"",EDATE(StartMonth,$A59*12-1))</f>
        <v/>
      </c>
      <c r="C59" s="24">
        <f>IF($A59&gt;NYears,"",'Engine B'!$E160)</f>
        <v/>
      </c>
      <c r="D59" s="24">
        <f>IF($A59&gt;NYears,"",'Engine B'!$F149)</f>
        <v/>
      </c>
      <c r="E59" s="29">
        <f>IF($A59&gt;NYears,"",'Engine B'!$G149)</f>
        <v/>
      </c>
      <c r="F59" s="29">
        <f>IF($A59&gt;NYears,"",'Engine B'!$S160)</f>
        <v/>
      </c>
      <c r="G59" s="29">
        <f>IF($A59&gt;NYears,"",'Engine B'!$S160-'Engine B'!$G149)</f>
        <v/>
      </c>
      <c r="H59" s="24">
        <f>IF($A59&gt;NYears,"",'Engine B'!$S160*'Engine B'!$E160)</f>
        <v/>
      </c>
      <c r="I59" s="31">
        <f>IF($A59&gt;NYears,"",'Engine B'!$K160)</f>
        <v/>
      </c>
      <c r="J59" s="24">
        <f>IF($A59&gt;NYears,"",'Engine B'!$P160)</f>
        <v/>
      </c>
      <c r="K59" s="24">
        <f>IF($A59&gt;NYears,"",'Engine B'!$Q160)</f>
        <v/>
      </c>
      <c r="L59" s="31">
        <f>IF($A59&gt;NYears,"",'Engine B'!$K160-'Engine B'!$P160-'Engine B'!$Q160)</f>
        <v/>
      </c>
      <c r="M59" s="31">
        <f>IF($A59&gt;NYears,"",'Engine B'!$R160)</f>
        <v/>
      </c>
    </row>
    <row r="60">
      <c r="A60" s="29">
        <f>14</f>
        <v/>
      </c>
      <c r="B60" s="30">
        <f>IF($A60&gt;NYears,"",EDATE(StartMonth,$A60*12-1))</f>
        <v/>
      </c>
      <c r="C60" s="24">
        <f>IF($A60&gt;NYears,"",'Engine B'!$E172)</f>
        <v/>
      </c>
      <c r="D60" s="24">
        <f>IF($A60&gt;NYears,"",'Engine B'!$F161)</f>
        <v/>
      </c>
      <c r="E60" s="29">
        <f>IF($A60&gt;NYears,"",'Engine B'!$G161)</f>
        <v/>
      </c>
      <c r="F60" s="29">
        <f>IF($A60&gt;NYears,"",'Engine B'!$S172)</f>
        <v/>
      </c>
      <c r="G60" s="29">
        <f>IF($A60&gt;NYears,"",'Engine B'!$S172-'Engine B'!$G161)</f>
        <v/>
      </c>
      <c r="H60" s="24">
        <f>IF($A60&gt;NYears,"",'Engine B'!$S172*'Engine B'!$E172)</f>
        <v/>
      </c>
      <c r="I60" s="31">
        <f>IF($A60&gt;NYears,"",'Engine B'!$K172)</f>
        <v/>
      </c>
      <c r="J60" s="24">
        <f>IF($A60&gt;NYears,"",'Engine B'!$P172)</f>
        <v/>
      </c>
      <c r="K60" s="24">
        <f>IF($A60&gt;NYears,"",'Engine B'!$Q172)</f>
        <v/>
      </c>
      <c r="L60" s="31">
        <f>IF($A60&gt;NYears,"",'Engine B'!$K172-'Engine B'!$P172-'Engine B'!$Q172)</f>
        <v/>
      </c>
      <c r="M60" s="31">
        <f>IF($A60&gt;NYears,"",'Engine B'!$R172)</f>
        <v/>
      </c>
    </row>
    <row r="61">
      <c r="A61" s="29">
        <f>15</f>
        <v/>
      </c>
      <c r="B61" s="30">
        <f>IF($A61&gt;NYears,"",EDATE(StartMonth,$A61*12-1))</f>
        <v/>
      </c>
      <c r="C61" s="24">
        <f>IF($A61&gt;NYears,"",'Engine B'!$E184)</f>
        <v/>
      </c>
      <c r="D61" s="24">
        <f>IF($A61&gt;NYears,"",'Engine B'!$F173)</f>
        <v/>
      </c>
      <c r="E61" s="29">
        <f>IF($A61&gt;NYears,"",'Engine B'!$G173)</f>
        <v/>
      </c>
      <c r="F61" s="29">
        <f>IF($A61&gt;NYears,"",'Engine B'!$S184)</f>
        <v/>
      </c>
      <c r="G61" s="29">
        <f>IF($A61&gt;NYears,"",'Engine B'!$S184-'Engine B'!$G173)</f>
        <v/>
      </c>
      <c r="H61" s="24">
        <f>IF($A61&gt;NYears,"",'Engine B'!$S184*'Engine B'!$E184)</f>
        <v/>
      </c>
      <c r="I61" s="31">
        <f>IF($A61&gt;NYears,"",'Engine B'!$K184)</f>
        <v/>
      </c>
      <c r="J61" s="24">
        <f>IF($A61&gt;NYears,"",'Engine B'!$P184)</f>
        <v/>
      </c>
      <c r="K61" s="24">
        <f>IF($A61&gt;NYears,"",'Engine B'!$Q184)</f>
        <v/>
      </c>
      <c r="L61" s="31">
        <f>IF($A61&gt;NYears,"",'Engine B'!$K184-'Engine B'!$P184-'Engine B'!$Q184)</f>
        <v/>
      </c>
      <c r="M61" s="31">
        <f>IF($A61&gt;NYears,"",'Engine B'!$R184)</f>
        <v/>
      </c>
    </row>
    <row r="62">
      <c r="A62" s="29">
        <f>16</f>
        <v/>
      </c>
      <c r="B62" s="30">
        <f>IF($A62&gt;NYears,"",EDATE(StartMonth,$A62*12-1))</f>
        <v/>
      </c>
      <c r="C62" s="24">
        <f>IF($A62&gt;NYears,"",'Engine B'!$E196)</f>
        <v/>
      </c>
      <c r="D62" s="24">
        <f>IF($A62&gt;NYears,"",'Engine B'!$F185)</f>
        <v/>
      </c>
      <c r="E62" s="29">
        <f>IF($A62&gt;NYears,"",'Engine B'!$G185)</f>
        <v/>
      </c>
      <c r="F62" s="29">
        <f>IF($A62&gt;NYears,"",'Engine B'!$S196)</f>
        <v/>
      </c>
      <c r="G62" s="29">
        <f>IF($A62&gt;NYears,"",'Engine B'!$S196-'Engine B'!$G185)</f>
        <v/>
      </c>
      <c r="H62" s="24">
        <f>IF($A62&gt;NYears,"",'Engine B'!$S196*'Engine B'!$E196)</f>
        <v/>
      </c>
      <c r="I62" s="31">
        <f>IF($A62&gt;NYears,"",'Engine B'!$K196)</f>
        <v/>
      </c>
      <c r="J62" s="24">
        <f>IF($A62&gt;NYears,"",'Engine B'!$P196)</f>
        <v/>
      </c>
      <c r="K62" s="24">
        <f>IF($A62&gt;NYears,"",'Engine B'!$Q196)</f>
        <v/>
      </c>
      <c r="L62" s="31">
        <f>IF($A62&gt;NYears,"",'Engine B'!$K196-'Engine B'!$P196-'Engine B'!$Q196)</f>
        <v/>
      </c>
      <c r="M62" s="31">
        <f>IF($A62&gt;NYears,"",'Engine B'!$R196)</f>
        <v/>
      </c>
    </row>
    <row r="63">
      <c r="A63" s="29">
        <f>17</f>
        <v/>
      </c>
      <c r="B63" s="30">
        <f>IF($A63&gt;NYears,"",EDATE(StartMonth,$A63*12-1))</f>
        <v/>
      </c>
      <c r="C63" s="24">
        <f>IF($A63&gt;NYears,"",'Engine B'!$E208)</f>
        <v/>
      </c>
      <c r="D63" s="24">
        <f>IF($A63&gt;NYears,"",'Engine B'!$F197)</f>
        <v/>
      </c>
      <c r="E63" s="29">
        <f>IF($A63&gt;NYears,"",'Engine B'!$G197)</f>
        <v/>
      </c>
      <c r="F63" s="29">
        <f>IF($A63&gt;NYears,"",'Engine B'!$S208)</f>
        <v/>
      </c>
      <c r="G63" s="29">
        <f>IF($A63&gt;NYears,"",'Engine B'!$S208-'Engine B'!$G197)</f>
        <v/>
      </c>
      <c r="H63" s="24">
        <f>IF($A63&gt;NYears,"",'Engine B'!$S208*'Engine B'!$E208)</f>
        <v/>
      </c>
      <c r="I63" s="31">
        <f>IF($A63&gt;NYears,"",'Engine B'!$K208)</f>
        <v/>
      </c>
      <c r="J63" s="24">
        <f>IF($A63&gt;NYears,"",'Engine B'!$P208)</f>
        <v/>
      </c>
      <c r="K63" s="24">
        <f>IF($A63&gt;NYears,"",'Engine B'!$Q208)</f>
        <v/>
      </c>
      <c r="L63" s="31">
        <f>IF($A63&gt;NYears,"",'Engine B'!$K208-'Engine B'!$P208-'Engine B'!$Q208)</f>
        <v/>
      </c>
      <c r="M63" s="31">
        <f>IF($A63&gt;NYears,"",'Engine B'!$R208)</f>
        <v/>
      </c>
    </row>
    <row r="64">
      <c r="A64" s="29">
        <f>18</f>
        <v/>
      </c>
      <c r="B64" s="30">
        <f>IF($A64&gt;NYears,"",EDATE(StartMonth,$A64*12-1))</f>
        <v/>
      </c>
      <c r="C64" s="24">
        <f>IF($A64&gt;NYears,"",'Engine B'!$E220)</f>
        <v/>
      </c>
      <c r="D64" s="24">
        <f>IF($A64&gt;NYears,"",'Engine B'!$F209)</f>
        <v/>
      </c>
      <c r="E64" s="29">
        <f>IF($A64&gt;NYears,"",'Engine B'!$G209)</f>
        <v/>
      </c>
      <c r="F64" s="29">
        <f>IF($A64&gt;NYears,"",'Engine B'!$S220)</f>
        <v/>
      </c>
      <c r="G64" s="29">
        <f>IF($A64&gt;NYears,"",'Engine B'!$S220-'Engine B'!$G209)</f>
        <v/>
      </c>
      <c r="H64" s="24">
        <f>IF($A64&gt;NYears,"",'Engine B'!$S220*'Engine B'!$E220)</f>
        <v/>
      </c>
      <c r="I64" s="31">
        <f>IF($A64&gt;NYears,"",'Engine B'!$K220)</f>
        <v/>
      </c>
      <c r="J64" s="24">
        <f>IF($A64&gt;NYears,"",'Engine B'!$P220)</f>
        <v/>
      </c>
      <c r="K64" s="24">
        <f>IF($A64&gt;NYears,"",'Engine B'!$Q220)</f>
        <v/>
      </c>
      <c r="L64" s="31">
        <f>IF($A64&gt;NYears,"",'Engine B'!$K220-'Engine B'!$P220-'Engine B'!$Q220)</f>
        <v/>
      </c>
      <c r="M64" s="31">
        <f>IF($A64&gt;NYears,"",'Engine B'!$R220)</f>
        <v/>
      </c>
    </row>
    <row r="65">
      <c r="A65" s="29">
        <f>19</f>
        <v/>
      </c>
      <c r="B65" s="30">
        <f>IF($A65&gt;NYears,"",EDATE(StartMonth,$A65*12-1))</f>
        <v/>
      </c>
      <c r="C65" s="24">
        <f>IF($A65&gt;NYears,"",'Engine B'!$E232)</f>
        <v/>
      </c>
      <c r="D65" s="24">
        <f>IF($A65&gt;NYears,"",'Engine B'!$F221)</f>
        <v/>
      </c>
      <c r="E65" s="29">
        <f>IF($A65&gt;NYears,"",'Engine B'!$G221)</f>
        <v/>
      </c>
      <c r="F65" s="29">
        <f>IF($A65&gt;NYears,"",'Engine B'!$S232)</f>
        <v/>
      </c>
      <c r="G65" s="29">
        <f>IF($A65&gt;NYears,"",'Engine B'!$S232-'Engine B'!$G221)</f>
        <v/>
      </c>
      <c r="H65" s="24">
        <f>IF($A65&gt;NYears,"",'Engine B'!$S232*'Engine B'!$E232)</f>
        <v/>
      </c>
      <c r="I65" s="31">
        <f>IF($A65&gt;NYears,"",'Engine B'!$K232)</f>
        <v/>
      </c>
      <c r="J65" s="24">
        <f>IF($A65&gt;NYears,"",'Engine B'!$P232)</f>
        <v/>
      </c>
      <c r="K65" s="24">
        <f>IF($A65&gt;NYears,"",'Engine B'!$Q232)</f>
        <v/>
      </c>
      <c r="L65" s="31">
        <f>IF($A65&gt;NYears,"",'Engine B'!$K232-'Engine B'!$P232-'Engine B'!$Q232)</f>
        <v/>
      </c>
      <c r="M65" s="31">
        <f>IF($A65&gt;NYears,"",'Engine B'!$R232)</f>
        <v/>
      </c>
    </row>
    <row r="66">
      <c r="A66" s="29">
        <f>20</f>
        <v/>
      </c>
      <c r="B66" s="30">
        <f>IF($A66&gt;NYears,"",EDATE(StartMonth,$A66*12-1))</f>
        <v/>
      </c>
      <c r="C66" s="24">
        <f>IF($A66&gt;NYears,"",'Engine B'!$E244)</f>
        <v/>
      </c>
      <c r="D66" s="24">
        <f>IF($A66&gt;NYears,"",'Engine B'!$F233)</f>
        <v/>
      </c>
      <c r="E66" s="29">
        <f>IF($A66&gt;NYears,"",'Engine B'!$G233)</f>
        <v/>
      </c>
      <c r="F66" s="29">
        <f>IF($A66&gt;NYears,"",'Engine B'!$S244)</f>
        <v/>
      </c>
      <c r="G66" s="29">
        <f>IF($A66&gt;NYears,"",'Engine B'!$S244-'Engine B'!$G233)</f>
        <v/>
      </c>
      <c r="H66" s="24">
        <f>IF($A66&gt;NYears,"",'Engine B'!$S244*'Engine B'!$E244)</f>
        <v/>
      </c>
      <c r="I66" s="31">
        <f>IF($A66&gt;NYears,"",'Engine B'!$K244)</f>
        <v/>
      </c>
      <c r="J66" s="24">
        <f>IF($A66&gt;NYears,"",'Engine B'!$P244)</f>
        <v/>
      </c>
      <c r="K66" s="24">
        <f>IF($A66&gt;NYears,"",'Engine B'!$Q244)</f>
        <v/>
      </c>
      <c r="L66" s="31">
        <f>IF($A66&gt;NYears,"",'Engine B'!$K244-'Engine B'!$P244-'Engine B'!$Q244)</f>
        <v/>
      </c>
      <c r="M66" s="31">
        <f>IF($A66&gt;NYears,"",'Engine B'!$R244)</f>
        <v/>
      </c>
    </row>
    <row r="67">
      <c r="A67" s="29">
        <f>21</f>
        <v/>
      </c>
      <c r="B67" s="30">
        <f>IF($A67&gt;NYears,"",EDATE(StartMonth,$A67*12-1))</f>
        <v/>
      </c>
      <c r="C67" s="24">
        <f>IF($A67&gt;NYears,"",'Engine B'!$E256)</f>
        <v/>
      </c>
      <c r="D67" s="24">
        <f>IF($A67&gt;NYears,"",'Engine B'!$F245)</f>
        <v/>
      </c>
      <c r="E67" s="29">
        <f>IF($A67&gt;NYears,"",'Engine B'!$G245)</f>
        <v/>
      </c>
      <c r="F67" s="29">
        <f>IF($A67&gt;NYears,"",'Engine B'!$S256)</f>
        <v/>
      </c>
      <c r="G67" s="29">
        <f>IF($A67&gt;NYears,"",'Engine B'!$S256-'Engine B'!$G245)</f>
        <v/>
      </c>
      <c r="H67" s="24">
        <f>IF($A67&gt;NYears,"",'Engine B'!$S256*'Engine B'!$E256)</f>
        <v/>
      </c>
      <c r="I67" s="31">
        <f>IF($A67&gt;NYears,"",'Engine B'!$K256)</f>
        <v/>
      </c>
      <c r="J67" s="24">
        <f>IF($A67&gt;NYears,"",'Engine B'!$P256)</f>
        <v/>
      </c>
      <c r="K67" s="24">
        <f>IF($A67&gt;NYears,"",'Engine B'!$Q256)</f>
        <v/>
      </c>
      <c r="L67" s="31">
        <f>IF($A67&gt;NYears,"",'Engine B'!$K256-'Engine B'!$P256-'Engine B'!$Q256)</f>
        <v/>
      </c>
      <c r="M67" s="31">
        <f>IF($A67&gt;NYears,"",'Engine B'!$R256)</f>
        <v/>
      </c>
    </row>
    <row r="68">
      <c r="A68" s="29">
        <f>22</f>
        <v/>
      </c>
      <c r="B68" s="30">
        <f>IF($A68&gt;NYears,"",EDATE(StartMonth,$A68*12-1))</f>
        <v/>
      </c>
      <c r="C68" s="24">
        <f>IF($A68&gt;NYears,"",'Engine B'!$E268)</f>
        <v/>
      </c>
      <c r="D68" s="24">
        <f>IF($A68&gt;NYears,"",'Engine B'!$F257)</f>
        <v/>
      </c>
      <c r="E68" s="29">
        <f>IF($A68&gt;NYears,"",'Engine B'!$G257)</f>
        <v/>
      </c>
      <c r="F68" s="29">
        <f>IF($A68&gt;NYears,"",'Engine B'!$S268)</f>
        <v/>
      </c>
      <c r="G68" s="29">
        <f>IF($A68&gt;NYears,"",'Engine B'!$S268-'Engine B'!$G257)</f>
        <v/>
      </c>
      <c r="H68" s="24">
        <f>IF($A68&gt;NYears,"",'Engine B'!$S268*'Engine B'!$E268)</f>
        <v/>
      </c>
      <c r="I68" s="31">
        <f>IF($A68&gt;NYears,"",'Engine B'!$K268)</f>
        <v/>
      </c>
      <c r="J68" s="24">
        <f>IF($A68&gt;NYears,"",'Engine B'!$P268)</f>
        <v/>
      </c>
      <c r="K68" s="24">
        <f>IF($A68&gt;NYears,"",'Engine B'!$Q268)</f>
        <v/>
      </c>
      <c r="L68" s="31">
        <f>IF($A68&gt;NYears,"",'Engine B'!$K268-'Engine B'!$P268-'Engine B'!$Q268)</f>
        <v/>
      </c>
      <c r="M68" s="31">
        <f>IF($A68&gt;NYears,"",'Engine B'!$R268)</f>
        <v/>
      </c>
    </row>
    <row r="69">
      <c r="A69" s="29">
        <f>23</f>
        <v/>
      </c>
      <c r="B69" s="30">
        <f>IF($A69&gt;NYears,"",EDATE(StartMonth,$A69*12-1))</f>
        <v/>
      </c>
      <c r="C69" s="24">
        <f>IF($A69&gt;NYears,"",'Engine B'!$E280)</f>
        <v/>
      </c>
      <c r="D69" s="24">
        <f>IF($A69&gt;NYears,"",'Engine B'!$F269)</f>
        <v/>
      </c>
      <c r="E69" s="29">
        <f>IF($A69&gt;NYears,"",'Engine B'!$G269)</f>
        <v/>
      </c>
      <c r="F69" s="29">
        <f>IF($A69&gt;NYears,"",'Engine B'!$S280)</f>
        <v/>
      </c>
      <c r="G69" s="29">
        <f>IF($A69&gt;NYears,"",'Engine B'!$S280-'Engine B'!$G269)</f>
        <v/>
      </c>
      <c r="H69" s="24">
        <f>IF($A69&gt;NYears,"",'Engine B'!$S280*'Engine B'!$E280)</f>
        <v/>
      </c>
      <c r="I69" s="31">
        <f>IF($A69&gt;NYears,"",'Engine B'!$K280)</f>
        <v/>
      </c>
      <c r="J69" s="24">
        <f>IF($A69&gt;NYears,"",'Engine B'!$P280)</f>
        <v/>
      </c>
      <c r="K69" s="24">
        <f>IF($A69&gt;NYears,"",'Engine B'!$Q280)</f>
        <v/>
      </c>
      <c r="L69" s="31">
        <f>IF($A69&gt;NYears,"",'Engine B'!$K280-'Engine B'!$P280-'Engine B'!$Q280)</f>
        <v/>
      </c>
      <c r="M69" s="31">
        <f>IF($A69&gt;NYears,"",'Engine B'!$R280)</f>
        <v/>
      </c>
    </row>
    <row r="70">
      <c r="A70" s="29">
        <f>24</f>
        <v/>
      </c>
      <c r="B70" s="30">
        <f>IF($A70&gt;NYears,"",EDATE(StartMonth,$A70*12-1))</f>
        <v/>
      </c>
      <c r="C70" s="24">
        <f>IF($A70&gt;NYears,"",'Engine B'!$E292)</f>
        <v/>
      </c>
      <c r="D70" s="24">
        <f>IF($A70&gt;NYears,"",'Engine B'!$F281)</f>
        <v/>
      </c>
      <c r="E70" s="29">
        <f>IF($A70&gt;NYears,"",'Engine B'!$G281)</f>
        <v/>
      </c>
      <c r="F70" s="29">
        <f>IF($A70&gt;NYears,"",'Engine B'!$S292)</f>
        <v/>
      </c>
      <c r="G70" s="29">
        <f>IF($A70&gt;NYears,"",'Engine B'!$S292-'Engine B'!$G281)</f>
        <v/>
      </c>
      <c r="H70" s="24">
        <f>IF($A70&gt;NYears,"",'Engine B'!$S292*'Engine B'!$E292)</f>
        <v/>
      </c>
      <c r="I70" s="31">
        <f>IF($A70&gt;NYears,"",'Engine B'!$K292)</f>
        <v/>
      </c>
      <c r="J70" s="24">
        <f>IF($A70&gt;NYears,"",'Engine B'!$P292)</f>
        <v/>
      </c>
      <c r="K70" s="24">
        <f>IF($A70&gt;NYears,"",'Engine B'!$Q292)</f>
        <v/>
      </c>
      <c r="L70" s="31">
        <f>IF($A70&gt;NYears,"",'Engine B'!$K292-'Engine B'!$P292-'Engine B'!$Q292)</f>
        <v/>
      </c>
      <c r="M70" s="31">
        <f>IF($A70&gt;NYears,"",'Engine B'!$R292)</f>
        <v/>
      </c>
    </row>
    <row r="71">
      <c r="A71" s="29">
        <f>25</f>
        <v/>
      </c>
      <c r="B71" s="30">
        <f>IF($A71&gt;NYears,"",EDATE(StartMonth,$A71*12-1))</f>
        <v/>
      </c>
      <c r="C71" s="24">
        <f>IF($A71&gt;NYears,"",'Engine B'!$E304)</f>
        <v/>
      </c>
      <c r="D71" s="24">
        <f>IF($A71&gt;NYears,"",'Engine B'!$F293)</f>
        <v/>
      </c>
      <c r="E71" s="29">
        <f>IF($A71&gt;NYears,"",'Engine B'!$G293)</f>
        <v/>
      </c>
      <c r="F71" s="29">
        <f>IF($A71&gt;NYears,"",'Engine B'!$S304)</f>
        <v/>
      </c>
      <c r="G71" s="29">
        <f>IF($A71&gt;NYears,"",'Engine B'!$S304-'Engine B'!$G293)</f>
        <v/>
      </c>
      <c r="H71" s="24">
        <f>IF($A71&gt;NYears,"",'Engine B'!$S304*'Engine B'!$E304)</f>
        <v/>
      </c>
      <c r="I71" s="31">
        <f>IF($A71&gt;NYears,"",'Engine B'!$K304)</f>
        <v/>
      </c>
      <c r="J71" s="24">
        <f>IF($A71&gt;NYears,"",'Engine B'!$P304)</f>
        <v/>
      </c>
      <c r="K71" s="24">
        <f>IF($A71&gt;NYears,"",'Engine B'!$Q304)</f>
        <v/>
      </c>
      <c r="L71" s="31">
        <f>IF($A71&gt;NYears,"",'Engine B'!$K304-'Engine B'!$P304-'Engine B'!$Q304)</f>
        <v/>
      </c>
      <c r="M71" s="31">
        <f>IF($A71&gt;NYears,"",'Engine B'!$R304)</f>
        <v/>
      </c>
    </row>
    <row r="72">
      <c r="A72" s="29">
        <f>26</f>
        <v/>
      </c>
      <c r="B72" s="30">
        <f>IF($A72&gt;NYears,"",EDATE(StartMonth,$A72*12-1))</f>
        <v/>
      </c>
      <c r="C72" s="24">
        <f>IF($A72&gt;NYears,"",'Engine B'!$E316)</f>
        <v/>
      </c>
      <c r="D72" s="24">
        <f>IF($A72&gt;NYears,"",'Engine B'!$F305)</f>
        <v/>
      </c>
      <c r="E72" s="29">
        <f>IF($A72&gt;NYears,"",'Engine B'!$G305)</f>
        <v/>
      </c>
      <c r="F72" s="29">
        <f>IF($A72&gt;NYears,"",'Engine B'!$S316)</f>
        <v/>
      </c>
      <c r="G72" s="29">
        <f>IF($A72&gt;NYears,"",'Engine B'!$S316-'Engine B'!$G305)</f>
        <v/>
      </c>
      <c r="H72" s="24">
        <f>IF($A72&gt;NYears,"",'Engine B'!$S316*'Engine B'!$E316)</f>
        <v/>
      </c>
      <c r="I72" s="31">
        <f>IF($A72&gt;NYears,"",'Engine B'!$K316)</f>
        <v/>
      </c>
      <c r="J72" s="24">
        <f>IF($A72&gt;NYears,"",'Engine B'!$P316)</f>
        <v/>
      </c>
      <c r="K72" s="24">
        <f>IF($A72&gt;NYears,"",'Engine B'!$Q316)</f>
        <v/>
      </c>
      <c r="L72" s="31">
        <f>IF($A72&gt;NYears,"",'Engine B'!$K316-'Engine B'!$P316-'Engine B'!$Q316)</f>
        <v/>
      </c>
      <c r="M72" s="31">
        <f>IF($A72&gt;NYears,"",'Engine B'!$R316)</f>
        <v/>
      </c>
    </row>
    <row r="73">
      <c r="A73" s="29">
        <f>27</f>
        <v/>
      </c>
      <c r="B73" s="30">
        <f>IF($A73&gt;NYears,"",EDATE(StartMonth,$A73*12-1))</f>
        <v/>
      </c>
      <c r="C73" s="24">
        <f>IF($A73&gt;NYears,"",'Engine B'!$E328)</f>
        <v/>
      </c>
      <c r="D73" s="24">
        <f>IF($A73&gt;NYears,"",'Engine B'!$F317)</f>
        <v/>
      </c>
      <c r="E73" s="29">
        <f>IF($A73&gt;NYears,"",'Engine B'!$G317)</f>
        <v/>
      </c>
      <c r="F73" s="29">
        <f>IF($A73&gt;NYears,"",'Engine B'!$S328)</f>
        <v/>
      </c>
      <c r="G73" s="29">
        <f>IF($A73&gt;NYears,"",'Engine B'!$S328-'Engine B'!$G317)</f>
        <v/>
      </c>
      <c r="H73" s="24">
        <f>IF($A73&gt;NYears,"",'Engine B'!$S328*'Engine B'!$E328)</f>
        <v/>
      </c>
      <c r="I73" s="31">
        <f>IF($A73&gt;NYears,"",'Engine B'!$K328)</f>
        <v/>
      </c>
      <c r="J73" s="24">
        <f>IF($A73&gt;NYears,"",'Engine B'!$P328)</f>
        <v/>
      </c>
      <c r="K73" s="24">
        <f>IF($A73&gt;NYears,"",'Engine B'!$Q328)</f>
        <v/>
      </c>
      <c r="L73" s="31">
        <f>IF($A73&gt;NYears,"",'Engine B'!$K328-'Engine B'!$P328-'Engine B'!$Q328)</f>
        <v/>
      </c>
      <c r="M73" s="31">
        <f>IF($A73&gt;NYears,"",'Engine B'!$R328)</f>
        <v/>
      </c>
    </row>
    <row r="74">
      <c r="A74" s="29">
        <f>28</f>
        <v/>
      </c>
      <c r="B74" s="30">
        <f>IF($A74&gt;NYears,"",EDATE(StartMonth,$A74*12-1))</f>
        <v/>
      </c>
      <c r="C74" s="24">
        <f>IF($A74&gt;NYears,"",'Engine B'!$E340)</f>
        <v/>
      </c>
      <c r="D74" s="24">
        <f>IF($A74&gt;NYears,"",'Engine B'!$F329)</f>
        <v/>
      </c>
      <c r="E74" s="29">
        <f>IF($A74&gt;NYears,"",'Engine B'!$G329)</f>
        <v/>
      </c>
      <c r="F74" s="29">
        <f>IF($A74&gt;NYears,"",'Engine B'!$S340)</f>
        <v/>
      </c>
      <c r="G74" s="29">
        <f>IF($A74&gt;NYears,"",'Engine B'!$S340-'Engine B'!$G329)</f>
        <v/>
      </c>
      <c r="H74" s="24">
        <f>IF($A74&gt;NYears,"",'Engine B'!$S340*'Engine B'!$E340)</f>
        <v/>
      </c>
      <c r="I74" s="31">
        <f>IF($A74&gt;NYears,"",'Engine B'!$K340)</f>
        <v/>
      </c>
      <c r="J74" s="24">
        <f>IF($A74&gt;NYears,"",'Engine B'!$P340)</f>
        <v/>
      </c>
      <c r="K74" s="24">
        <f>IF($A74&gt;NYears,"",'Engine B'!$Q340)</f>
        <v/>
      </c>
      <c r="L74" s="31">
        <f>IF($A74&gt;NYears,"",'Engine B'!$K340-'Engine B'!$P340-'Engine B'!$Q340)</f>
        <v/>
      </c>
      <c r="M74" s="31">
        <f>IF($A74&gt;NYears,"",'Engine B'!$R340)</f>
        <v/>
      </c>
    </row>
    <row r="75">
      <c r="A75" s="29">
        <f>29</f>
        <v/>
      </c>
      <c r="B75" s="30">
        <f>IF($A75&gt;NYears,"",EDATE(StartMonth,$A75*12-1))</f>
        <v/>
      </c>
      <c r="C75" s="24">
        <f>IF($A75&gt;NYears,"",'Engine B'!$E352)</f>
        <v/>
      </c>
      <c r="D75" s="24">
        <f>IF($A75&gt;NYears,"",'Engine B'!$F341)</f>
        <v/>
      </c>
      <c r="E75" s="29">
        <f>IF($A75&gt;NYears,"",'Engine B'!$G341)</f>
        <v/>
      </c>
      <c r="F75" s="29">
        <f>IF($A75&gt;NYears,"",'Engine B'!$S352)</f>
        <v/>
      </c>
      <c r="G75" s="29">
        <f>IF($A75&gt;NYears,"",'Engine B'!$S352-'Engine B'!$G341)</f>
        <v/>
      </c>
      <c r="H75" s="24">
        <f>IF($A75&gt;NYears,"",'Engine B'!$S352*'Engine B'!$E352)</f>
        <v/>
      </c>
      <c r="I75" s="31">
        <f>IF($A75&gt;NYears,"",'Engine B'!$K352)</f>
        <v/>
      </c>
      <c r="J75" s="24">
        <f>IF($A75&gt;NYears,"",'Engine B'!$P352)</f>
        <v/>
      </c>
      <c r="K75" s="24">
        <f>IF($A75&gt;NYears,"",'Engine B'!$Q352)</f>
        <v/>
      </c>
      <c r="L75" s="31">
        <f>IF($A75&gt;NYears,"",'Engine B'!$K352-'Engine B'!$P352-'Engine B'!$Q352)</f>
        <v/>
      </c>
      <c r="M75" s="31">
        <f>IF($A75&gt;NYears,"",'Engine B'!$R352)</f>
        <v/>
      </c>
    </row>
    <row r="76">
      <c r="A76" s="29">
        <f>30</f>
        <v/>
      </c>
      <c r="B76" s="30">
        <f>IF($A76&gt;NYears,"",EDATE(StartMonth,$A76*12-1))</f>
        <v/>
      </c>
      <c r="C76" s="24">
        <f>IF($A76&gt;NYears,"",'Engine B'!$E364)</f>
        <v/>
      </c>
      <c r="D76" s="24">
        <f>IF($A76&gt;NYears,"",'Engine B'!$F353)</f>
        <v/>
      </c>
      <c r="E76" s="29">
        <f>IF($A76&gt;NYears,"",'Engine B'!$G353)</f>
        <v/>
      </c>
      <c r="F76" s="29">
        <f>IF($A76&gt;NYears,"",'Engine B'!$S364)</f>
        <v/>
      </c>
      <c r="G76" s="29">
        <f>IF($A76&gt;NYears,"",'Engine B'!$S364-'Engine B'!$G353)</f>
        <v/>
      </c>
      <c r="H76" s="24">
        <f>IF($A76&gt;NYears,"",'Engine B'!$S364*'Engine B'!$E364)</f>
        <v/>
      </c>
      <c r="I76" s="31">
        <f>IF($A76&gt;NYears,"",'Engine B'!$K364)</f>
        <v/>
      </c>
      <c r="J76" s="24">
        <f>IF($A76&gt;NYears,"",'Engine B'!$P364)</f>
        <v/>
      </c>
      <c r="K76" s="24">
        <f>IF($A76&gt;NYears,"",'Engine B'!$Q364)</f>
        <v/>
      </c>
      <c r="L76" s="31">
        <f>IF($A76&gt;NYears,"",'Engine B'!$K364-'Engine B'!$P364-'Engine B'!$Q364)</f>
        <v/>
      </c>
      <c r="M76" s="31">
        <f>IF($A76&gt;NYears,"",'Engine B'!$R364)</f>
        <v/>
      </c>
    </row>
    <row r="78">
      <c r="A78" s="26" t="inlineStr">
        <is>
          <t>SCENARIO C</t>
        </is>
      </c>
      <c r="B78" s="27">
        <f>RateC</f>
        <v/>
      </c>
      <c r="C78" s="28" t="inlineStr">
        <is>
          <t>per month</t>
        </is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</row>
    <row r="79">
      <c r="A79" s="18" t="inlineStr">
        <is>
          <t>Year</t>
        </is>
      </c>
      <c r="B79" s="18" t="inlineStr">
        <is>
          <t>Year ending</t>
        </is>
      </c>
      <c r="C79" s="18" t="inlineStr">
        <is>
          <t>Lot value</t>
        </is>
      </c>
      <c r="D79" s="18" t="inlineStr">
        <is>
          <t>Opening corpus</t>
        </is>
      </c>
      <c r="E79" s="18" t="inlineStr">
        <is>
          <t>Lots start</t>
        </is>
      </c>
      <c r="F79" s="18" t="inlineStr">
        <is>
          <t>Lots end</t>
        </is>
      </c>
      <c r="G79" s="18" t="inlineStr">
        <is>
          <t>Lots added</t>
        </is>
      </c>
      <c r="H79" s="18" t="inlineStr">
        <is>
          <t>Deployed capital</t>
        </is>
      </c>
      <c r="I79" s="18" t="inlineStr">
        <is>
          <t>TRADING PROFIT
(net of charges, pre-tax)</t>
        </is>
      </c>
      <c r="J79" s="18" t="inlineStr">
        <is>
          <t>Govt tax</t>
        </is>
      </c>
      <c r="K79" s="18" t="inlineStr">
        <is>
          <t>Withdrawal</t>
        </is>
      </c>
      <c r="L79" s="18" t="inlineStr">
        <is>
          <t>REAL PROFIT (post tax &amp; withdrawal)</t>
        </is>
      </c>
      <c r="M79" s="18" t="inlineStr">
        <is>
          <t>Closing corpus</t>
        </is>
      </c>
    </row>
    <row r="80">
      <c r="A80" s="29">
        <f>1</f>
        <v/>
      </c>
      <c r="B80" s="30">
        <f>IF($A80&gt;NYears,"",EDATE(StartMonth,$A80*12-1))</f>
        <v/>
      </c>
      <c r="C80" s="24">
        <f>IF($A80&gt;NYears,"",'Engine C'!$E16)</f>
        <v/>
      </c>
      <c r="D80" s="24">
        <f>IF($A80&gt;NYears,"",'Engine C'!$F5)</f>
        <v/>
      </c>
      <c r="E80" s="29">
        <f>IF($A80&gt;NYears,"",'Engine C'!$G5)</f>
        <v/>
      </c>
      <c r="F80" s="29">
        <f>IF($A80&gt;NYears,"",'Engine C'!$S16)</f>
        <v/>
      </c>
      <c r="G80" s="29">
        <f>IF($A80&gt;NYears,"",'Engine C'!$S16-'Engine C'!$G5)</f>
        <v/>
      </c>
      <c r="H80" s="24">
        <f>IF($A80&gt;NYears,"",'Engine C'!$S16*'Engine C'!$E16)</f>
        <v/>
      </c>
      <c r="I80" s="31">
        <f>IF($A80&gt;NYears,"",'Engine C'!$K16)</f>
        <v/>
      </c>
      <c r="J80" s="24">
        <f>IF($A80&gt;NYears,"",'Engine C'!$P16)</f>
        <v/>
      </c>
      <c r="K80" s="24">
        <f>IF($A80&gt;NYears,"",'Engine C'!$Q16)</f>
        <v/>
      </c>
      <c r="L80" s="31">
        <f>IF($A80&gt;NYears,"",'Engine C'!$K16-'Engine C'!$P16-'Engine C'!$Q16)</f>
        <v/>
      </c>
      <c r="M80" s="31">
        <f>IF($A80&gt;NYears,"",'Engine C'!$R16)</f>
        <v/>
      </c>
    </row>
    <row r="81">
      <c r="A81" s="29">
        <f>2</f>
        <v/>
      </c>
      <c r="B81" s="30">
        <f>IF($A81&gt;NYears,"",EDATE(StartMonth,$A81*12-1))</f>
        <v/>
      </c>
      <c r="C81" s="24">
        <f>IF($A81&gt;NYears,"",'Engine C'!$E28)</f>
        <v/>
      </c>
      <c r="D81" s="24">
        <f>IF($A81&gt;NYears,"",'Engine C'!$F17)</f>
        <v/>
      </c>
      <c r="E81" s="29">
        <f>IF($A81&gt;NYears,"",'Engine C'!$G17)</f>
        <v/>
      </c>
      <c r="F81" s="29">
        <f>IF($A81&gt;NYears,"",'Engine C'!$S28)</f>
        <v/>
      </c>
      <c r="G81" s="29">
        <f>IF($A81&gt;NYears,"",'Engine C'!$S28-'Engine C'!$G17)</f>
        <v/>
      </c>
      <c r="H81" s="24">
        <f>IF($A81&gt;NYears,"",'Engine C'!$S28*'Engine C'!$E28)</f>
        <v/>
      </c>
      <c r="I81" s="31">
        <f>IF($A81&gt;NYears,"",'Engine C'!$K28)</f>
        <v/>
      </c>
      <c r="J81" s="24">
        <f>IF($A81&gt;NYears,"",'Engine C'!$P28)</f>
        <v/>
      </c>
      <c r="K81" s="24">
        <f>IF($A81&gt;NYears,"",'Engine C'!$Q28)</f>
        <v/>
      </c>
      <c r="L81" s="31">
        <f>IF($A81&gt;NYears,"",'Engine C'!$K28-'Engine C'!$P28-'Engine C'!$Q28)</f>
        <v/>
      </c>
      <c r="M81" s="31">
        <f>IF($A81&gt;NYears,"",'Engine C'!$R28)</f>
        <v/>
      </c>
    </row>
    <row r="82">
      <c r="A82" s="29">
        <f>3</f>
        <v/>
      </c>
      <c r="B82" s="30">
        <f>IF($A82&gt;NYears,"",EDATE(StartMonth,$A82*12-1))</f>
        <v/>
      </c>
      <c r="C82" s="24">
        <f>IF($A82&gt;NYears,"",'Engine C'!$E40)</f>
        <v/>
      </c>
      <c r="D82" s="24">
        <f>IF($A82&gt;NYears,"",'Engine C'!$F29)</f>
        <v/>
      </c>
      <c r="E82" s="29">
        <f>IF($A82&gt;NYears,"",'Engine C'!$G29)</f>
        <v/>
      </c>
      <c r="F82" s="29">
        <f>IF($A82&gt;NYears,"",'Engine C'!$S40)</f>
        <v/>
      </c>
      <c r="G82" s="29">
        <f>IF($A82&gt;NYears,"",'Engine C'!$S40-'Engine C'!$G29)</f>
        <v/>
      </c>
      <c r="H82" s="24">
        <f>IF($A82&gt;NYears,"",'Engine C'!$S40*'Engine C'!$E40)</f>
        <v/>
      </c>
      <c r="I82" s="31">
        <f>IF($A82&gt;NYears,"",'Engine C'!$K40)</f>
        <v/>
      </c>
      <c r="J82" s="24">
        <f>IF($A82&gt;NYears,"",'Engine C'!$P40)</f>
        <v/>
      </c>
      <c r="K82" s="24">
        <f>IF($A82&gt;NYears,"",'Engine C'!$Q40)</f>
        <v/>
      </c>
      <c r="L82" s="31">
        <f>IF($A82&gt;NYears,"",'Engine C'!$K40-'Engine C'!$P40-'Engine C'!$Q40)</f>
        <v/>
      </c>
      <c r="M82" s="31">
        <f>IF($A82&gt;NYears,"",'Engine C'!$R40)</f>
        <v/>
      </c>
    </row>
    <row r="83">
      <c r="A83" s="29">
        <f>4</f>
        <v/>
      </c>
      <c r="B83" s="30">
        <f>IF($A83&gt;NYears,"",EDATE(StartMonth,$A83*12-1))</f>
        <v/>
      </c>
      <c r="C83" s="24">
        <f>IF($A83&gt;NYears,"",'Engine C'!$E52)</f>
        <v/>
      </c>
      <c r="D83" s="24">
        <f>IF($A83&gt;NYears,"",'Engine C'!$F41)</f>
        <v/>
      </c>
      <c r="E83" s="29">
        <f>IF($A83&gt;NYears,"",'Engine C'!$G41)</f>
        <v/>
      </c>
      <c r="F83" s="29">
        <f>IF($A83&gt;NYears,"",'Engine C'!$S52)</f>
        <v/>
      </c>
      <c r="G83" s="29">
        <f>IF($A83&gt;NYears,"",'Engine C'!$S52-'Engine C'!$G41)</f>
        <v/>
      </c>
      <c r="H83" s="24">
        <f>IF($A83&gt;NYears,"",'Engine C'!$S52*'Engine C'!$E52)</f>
        <v/>
      </c>
      <c r="I83" s="31">
        <f>IF($A83&gt;NYears,"",'Engine C'!$K52)</f>
        <v/>
      </c>
      <c r="J83" s="24">
        <f>IF($A83&gt;NYears,"",'Engine C'!$P52)</f>
        <v/>
      </c>
      <c r="K83" s="24">
        <f>IF($A83&gt;NYears,"",'Engine C'!$Q52)</f>
        <v/>
      </c>
      <c r="L83" s="31">
        <f>IF($A83&gt;NYears,"",'Engine C'!$K52-'Engine C'!$P52-'Engine C'!$Q52)</f>
        <v/>
      </c>
      <c r="M83" s="31">
        <f>IF($A83&gt;NYears,"",'Engine C'!$R52)</f>
        <v/>
      </c>
    </row>
    <row r="84">
      <c r="A84" s="29">
        <f>5</f>
        <v/>
      </c>
      <c r="B84" s="30">
        <f>IF($A84&gt;NYears,"",EDATE(StartMonth,$A84*12-1))</f>
        <v/>
      </c>
      <c r="C84" s="24">
        <f>IF($A84&gt;NYears,"",'Engine C'!$E64)</f>
        <v/>
      </c>
      <c r="D84" s="24">
        <f>IF($A84&gt;NYears,"",'Engine C'!$F53)</f>
        <v/>
      </c>
      <c r="E84" s="29">
        <f>IF($A84&gt;NYears,"",'Engine C'!$G53)</f>
        <v/>
      </c>
      <c r="F84" s="29">
        <f>IF($A84&gt;NYears,"",'Engine C'!$S64)</f>
        <v/>
      </c>
      <c r="G84" s="29">
        <f>IF($A84&gt;NYears,"",'Engine C'!$S64-'Engine C'!$G53)</f>
        <v/>
      </c>
      <c r="H84" s="24">
        <f>IF($A84&gt;NYears,"",'Engine C'!$S64*'Engine C'!$E64)</f>
        <v/>
      </c>
      <c r="I84" s="31">
        <f>IF($A84&gt;NYears,"",'Engine C'!$K64)</f>
        <v/>
      </c>
      <c r="J84" s="24">
        <f>IF($A84&gt;NYears,"",'Engine C'!$P64)</f>
        <v/>
      </c>
      <c r="K84" s="24">
        <f>IF($A84&gt;NYears,"",'Engine C'!$Q64)</f>
        <v/>
      </c>
      <c r="L84" s="31">
        <f>IF($A84&gt;NYears,"",'Engine C'!$K64-'Engine C'!$P64-'Engine C'!$Q64)</f>
        <v/>
      </c>
      <c r="M84" s="31">
        <f>IF($A84&gt;NYears,"",'Engine C'!$R64)</f>
        <v/>
      </c>
    </row>
    <row r="85">
      <c r="A85" s="29">
        <f>6</f>
        <v/>
      </c>
      <c r="B85" s="30">
        <f>IF($A85&gt;NYears,"",EDATE(StartMonth,$A85*12-1))</f>
        <v/>
      </c>
      <c r="C85" s="24">
        <f>IF($A85&gt;NYears,"",'Engine C'!$E76)</f>
        <v/>
      </c>
      <c r="D85" s="24">
        <f>IF($A85&gt;NYears,"",'Engine C'!$F65)</f>
        <v/>
      </c>
      <c r="E85" s="29">
        <f>IF($A85&gt;NYears,"",'Engine C'!$G65)</f>
        <v/>
      </c>
      <c r="F85" s="29">
        <f>IF($A85&gt;NYears,"",'Engine C'!$S76)</f>
        <v/>
      </c>
      <c r="G85" s="29">
        <f>IF($A85&gt;NYears,"",'Engine C'!$S76-'Engine C'!$G65)</f>
        <v/>
      </c>
      <c r="H85" s="24">
        <f>IF($A85&gt;NYears,"",'Engine C'!$S76*'Engine C'!$E76)</f>
        <v/>
      </c>
      <c r="I85" s="31">
        <f>IF($A85&gt;NYears,"",'Engine C'!$K76)</f>
        <v/>
      </c>
      <c r="J85" s="24">
        <f>IF($A85&gt;NYears,"",'Engine C'!$P76)</f>
        <v/>
      </c>
      <c r="K85" s="24">
        <f>IF($A85&gt;NYears,"",'Engine C'!$Q76)</f>
        <v/>
      </c>
      <c r="L85" s="31">
        <f>IF($A85&gt;NYears,"",'Engine C'!$K76-'Engine C'!$P76-'Engine C'!$Q76)</f>
        <v/>
      </c>
      <c r="M85" s="31">
        <f>IF($A85&gt;NYears,"",'Engine C'!$R76)</f>
        <v/>
      </c>
    </row>
    <row r="86">
      <c r="A86" s="29">
        <f>7</f>
        <v/>
      </c>
      <c r="B86" s="30">
        <f>IF($A86&gt;NYears,"",EDATE(StartMonth,$A86*12-1))</f>
        <v/>
      </c>
      <c r="C86" s="24">
        <f>IF($A86&gt;NYears,"",'Engine C'!$E88)</f>
        <v/>
      </c>
      <c r="D86" s="24">
        <f>IF($A86&gt;NYears,"",'Engine C'!$F77)</f>
        <v/>
      </c>
      <c r="E86" s="29">
        <f>IF($A86&gt;NYears,"",'Engine C'!$G77)</f>
        <v/>
      </c>
      <c r="F86" s="29">
        <f>IF($A86&gt;NYears,"",'Engine C'!$S88)</f>
        <v/>
      </c>
      <c r="G86" s="29">
        <f>IF($A86&gt;NYears,"",'Engine C'!$S88-'Engine C'!$G77)</f>
        <v/>
      </c>
      <c r="H86" s="24">
        <f>IF($A86&gt;NYears,"",'Engine C'!$S88*'Engine C'!$E88)</f>
        <v/>
      </c>
      <c r="I86" s="31">
        <f>IF($A86&gt;NYears,"",'Engine C'!$K88)</f>
        <v/>
      </c>
      <c r="J86" s="24">
        <f>IF($A86&gt;NYears,"",'Engine C'!$P88)</f>
        <v/>
      </c>
      <c r="K86" s="24">
        <f>IF($A86&gt;NYears,"",'Engine C'!$Q88)</f>
        <v/>
      </c>
      <c r="L86" s="31">
        <f>IF($A86&gt;NYears,"",'Engine C'!$K88-'Engine C'!$P88-'Engine C'!$Q88)</f>
        <v/>
      </c>
      <c r="M86" s="31">
        <f>IF($A86&gt;NYears,"",'Engine C'!$R88)</f>
        <v/>
      </c>
    </row>
    <row r="87">
      <c r="A87" s="29">
        <f>8</f>
        <v/>
      </c>
      <c r="B87" s="30">
        <f>IF($A87&gt;NYears,"",EDATE(StartMonth,$A87*12-1))</f>
        <v/>
      </c>
      <c r="C87" s="24">
        <f>IF($A87&gt;NYears,"",'Engine C'!$E100)</f>
        <v/>
      </c>
      <c r="D87" s="24">
        <f>IF($A87&gt;NYears,"",'Engine C'!$F89)</f>
        <v/>
      </c>
      <c r="E87" s="29">
        <f>IF($A87&gt;NYears,"",'Engine C'!$G89)</f>
        <v/>
      </c>
      <c r="F87" s="29">
        <f>IF($A87&gt;NYears,"",'Engine C'!$S100)</f>
        <v/>
      </c>
      <c r="G87" s="29">
        <f>IF($A87&gt;NYears,"",'Engine C'!$S100-'Engine C'!$G89)</f>
        <v/>
      </c>
      <c r="H87" s="24">
        <f>IF($A87&gt;NYears,"",'Engine C'!$S100*'Engine C'!$E100)</f>
        <v/>
      </c>
      <c r="I87" s="31">
        <f>IF($A87&gt;NYears,"",'Engine C'!$K100)</f>
        <v/>
      </c>
      <c r="J87" s="24">
        <f>IF($A87&gt;NYears,"",'Engine C'!$P100)</f>
        <v/>
      </c>
      <c r="K87" s="24">
        <f>IF($A87&gt;NYears,"",'Engine C'!$Q100)</f>
        <v/>
      </c>
      <c r="L87" s="31">
        <f>IF($A87&gt;NYears,"",'Engine C'!$K100-'Engine C'!$P100-'Engine C'!$Q100)</f>
        <v/>
      </c>
      <c r="M87" s="31">
        <f>IF($A87&gt;NYears,"",'Engine C'!$R100)</f>
        <v/>
      </c>
    </row>
    <row r="88">
      <c r="A88" s="29">
        <f>9</f>
        <v/>
      </c>
      <c r="B88" s="30">
        <f>IF($A88&gt;NYears,"",EDATE(StartMonth,$A88*12-1))</f>
        <v/>
      </c>
      <c r="C88" s="24">
        <f>IF($A88&gt;NYears,"",'Engine C'!$E112)</f>
        <v/>
      </c>
      <c r="D88" s="24">
        <f>IF($A88&gt;NYears,"",'Engine C'!$F101)</f>
        <v/>
      </c>
      <c r="E88" s="29">
        <f>IF($A88&gt;NYears,"",'Engine C'!$G101)</f>
        <v/>
      </c>
      <c r="F88" s="29">
        <f>IF($A88&gt;NYears,"",'Engine C'!$S112)</f>
        <v/>
      </c>
      <c r="G88" s="29">
        <f>IF($A88&gt;NYears,"",'Engine C'!$S112-'Engine C'!$G101)</f>
        <v/>
      </c>
      <c r="H88" s="24">
        <f>IF($A88&gt;NYears,"",'Engine C'!$S112*'Engine C'!$E112)</f>
        <v/>
      </c>
      <c r="I88" s="31">
        <f>IF($A88&gt;NYears,"",'Engine C'!$K112)</f>
        <v/>
      </c>
      <c r="J88" s="24">
        <f>IF($A88&gt;NYears,"",'Engine C'!$P112)</f>
        <v/>
      </c>
      <c r="K88" s="24">
        <f>IF($A88&gt;NYears,"",'Engine C'!$Q112)</f>
        <v/>
      </c>
      <c r="L88" s="31">
        <f>IF($A88&gt;NYears,"",'Engine C'!$K112-'Engine C'!$P112-'Engine C'!$Q112)</f>
        <v/>
      </c>
      <c r="M88" s="31">
        <f>IF($A88&gt;NYears,"",'Engine C'!$R112)</f>
        <v/>
      </c>
    </row>
    <row r="89">
      <c r="A89" s="29">
        <f>10</f>
        <v/>
      </c>
      <c r="B89" s="30">
        <f>IF($A89&gt;NYears,"",EDATE(StartMonth,$A89*12-1))</f>
        <v/>
      </c>
      <c r="C89" s="24">
        <f>IF($A89&gt;NYears,"",'Engine C'!$E124)</f>
        <v/>
      </c>
      <c r="D89" s="24">
        <f>IF($A89&gt;NYears,"",'Engine C'!$F113)</f>
        <v/>
      </c>
      <c r="E89" s="29">
        <f>IF($A89&gt;NYears,"",'Engine C'!$G113)</f>
        <v/>
      </c>
      <c r="F89" s="29">
        <f>IF($A89&gt;NYears,"",'Engine C'!$S124)</f>
        <v/>
      </c>
      <c r="G89" s="29">
        <f>IF($A89&gt;NYears,"",'Engine C'!$S124-'Engine C'!$G113)</f>
        <v/>
      </c>
      <c r="H89" s="24">
        <f>IF($A89&gt;NYears,"",'Engine C'!$S124*'Engine C'!$E124)</f>
        <v/>
      </c>
      <c r="I89" s="31">
        <f>IF($A89&gt;NYears,"",'Engine C'!$K124)</f>
        <v/>
      </c>
      <c r="J89" s="24">
        <f>IF($A89&gt;NYears,"",'Engine C'!$P124)</f>
        <v/>
      </c>
      <c r="K89" s="24">
        <f>IF($A89&gt;NYears,"",'Engine C'!$Q124)</f>
        <v/>
      </c>
      <c r="L89" s="31">
        <f>IF($A89&gt;NYears,"",'Engine C'!$K124-'Engine C'!$P124-'Engine C'!$Q124)</f>
        <v/>
      </c>
      <c r="M89" s="31">
        <f>IF($A89&gt;NYears,"",'Engine C'!$R124)</f>
        <v/>
      </c>
    </row>
    <row r="90">
      <c r="A90" s="29">
        <f>11</f>
        <v/>
      </c>
      <c r="B90" s="30">
        <f>IF($A90&gt;NYears,"",EDATE(StartMonth,$A90*12-1))</f>
        <v/>
      </c>
      <c r="C90" s="24">
        <f>IF($A90&gt;NYears,"",'Engine C'!$E136)</f>
        <v/>
      </c>
      <c r="D90" s="24">
        <f>IF($A90&gt;NYears,"",'Engine C'!$F125)</f>
        <v/>
      </c>
      <c r="E90" s="29">
        <f>IF($A90&gt;NYears,"",'Engine C'!$G125)</f>
        <v/>
      </c>
      <c r="F90" s="29">
        <f>IF($A90&gt;NYears,"",'Engine C'!$S136)</f>
        <v/>
      </c>
      <c r="G90" s="29">
        <f>IF($A90&gt;NYears,"",'Engine C'!$S136-'Engine C'!$G125)</f>
        <v/>
      </c>
      <c r="H90" s="24">
        <f>IF($A90&gt;NYears,"",'Engine C'!$S136*'Engine C'!$E136)</f>
        <v/>
      </c>
      <c r="I90" s="31">
        <f>IF($A90&gt;NYears,"",'Engine C'!$K136)</f>
        <v/>
      </c>
      <c r="J90" s="24">
        <f>IF($A90&gt;NYears,"",'Engine C'!$P136)</f>
        <v/>
      </c>
      <c r="K90" s="24">
        <f>IF($A90&gt;NYears,"",'Engine C'!$Q136)</f>
        <v/>
      </c>
      <c r="L90" s="31">
        <f>IF($A90&gt;NYears,"",'Engine C'!$K136-'Engine C'!$P136-'Engine C'!$Q136)</f>
        <v/>
      </c>
      <c r="M90" s="31">
        <f>IF($A90&gt;NYears,"",'Engine C'!$R136)</f>
        <v/>
      </c>
    </row>
    <row r="91">
      <c r="A91" s="29">
        <f>12</f>
        <v/>
      </c>
      <c r="B91" s="30">
        <f>IF($A91&gt;NYears,"",EDATE(StartMonth,$A91*12-1))</f>
        <v/>
      </c>
      <c r="C91" s="24">
        <f>IF($A91&gt;NYears,"",'Engine C'!$E148)</f>
        <v/>
      </c>
      <c r="D91" s="24">
        <f>IF($A91&gt;NYears,"",'Engine C'!$F137)</f>
        <v/>
      </c>
      <c r="E91" s="29">
        <f>IF($A91&gt;NYears,"",'Engine C'!$G137)</f>
        <v/>
      </c>
      <c r="F91" s="29">
        <f>IF($A91&gt;NYears,"",'Engine C'!$S148)</f>
        <v/>
      </c>
      <c r="G91" s="29">
        <f>IF($A91&gt;NYears,"",'Engine C'!$S148-'Engine C'!$G137)</f>
        <v/>
      </c>
      <c r="H91" s="24">
        <f>IF($A91&gt;NYears,"",'Engine C'!$S148*'Engine C'!$E148)</f>
        <v/>
      </c>
      <c r="I91" s="31">
        <f>IF($A91&gt;NYears,"",'Engine C'!$K148)</f>
        <v/>
      </c>
      <c r="J91" s="24">
        <f>IF($A91&gt;NYears,"",'Engine C'!$P148)</f>
        <v/>
      </c>
      <c r="K91" s="24">
        <f>IF($A91&gt;NYears,"",'Engine C'!$Q148)</f>
        <v/>
      </c>
      <c r="L91" s="31">
        <f>IF($A91&gt;NYears,"",'Engine C'!$K148-'Engine C'!$P148-'Engine C'!$Q148)</f>
        <v/>
      </c>
      <c r="M91" s="31">
        <f>IF($A91&gt;NYears,"",'Engine C'!$R148)</f>
        <v/>
      </c>
    </row>
    <row r="92">
      <c r="A92" s="29">
        <f>13</f>
        <v/>
      </c>
      <c r="B92" s="30">
        <f>IF($A92&gt;NYears,"",EDATE(StartMonth,$A92*12-1))</f>
        <v/>
      </c>
      <c r="C92" s="24">
        <f>IF($A92&gt;NYears,"",'Engine C'!$E160)</f>
        <v/>
      </c>
      <c r="D92" s="24">
        <f>IF($A92&gt;NYears,"",'Engine C'!$F149)</f>
        <v/>
      </c>
      <c r="E92" s="29">
        <f>IF($A92&gt;NYears,"",'Engine C'!$G149)</f>
        <v/>
      </c>
      <c r="F92" s="29">
        <f>IF($A92&gt;NYears,"",'Engine C'!$S160)</f>
        <v/>
      </c>
      <c r="G92" s="29">
        <f>IF($A92&gt;NYears,"",'Engine C'!$S160-'Engine C'!$G149)</f>
        <v/>
      </c>
      <c r="H92" s="24">
        <f>IF($A92&gt;NYears,"",'Engine C'!$S160*'Engine C'!$E160)</f>
        <v/>
      </c>
      <c r="I92" s="31">
        <f>IF($A92&gt;NYears,"",'Engine C'!$K160)</f>
        <v/>
      </c>
      <c r="J92" s="24">
        <f>IF($A92&gt;NYears,"",'Engine C'!$P160)</f>
        <v/>
      </c>
      <c r="K92" s="24">
        <f>IF($A92&gt;NYears,"",'Engine C'!$Q160)</f>
        <v/>
      </c>
      <c r="L92" s="31">
        <f>IF($A92&gt;NYears,"",'Engine C'!$K160-'Engine C'!$P160-'Engine C'!$Q160)</f>
        <v/>
      </c>
      <c r="M92" s="31">
        <f>IF($A92&gt;NYears,"",'Engine C'!$R160)</f>
        <v/>
      </c>
    </row>
    <row r="93">
      <c r="A93" s="29">
        <f>14</f>
        <v/>
      </c>
      <c r="B93" s="30">
        <f>IF($A93&gt;NYears,"",EDATE(StartMonth,$A93*12-1))</f>
        <v/>
      </c>
      <c r="C93" s="24">
        <f>IF($A93&gt;NYears,"",'Engine C'!$E172)</f>
        <v/>
      </c>
      <c r="D93" s="24">
        <f>IF($A93&gt;NYears,"",'Engine C'!$F161)</f>
        <v/>
      </c>
      <c r="E93" s="29">
        <f>IF($A93&gt;NYears,"",'Engine C'!$G161)</f>
        <v/>
      </c>
      <c r="F93" s="29">
        <f>IF($A93&gt;NYears,"",'Engine C'!$S172)</f>
        <v/>
      </c>
      <c r="G93" s="29">
        <f>IF($A93&gt;NYears,"",'Engine C'!$S172-'Engine C'!$G161)</f>
        <v/>
      </c>
      <c r="H93" s="24">
        <f>IF($A93&gt;NYears,"",'Engine C'!$S172*'Engine C'!$E172)</f>
        <v/>
      </c>
      <c r="I93" s="31">
        <f>IF($A93&gt;NYears,"",'Engine C'!$K172)</f>
        <v/>
      </c>
      <c r="J93" s="24">
        <f>IF($A93&gt;NYears,"",'Engine C'!$P172)</f>
        <v/>
      </c>
      <c r="K93" s="24">
        <f>IF($A93&gt;NYears,"",'Engine C'!$Q172)</f>
        <v/>
      </c>
      <c r="L93" s="31">
        <f>IF($A93&gt;NYears,"",'Engine C'!$K172-'Engine C'!$P172-'Engine C'!$Q172)</f>
        <v/>
      </c>
      <c r="M93" s="31">
        <f>IF($A93&gt;NYears,"",'Engine C'!$R172)</f>
        <v/>
      </c>
    </row>
    <row r="94">
      <c r="A94" s="29">
        <f>15</f>
        <v/>
      </c>
      <c r="B94" s="30">
        <f>IF($A94&gt;NYears,"",EDATE(StartMonth,$A94*12-1))</f>
        <v/>
      </c>
      <c r="C94" s="24">
        <f>IF($A94&gt;NYears,"",'Engine C'!$E184)</f>
        <v/>
      </c>
      <c r="D94" s="24">
        <f>IF($A94&gt;NYears,"",'Engine C'!$F173)</f>
        <v/>
      </c>
      <c r="E94" s="29">
        <f>IF($A94&gt;NYears,"",'Engine C'!$G173)</f>
        <v/>
      </c>
      <c r="F94" s="29">
        <f>IF($A94&gt;NYears,"",'Engine C'!$S184)</f>
        <v/>
      </c>
      <c r="G94" s="29">
        <f>IF($A94&gt;NYears,"",'Engine C'!$S184-'Engine C'!$G173)</f>
        <v/>
      </c>
      <c r="H94" s="24">
        <f>IF($A94&gt;NYears,"",'Engine C'!$S184*'Engine C'!$E184)</f>
        <v/>
      </c>
      <c r="I94" s="31">
        <f>IF($A94&gt;NYears,"",'Engine C'!$K184)</f>
        <v/>
      </c>
      <c r="J94" s="24">
        <f>IF($A94&gt;NYears,"",'Engine C'!$P184)</f>
        <v/>
      </c>
      <c r="K94" s="24">
        <f>IF($A94&gt;NYears,"",'Engine C'!$Q184)</f>
        <v/>
      </c>
      <c r="L94" s="31">
        <f>IF($A94&gt;NYears,"",'Engine C'!$K184-'Engine C'!$P184-'Engine C'!$Q184)</f>
        <v/>
      </c>
      <c r="M94" s="31">
        <f>IF($A94&gt;NYears,"",'Engine C'!$R184)</f>
        <v/>
      </c>
    </row>
    <row r="95">
      <c r="A95" s="29">
        <f>16</f>
        <v/>
      </c>
      <c r="B95" s="30">
        <f>IF($A95&gt;NYears,"",EDATE(StartMonth,$A95*12-1))</f>
        <v/>
      </c>
      <c r="C95" s="24">
        <f>IF($A95&gt;NYears,"",'Engine C'!$E196)</f>
        <v/>
      </c>
      <c r="D95" s="24">
        <f>IF($A95&gt;NYears,"",'Engine C'!$F185)</f>
        <v/>
      </c>
      <c r="E95" s="29">
        <f>IF($A95&gt;NYears,"",'Engine C'!$G185)</f>
        <v/>
      </c>
      <c r="F95" s="29">
        <f>IF($A95&gt;NYears,"",'Engine C'!$S196)</f>
        <v/>
      </c>
      <c r="G95" s="29">
        <f>IF($A95&gt;NYears,"",'Engine C'!$S196-'Engine C'!$G185)</f>
        <v/>
      </c>
      <c r="H95" s="24">
        <f>IF($A95&gt;NYears,"",'Engine C'!$S196*'Engine C'!$E196)</f>
        <v/>
      </c>
      <c r="I95" s="31">
        <f>IF($A95&gt;NYears,"",'Engine C'!$K196)</f>
        <v/>
      </c>
      <c r="J95" s="24">
        <f>IF($A95&gt;NYears,"",'Engine C'!$P196)</f>
        <v/>
      </c>
      <c r="K95" s="24">
        <f>IF($A95&gt;NYears,"",'Engine C'!$Q196)</f>
        <v/>
      </c>
      <c r="L95" s="31">
        <f>IF($A95&gt;NYears,"",'Engine C'!$K196-'Engine C'!$P196-'Engine C'!$Q196)</f>
        <v/>
      </c>
      <c r="M95" s="31">
        <f>IF($A95&gt;NYears,"",'Engine C'!$R196)</f>
        <v/>
      </c>
    </row>
    <row r="96">
      <c r="A96" s="29">
        <f>17</f>
        <v/>
      </c>
      <c r="B96" s="30">
        <f>IF($A96&gt;NYears,"",EDATE(StartMonth,$A96*12-1))</f>
        <v/>
      </c>
      <c r="C96" s="24">
        <f>IF($A96&gt;NYears,"",'Engine C'!$E208)</f>
        <v/>
      </c>
      <c r="D96" s="24">
        <f>IF($A96&gt;NYears,"",'Engine C'!$F197)</f>
        <v/>
      </c>
      <c r="E96" s="29">
        <f>IF($A96&gt;NYears,"",'Engine C'!$G197)</f>
        <v/>
      </c>
      <c r="F96" s="29">
        <f>IF($A96&gt;NYears,"",'Engine C'!$S208)</f>
        <v/>
      </c>
      <c r="G96" s="29">
        <f>IF($A96&gt;NYears,"",'Engine C'!$S208-'Engine C'!$G197)</f>
        <v/>
      </c>
      <c r="H96" s="24">
        <f>IF($A96&gt;NYears,"",'Engine C'!$S208*'Engine C'!$E208)</f>
        <v/>
      </c>
      <c r="I96" s="31">
        <f>IF($A96&gt;NYears,"",'Engine C'!$K208)</f>
        <v/>
      </c>
      <c r="J96" s="24">
        <f>IF($A96&gt;NYears,"",'Engine C'!$P208)</f>
        <v/>
      </c>
      <c r="K96" s="24">
        <f>IF($A96&gt;NYears,"",'Engine C'!$Q208)</f>
        <v/>
      </c>
      <c r="L96" s="31">
        <f>IF($A96&gt;NYears,"",'Engine C'!$K208-'Engine C'!$P208-'Engine C'!$Q208)</f>
        <v/>
      </c>
      <c r="M96" s="31">
        <f>IF($A96&gt;NYears,"",'Engine C'!$R208)</f>
        <v/>
      </c>
    </row>
    <row r="97">
      <c r="A97" s="29">
        <f>18</f>
        <v/>
      </c>
      <c r="B97" s="30">
        <f>IF($A97&gt;NYears,"",EDATE(StartMonth,$A97*12-1))</f>
        <v/>
      </c>
      <c r="C97" s="24">
        <f>IF($A97&gt;NYears,"",'Engine C'!$E220)</f>
        <v/>
      </c>
      <c r="D97" s="24">
        <f>IF($A97&gt;NYears,"",'Engine C'!$F209)</f>
        <v/>
      </c>
      <c r="E97" s="29">
        <f>IF($A97&gt;NYears,"",'Engine C'!$G209)</f>
        <v/>
      </c>
      <c r="F97" s="29">
        <f>IF($A97&gt;NYears,"",'Engine C'!$S220)</f>
        <v/>
      </c>
      <c r="G97" s="29">
        <f>IF($A97&gt;NYears,"",'Engine C'!$S220-'Engine C'!$G209)</f>
        <v/>
      </c>
      <c r="H97" s="24">
        <f>IF($A97&gt;NYears,"",'Engine C'!$S220*'Engine C'!$E220)</f>
        <v/>
      </c>
      <c r="I97" s="31">
        <f>IF($A97&gt;NYears,"",'Engine C'!$K220)</f>
        <v/>
      </c>
      <c r="J97" s="24">
        <f>IF($A97&gt;NYears,"",'Engine C'!$P220)</f>
        <v/>
      </c>
      <c r="K97" s="24">
        <f>IF($A97&gt;NYears,"",'Engine C'!$Q220)</f>
        <v/>
      </c>
      <c r="L97" s="31">
        <f>IF($A97&gt;NYears,"",'Engine C'!$K220-'Engine C'!$P220-'Engine C'!$Q220)</f>
        <v/>
      </c>
      <c r="M97" s="31">
        <f>IF($A97&gt;NYears,"",'Engine C'!$R220)</f>
        <v/>
      </c>
    </row>
    <row r="98">
      <c r="A98" s="29">
        <f>19</f>
        <v/>
      </c>
      <c r="B98" s="30">
        <f>IF($A98&gt;NYears,"",EDATE(StartMonth,$A98*12-1))</f>
        <v/>
      </c>
      <c r="C98" s="24">
        <f>IF($A98&gt;NYears,"",'Engine C'!$E232)</f>
        <v/>
      </c>
      <c r="D98" s="24">
        <f>IF($A98&gt;NYears,"",'Engine C'!$F221)</f>
        <v/>
      </c>
      <c r="E98" s="29">
        <f>IF($A98&gt;NYears,"",'Engine C'!$G221)</f>
        <v/>
      </c>
      <c r="F98" s="29">
        <f>IF($A98&gt;NYears,"",'Engine C'!$S232)</f>
        <v/>
      </c>
      <c r="G98" s="29">
        <f>IF($A98&gt;NYears,"",'Engine C'!$S232-'Engine C'!$G221)</f>
        <v/>
      </c>
      <c r="H98" s="24">
        <f>IF($A98&gt;NYears,"",'Engine C'!$S232*'Engine C'!$E232)</f>
        <v/>
      </c>
      <c r="I98" s="31">
        <f>IF($A98&gt;NYears,"",'Engine C'!$K232)</f>
        <v/>
      </c>
      <c r="J98" s="24">
        <f>IF($A98&gt;NYears,"",'Engine C'!$P232)</f>
        <v/>
      </c>
      <c r="K98" s="24">
        <f>IF($A98&gt;NYears,"",'Engine C'!$Q232)</f>
        <v/>
      </c>
      <c r="L98" s="31">
        <f>IF($A98&gt;NYears,"",'Engine C'!$K232-'Engine C'!$P232-'Engine C'!$Q232)</f>
        <v/>
      </c>
      <c r="M98" s="31">
        <f>IF($A98&gt;NYears,"",'Engine C'!$R232)</f>
        <v/>
      </c>
    </row>
    <row r="99">
      <c r="A99" s="29">
        <f>20</f>
        <v/>
      </c>
      <c r="B99" s="30">
        <f>IF($A99&gt;NYears,"",EDATE(StartMonth,$A99*12-1))</f>
        <v/>
      </c>
      <c r="C99" s="24">
        <f>IF($A99&gt;NYears,"",'Engine C'!$E244)</f>
        <v/>
      </c>
      <c r="D99" s="24">
        <f>IF($A99&gt;NYears,"",'Engine C'!$F233)</f>
        <v/>
      </c>
      <c r="E99" s="29">
        <f>IF($A99&gt;NYears,"",'Engine C'!$G233)</f>
        <v/>
      </c>
      <c r="F99" s="29">
        <f>IF($A99&gt;NYears,"",'Engine C'!$S244)</f>
        <v/>
      </c>
      <c r="G99" s="29">
        <f>IF($A99&gt;NYears,"",'Engine C'!$S244-'Engine C'!$G233)</f>
        <v/>
      </c>
      <c r="H99" s="24">
        <f>IF($A99&gt;NYears,"",'Engine C'!$S244*'Engine C'!$E244)</f>
        <v/>
      </c>
      <c r="I99" s="31">
        <f>IF($A99&gt;NYears,"",'Engine C'!$K244)</f>
        <v/>
      </c>
      <c r="J99" s="24">
        <f>IF($A99&gt;NYears,"",'Engine C'!$P244)</f>
        <v/>
      </c>
      <c r="K99" s="24">
        <f>IF($A99&gt;NYears,"",'Engine C'!$Q244)</f>
        <v/>
      </c>
      <c r="L99" s="31">
        <f>IF($A99&gt;NYears,"",'Engine C'!$K244-'Engine C'!$P244-'Engine C'!$Q244)</f>
        <v/>
      </c>
      <c r="M99" s="31">
        <f>IF($A99&gt;NYears,"",'Engine C'!$R244)</f>
        <v/>
      </c>
    </row>
    <row r="100">
      <c r="A100" s="29">
        <f>21</f>
        <v/>
      </c>
      <c r="B100" s="30">
        <f>IF($A100&gt;NYears,"",EDATE(StartMonth,$A100*12-1))</f>
        <v/>
      </c>
      <c r="C100" s="24">
        <f>IF($A100&gt;NYears,"",'Engine C'!$E256)</f>
        <v/>
      </c>
      <c r="D100" s="24">
        <f>IF($A100&gt;NYears,"",'Engine C'!$F245)</f>
        <v/>
      </c>
      <c r="E100" s="29">
        <f>IF($A100&gt;NYears,"",'Engine C'!$G245)</f>
        <v/>
      </c>
      <c r="F100" s="29">
        <f>IF($A100&gt;NYears,"",'Engine C'!$S256)</f>
        <v/>
      </c>
      <c r="G100" s="29">
        <f>IF($A100&gt;NYears,"",'Engine C'!$S256-'Engine C'!$G245)</f>
        <v/>
      </c>
      <c r="H100" s="24">
        <f>IF($A100&gt;NYears,"",'Engine C'!$S256*'Engine C'!$E256)</f>
        <v/>
      </c>
      <c r="I100" s="31">
        <f>IF($A100&gt;NYears,"",'Engine C'!$K256)</f>
        <v/>
      </c>
      <c r="J100" s="24">
        <f>IF($A100&gt;NYears,"",'Engine C'!$P256)</f>
        <v/>
      </c>
      <c r="K100" s="24">
        <f>IF($A100&gt;NYears,"",'Engine C'!$Q256)</f>
        <v/>
      </c>
      <c r="L100" s="31">
        <f>IF($A100&gt;NYears,"",'Engine C'!$K256-'Engine C'!$P256-'Engine C'!$Q256)</f>
        <v/>
      </c>
      <c r="M100" s="31">
        <f>IF($A100&gt;NYears,"",'Engine C'!$R256)</f>
        <v/>
      </c>
    </row>
    <row r="101">
      <c r="A101" s="29">
        <f>22</f>
        <v/>
      </c>
      <c r="B101" s="30">
        <f>IF($A101&gt;NYears,"",EDATE(StartMonth,$A101*12-1))</f>
        <v/>
      </c>
      <c r="C101" s="24">
        <f>IF($A101&gt;NYears,"",'Engine C'!$E268)</f>
        <v/>
      </c>
      <c r="D101" s="24">
        <f>IF($A101&gt;NYears,"",'Engine C'!$F257)</f>
        <v/>
      </c>
      <c r="E101" s="29">
        <f>IF($A101&gt;NYears,"",'Engine C'!$G257)</f>
        <v/>
      </c>
      <c r="F101" s="29">
        <f>IF($A101&gt;NYears,"",'Engine C'!$S268)</f>
        <v/>
      </c>
      <c r="G101" s="29">
        <f>IF($A101&gt;NYears,"",'Engine C'!$S268-'Engine C'!$G257)</f>
        <v/>
      </c>
      <c r="H101" s="24">
        <f>IF($A101&gt;NYears,"",'Engine C'!$S268*'Engine C'!$E268)</f>
        <v/>
      </c>
      <c r="I101" s="31">
        <f>IF($A101&gt;NYears,"",'Engine C'!$K268)</f>
        <v/>
      </c>
      <c r="J101" s="24">
        <f>IF($A101&gt;NYears,"",'Engine C'!$P268)</f>
        <v/>
      </c>
      <c r="K101" s="24">
        <f>IF($A101&gt;NYears,"",'Engine C'!$Q268)</f>
        <v/>
      </c>
      <c r="L101" s="31">
        <f>IF($A101&gt;NYears,"",'Engine C'!$K268-'Engine C'!$P268-'Engine C'!$Q268)</f>
        <v/>
      </c>
      <c r="M101" s="31">
        <f>IF($A101&gt;NYears,"",'Engine C'!$R268)</f>
        <v/>
      </c>
    </row>
    <row r="102">
      <c r="A102" s="29">
        <f>23</f>
        <v/>
      </c>
      <c r="B102" s="30">
        <f>IF($A102&gt;NYears,"",EDATE(StartMonth,$A102*12-1))</f>
        <v/>
      </c>
      <c r="C102" s="24">
        <f>IF($A102&gt;NYears,"",'Engine C'!$E280)</f>
        <v/>
      </c>
      <c r="D102" s="24">
        <f>IF($A102&gt;NYears,"",'Engine C'!$F269)</f>
        <v/>
      </c>
      <c r="E102" s="29">
        <f>IF($A102&gt;NYears,"",'Engine C'!$G269)</f>
        <v/>
      </c>
      <c r="F102" s="29">
        <f>IF($A102&gt;NYears,"",'Engine C'!$S280)</f>
        <v/>
      </c>
      <c r="G102" s="29">
        <f>IF($A102&gt;NYears,"",'Engine C'!$S280-'Engine C'!$G269)</f>
        <v/>
      </c>
      <c r="H102" s="24">
        <f>IF($A102&gt;NYears,"",'Engine C'!$S280*'Engine C'!$E280)</f>
        <v/>
      </c>
      <c r="I102" s="31">
        <f>IF($A102&gt;NYears,"",'Engine C'!$K280)</f>
        <v/>
      </c>
      <c r="J102" s="24">
        <f>IF($A102&gt;NYears,"",'Engine C'!$P280)</f>
        <v/>
      </c>
      <c r="K102" s="24">
        <f>IF($A102&gt;NYears,"",'Engine C'!$Q280)</f>
        <v/>
      </c>
      <c r="L102" s="31">
        <f>IF($A102&gt;NYears,"",'Engine C'!$K280-'Engine C'!$P280-'Engine C'!$Q280)</f>
        <v/>
      </c>
      <c r="M102" s="31">
        <f>IF($A102&gt;NYears,"",'Engine C'!$R280)</f>
        <v/>
      </c>
    </row>
    <row r="103">
      <c r="A103" s="29">
        <f>24</f>
        <v/>
      </c>
      <c r="B103" s="30">
        <f>IF($A103&gt;NYears,"",EDATE(StartMonth,$A103*12-1))</f>
        <v/>
      </c>
      <c r="C103" s="24">
        <f>IF($A103&gt;NYears,"",'Engine C'!$E292)</f>
        <v/>
      </c>
      <c r="D103" s="24">
        <f>IF($A103&gt;NYears,"",'Engine C'!$F281)</f>
        <v/>
      </c>
      <c r="E103" s="29">
        <f>IF($A103&gt;NYears,"",'Engine C'!$G281)</f>
        <v/>
      </c>
      <c r="F103" s="29">
        <f>IF($A103&gt;NYears,"",'Engine C'!$S292)</f>
        <v/>
      </c>
      <c r="G103" s="29">
        <f>IF($A103&gt;NYears,"",'Engine C'!$S292-'Engine C'!$G281)</f>
        <v/>
      </c>
      <c r="H103" s="24">
        <f>IF($A103&gt;NYears,"",'Engine C'!$S292*'Engine C'!$E292)</f>
        <v/>
      </c>
      <c r="I103" s="31">
        <f>IF($A103&gt;NYears,"",'Engine C'!$K292)</f>
        <v/>
      </c>
      <c r="J103" s="24">
        <f>IF($A103&gt;NYears,"",'Engine C'!$P292)</f>
        <v/>
      </c>
      <c r="K103" s="24">
        <f>IF($A103&gt;NYears,"",'Engine C'!$Q292)</f>
        <v/>
      </c>
      <c r="L103" s="31">
        <f>IF($A103&gt;NYears,"",'Engine C'!$K292-'Engine C'!$P292-'Engine C'!$Q292)</f>
        <v/>
      </c>
      <c r="M103" s="31">
        <f>IF($A103&gt;NYears,"",'Engine C'!$R292)</f>
        <v/>
      </c>
    </row>
    <row r="104">
      <c r="A104" s="29">
        <f>25</f>
        <v/>
      </c>
      <c r="B104" s="30">
        <f>IF($A104&gt;NYears,"",EDATE(StartMonth,$A104*12-1))</f>
        <v/>
      </c>
      <c r="C104" s="24">
        <f>IF($A104&gt;NYears,"",'Engine C'!$E304)</f>
        <v/>
      </c>
      <c r="D104" s="24">
        <f>IF($A104&gt;NYears,"",'Engine C'!$F293)</f>
        <v/>
      </c>
      <c r="E104" s="29">
        <f>IF($A104&gt;NYears,"",'Engine C'!$G293)</f>
        <v/>
      </c>
      <c r="F104" s="29">
        <f>IF($A104&gt;NYears,"",'Engine C'!$S304)</f>
        <v/>
      </c>
      <c r="G104" s="29">
        <f>IF($A104&gt;NYears,"",'Engine C'!$S304-'Engine C'!$G293)</f>
        <v/>
      </c>
      <c r="H104" s="24">
        <f>IF($A104&gt;NYears,"",'Engine C'!$S304*'Engine C'!$E304)</f>
        <v/>
      </c>
      <c r="I104" s="31">
        <f>IF($A104&gt;NYears,"",'Engine C'!$K304)</f>
        <v/>
      </c>
      <c r="J104" s="24">
        <f>IF($A104&gt;NYears,"",'Engine C'!$P304)</f>
        <v/>
      </c>
      <c r="K104" s="24">
        <f>IF($A104&gt;NYears,"",'Engine C'!$Q304)</f>
        <v/>
      </c>
      <c r="L104" s="31">
        <f>IF($A104&gt;NYears,"",'Engine C'!$K304-'Engine C'!$P304-'Engine C'!$Q304)</f>
        <v/>
      </c>
      <c r="M104" s="31">
        <f>IF($A104&gt;NYears,"",'Engine C'!$R304)</f>
        <v/>
      </c>
    </row>
    <row r="105">
      <c r="A105" s="29">
        <f>26</f>
        <v/>
      </c>
      <c r="B105" s="30">
        <f>IF($A105&gt;NYears,"",EDATE(StartMonth,$A105*12-1))</f>
        <v/>
      </c>
      <c r="C105" s="24">
        <f>IF($A105&gt;NYears,"",'Engine C'!$E316)</f>
        <v/>
      </c>
      <c r="D105" s="24">
        <f>IF($A105&gt;NYears,"",'Engine C'!$F305)</f>
        <v/>
      </c>
      <c r="E105" s="29">
        <f>IF($A105&gt;NYears,"",'Engine C'!$G305)</f>
        <v/>
      </c>
      <c r="F105" s="29">
        <f>IF($A105&gt;NYears,"",'Engine C'!$S316)</f>
        <v/>
      </c>
      <c r="G105" s="29">
        <f>IF($A105&gt;NYears,"",'Engine C'!$S316-'Engine C'!$G305)</f>
        <v/>
      </c>
      <c r="H105" s="24">
        <f>IF($A105&gt;NYears,"",'Engine C'!$S316*'Engine C'!$E316)</f>
        <v/>
      </c>
      <c r="I105" s="31">
        <f>IF($A105&gt;NYears,"",'Engine C'!$K316)</f>
        <v/>
      </c>
      <c r="J105" s="24">
        <f>IF($A105&gt;NYears,"",'Engine C'!$P316)</f>
        <v/>
      </c>
      <c r="K105" s="24">
        <f>IF($A105&gt;NYears,"",'Engine C'!$Q316)</f>
        <v/>
      </c>
      <c r="L105" s="31">
        <f>IF($A105&gt;NYears,"",'Engine C'!$K316-'Engine C'!$P316-'Engine C'!$Q316)</f>
        <v/>
      </c>
      <c r="M105" s="31">
        <f>IF($A105&gt;NYears,"",'Engine C'!$R316)</f>
        <v/>
      </c>
    </row>
    <row r="106">
      <c r="A106" s="29">
        <f>27</f>
        <v/>
      </c>
      <c r="B106" s="30">
        <f>IF($A106&gt;NYears,"",EDATE(StartMonth,$A106*12-1))</f>
        <v/>
      </c>
      <c r="C106" s="24">
        <f>IF($A106&gt;NYears,"",'Engine C'!$E328)</f>
        <v/>
      </c>
      <c r="D106" s="24">
        <f>IF($A106&gt;NYears,"",'Engine C'!$F317)</f>
        <v/>
      </c>
      <c r="E106" s="29">
        <f>IF($A106&gt;NYears,"",'Engine C'!$G317)</f>
        <v/>
      </c>
      <c r="F106" s="29">
        <f>IF($A106&gt;NYears,"",'Engine C'!$S328)</f>
        <v/>
      </c>
      <c r="G106" s="29">
        <f>IF($A106&gt;NYears,"",'Engine C'!$S328-'Engine C'!$G317)</f>
        <v/>
      </c>
      <c r="H106" s="24">
        <f>IF($A106&gt;NYears,"",'Engine C'!$S328*'Engine C'!$E328)</f>
        <v/>
      </c>
      <c r="I106" s="31">
        <f>IF($A106&gt;NYears,"",'Engine C'!$K328)</f>
        <v/>
      </c>
      <c r="J106" s="24">
        <f>IF($A106&gt;NYears,"",'Engine C'!$P328)</f>
        <v/>
      </c>
      <c r="K106" s="24">
        <f>IF($A106&gt;NYears,"",'Engine C'!$Q328)</f>
        <v/>
      </c>
      <c r="L106" s="31">
        <f>IF($A106&gt;NYears,"",'Engine C'!$K328-'Engine C'!$P328-'Engine C'!$Q328)</f>
        <v/>
      </c>
      <c r="M106" s="31">
        <f>IF($A106&gt;NYears,"",'Engine C'!$R328)</f>
        <v/>
      </c>
    </row>
    <row r="107">
      <c r="A107" s="29">
        <f>28</f>
        <v/>
      </c>
      <c r="B107" s="30">
        <f>IF($A107&gt;NYears,"",EDATE(StartMonth,$A107*12-1))</f>
        <v/>
      </c>
      <c r="C107" s="24">
        <f>IF($A107&gt;NYears,"",'Engine C'!$E340)</f>
        <v/>
      </c>
      <c r="D107" s="24">
        <f>IF($A107&gt;NYears,"",'Engine C'!$F329)</f>
        <v/>
      </c>
      <c r="E107" s="29">
        <f>IF($A107&gt;NYears,"",'Engine C'!$G329)</f>
        <v/>
      </c>
      <c r="F107" s="29">
        <f>IF($A107&gt;NYears,"",'Engine C'!$S340)</f>
        <v/>
      </c>
      <c r="G107" s="29">
        <f>IF($A107&gt;NYears,"",'Engine C'!$S340-'Engine C'!$G329)</f>
        <v/>
      </c>
      <c r="H107" s="24">
        <f>IF($A107&gt;NYears,"",'Engine C'!$S340*'Engine C'!$E340)</f>
        <v/>
      </c>
      <c r="I107" s="31">
        <f>IF($A107&gt;NYears,"",'Engine C'!$K340)</f>
        <v/>
      </c>
      <c r="J107" s="24">
        <f>IF($A107&gt;NYears,"",'Engine C'!$P340)</f>
        <v/>
      </c>
      <c r="K107" s="24">
        <f>IF($A107&gt;NYears,"",'Engine C'!$Q340)</f>
        <v/>
      </c>
      <c r="L107" s="31">
        <f>IF($A107&gt;NYears,"",'Engine C'!$K340-'Engine C'!$P340-'Engine C'!$Q340)</f>
        <v/>
      </c>
      <c r="M107" s="31">
        <f>IF($A107&gt;NYears,"",'Engine C'!$R340)</f>
        <v/>
      </c>
    </row>
    <row r="108">
      <c r="A108" s="29">
        <f>29</f>
        <v/>
      </c>
      <c r="B108" s="30">
        <f>IF($A108&gt;NYears,"",EDATE(StartMonth,$A108*12-1))</f>
        <v/>
      </c>
      <c r="C108" s="24">
        <f>IF($A108&gt;NYears,"",'Engine C'!$E352)</f>
        <v/>
      </c>
      <c r="D108" s="24">
        <f>IF($A108&gt;NYears,"",'Engine C'!$F341)</f>
        <v/>
      </c>
      <c r="E108" s="29">
        <f>IF($A108&gt;NYears,"",'Engine C'!$G341)</f>
        <v/>
      </c>
      <c r="F108" s="29">
        <f>IF($A108&gt;NYears,"",'Engine C'!$S352)</f>
        <v/>
      </c>
      <c r="G108" s="29">
        <f>IF($A108&gt;NYears,"",'Engine C'!$S352-'Engine C'!$G341)</f>
        <v/>
      </c>
      <c r="H108" s="24">
        <f>IF($A108&gt;NYears,"",'Engine C'!$S352*'Engine C'!$E352)</f>
        <v/>
      </c>
      <c r="I108" s="31">
        <f>IF($A108&gt;NYears,"",'Engine C'!$K352)</f>
        <v/>
      </c>
      <c r="J108" s="24">
        <f>IF($A108&gt;NYears,"",'Engine C'!$P352)</f>
        <v/>
      </c>
      <c r="K108" s="24">
        <f>IF($A108&gt;NYears,"",'Engine C'!$Q352)</f>
        <v/>
      </c>
      <c r="L108" s="31">
        <f>IF($A108&gt;NYears,"",'Engine C'!$K352-'Engine C'!$P352-'Engine C'!$Q352)</f>
        <v/>
      </c>
      <c r="M108" s="31">
        <f>IF($A108&gt;NYears,"",'Engine C'!$R352)</f>
        <v/>
      </c>
    </row>
    <row r="109">
      <c r="A109" s="29">
        <f>30</f>
        <v/>
      </c>
      <c r="B109" s="30">
        <f>IF($A109&gt;NYears,"",EDATE(StartMonth,$A109*12-1))</f>
        <v/>
      </c>
      <c r="C109" s="24">
        <f>IF($A109&gt;NYears,"",'Engine C'!$E364)</f>
        <v/>
      </c>
      <c r="D109" s="24">
        <f>IF($A109&gt;NYears,"",'Engine C'!$F353)</f>
        <v/>
      </c>
      <c r="E109" s="29">
        <f>IF($A109&gt;NYears,"",'Engine C'!$G353)</f>
        <v/>
      </c>
      <c r="F109" s="29">
        <f>IF($A109&gt;NYears,"",'Engine C'!$S364)</f>
        <v/>
      </c>
      <c r="G109" s="29">
        <f>IF($A109&gt;NYears,"",'Engine C'!$S364-'Engine C'!$G353)</f>
        <v/>
      </c>
      <c r="H109" s="24">
        <f>IF($A109&gt;NYears,"",'Engine C'!$S364*'Engine C'!$E364)</f>
        <v/>
      </c>
      <c r="I109" s="31">
        <f>IF($A109&gt;NYears,"",'Engine C'!$K364)</f>
        <v/>
      </c>
      <c r="J109" s="24">
        <f>IF($A109&gt;NYears,"",'Engine C'!$P364)</f>
        <v/>
      </c>
      <c r="K109" s="24">
        <f>IF($A109&gt;NYears,"",'Engine C'!$Q364)</f>
        <v/>
      </c>
      <c r="L109" s="31">
        <f>IF($A109&gt;NYears,"",'Engine C'!$K364-'Engine C'!$P364-'Engine C'!$Q364)</f>
        <v/>
      </c>
      <c r="M109" s="31">
        <f>IF($A109&gt;NYears,"",'Engine C'!$R364)</f>
        <v/>
      </c>
    </row>
    <row r="111">
      <c r="A111" s="26" t="inlineStr">
        <is>
          <t>SCENARIO D</t>
        </is>
      </c>
      <c r="B111" s="27">
        <f>RateD</f>
        <v/>
      </c>
      <c r="C111" s="28" t="inlineStr">
        <is>
          <t>per month</t>
        </is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</row>
    <row r="112">
      <c r="A112" s="18" t="inlineStr">
        <is>
          <t>Year</t>
        </is>
      </c>
      <c r="B112" s="18" t="inlineStr">
        <is>
          <t>Year ending</t>
        </is>
      </c>
      <c r="C112" s="18" t="inlineStr">
        <is>
          <t>Lot value</t>
        </is>
      </c>
      <c r="D112" s="18" t="inlineStr">
        <is>
          <t>Opening corpus</t>
        </is>
      </c>
      <c r="E112" s="18" t="inlineStr">
        <is>
          <t>Lots start</t>
        </is>
      </c>
      <c r="F112" s="18" t="inlineStr">
        <is>
          <t>Lots end</t>
        </is>
      </c>
      <c r="G112" s="18" t="inlineStr">
        <is>
          <t>Lots added</t>
        </is>
      </c>
      <c r="H112" s="18" t="inlineStr">
        <is>
          <t>Deployed capital</t>
        </is>
      </c>
      <c r="I112" s="18" t="inlineStr">
        <is>
          <t>TRADING PROFIT
(net of charges, pre-tax)</t>
        </is>
      </c>
      <c r="J112" s="18" t="inlineStr">
        <is>
          <t>Govt tax</t>
        </is>
      </c>
      <c r="K112" s="18" t="inlineStr">
        <is>
          <t>Withdrawal</t>
        </is>
      </c>
      <c r="L112" s="18" t="inlineStr">
        <is>
          <t>REAL PROFIT (post tax &amp; withdrawal)</t>
        </is>
      </c>
      <c r="M112" s="18" t="inlineStr">
        <is>
          <t>Closing corpus</t>
        </is>
      </c>
    </row>
    <row r="113">
      <c r="A113" s="29">
        <f>1</f>
        <v/>
      </c>
      <c r="B113" s="30">
        <f>IF($A113&gt;NYears,"",EDATE(StartMonth,$A113*12-1))</f>
        <v/>
      </c>
      <c r="C113" s="24">
        <f>IF($A113&gt;NYears,"",'Engine D'!$E16)</f>
        <v/>
      </c>
      <c r="D113" s="24">
        <f>IF($A113&gt;NYears,"",'Engine D'!$F5)</f>
        <v/>
      </c>
      <c r="E113" s="29">
        <f>IF($A113&gt;NYears,"",'Engine D'!$G5)</f>
        <v/>
      </c>
      <c r="F113" s="29">
        <f>IF($A113&gt;NYears,"",'Engine D'!$S16)</f>
        <v/>
      </c>
      <c r="G113" s="29">
        <f>IF($A113&gt;NYears,"",'Engine D'!$S16-'Engine D'!$G5)</f>
        <v/>
      </c>
      <c r="H113" s="24">
        <f>IF($A113&gt;NYears,"",'Engine D'!$S16*'Engine D'!$E16)</f>
        <v/>
      </c>
      <c r="I113" s="31">
        <f>IF($A113&gt;NYears,"",'Engine D'!$K16)</f>
        <v/>
      </c>
      <c r="J113" s="24">
        <f>IF($A113&gt;NYears,"",'Engine D'!$P16)</f>
        <v/>
      </c>
      <c r="K113" s="24">
        <f>IF($A113&gt;NYears,"",'Engine D'!$Q16)</f>
        <v/>
      </c>
      <c r="L113" s="31">
        <f>IF($A113&gt;NYears,"",'Engine D'!$K16-'Engine D'!$P16-'Engine D'!$Q16)</f>
        <v/>
      </c>
      <c r="M113" s="31">
        <f>IF($A113&gt;NYears,"",'Engine D'!$R16)</f>
        <v/>
      </c>
    </row>
    <row r="114">
      <c r="A114" s="29">
        <f>2</f>
        <v/>
      </c>
      <c r="B114" s="30">
        <f>IF($A114&gt;NYears,"",EDATE(StartMonth,$A114*12-1))</f>
        <v/>
      </c>
      <c r="C114" s="24">
        <f>IF($A114&gt;NYears,"",'Engine D'!$E28)</f>
        <v/>
      </c>
      <c r="D114" s="24">
        <f>IF($A114&gt;NYears,"",'Engine D'!$F17)</f>
        <v/>
      </c>
      <c r="E114" s="29">
        <f>IF($A114&gt;NYears,"",'Engine D'!$G17)</f>
        <v/>
      </c>
      <c r="F114" s="29">
        <f>IF($A114&gt;NYears,"",'Engine D'!$S28)</f>
        <v/>
      </c>
      <c r="G114" s="29">
        <f>IF($A114&gt;NYears,"",'Engine D'!$S28-'Engine D'!$G17)</f>
        <v/>
      </c>
      <c r="H114" s="24">
        <f>IF($A114&gt;NYears,"",'Engine D'!$S28*'Engine D'!$E28)</f>
        <v/>
      </c>
      <c r="I114" s="31">
        <f>IF($A114&gt;NYears,"",'Engine D'!$K28)</f>
        <v/>
      </c>
      <c r="J114" s="24">
        <f>IF($A114&gt;NYears,"",'Engine D'!$P28)</f>
        <v/>
      </c>
      <c r="K114" s="24">
        <f>IF($A114&gt;NYears,"",'Engine D'!$Q28)</f>
        <v/>
      </c>
      <c r="L114" s="31">
        <f>IF($A114&gt;NYears,"",'Engine D'!$K28-'Engine D'!$P28-'Engine D'!$Q28)</f>
        <v/>
      </c>
      <c r="M114" s="31">
        <f>IF($A114&gt;NYears,"",'Engine D'!$R28)</f>
        <v/>
      </c>
    </row>
    <row r="115">
      <c r="A115" s="29">
        <f>3</f>
        <v/>
      </c>
      <c r="B115" s="30">
        <f>IF($A115&gt;NYears,"",EDATE(StartMonth,$A115*12-1))</f>
        <v/>
      </c>
      <c r="C115" s="24">
        <f>IF($A115&gt;NYears,"",'Engine D'!$E40)</f>
        <v/>
      </c>
      <c r="D115" s="24">
        <f>IF($A115&gt;NYears,"",'Engine D'!$F29)</f>
        <v/>
      </c>
      <c r="E115" s="29">
        <f>IF($A115&gt;NYears,"",'Engine D'!$G29)</f>
        <v/>
      </c>
      <c r="F115" s="29">
        <f>IF($A115&gt;NYears,"",'Engine D'!$S40)</f>
        <v/>
      </c>
      <c r="G115" s="29">
        <f>IF($A115&gt;NYears,"",'Engine D'!$S40-'Engine D'!$G29)</f>
        <v/>
      </c>
      <c r="H115" s="24">
        <f>IF($A115&gt;NYears,"",'Engine D'!$S40*'Engine D'!$E40)</f>
        <v/>
      </c>
      <c r="I115" s="31">
        <f>IF($A115&gt;NYears,"",'Engine D'!$K40)</f>
        <v/>
      </c>
      <c r="J115" s="24">
        <f>IF($A115&gt;NYears,"",'Engine D'!$P40)</f>
        <v/>
      </c>
      <c r="K115" s="24">
        <f>IF($A115&gt;NYears,"",'Engine D'!$Q40)</f>
        <v/>
      </c>
      <c r="L115" s="31">
        <f>IF($A115&gt;NYears,"",'Engine D'!$K40-'Engine D'!$P40-'Engine D'!$Q40)</f>
        <v/>
      </c>
      <c r="M115" s="31">
        <f>IF($A115&gt;NYears,"",'Engine D'!$R40)</f>
        <v/>
      </c>
    </row>
    <row r="116">
      <c r="A116" s="29">
        <f>4</f>
        <v/>
      </c>
      <c r="B116" s="30">
        <f>IF($A116&gt;NYears,"",EDATE(StartMonth,$A116*12-1))</f>
        <v/>
      </c>
      <c r="C116" s="24">
        <f>IF($A116&gt;NYears,"",'Engine D'!$E52)</f>
        <v/>
      </c>
      <c r="D116" s="24">
        <f>IF($A116&gt;NYears,"",'Engine D'!$F41)</f>
        <v/>
      </c>
      <c r="E116" s="29">
        <f>IF($A116&gt;NYears,"",'Engine D'!$G41)</f>
        <v/>
      </c>
      <c r="F116" s="29">
        <f>IF($A116&gt;NYears,"",'Engine D'!$S52)</f>
        <v/>
      </c>
      <c r="G116" s="29">
        <f>IF($A116&gt;NYears,"",'Engine D'!$S52-'Engine D'!$G41)</f>
        <v/>
      </c>
      <c r="H116" s="24">
        <f>IF($A116&gt;NYears,"",'Engine D'!$S52*'Engine D'!$E52)</f>
        <v/>
      </c>
      <c r="I116" s="31">
        <f>IF($A116&gt;NYears,"",'Engine D'!$K52)</f>
        <v/>
      </c>
      <c r="J116" s="24">
        <f>IF($A116&gt;NYears,"",'Engine D'!$P52)</f>
        <v/>
      </c>
      <c r="K116" s="24">
        <f>IF($A116&gt;NYears,"",'Engine D'!$Q52)</f>
        <v/>
      </c>
      <c r="L116" s="31">
        <f>IF($A116&gt;NYears,"",'Engine D'!$K52-'Engine D'!$P52-'Engine D'!$Q52)</f>
        <v/>
      </c>
      <c r="M116" s="31">
        <f>IF($A116&gt;NYears,"",'Engine D'!$R52)</f>
        <v/>
      </c>
    </row>
    <row r="117">
      <c r="A117" s="29">
        <f>5</f>
        <v/>
      </c>
      <c r="B117" s="30">
        <f>IF($A117&gt;NYears,"",EDATE(StartMonth,$A117*12-1))</f>
        <v/>
      </c>
      <c r="C117" s="24">
        <f>IF($A117&gt;NYears,"",'Engine D'!$E64)</f>
        <v/>
      </c>
      <c r="D117" s="24">
        <f>IF($A117&gt;NYears,"",'Engine D'!$F53)</f>
        <v/>
      </c>
      <c r="E117" s="29">
        <f>IF($A117&gt;NYears,"",'Engine D'!$G53)</f>
        <v/>
      </c>
      <c r="F117" s="29">
        <f>IF($A117&gt;NYears,"",'Engine D'!$S64)</f>
        <v/>
      </c>
      <c r="G117" s="29">
        <f>IF($A117&gt;NYears,"",'Engine D'!$S64-'Engine D'!$G53)</f>
        <v/>
      </c>
      <c r="H117" s="24">
        <f>IF($A117&gt;NYears,"",'Engine D'!$S64*'Engine D'!$E64)</f>
        <v/>
      </c>
      <c r="I117" s="31">
        <f>IF($A117&gt;NYears,"",'Engine D'!$K64)</f>
        <v/>
      </c>
      <c r="J117" s="24">
        <f>IF($A117&gt;NYears,"",'Engine D'!$P64)</f>
        <v/>
      </c>
      <c r="K117" s="24">
        <f>IF($A117&gt;NYears,"",'Engine D'!$Q64)</f>
        <v/>
      </c>
      <c r="L117" s="31">
        <f>IF($A117&gt;NYears,"",'Engine D'!$K64-'Engine D'!$P64-'Engine D'!$Q64)</f>
        <v/>
      </c>
      <c r="M117" s="31">
        <f>IF($A117&gt;NYears,"",'Engine D'!$R64)</f>
        <v/>
      </c>
    </row>
    <row r="118">
      <c r="A118" s="29">
        <f>6</f>
        <v/>
      </c>
      <c r="B118" s="30">
        <f>IF($A118&gt;NYears,"",EDATE(StartMonth,$A118*12-1))</f>
        <v/>
      </c>
      <c r="C118" s="24">
        <f>IF($A118&gt;NYears,"",'Engine D'!$E76)</f>
        <v/>
      </c>
      <c r="D118" s="24">
        <f>IF($A118&gt;NYears,"",'Engine D'!$F65)</f>
        <v/>
      </c>
      <c r="E118" s="29">
        <f>IF($A118&gt;NYears,"",'Engine D'!$G65)</f>
        <v/>
      </c>
      <c r="F118" s="29">
        <f>IF($A118&gt;NYears,"",'Engine D'!$S76)</f>
        <v/>
      </c>
      <c r="G118" s="29">
        <f>IF($A118&gt;NYears,"",'Engine D'!$S76-'Engine D'!$G65)</f>
        <v/>
      </c>
      <c r="H118" s="24">
        <f>IF($A118&gt;NYears,"",'Engine D'!$S76*'Engine D'!$E76)</f>
        <v/>
      </c>
      <c r="I118" s="31">
        <f>IF($A118&gt;NYears,"",'Engine D'!$K76)</f>
        <v/>
      </c>
      <c r="J118" s="24">
        <f>IF($A118&gt;NYears,"",'Engine D'!$P76)</f>
        <v/>
      </c>
      <c r="K118" s="24">
        <f>IF($A118&gt;NYears,"",'Engine D'!$Q76)</f>
        <v/>
      </c>
      <c r="L118" s="31">
        <f>IF($A118&gt;NYears,"",'Engine D'!$K76-'Engine D'!$P76-'Engine D'!$Q76)</f>
        <v/>
      </c>
      <c r="M118" s="31">
        <f>IF($A118&gt;NYears,"",'Engine D'!$R76)</f>
        <v/>
      </c>
    </row>
    <row r="119">
      <c r="A119" s="29">
        <f>7</f>
        <v/>
      </c>
      <c r="B119" s="30">
        <f>IF($A119&gt;NYears,"",EDATE(StartMonth,$A119*12-1))</f>
        <v/>
      </c>
      <c r="C119" s="24">
        <f>IF($A119&gt;NYears,"",'Engine D'!$E88)</f>
        <v/>
      </c>
      <c r="D119" s="24">
        <f>IF($A119&gt;NYears,"",'Engine D'!$F77)</f>
        <v/>
      </c>
      <c r="E119" s="29">
        <f>IF($A119&gt;NYears,"",'Engine D'!$G77)</f>
        <v/>
      </c>
      <c r="F119" s="29">
        <f>IF($A119&gt;NYears,"",'Engine D'!$S88)</f>
        <v/>
      </c>
      <c r="G119" s="29">
        <f>IF($A119&gt;NYears,"",'Engine D'!$S88-'Engine D'!$G77)</f>
        <v/>
      </c>
      <c r="H119" s="24">
        <f>IF($A119&gt;NYears,"",'Engine D'!$S88*'Engine D'!$E88)</f>
        <v/>
      </c>
      <c r="I119" s="31">
        <f>IF($A119&gt;NYears,"",'Engine D'!$K88)</f>
        <v/>
      </c>
      <c r="J119" s="24">
        <f>IF($A119&gt;NYears,"",'Engine D'!$P88)</f>
        <v/>
      </c>
      <c r="K119" s="24">
        <f>IF($A119&gt;NYears,"",'Engine D'!$Q88)</f>
        <v/>
      </c>
      <c r="L119" s="31">
        <f>IF($A119&gt;NYears,"",'Engine D'!$K88-'Engine D'!$P88-'Engine D'!$Q88)</f>
        <v/>
      </c>
      <c r="M119" s="31">
        <f>IF($A119&gt;NYears,"",'Engine D'!$R88)</f>
        <v/>
      </c>
    </row>
    <row r="120">
      <c r="A120" s="29">
        <f>8</f>
        <v/>
      </c>
      <c r="B120" s="30">
        <f>IF($A120&gt;NYears,"",EDATE(StartMonth,$A120*12-1))</f>
        <v/>
      </c>
      <c r="C120" s="24">
        <f>IF($A120&gt;NYears,"",'Engine D'!$E100)</f>
        <v/>
      </c>
      <c r="D120" s="24">
        <f>IF($A120&gt;NYears,"",'Engine D'!$F89)</f>
        <v/>
      </c>
      <c r="E120" s="29">
        <f>IF($A120&gt;NYears,"",'Engine D'!$G89)</f>
        <v/>
      </c>
      <c r="F120" s="29">
        <f>IF($A120&gt;NYears,"",'Engine D'!$S100)</f>
        <v/>
      </c>
      <c r="G120" s="29">
        <f>IF($A120&gt;NYears,"",'Engine D'!$S100-'Engine D'!$G89)</f>
        <v/>
      </c>
      <c r="H120" s="24">
        <f>IF($A120&gt;NYears,"",'Engine D'!$S100*'Engine D'!$E100)</f>
        <v/>
      </c>
      <c r="I120" s="31">
        <f>IF($A120&gt;NYears,"",'Engine D'!$K100)</f>
        <v/>
      </c>
      <c r="J120" s="24">
        <f>IF($A120&gt;NYears,"",'Engine D'!$P100)</f>
        <v/>
      </c>
      <c r="K120" s="24">
        <f>IF($A120&gt;NYears,"",'Engine D'!$Q100)</f>
        <v/>
      </c>
      <c r="L120" s="31">
        <f>IF($A120&gt;NYears,"",'Engine D'!$K100-'Engine D'!$P100-'Engine D'!$Q100)</f>
        <v/>
      </c>
      <c r="M120" s="31">
        <f>IF($A120&gt;NYears,"",'Engine D'!$R100)</f>
        <v/>
      </c>
    </row>
    <row r="121">
      <c r="A121" s="29">
        <f>9</f>
        <v/>
      </c>
      <c r="B121" s="30">
        <f>IF($A121&gt;NYears,"",EDATE(StartMonth,$A121*12-1))</f>
        <v/>
      </c>
      <c r="C121" s="24">
        <f>IF($A121&gt;NYears,"",'Engine D'!$E112)</f>
        <v/>
      </c>
      <c r="D121" s="24">
        <f>IF($A121&gt;NYears,"",'Engine D'!$F101)</f>
        <v/>
      </c>
      <c r="E121" s="29">
        <f>IF($A121&gt;NYears,"",'Engine D'!$G101)</f>
        <v/>
      </c>
      <c r="F121" s="29">
        <f>IF($A121&gt;NYears,"",'Engine D'!$S112)</f>
        <v/>
      </c>
      <c r="G121" s="29">
        <f>IF($A121&gt;NYears,"",'Engine D'!$S112-'Engine D'!$G101)</f>
        <v/>
      </c>
      <c r="H121" s="24">
        <f>IF($A121&gt;NYears,"",'Engine D'!$S112*'Engine D'!$E112)</f>
        <v/>
      </c>
      <c r="I121" s="31">
        <f>IF($A121&gt;NYears,"",'Engine D'!$K112)</f>
        <v/>
      </c>
      <c r="J121" s="24">
        <f>IF($A121&gt;NYears,"",'Engine D'!$P112)</f>
        <v/>
      </c>
      <c r="K121" s="24">
        <f>IF($A121&gt;NYears,"",'Engine D'!$Q112)</f>
        <v/>
      </c>
      <c r="L121" s="31">
        <f>IF($A121&gt;NYears,"",'Engine D'!$K112-'Engine D'!$P112-'Engine D'!$Q112)</f>
        <v/>
      </c>
      <c r="M121" s="31">
        <f>IF($A121&gt;NYears,"",'Engine D'!$R112)</f>
        <v/>
      </c>
    </row>
    <row r="122">
      <c r="A122" s="29">
        <f>10</f>
        <v/>
      </c>
      <c r="B122" s="30">
        <f>IF($A122&gt;NYears,"",EDATE(StartMonth,$A122*12-1))</f>
        <v/>
      </c>
      <c r="C122" s="24">
        <f>IF($A122&gt;NYears,"",'Engine D'!$E124)</f>
        <v/>
      </c>
      <c r="D122" s="24">
        <f>IF($A122&gt;NYears,"",'Engine D'!$F113)</f>
        <v/>
      </c>
      <c r="E122" s="29">
        <f>IF($A122&gt;NYears,"",'Engine D'!$G113)</f>
        <v/>
      </c>
      <c r="F122" s="29">
        <f>IF($A122&gt;NYears,"",'Engine D'!$S124)</f>
        <v/>
      </c>
      <c r="G122" s="29">
        <f>IF($A122&gt;NYears,"",'Engine D'!$S124-'Engine D'!$G113)</f>
        <v/>
      </c>
      <c r="H122" s="24">
        <f>IF($A122&gt;NYears,"",'Engine D'!$S124*'Engine D'!$E124)</f>
        <v/>
      </c>
      <c r="I122" s="31">
        <f>IF($A122&gt;NYears,"",'Engine D'!$K124)</f>
        <v/>
      </c>
      <c r="J122" s="24">
        <f>IF($A122&gt;NYears,"",'Engine D'!$P124)</f>
        <v/>
      </c>
      <c r="K122" s="24">
        <f>IF($A122&gt;NYears,"",'Engine D'!$Q124)</f>
        <v/>
      </c>
      <c r="L122" s="31">
        <f>IF($A122&gt;NYears,"",'Engine D'!$K124-'Engine D'!$P124-'Engine D'!$Q124)</f>
        <v/>
      </c>
      <c r="M122" s="31">
        <f>IF($A122&gt;NYears,"",'Engine D'!$R124)</f>
        <v/>
      </c>
    </row>
    <row r="123">
      <c r="A123" s="29">
        <f>11</f>
        <v/>
      </c>
      <c r="B123" s="30">
        <f>IF($A123&gt;NYears,"",EDATE(StartMonth,$A123*12-1))</f>
        <v/>
      </c>
      <c r="C123" s="24">
        <f>IF($A123&gt;NYears,"",'Engine D'!$E136)</f>
        <v/>
      </c>
      <c r="D123" s="24">
        <f>IF($A123&gt;NYears,"",'Engine D'!$F125)</f>
        <v/>
      </c>
      <c r="E123" s="29">
        <f>IF($A123&gt;NYears,"",'Engine D'!$G125)</f>
        <v/>
      </c>
      <c r="F123" s="29">
        <f>IF($A123&gt;NYears,"",'Engine D'!$S136)</f>
        <v/>
      </c>
      <c r="G123" s="29">
        <f>IF($A123&gt;NYears,"",'Engine D'!$S136-'Engine D'!$G125)</f>
        <v/>
      </c>
      <c r="H123" s="24">
        <f>IF($A123&gt;NYears,"",'Engine D'!$S136*'Engine D'!$E136)</f>
        <v/>
      </c>
      <c r="I123" s="31">
        <f>IF($A123&gt;NYears,"",'Engine D'!$K136)</f>
        <v/>
      </c>
      <c r="J123" s="24">
        <f>IF($A123&gt;NYears,"",'Engine D'!$P136)</f>
        <v/>
      </c>
      <c r="K123" s="24">
        <f>IF($A123&gt;NYears,"",'Engine D'!$Q136)</f>
        <v/>
      </c>
      <c r="L123" s="31">
        <f>IF($A123&gt;NYears,"",'Engine D'!$K136-'Engine D'!$P136-'Engine D'!$Q136)</f>
        <v/>
      </c>
      <c r="M123" s="31">
        <f>IF($A123&gt;NYears,"",'Engine D'!$R136)</f>
        <v/>
      </c>
    </row>
    <row r="124">
      <c r="A124" s="29">
        <f>12</f>
        <v/>
      </c>
      <c r="B124" s="30">
        <f>IF($A124&gt;NYears,"",EDATE(StartMonth,$A124*12-1))</f>
        <v/>
      </c>
      <c r="C124" s="24">
        <f>IF($A124&gt;NYears,"",'Engine D'!$E148)</f>
        <v/>
      </c>
      <c r="D124" s="24">
        <f>IF($A124&gt;NYears,"",'Engine D'!$F137)</f>
        <v/>
      </c>
      <c r="E124" s="29">
        <f>IF($A124&gt;NYears,"",'Engine D'!$G137)</f>
        <v/>
      </c>
      <c r="F124" s="29">
        <f>IF($A124&gt;NYears,"",'Engine D'!$S148)</f>
        <v/>
      </c>
      <c r="G124" s="29">
        <f>IF($A124&gt;NYears,"",'Engine D'!$S148-'Engine D'!$G137)</f>
        <v/>
      </c>
      <c r="H124" s="24">
        <f>IF($A124&gt;NYears,"",'Engine D'!$S148*'Engine D'!$E148)</f>
        <v/>
      </c>
      <c r="I124" s="31">
        <f>IF($A124&gt;NYears,"",'Engine D'!$K148)</f>
        <v/>
      </c>
      <c r="J124" s="24">
        <f>IF($A124&gt;NYears,"",'Engine D'!$P148)</f>
        <v/>
      </c>
      <c r="K124" s="24">
        <f>IF($A124&gt;NYears,"",'Engine D'!$Q148)</f>
        <v/>
      </c>
      <c r="L124" s="31">
        <f>IF($A124&gt;NYears,"",'Engine D'!$K148-'Engine D'!$P148-'Engine D'!$Q148)</f>
        <v/>
      </c>
      <c r="M124" s="31">
        <f>IF($A124&gt;NYears,"",'Engine D'!$R148)</f>
        <v/>
      </c>
    </row>
    <row r="125">
      <c r="A125" s="29">
        <f>13</f>
        <v/>
      </c>
      <c r="B125" s="30">
        <f>IF($A125&gt;NYears,"",EDATE(StartMonth,$A125*12-1))</f>
        <v/>
      </c>
      <c r="C125" s="24">
        <f>IF($A125&gt;NYears,"",'Engine D'!$E160)</f>
        <v/>
      </c>
      <c r="D125" s="24">
        <f>IF($A125&gt;NYears,"",'Engine D'!$F149)</f>
        <v/>
      </c>
      <c r="E125" s="29">
        <f>IF($A125&gt;NYears,"",'Engine D'!$G149)</f>
        <v/>
      </c>
      <c r="F125" s="29">
        <f>IF($A125&gt;NYears,"",'Engine D'!$S160)</f>
        <v/>
      </c>
      <c r="G125" s="29">
        <f>IF($A125&gt;NYears,"",'Engine D'!$S160-'Engine D'!$G149)</f>
        <v/>
      </c>
      <c r="H125" s="24">
        <f>IF($A125&gt;NYears,"",'Engine D'!$S160*'Engine D'!$E160)</f>
        <v/>
      </c>
      <c r="I125" s="31">
        <f>IF($A125&gt;NYears,"",'Engine D'!$K160)</f>
        <v/>
      </c>
      <c r="J125" s="24">
        <f>IF($A125&gt;NYears,"",'Engine D'!$P160)</f>
        <v/>
      </c>
      <c r="K125" s="24">
        <f>IF($A125&gt;NYears,"",'Engine D'!$Q160)</f>
        <v/>
      </c>
      <c r="L125" s="31">
        <f>IF($A125&gt;NYears,"",'Engine D'!$K160-'Engine D'!$P160-'Engine D'!$Q160)</f>
        <v/>
      </c>
      <c r="M125" s="31">
        <f>IF($A125&gt;NYears,"",'Engine D'!$R160)</f>
        <v/>
      </c>
    </row>
    <row r="126">
      <c r="A126" s="29">
        <f>14</f>
        <v/>
      </c>
      <c r="B126" s="30">
        <f>IF($A126&gt;NYears,"",EDATE(StartMonth,$A126*12-1))</f>
        <v/>
      </c>
      <c r="C126" s="24">
        <f>IF($A126&gt;NYears,"",'Engine D'!$E172)</f>
        <v/>
      </c>
      <c r="D126" s="24">
        <f>IF($A126&gt;NYears,"",'Engine D'!$F161)</f>
        <v/>
      </c>
      <c r="E126" s="29">
        <f>IF($A126&gt;NYears,"",'Engine D'!$G161)</f>
        <v/>
      </c>
      <c r="F126" s="29">
        <f>IF($A126&gt;NYears,"",'Engine D'!$S172)</f>
        <v/>
      </c>
      <c r="G126" s="29">
        <f>IF($A126&gt;NYears,"",'Engine D'!$S172-'Engine D'!$G161)</f>
        <v/>
      </c>
      <c r="H126" s="24">
        <f>IF($A126&gt;NYears,"",'Engine D'!$S172*'Engine D'!$E172)</f>
        <v/>
      </c>
      <c r="I126" s="31">
        <f>IF($A126&gt;NYears,"",'Engine D'!$K172)</f>
        <v/>
      </c>
      <c r="J126" s="24">
        <f>IF($A126&gt;NYears,"",'Engine D'!$P172)</f>
        <v/>
      </c>
      <c r="K126" s="24">
        <f>IF($A126&gt;NYears,"",'Engine D'!$Q172)</f>
        <v/>
      </c>
      <c r="L126" s="31">
        <f>IF($A126&gt;NYears,"",'Engine D'!$K172-'Engine D'!$P172-'Engine D'!$Q172)</f>
        <v/>
      </c>
      <c r="M126" s="31">
        <f>IF($A126&gt;NYears,"",'Engine D'!$R172)</f>
        <v/>
      </c>
    </row>
    <row r="127">
      <c r="A127" s="29">
        <f>15</f>
        <v/>
      </c>
      <c r="B127" s="30">
        <f>IF($A127&gt;NYears,"",EDATE(StartMonth,$A127*12-1))</f>
        <v/>
      </c>
      <c r="C127" s="24">
        <f>IF($A127&gt;NYears,"",'Engine D'!$E184)</f>
        <v/>
      </c>
      <c r="D127" s="24">
        <f>IF($A127&gt;NYears,"",'Engine D'!$F173)</f>
        <v/>
      </c>
      <c r="E127" s="29">
        <f>IF($A127&gt;NYears,"",'Engine D'!$G173)</f>
        <v/>
      </c>
      <c r="F127" s="29">
        <f>IF($A127&gt;NYears,"",'Engine D'!$S184)</f>
        <v/>
      </c>
      <c r="G127" s="29">
        <f>IF($A127&gt;NYears,"",'Engine D'!$S184-'Engine D'!$G173)</f>
        <v/>
      </c>
      <c r="H127" s="24">
        <f>IF($A127&gt;NYears,"",'Engine D'!$S184*'Engine D'!$E184)</f>
        <v/>
      </c>
      <c r="I127" s="31">
        <f>IF($A127&gt;NYears,"",'Engine D'!$K184)</f>
        <v/>
      </c>
      <c r="J127" s="24">
        <f>IF($A127&gt;NYears,"",'Engine D'!$P184)</f>
        <v/>
      </c>
      <c r="K127" s="24">
        <f>IF($A127&gt;NYears,"",'Engine D'!$Q184)</f>
        <v/>
      </c>
      <c r="L127" s="31">
        <f>IF($A127&gt;NYears,"",'Engine D'!$K184-'Engine D'!$P184-'Engine D'!$Q184)</f>
        <v/>
      </c>
      <c r="M127" s="31">
        <f>IF($A127&gt;NYears,"",'Engine D'!$R184)</f>
        <v/>
      </c>
    </row>
    <row r="128">
      <c r="A128" s="29">
        <f>16</f>
        <v/>
      </c>
      <c r="B128" s="30">
        <f>IF($A128&gt;NYears,"",EDATE(StartMonth,$A128*12-1))</f>
        <v/>
      </c>
      <c r="C128" s="24">
        <f>IF($A128&gt;NYears,"",'Engine D'!$E196)</f>
        <v/>
      </c>
      <c r="D128" s="24">
        <f>IF($A128&gt;NYears,"",'Engine D'!$F185)</f>
        <v/>
      </c>
      <c r="E128" s="29">
        <f>IF($A128&gt;NYears,"",'Engine D'!$G185)</f>
        <v/>
      </c>
      <c r="F128" s="29">
        <f>IF($A128&gt;NYears,"",'Engine D'!$S196)</f>
        <v/>
      </c>
      <c r="G128" s="29">
        <f>IF($A128&gt;NYears,"",'Engine D'!$S196-'Engine D'!$G185)</f>
        <v/>
      </c>
      <c r="H128" s="24">
        <f>IF($A128&gt;NYears,"",'Engine D'!$S196*'Engine D'!$E196)</f>
        <v/>
      </c>
      <c r="I128" s="31">
        <f>IF($A128&gt;NYears,"",'Engine D'!$K196)</f>
        <v/>
      </c>
      <c r="J128" s="24">
        <f>IF($A128&gt;NYears,"",'Engine D'!$P196)</f>
        <v/>
      </c>
      <c r="K128" s="24">
        <f>IF($A128&gt;NYears,"",'Engine D'!$Q196)</f>
        <v/>
      </c>
      <c r="L128" s="31">
        <f>IF($A128&gt;NYears,"",'Engine D'!$K196-'Engine D'!$P196-'Engine D'!$Q196)</f>
        <v/>
      </c>
      <c r="M128" s="31">
        <f>IF($A128&gt;NYears,"",'Engine D'!$R196)</f>
        <v/>
      </c>
    </row>
    <row r="129">
      <c r="A129" s="29">
        <f>17</f>
        <v/>
      </c>
      <c r="B129" s="30">
        <f>IF($A129&gt;NYears,"",EDATE(StartMonth,$A129*12-1))</f>
        <v/>
      </c>
      <c r="C129" s="24">
        <f>IF($A129&gt;NYears,"",'Engine D'!$E208)</f>
        <v/>
      </c>
      <c r="D129" s="24">
        <f>IF($A129&gt;NYears,"",'Engine D'!$F197)</f>
        <v/>
      </c>
      <c r="E129" s="29">
        <f>IF($A129&gt;NYears,"",'Engine D'!$G197)</f>
        <v/>
      </c>
      <c r="F129" s="29">
        <f>IF($A129&gt;NYears,"",'Engine D'!$S208)</f>
        <v/>
      </c>
      <c r="G129" s="29">
        <f>IF($A129&gt;NYears,"",'Engine D'!$S208-'Engine D'!$G197)</f>
        <v/>
      </c>
      <c r="H129" s="24">
        <f>IF($A129&gt;NYears,"",'Engine D'!$S208*'Engine D'!$E208)</f>
        <v/>
      </c>
      <c r="I129" s="31">
        <f>IF($A129&gt;NYears,"",'Engine D'!$K208)</f>
        <v/>
      </c>
      <c r="J129" s="24">
        <f>IF($A129&gt;NYears,"",'Engine D'!$P208)</f>
        <v/>
      </c>
      <c r="K129" s="24">
        <f>IF($A129&gt;NYears,"",'Engine D'!$Q208)</f>
        <v/>
      </c>
      <c r="L129" s="31">
        <f>IF($A129&gt;NYears,"",'Engine D'!$K208-'Engine D'!$P208-'Engine D'!$Q208)</f>
        <v/>
      </c>
      <c r="M129" s="31">
        <f>IF($A129&gt;NYears,"",'Engine D'!$R208)</f>
        <v/>
      </c>
    </row>
    <row r="130">
      <c r="A130" s="29">
        <f>18</f>
        <v/>
      </c>
      <c r="B130" s="30">
        <f>IF($A130&gt;NYears,"",EDATE(StartMonth,$A130*12-1))</f>
        <v/>
      </c>
      <c r="C130" s="24">
        <f>IF($A130&gt;NYears,"",'Engine D'!$E220)</f>
        <v/>
      </c>
      <c r="D130" s="24">
        <f>IF($A130&gt;NYears,"",'Engine D'!$F209)</f>
        <v/>
      </c>
      <c r="E130" s="29">
        <f>IF($A130&gt;NYears,"",'Engine D'!$G209)</f>
        <v/>
      </c>
      <c r="F130" s="29">
        <f>IF($A130&gt;NYears,"",'Engine D'!$S220)</f>
        <v/>
      </c>
      <c r="G130" s="29">
        <f>IF($A130&gt;NYears,"",'Engine D'!$S220-'Engine D'!$G209)</f>
        <v/>
      </c>
      <c r="H130" s="24">
        <f>IF($A130&gt;NYears,"",'Engine D'!$S220*'Engine D'!$E220)</f>
        <v/>
      </c>
      <c r="I130" s="31">
        <f>IF($A130&gt;NYears,"",'Engine D'!$K220)</f>
        <v/>
      </c>
      <c r="J130" s="24">
        <f>IF($A130&gt;NYears,"",'Engine D'!$P220)</f>
        <v/>
      </c>
      <c r="K130" s="24">
        <f>IF($A130&gt;NYears,"",'Engine D'!$Q220)</f>
        <v/>
      </c>
      <c r="L130" s="31">
        <f>IF($A130&gt;NYears,"",'Engine D'!$K220-'Engine D'!$P220-'Engine D'!$Q220)</f>
        <v/>
      </c>
      <c r="M130" s="31">
        <f>IF($A130&gt;NYears,"",'Engine D'!$R220)</f>
        <v/>
      </c>
    </row>
    <row r="131">
      <c r="A131" s="29">
        <f>19</f>
        <v/>
      </c>
      <c r="B131" s="30">
        <f>IF($A131&gt;NYears,"",EDATE(StartMonth,$A131*12-1))</f>
        <v/>
      </c>
      <c r="C131" s="24">
        <f>IF($A131&gt;NYears,"",'Engine D'!$E232)</f>
        <v/>
      </c>
      <c r="D131" s="24">
        <f>IF($A131&gt;NYears,"",'Engine D'!$F221)</f>
        <v/>
      </c>
      <c r="E131" s="29">
        <f>IF($A131&gt;NYears,"",'Engine D'!$G221)</f>
        <v/>
      </c>
      <c r="F131" s="29">
        <f>IF($A131&gt;NYears,"",'Engine D'!$S232)</f>
        <v/>
      </c>
      <c r="G131" s="29">
        <f>IF($A131&gt;NYears,"",'Engine D'!$S232-'Engine D'!$G221)</f>
        <v/>
      </c>
      <c r="H131" s="24">
        <f>IF($A131&gt;NYears,"",'Engine D'!$S232*'Engine D'!$E232)</f>
        <v/>
      </c>
      <c r="I131" s="31">
        <f>IF($A131&gt;NYears,"",'Engine D'!$K232)</f>
        <v/>
      </c>
      <c r="J131" s="24">
        <f>IF($A131&gt;NYears,"",'Engine D'!$P232)</f>
        <v/>
      </c>
      <c r="K131" s="24">
        <f>IF($A131&gt;NYears,"",'Engine D'!$Q232)</f>
        <v/>
      </c>
      <c r="L131" s="31">
        <f>IF($A131&gt;NYears,"",'Engine D'!$K232-'Engine D'!$P232-'Engine D'!$Q232)</f>
        <v/>
      </c>
      <c r="M131" s="31">
        <f>IF($A131&gt;NYears,"",'Engine D'!$R232)</f>
        <v/>
      </c>
    </row>
    <row r="132">
      <c r="A132" s="29">
        <f>20</f>
        <v/>
      </c>
      <c r="B132" s="30">
        <f>IF($A132&gt;NYears,"",EDATE(StartMonth,$A132*12-1))</f>
        <v/>
      </c>
      <c r="C132" s="24">
        <f>IF($A132&gt;NYears,"",'Engine D'!$E244)</f>
        <v/>
      </c>
      <c r="D132" s="24">
        <f>IF($A132&gt;NYears,"",'Engine D'!$F233)</f>
        <v/>
      </c>
      <c r="E132" s="29">
        <f>IF($A132&gt;NYears,"",'Engine D'!$G233)</f>
        <v/>
      </c>
      <c r="F132" s="29">
        <f>IF($A132&gt;NYears,"",'Engine D'!$S244)</f>
        <v/>
      </c>
      <c r="G132" s="29">
        <f>IF($A132&gt;NYears,"",'Engine D'!$S244-'Engine D'!$G233)</f>
        <v/>
      </c>
      <c r="H132" s="24">
        <f>IF($A132&gt;NYears,"",'Engine D'!$S244*'Engine D'!$E244)</f>
        <v/>
      </c>
      <c r="I132" s="31">
        <f>IF($A132&gt;NYears,"",'Engine D'!$K244)</f>
        <v/>
      </c>
      <c r="J132" s="24">
        <f>IF($A132&gt;NYears,"",'Engine D'!$P244)</f>
        <v/>
      </c>
      <c r="K132" s="24">
        <f>IF($A132&gt;NYears,"",'Engine D'!$Q244)</f>
        <v/>
      </c>
      <c r="L132" s="31">
        <f>IF($A132&gt;NYears,"",'Engine D'!$K244-'Engine D'!$P244-'Engine D'!$Q244)</f>
        <v/>
      </c>
      <c r="M132" s="31">
        <f>IF($A132&gt;NYears,"",'Engine D'!$R244)</f>
        <v/>
      </c>
    </row>
    <row r="133">
      <c r="A133" s="29">
        <f>21</f>
        <v/>
      </c>
      <c r="B133" s="30">
        <f>IF($A133&gt;NYears,"",EDATE(StartMonth,$A133*12-1))</f>
        <v/>
      </c>
      <c r="C133" s="24">
        <f>IF($A133&gt;NYears,"",'Engine D'!$E256)</f>
        <v/>
      </c>
      <c r="D133" s="24">
        <f>IF($A133&gt;NYears,"",'Engine D'!$F245)</f>
        <v/>
      </c>
      <c r="E133" s="29">
        <f>IF($A133&gt;NYears,"",'Engine D'!$G245)</f>
        <v/>
      </c>
      <c r="F133" s="29">
        <f>IF($A133&gt;NYears,"",'Engine D'!$S256)</f>
        <v/>
      </c>
      <c r="G133" s="29">
        <f>IF($A133&gt;NYears,"",'Engine D'!$S256-'Engine D'!$G245)</f>
        <v/>
      </c>
      <c r="H133" s="24">
        <f>IF($A133&gt;NYears,"",'Engine D'!$S256*'Engine D'!$E256)</f>
        <v/>
      </c>
      <c r="I133" s="31">
        <f>IF($A133&gt;NYears,"",'Engine D'!$K256)</f>
        <v/>
      </c>
      <c r="J133" s="24">
        <f>IF($A133&gt;NYears,"",'Engine D'!$P256)</f>
        <v/>
      </c>
      <c r="K133" s="24">
        <f>IF($A133&gt;NYears,"",'Engine D'!$Q256)</f>
        <v/>
      </c>
      <c r="L133" s="31">
        <f>IF($A133&gt;NYears,"",'Engine D'!$K256-'Engine D'!$P256-'Engine D'!$Q256)</f>
        <v/>
      </c>
      <c r="M133" s="31">
        <f>IF($A133&gt;NYears,"",'Engine D'!$R256)</f>
        <v/>
      </c>
    </row>
    <row r="134">
      <c r="A134" s="29">
        <f>22</f>
        <v/>
      </c>
      <c r="B134" s="30">
        <f>IF($A134&gt;NYears,"",EDATE(StartMonth,$A134*12-1))</f>
        <v/>
      </c>
      <c r="C134" s="24">
        <f>IF($A134&gt;NYears,"",'Engine D'!$E268)</f>
        <v/>
      </c>
      <c r="D134" s="24">
        <f>IF($A134&gt;NYears,"",'Engine D'!$F257)</f>
        <v/>
      </c>
      <c r="E134" s="29">
        <f>IF($A134&gt;NYears,"",'Engine D'!$G257)</f>
        <v/>
      </c>
      <c r="F134" s="29">
        <f>IF($A134&gt;NYears,"",'Engine D'!$S268)</f>
        <v/>
      </c>
      <c r="G134" s="29">
        <f>IF($A134&gt;NYears,"",'Engine D'!$S268-'Engine D'!$G257)</f>
        <v/>
      </c>
      <c r="H134" s="24">
        <f>IF($A134&gt;NYears,"",'Engine D'!$S268*'Engine D'!$E268)</f>
        <v/>
      </c>
      <c r="I134" s="31">
        <f>IF($A134&gt;NYears,"",'Engine D'!$K268)</f>
        <v/>
      </c>
      <c r="J134" s="24">
        <f>IF($A134&gt;NYears,"",'Engine D'!$P268)</f>
        <v/>
      </c>
      <c r="K134" s="24">
        <f>IF($A134&gt;NYears,"",'Engine D'!$Q268)</f>
        <v/>
      </c>
      <c r="L134" s="31">
        <f>IF($A134&gt;NYears,"",'Engine D'!$K268-'Engine D'!$P268-'Engine D'!$Q268)</f>
        <v/>
      </c>
      <c r="M134" s="31">
        <f>IF($A134&gt;NYears,"",'Engine D'!$R268)</f>
        <v/>
      </c>
    </row>
    <row r="135">
      <c r="A135" s="29">
        <f>23</f>
        <v/>
      </c>
      <c r="B135" s="30">
        <f>IF($A135&gt;NYears,"",EDATE(StartMonth,$A135*12-1))</f>
        <v/>
      </c>
      <c r="C135" s="24">
        <f>IF($A135&gt;NYears,"",'Engine D'!$E280)</f>
        <v/>
      </c>
      <c r="D135" s="24">
        <f>IF($A135&gt;NYears,"",'Engine D'!$F269)</f>
        <v/>
      </c>
      <c r="E135" s="29">
        <f>IF($A135&gt;NYears,"",'Engine D'!$G269)</f>
        <v/>
      </c>
      <c r="F135" s="29">
        <f>IF($A135&gt;NYears,"",'Engine D'!$S280)</f>
        <v/>
      </c>
      <c r="G135" s="29">
        <f>IF($A135&gt;NYears,"",'Engine D'!$S280-'Engine D'!$G269)</f>
        <v/>
      </c>
      <c r="H135" s="24">
        <f>IF($A135&gt;NYears,"",'Engine D'!$S280*'Engine D'!$E280)</f>
        <v/>
      </c>
      <c r="I135" s="31">
        <f>IF($A135&gt;NYears,"",'Engine D'!$K280)</f>
        <v/>
      </c>
      <c r="J135" s="24">
        <f>IF($A135&gt;NYears,"",'Engine D'!$P280)</f>
        <v/>
      </c>
      <c r="K135" s="24">
        <f>IF($A135&gt;NYears,"",'Engine D'!$Q280)</f>
        <v/>
      </c>
      <c r="L135" s="31">
        <f>IF($A135&gt;NYears,"",'Engine D'!$K280-'Engine D'!$P280-'Engine D'!$Q280)</f>
        <v/>
      </c>
      <c r="M135" s="31">
        <f>IF($A135&gt;NYears,"",'Engine D'!$R280)</f>
        <v/>
      </c>
    </row>
    <row r="136">
      <c r="A136" s="29">
        <f>24</f>
        <v/>
      </c>
      <c r="B136" s="30">
        <f>IF($A136&gt;NYears,"",EDATE(StartMonth,$A136*12-1))</f>
        <v/>
      </c>
      <c r="C136" s="24">
        <f>IF($A136&gt;NYears,"",'Engine D'!$E292)</f>
        <v/>
      </c>
      <c r="D136" s="24">
        <f>IF($A136&gt;NYears,"",'Engine D'!$F281)</f>
        <v/>
      </c>
      <c r="E136" s="29">
        <f>IF($A136&gt;NYears,"",'Engine D'!$G281)</f>
        <v/>
      </c>
      <c r="F136" s="29">
        <f>IF($A136&gt;NYears,"",'Engine D'!$S292)</f>
        <v/>
      </c>
      <c r="G136" s="29">
        <f>IF($A136&gt;NYears,"",'Engine D'!$S292-'Engine D'!$G281)</f>
        <v/>
      </c>
      <c r="H136" s="24">
        <f>IF($A136&gt;NYears,"",'Engine D'!$S292*'Engine D'!$E292)</f>
        <v/>
      </c>
      <c r="I136" s="31">
        <f>IF($A136&gt;NYears,"",'Engine D'!$K292)</f>
        <v/>
      </c>
      <c r="J136" s="24">
        <f>IF($A136&gt;NYears,"",'Engine D'!$P292)</f>
        <v/>
      </c>
      <c r="K136" s="24">
        <f>IF($A136&gt;NYears,"",'Engine D'!$Q292)</f>
        <v/>
      </c>
      <c r="L136" s="31">
        <f>IF($A136&gt;NYears,"",'Engine D'!$K292-'Engine D'!$P292-'Engine D'!$Q292)</f>
        <v/>
      </c>
      <c r="M136" s="31">
        <f>IF($A136&gt;NYears,"",'Engine D'!$R292)</f>
        <v/>
      </c>
    </row>
    <row r="137">
      <c r="A137" s="29">
        <f>25</f>
        <v/>
      </c>
      <c r="B137" s="30">
        <f>IF($A137&gt;NYears,"",EDATE(StartMonth,$A137*12-1))</f>
        <v/>
      </c>
      <c r="C137" s="24">
        <f>IF($A137&gt;NYears,"",'Engine D'!$E304)</f>
        <v/>
      </c>
      <c r="D137" s="24">
        <f>IF($A137&gt;NYears,"",'Engine D'!$F293)</f>
        <v/>
      </c>
      <c r="E137" s="29">
        <f>IF($A137&gt;NYears,"",'Engine D'!$G293)</f>
        <v/>
      </c>
      <c r="F137" s="29">
        <f>IF($A137&gt;NYears,"",'Engine D'!$S304)</f>
        <v/>
      </c>
      <c r="G137" s="29">
        <f>IF($A137&gt;NYears,"",'Engine D'!$S304-'Engine D'!$G293)</f>
        <v/>
      </c>
      <c r="H137" s="24">
        <f>IF($A137&gt;NYears,"",'Engine D'!$S304*'Engine D'!$E304)</f>
        <v/>
      </c>
      <c r="I137" s="31">
        <f>IF($A137&gt;NYears,"",'Engine D'!$K304)</f>
        <v/>
      </c>
      <c r="J137" s="24">
        <f>IF($A137&gt;NYears,"",'Engine D'!$P304)</f>
        <v/>
      </c>
      <c r="K137" s="24">
        <f>IF($A137&gt;NYears,"",'Engine D'!$Q304)</f>
        <v/>
      </c>
      <c r="L137" s="31">
        <f>IF($A137&gt;NYears,"",'Engine D'!$K304-'Engine D'!$P304-'Engine D'!$Q304)</f>
        <v/>
      </c>
      <c r="M137" s="31">
        <f>IF($A137&gt;NYears,"",'Engine D'!$R304)</f>
        <v/>
      </c>
    </row>
    <row r="138">
      <c r="A138" s="29">
        <f>26</f>
        <v/>
      </c>
      <c r="B138" s="30">
        <f>IF($A138&gt;NYears,"",EDATE(StartMonth,$A138*12-1))</f>
        <v/>
      </c>
      <c r="C138" s="24">
        <f>IF($A138&gt;NYears,"",'Engine D'!$E316)</f>
        <v/>
      </c>
      <c r="D138" s="24">
        <f>IF($A138&gt;NYears,"",'Engine D'!$F305)</f>
        <v/>
      </c>
      <c r="E138" s="29">
        <f>IF($A138&gt;NYears,"",'Engine D'!$G305)</f>
        <v/>
      </c>
      <c r="F138" s="29">
        <f>IF($A138&gt;NYears,"",'Engine D'!$S316)</f>
        <v/>
      </c>
      <c r="G138" s="29">
        <f>IF($A138&gt;NYears,"",'Engine D'!$S316-'Engine D'!$G305)</f>
        <v/>
      </c>
      <c r="H138" s="24">
        <f>IF($A138&gt;NYears,"",'Engine D'!$S316*'Engine D'!$E316)</f>
        <v/>
      </c>
      <c r="I138" s="31">
        <f>IF($A138&gt;NYears,"",'Engine D'!$K316)</f>
        <v/>
      </c>
      <c r="J138" s="24">
        <f>IF($A138&gt;NYears,"",'Engine D'!$P316)</f>
        <v/>
      </c>
      <c r="K138" s="24">
        <f>IF($A138&gt;NYears,"",'Engine D'!$Q316)</f>
        <v/>
      </c>
      <c r="L138" s="31">
        <f>IF($A138&gt;NYears,"",'Engine D'!$K316-'Engine D'!$P316-'Engine D'!$Q316)</f>
        <v/>
      </c>
      <c r="M138" s="31">
        <f>IF($A138&gt;NYears,"",'Engine D'!$R316)</f>
        <v/>
      </c>
    </row>
    <row r="139">
      <c r="A139" s="29">
        <f>27</f>
        <v/>
      </c>
      <c r="B139" s="30">
        <f>IF($A139&gt;NYears,"",EDATE(StartMonth,$A139*12-1))</f>
        <v/>
      </c>
      <c r="C139" s="24">
        <f>IF($A139&gt;NYears,"",'Engine D'!$E328)</f>
        <v/>
      </c>
      <c r="D139" s="24">
        <f>IF($A139&gt;NYears,"",'Engine D'!$F317)</f>
        <v/>
      </c>
      <c r="E139" s="29">
        <f>IF($A139&gt;NYears,"",'Engine D'!$G317)</f>
        <v/>
      </c>
      <c r="F139" s="29">
        <f>IF($A139&gt;NYears,"",'Engine D'!$S328)</f>
        <v/>
      </c>
      <c r="G139" s="29">
        <f>IF($A139&gt;NYears,"",'Engine D'!$S328-'Engine D'!$G317)</f>
        <v/>
      </c>
      <c r="H139" s="24">
        <f>IF($A139&gt;NYears,"",'Engine D'!$S328*'Engine D'!$E328)</f>
        <v/>
      </c>
      <c r="I139" s="31">
        <f>IF($A139&gt;NYears,"",'Engine D'!$K328)</f>
        <v/>
      </c>
      <c r="J139" s="24">
        <f>IF($A139&gt;NYears,"",'Engine D'!$P328)</f>
        <v/>
      </c>
      <c r="K139" s="24">
        <f>IF($A139&gt;NYears,"",'Engine D'!$Q328)</f>
        <v/>
      </c>
      <c r="L139" s="31">
        <f>IF($A139&gt;NYears,"",'Engine D'!$K328-'Engine D'!$P328-'Engine D'!$Q328)</f>
        <v/>
      </c>
      <c r="M139" s="31">
        <f>IF($A139&gt;NYears,"",'Engine D'!$R328)</f>
        <v/>
      </c>
    </row>
    <row r="140">
      <c r="A140" s="29">
        <f>28</f>
        <v/>
      </c>
      <c r="B140" s="30">
        <f>IF($A140&gt;NYears,"",EDATE(StartMonth,$A140*12-1))</f>
        <v/>
      </c>
      <c r="C140" s="24">
        <f>IF($A140&gt;NYears,"",'Engine D'!$E340)</f>
        <v/>
      </c>
      <c r="D140" s="24">
        <f>IF($A140&gt;NYears,"",'Engine D'!$F329)</f>
        <v/>
      </c>
      <c r="E140" s="29">
        <f>IF($A140&gt;NYears,"",'Engine D'!$G329)</f>
        <v/>
      </c>
      <c r="F140" s="29">
        <f>IF($A140&gt;NYears,"",'Engine D'!$S340)</f>
        <v/>
      </c>
      <c r="G140" s="29">
        <f>IF($A140&gt;NYears,"",'Engine D'!$S340-'Engine D'!$G329)</f>
        <v/>
      </c>
      <c r="H140" s="24">
        <f>IF($A140&gt;NYears,"",'Engine D'!$S340*'Engine D'!$E340)</f>
        <v/>
      </c>
      <c r="I140" s="31">
        <f>IF($A140&gt;NYears,"",'Engine D'!$K340)</f>
        <v/>
      </c>
      <c r="J140" s="24">
        <f>IF($A140&gt;NYears,"",'Engine D'!$P340)</f>
        <v/>
      </c>
      <c r="K140" s="24">
        <f>IF($A140&gt;NYears,"",'Engine D'!$Q340)</f>
        <v/>
      </c>
      <c r="L140" s="31">
        <f>IF($A140&gt;NYears,"",'Engine D'!$K340-'Engine D'!$P340-'Engine D'!$Q340)</f>
        <v/>
      </c>
      <c r="M140" s="31">
        <f>IF($A140&gt;NYears,"",'Engine D'!$R340)</f>
        <v/>
      </c>
    </row>
    <row r="141">
      <c r="A141" s="29">
        <f>29</f>
        <v/>
      </c>
      <c r="B141" s="30">
        <f>IF($A141&gt;NYears,"",EDATE(StartMonth,$A141*12-1))</f>
        <v/>
      </c>
      <c r="C141" s="24">
        <f>IF($A141&gt;NYears,"",'Engine D'!$E352)</f>
        <v/>
      </c>
      <c r="D141" s="24">
        <f>IF($A141&gt;NYears,"",'Engine D'!$F341)</f>
        <v/>
      </c>
      <c r="E141" s="29">
        <f>IF($A141&gt;NYears,"",'Engine D'!$G341)</f>
        <v/>
      </c>
      <c r="F141" s="29">
        <f>IF($A141&gt;NYears,"",'Engine D'!$S352)</f>
        <v/>
      </c>
      <c r="G141" s="29">
        <f>IF($A141&gt;NYears,"",'Engine D'!$S352-'Engine D'!$G341)</f>
        <v/>
      </c>
      <c r="H141" s="24">
        <f>IF($A141&gt;NYears,"",'Engine D'!$S352*'Engine D'!$E352)</f>
        <v/>
      </c>
      <c r="I141" s="31">
        <f>IF($A141&gt;NYears,"",'Engine D'!$K352)</f>
        <v/>
      </c>
      <c r="J141" s="24">
        <f>IF($A141&gt;NYears,"",'Engine D'!$P352)</f>
        <v/>
      </c>
      <c r="K141" s="24">
        <f>IF($A141&gt;NYears,"",'Engine D'!$Q352)</f>
        <v/>
      </c>
      <c r="L141" s="31">
        <f>IF($A141&gt;NYears,"",'Engine D'!$K352-'Engine D'!$P352-'Engine D'!$Q352)</f>
        <v/>
      </c>
      <c r="M141" s="31">
        <f>IF($A141&gt;NYears,"",'Engine D'!$R352)</f>
        <v/>
      </c>
    </row>
    <row r="142">
      <c r="A142" s="29">
        <f>30</f>
        <v/>
      </c>
      <c r="B142" s="30">
        <f>IF($A142&gt;NYears,"",EDATE(StartMonth,$A142*12-1))</f>
        <v/>
      </c>
      <c r="C142" s="24">
        <f>IF($A142&gt;NYears,"",'Engine D'!$E364)</f>
        <v/>
      </c>
      <c r="D142" s="24">
        <f>IF($A142&gt;NYears,"",'Engine D'!$F353)</f>
        <v/>
      </c>
      <c r="E142" s="29">
        <f>IF($A142&gt;NYears,"",'Engine D'!$G353)</f>
        <v/>
      </c>
      <c r="F142" s="29">
        <f>IF($A142&gt;NYears,"",'Engine D'!$S364)</f>
        <v/>
      </c>
      <c r="G142" s="29">
        <f>IF($A142&gt;NYears,"",'Engine D'!$S364-'Engine D'!$G353)</f>
        <v/>
      </c>
      <c r="H142" s="24">
        <f>IF($A142&gt;NYears,"",'Engine D'!$S364*'Engine D'!$E364)</f>
        <v/>
      </c>
      <c r="I142" s="31">
        <f>IF($A142&gt;NYears,"",'Engine D'!$K364)</f>
        <v/>
      </c>
      <c r="J142" s="24">
        <f>IF($A142&gt;NYears,"",'Engine D'!$P364)</f>
        <v/>
      </c>
      <c r="K142" s="24">
        <f>IF($A142&gt;NYears,"",'Engine D'!$Q364)</f>
        <v/>
      </c>
      <c r="L142" s="31">
        <f>IF($A142&gt;NYears,"",'Engine D'!$K364-'Engine D'!$P364-'Engine D'!$Q364)</f>
        <v/>
      </c>
      <c r="M142" s="31">
        <f>IF($A142&gt;NYears,"",'Engine D'!$R364)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5" customWidth="1" min="3" max="3"/>
    <col width="8" customWidth="1" min="4" max="4"/>
    <col width="14" customWidth="1" min="5" max="5"/>
    <col width="16" customWidth="1" min="6" max="6"/>
    <col width="7" customWidth="1" min="7" max="7"/>
    <col width="16" customWidth="1" min="8" max="8"/>
    <col width="13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14" customWidth="1" min="15" max="15"/>
    <col width="14" customWidth="1" min="16" max="16"/>
    <col width="14" customWidth="1" min="17" max="17"/>
    <col width="17" customWidth="1" min="18" max="18"/>
    <col width="12" customWidth="1" min="19" max="19"/>
  </cols>
  <sheetData>
    <row r="1">
      <c r="A1" s="1" t="inlineStr">
        <is>
          <t>Monthly engine — Scenario A</t>
        </is>
      </c>
    </row>
    <row r="2">
      <c r="A2" s="5" t="inlineStr">
        <is>
          <t>Monthly return:</t>
        </is>
      </c>
      <c r="B2" s="32">
        <f>RateA</f>
        <v/>
      </c>
      <c r="D2" s="2" t="inlineStr">
        <is>
          <t>One row per month. Returns accrue on DEPLOYED capital only; idle cash earns nothing until it funds a whole lot.</t>
        </is>
      </c>
    </row>
    <row r="4">
      <c r="A4" s="18" t="inlineStr">
        <is>
          <t>Month #</t>
        </is>
      </c>
      <c r="B4" s="18" t="inlineStr">
        <is>
          <t>Month</t>
        </is>
      </c>
      <c r="C4" s="18" t="inlineStr">
        <is>
          <t>Yr</t>
        </is>
      </c>
      <c r="D4" s="18" t="inlineStr">
        <is>
          <t>M-in-yr</t>
        </is>
      </c>
      <c r="E4" s="18" t="inlineStr">
        <is>
          <t>Lot value</t>
        </is>
      </c>
      <c r="F4" s="18" t="inlineStr">
        <is>
          <t>Opening corpus</t>
        </is>
      </c>
      <c r="G4" s="18" t="inlineStr">
        <is>
          <t>Lots</t>
        </is>
      </c>
      <c r="H4" s="18" t="inlineStr">
        <is>
          <t>Deployed capital</t>
        </is>
      </c>
      <c r="I4" s="18" t="inlineStr">
        <is>
          <t>Idle cash</t>
        </is>
      </c>
      <c r="J4" s="18" t="inlineStr">
        <is>
          <t>Profit (month)</t>
        </is>
      </c>
      <c r="K4" s="18" t="inlineStr">
        <is>
          <t>Profit YTD</t>
        </is>
      </c>
      <c r="L4" s="18" t="inlineStr">
        <is>
          <t>Profit this qtr</t>
        </is>
      </c>
      <c r="M4" s="18" t="inlineStr">
        <is>
          <t>Slab income</t>
        </is>
      </c>
      <c r="N4" s="18" t="inlineStr">
        <is>
          <t>Tax rate</t>
        </is>
      </c>
      <c r="O4" s="18" t="inlineStr">
        <is>
          <t>Tax deducted</t>
        </is>
      </c>
      <c r="P4" s="18" t="inlineStr">
        <is>
          <t>Tax YTD</t>
        </is>
      </c>
      <c r="Q4" s="18" t="inlineStr">
        <is>
          <t>Withdrawal</t>
        </is>
      </c>
      <c r="R4" s="18" t="inlineStr">
        <is>
          <t>Closing corpus</t>
        </is>
      </c>
      <c r="S4" s="18" t="inlineStr">
        <is>
          <t>Lots at close</t>
        </is>
      </c>
    </row>
    <row r="5">
      <c r="A5" s="33">
        <f>1</f>
        <v/>
      </c>
      <c r="B5" s="34">
        <f>IF($A5&gt;NYears*12,"",EDATE(StartMonth,$A5-1))</f>
        <v/>
      </c>
      <c r="C5" s="33">
        <f>IF($A5&gt;NYears*12,"",INT(($A5-1)/12)+1)</f>
        <v/>
      </c>
      <c r="D5" s="33">
        <f>IF($A5&gt;NYears*12,"",MOD($A5-1,12)+1)</f>
        <v/>
      </c>
      <c r="E5" s="35">
        <f>IF($A5&gt;NYears*12,"",LotValue0*(1+LotGrowth)^($C5-1))</f>
        <v/>
      </c>
      <c r="F5" s="35">
        <f>IF($A5&gt;NYears*12,"",IF($A5=1,InitInvest,$R4))</f>
        <v/>
      </c>
      <c r="G5" s="33">
        <f>IF($A5&gt;NYears*12,"",INT($F5/$E5))</f>
        <v/>
      </c>
      <c r="H5" s="35">
        <f>IF($A5&gt;NYears*12,"",$G5*$E5)</f>
        <v/>
      </c>
      <c r="I5" s="35">
        <f>IF($A5&gt;NYears*12,"",$F5-$H5)</f>
        <v/>
      </c>
      <c r="J5" s="35">
        <f>IF($A5&gt;NYears*12,"",$H5*RateA)</f>
        <v/>
      </c>
      <c r="K5" s="35">
        <f>IF($A5&gt;NYears*12,"",IF($D5=1,$J5,$K4+$J5))</f>
        <v/>
      </c>
      <c r="L5" s="35">
        <f>IF($A5&gt;NYears*12,"",IF(MOD($D5,3)=0,SUM($J3:$J5),0))</f>
        <v/>
      </c>
      <c r="M5" s="35">
        <f>IF($A5&gt;NYears*12,"",IF(TaxFreq="Quarterly",$K5*12/$D5,$K5))</f>
        <v/>
      </c>
      <c r="N5" s="36">
        <f>IF($A5&gt;NYears*12,"",LOOKUP($M5,TaxLower,TaxRate))</f>
        <v/>
      </c>
      <c r="O5" s="35">
        <f>IF($A5&gt;NYears*12,"",IF(TaxFreq="Quarterly",IF(MOD($D5,3)=0,$L5*$N5,0),IF($D5=12,$K5*$N5,0)))</f>
        <v/>
      </c>
      <c r="P5" s="35">
        <f>IF($A5&gt;NYears*12,"",IF($D5=1,$O5,$P4+$O5))</f>
        <v/>
      </c>
      <c r="Q5" s="35">
        <f>IF($A5&gt;NYears*12,"",IF($D5=12,MIN(WdrPct*IF(WdrBase="Post-tax profit",$K5-$P5,$K5),WdrCap),0))</f>
        <v/>
      </c>
      <c r="R5" s="35">
        <f>IF($A5&gt;NYears*12,"",$F5+$J5-$O5-$Q5)</f>
        <v/>
      </c>
      <c r="S5" s="33">
        <f>IF($A5&gt;NYears*12,"",INT($R5/$E5))</f>
        <v/>
      </c>
    </row>
    <row r="6">
      <c r="A6" s="33">
        <f>2</f>
        <v/>
      </c>
      <c r="B6" s="34">
        <f>IF($A6&gt;NYears*12,"",EDATE(StartMonth,$A6-1))</f>
        <v/>
      </c>
      <c r="C6" s="33">
        <f>IF($A6&gt;NYears*12,"",INT(($A6-1)/12)+1)</f>
        <v/>
      </c>
      <c r="D6" s="33">
        <f>IF($A6&gt;NYears*12,"",MOD($A6-1,12)+1)</f>
        <v/>
      </c>
      <c r="E6" s="35">
        <f>IF($A6&gt;NYears*12,"",LotValue0*(1+LotGrowth)^($C6-1))</f>
        <v/>
      </c>
      <c r="F6" s="35">
        <f>IF($A6&gt;NYears*12,"",IF($A6=1,InitInvest,$R5))</f>
        <v/>
      </c>
      <c r="G6" s="33">
        <f>IF($A6&gt;NYears*12,"",INT($F6/$E6))</f>
        <v/>
      </c>
      <c r="H6" s="35">
        <f>IF($A6&gt;NYears*12,"",$G6*$E6)</f>
        <v/>
      </c>
      <c r="I6" s="35">
        <f>IF($A6&gt;NYears*12,"",$F6-$H6)</f>
        <v/>
      </c>
      <c r="J6" s="35">
        <f>IF($A6&gt;NYears*12,"",$H6*RateA)</f>
        <v/>
      </c>
      <c r="K6" s="35">
        <f>IF($A6&gt;NYears*12,"",IF($D6=1,$J6,$K5+$J6))</f>
        <v/>
      </c>
      <c r="L6" s="35">
        <f>IF($A6&gt;NYears*12,"",IF(MOD($D6,3)=0,SUM($J4:$J6),0))</f>
        <v/>
      </c>
      <c r="M6" s="35">
        <f>IF($A6&gt;NYears*12,"",IF(TaxFreq="Quarterly",$K6*12/$D6,$K6))</f>
        <v/>
      </c>
      <c r="N6" s="36">
        <f>IF($A6&gt;NYears*12,"",LOOKUP($M6,TaxLower,TaxRate))</f>
        <v/>
      </c>
      <c r="O6" s="35">
        <f>IF($A6&gt;NYears*12,"",IF(TaxFreq="Quarterly",IF(MOD($D6,3)=0,$L6*$N6,0),IF($D6=12,$K6*$N6,0)))</f>
        <v/>
      </c>
      <c r="P6" s="35">
        <f>IF($A6&gt;NYears*12,"",IF($D6=1,$O6,$P5+$O6))</f>
        <v/>
      </c>
      <c r="Q6" s="35">
        <f>IF($A6&gt;NYears*12,"",IF($D6=12,MIN(WdrPct*IF(WdrBase="Post-tax profit",$K6-$P6,$K6),WdrCap),0))</f>
        <v/>
      </c>
      <c r="R6" s="35">
        <f>IF($A6&gt;NYears*12,"",$F6+$J6-$O6-$Q6)</f>
        <v/>
      </c>
      <c r="S6" s="33">
        <f>IF($A6&gt;NYears*12,"",INT($R6/$E6))</f>
        <v/>
      </c>
    </row>
    <row r="7">
      <c r="A7" s="33">
        <f>3</f>
        <v/>
      </c>
      <c r="B7" s="34">
        <f>IF($A7&gt;NYears*12,"",EDATE(StartMonth,$A7-1))</f>
        <v/>
      </c>
      <c r="C7" s="33">
        <f>IF($A7&gt;NYears*12,"",INT(($A7-1)/12)+1)</f>
        <v/>
      </c>
      <c r="D7" s="33">
        <f>IF($A7&gt;NYears*12,"",MOD($A7-1,12)+1)</f>
        <v/>
      </c>
      <c r="E7" s="35">
        <f>IF($A7&gt;NYears*12,"",LotValue0*(1+LotGrowth)^($C7-1))</f>
        <v/>
      </c>
      <c r="F7" s="35">
        <f>IF($A7&gt;NYears*12,"",IF($A7=1,InitInvest,$R6))</f>
        <v/>
      </c>
      <c r="G7" s="33">
        <f>IF($A7&gt;NYears*12,"",INT($F7/$E7))</f>
        <v/>
      </c>
      <c r="H7" s="35">
        <f>IF($A7&gt;NYears*12,"",$G7*$E7)</f>
        <v/>
      </c>
      <c r="I7" s="35">
        <f>IF($A7&gt;NYears*12,"",$F7-$H7)</f>
        <v/>
      </c>
      <c r="J7" s="35">
        <f>IF($A7&gt;NYears*12,"",$H7*RateA)</f>
        <v/>
      </c>
      <c r="K7" s="35">
        <f>IF($A7&gt;NYears*12,"",IF($D7=1,$J7,$K6+$J7))</f>
        <v/>
      </c>
      <c r="L7" s="35">
        <f>IF($A7&gt;NYears*12,"",IF(MOD($D7,3)=0,SUM($J5:$J7),0))</f>
        <v/>
      </c>
      <c r="M7" s="35">
        <f>IF($A7&gt;NYears*12,"",IF(TaxFreq="Quarterly",$K7*12/$D7,$K7))</f>
        <v/>
      </c>
      <c r="N7" s="36">
        <f>IF($A7&gt;NYears*12,"",LOOKUP($M7,TaxLower,TaxRate))</f>
        <v/>
      </c>
      <c r="O7" s="35">
        <f>IF($A7&gt;NYears*12,"",IF(TaxFreq="Quarterly",IF(MOD($D7,3)=0,$L7*$N7,0),IF($D7=12,$K7*$N7,0)))</f>
        <v/>
      </c>
      <c r="P7" s="35">
        <f>IF($A7&gt;NYears*12,"",IF($D7=1,$O7,$P6+$O7))</f>
        <v/>
      </c>
      <c r="Q7" s="35">
        <f>IF($A7&gt;NYears*12,"",IF($D7=12,MIN(WdrPct*IF(WdrBase="Post-tax profit",$K7-$P7,$K7),WdrCap),0))</f>
        <v/>
      </c>
      <c r="R7" s="35">
        <f>IF($A7&gt;NYears*12,"",$F7+$J7-$O7-$Q7)</f>
        <v/>
      </c>
      <c r="S7" s="33">
        <f>IF($A7&gt;NYears*12,"",INT($R7/$E7))</f>
        <v/>
      </c>
    </row>
    <row r="8">
      <c r="A8" s="33">
        <f>4</f>
        <v/>
      </c>
      <c r="B8" s="34">
        <f>IF($A8&gt;NYears*12,"",EDATE(StartMonth,$A8-1))</f>
        <v/>
      </c>
      <c r="C8" s="33">
        <f>IF($A8&gt;NYears*12,"",INT(($A8-1)/12)+1)</f>
        <v/>
      </c>
      <c r="D8" s="33">
        <f>IF($A8&gt;NYears*12,"",MOD($A8-1,12)+1)</f>
        <v/>
      </c>
      <c r="E8" s="35">
        <f>IF($A8&gt;NYears*12,"",LotValue0*(1+LotGrowth)^($C8-1))</f>
        <v/>
      </c>
      <c r="F8" s="35">
        <f>IF($A8&gt;NYears*12,"",IF($A8=1,InitInvest,$R7))</f>
        <v/>
      </c>
      <c r="G8" s="33">
        <f>IF($A8&gt;NYears*12,"",INT($F8/$E8))</f>
        <v/>
      </c>
      <c r="H8" s="35">
        <f>IF($A8&gt;NYears*12,"",$G8*$E8)</f>
        <v/>
      </c>
      <c r="I8" s="35">
        <f>IF($A8&gt;NYears*12,"",$F8-$H8)</f>
        <v/>
      </c>
      <c r="J8" s="35">
        <f>IF($A8&gt;NYears*12,"",$H8*RateA)</f>
        <v/>
      </c>
      <c r="K8" s="35">
        <f>IF($A8&gt;NYears*12,"",IF($D8=1,$J8,$K7+$J8))</f>
        <v/>
      </c>
      <c r="L8" s="35">
        <f>IF($A8&gt;NYears*12,"",IF(MOD($D8,3)=0,SUM($J6:$J8),0))</f>
        <v/>
      </c>
      <c r="M8" s="35">
        <f>IF($A8&gt;NYears*12,"",IF(TaxFreq="Quarterly",$K8*12/$D8,$K8))</f>
        <v/>
      </c>
      <c r="N8" s="36">
        <f>IF($A8&gt;NYears*12,"",LOOKUP($M8,TaxLower,TaxRate))</f>
        <v/>
      </c>
      <c r="O8" s="35">
        <f>IF($A8&gt;NYears*12,"",IF(TaxFreq="Quarterly",IF(MOD($D8,3)=0,$L8*$N8,0),IF($D8=12,$K8*$N8,0)))</f>
        <v/>
      </c>
      <c r="P8" s="35">
        <f>IF($A8&gt;NYears*12,"",IF($D8=1,$O8,$P7+$O8))</f>
        <v/>
      </c>
      <c r="Q8" s="35">
        <f>IF($A8&gt;NYears*12,"",IF($D8=12,MIN(WdrPct*IF(WdrBase="Post-tax profit",$K8-$P8,$K8),WdrCap),0))</f>
        <v/>
      </c>
      <c r="R8" s="35">
        <f>IF($A8&gt;NYears*12,"",$F8+$J8-$O8-$Q8)</f>
        <v/>
      </c>
      <c r="S8" s="33">
        <f>IF($A8&gt;NYears*12,"",INT($R8/$E8))</f>
        <v/>
      </c>
    </row>
    <row r="9">
      <c r="A9" s="33">
        <f>5</f>
        <v/>
      </c>
      <c r="B9" s="34">
        <f>IF($A9&gt;NYears*12,"",EDATE(StartMonth,$A9-1))</f>
        <v/>
      </c>
      <c r="C9" s="33">
        <f>IF($A9&gt;NYears*12,"",INT(($A9-1)/12)+1)</f>
        <v/>
      </c>
      <c r="D9" s="33">
        <f>IF($A9&gt;NYears*12,"",MOD($A9-1,12)+1)</f>
        <v/>
      </c>
      <c r="E9" s="35">
        <f>IF($A9&gt;NYears*12,"",LotValue0*(1+LotGrowth)^($C9-1))</f>
        <v/>
      </c>
      <c r="F9" s="35">
        <f>IF($A9&gt;NYears*12,"",IF($A9=1,InitInvest,$R8))</f>
        <v/>
      </c>
      <c r="G9" s="33">
        <f>IF($A9&gt;NYears*12,"",INT($F9/$E9))</f>
        <v/>
      </c>
      <c r="H9" s="35">
        <f>IF($A9&gt;NYears*12,"",$G9*$E9)</f>
        <v/>
      </c>
      <c r="I9" s="35">
        <f>IF($A9&gt;NYears*12,"",$F9-$H9)</f>
        <v/>
      </c>
      <c r="J9" s="35">
        <f>IF($A9&gt;NYears*12,"",$H9*RateA)</f>
        <v/>
      </c>
      <c r="K9" s="35">
        <f>IF($A9&gt;NYears*12,"",IF($D9=1,$J9,$K8+$J9))</f>
        <v/>
      </c>
      <c r="L9" s="35">
        <f>IF($A9&gt;NYears*12,"",IF(MOD($D9,3)=0,SUM($J7:$J9),0))</f>
        <v/>
      </c>
      <c r="M9" s="35">
        <f>IF($A9&gt;NYears*12,"",IF(TaxFreq="Quarterly",$K9*12/$D9,$K9))</f>
        <v/>
      </c>
      <c r="N9" s="36">
        <f>IF($A9&gt;NYears*12,"",LOOKUP($M9,TaxLower,TaxRate))</f>
        <v/>
      </c>
      <c r="O9" s="35">
        <f>IF($A9&gt;NYears*12,"",IF(TaxFreq="Quarterly",IF(MOD($D9,3)=0,$L9*$N9,0),IF($D9=12,$K9*$N9,0)))</f>
        <v/>
      </c>
      <c r="P9" s="35">
        <f>IF($A9&gt;NYears*12,"",IF($D9=1,$O9,$P8+$O9))</f>
        <v/>
      </c>
      <c r="Q9" s="35">
        <f>IF($A9&gt;NYears*12,"",IF($D9=12,MIN(WdrPct*IF(WdrBase="Post-tax profit",$K9-$P9,$K9),WdrCap),0))</f>
        <v/>
      </c>
      <c r="R9" s="35">
        <f>IF($A9&gt;NYears*12,"",$F9+$J9-$O9-$Q9)</f>
        <v/>
      </c>
      <c r="S9" s="33">
        <f>IF($A9&gt;NYears*12,"",INT($R9/$E9))</f>
        <v/>
      </c>
    </row>
    <row r="10">
      <c r="A10" s="33">
        <f>6</f>
        <v/>
      </c>
      <c r="B10" s="34">
        <f>IF($A10&gt;NYears*12,"",EDATE(StartMonth,$A10-1))</f>
        <v/>
      </c>
      <c r="C10" s="33">
        <f>IF($A10&gt;NYears*12,"",INT(($A10-1)/12)+1)</f>
        <v/>
      </c>
      <c r="D10" s="33">
        <f>IF($A10&gt;NYears*12,"",MOD($A10-1,12)+1)</f>
        <v/>
      </c>
      <c r="E10" s="35">
        <f>IF($A10&gt;NYears*12,"",LotValue0*(1+LotGrowth)^($C10-1))</f>
        <v/>
      </c>
      <c r="F10" s="35">
        <f>IF($A10&gt;NYears*12,"",IF($A10=1,InitInvest,$R9))</f>
        <v/>
      </c>
      <c r="G10" s="33">
        <f>IF($A10&gt;NYears*12,"",INT($F10/$E10))</f>
        <v/>
      </c>
      <c r="H10" s="35">
        <f>IF($A10&gt;NYears*12,"",$G10*$E10)</f>
        <v/>
      </c>
      <c r="I10" s="35">
        <f>IF($A10&gt;NYears*12,"",$F10-$H10)</f>
        <v/>
      </c>
      <c r="J10" s="35">
        <f>IF($A10&gt;NYears*12,"",$H10*RateA)</f>
        <v/>
      </c>
      <c r="K10" s="35">
        <f>IF($A10&gt;NYears*12,"",IF($D10=1,$J10,$K9+$J10))</f>
        <v/>
      </c>
      <c r="L10" s="35">
        <f>IF($A10&gt;NYears*12,"",IF(MOD($D10,3)=0,SUM($J8:$J10),0))</f>
        <v/>
      </c>
      <c r="M10" s="35">
        <f>IF($A10&gt;NYears*12,"",IF(TaxFreq="Quarterly",$K10*12/$D10,$K10))</f>
        <v/>
      </c>
      <c r="N10" s="36">
        <f>IF($A10&gt;NYears*12,"",LOOKUP($M10,TaxLower,TaxRate))</f>
        <v/>
      </c>
      <c r="O10" s="35">
        <f>IF($A10&gt;NYears*12,"",IF(TaxFreq="Quarterly",IF(MOD($D10,3)=0,$L10*$N10,0),IF($D10=12,$K10*$N10,0)))</f>
        <v/>
      </c>
      <c r="P10" s="35">
        <f>IF($A10&gt;NYears*12,"",IF($D10=1,$O10,$P9+$O10))</f>
        <v/>
      </c>
      <c r="Q10" s="35">
        <f>IF($A10&gt;NYears*12,"",IF($D10=12,MIN(WdrPct*IF(WdrBase="Post-tax profit",$K10-$P10,$K10),WdrCap),0))</f>
        <v/>
      </c>
      <c r="R10" s="35">
        <f>IF($A10&gt;NYears*12,"",$F10+$J10-$O10-$Q10)</f>
        <v/>
      </c>
      <c r="S10" s="33">
        <f>IF($A10&gt;NYears*12,"",INT($R10/$E10))</f>
        <v/>
      </c>
    </row>
    <row r="11">
      <c r="A11" s="33">
        <f>7</f>
        <v/>
      </c>
      <c r="B11" s="34">
        <f>IF($A11&gt;NYears*12,"",EDATE(StartMonth,$A11-1))</f>
        <v/>
      </c>
      <c r="C11" s="33">
        <f>IF($A11&gt;NYears*12,"",INT(($A11-1)/12)+1)</f>
        <v/>
      </c>
      <c r="D11" s="33">
        <f>IF($A11&gt;NYears*12,"",MOD($A11-1,12)+1)</f>
        <v/>
      </c>
      <c r="E11" s="35">
        <f>IF($A11&gt;NYears*12,"",LotValue0*(1+LotGrowth)^($C11-1))</f>
        <v/>
      </c>
      <c r="F11" s="35">
        <f>IF($A11&gt;NYears*12,"",IF($A11=1,InitInvest,$R10))</f>
        <v/>
      </c>
      <c r="G11" s="33">
        <f>IF($A11&gt;NYears*12,"",INT($F11/$E11))</f>
        <v/>
      </c>
      <c r="H11" s="35">
        <f>IF($A11&gt;NYears*12,"",$G11*$E11)</f>
        <v/>
      </c>
      <c r="I11" s="35">
        <f>IF($A11&gt;NYears*12,"",$F11-$H11)</f>
        <v/>
      </c>
      <c r="J11" s="35">
        <f>IF($A11&gt;NYears*12,"",$H11*RateA)</f>
        <v/>
      </c>
      <c r="K11" s="35">
        <f>IF($A11&gt;NYears*12,"",IF($D11=1,$J11,$K10+$J11))</f>
        <v/>
      </c>
      <c r="L11" s="35">
        <f>IF($A11&gt;NYears*12,"",IF(MOD($D11,3)=0,SUM($J9:$J11),0))</f>
        <v/>
      </c>
      <c r="M11" s="35">
        <f>IF($A11&gt;NYears*12,"",IF(TaxFreq="Quarterly",$K11*12/$D11,$K11))</f>
        <v/>
      </c>
      <c r="N11" s="36">
        <f>IF($A11&gt;NYears*12,"",LOOKUP($M11,TaxLower,TaxRate))</f>
        <v/>
      </c>
      <c r="O11" s="35">
        <f>IF($A11&gt;NYears*12,"",IF(TaxFreq="Quarterly",IF(MOD($D11,3)=0,$L11*$N11,0),IF($D11=12,$K11*$N11,0)))</f>
        <v/>
      </c>
      <c r="P11" s="35">
        <f>IF($A11&gt;NYears*12,"",IF($D11=1,$O11,$P10+$O11))</f>
        <v/>
      </c>
      <c r="Q11" s="35">
        <f>IF($A11&gt;NYears*12,"",IF($D11=12,MIN(WdrPct*IF(WdrBase="Post-tax profit",$K11-$P11,$K11),WdrCap),0))</f>
        <v/>
      </c>
      <c r="R11" s="35">
        <f>IF($A11&gt;NYears*12,"",$F11+$J11-$O11-$Q11)</f>
        <v/>
      </c>
      <c r="S11" s="33">
        <f>IF($A11&gt;NYears*12,"",INT($R11/$E11))</f>
        <v/>
      </c>
    </row>
    <row r="12">
      <c r="A12" s="33">
        <f>8</f>
        <v/>
      </c>
      <c r="B12" s="34">
        <f>IF($A12&gt;NYears*12,"",EDATE(StartMonth,$A12-1))</f>
        <v/>
      </c>
      <c r="C12" s="33">
        <f>IF($A12&gt;NYears*12,"",INT(($A12-1)/12)+1)</f>
        <v/>
      </c>
      <c r="D12" s="33">
        <f>IF($A12&gt;NYears*12,"",MOD($A12-1,12)+1)</f>
        <v/>
      </c>
      <c r="E12" s="35">
        <f>IF($A12&gt;NYears*12,"",LotValue0*(1+LotGrowth)^($C12-1))</f>
        <v/>
      </c>
      <c r="F12" s="35">
        <f>IF($A12&gt;NYears*12,"",IF($A12=1,InitInvest,$R11))</f>
        <v/>
      </c>
      <c r="G12" s="33">
        <f>IF($A12&gt;NYears*12,"",INT($F12/$E12))</f>
        <v/>
      </c>
      <c r="H12" s="35">
        <f>IF($A12&gt;NYears*12,"",$G12*$E12)</f>
        <v/>
      </c>
      <c r="I12" s="35">
        <f>IF($A12&gt;NYears*12,"",$F12-$H12)</f>
        <v/>
      </c>
      <c r="J12" s="35">
        <f>IF($A12&gt;NYears*12,"",$H12*RateA)</f>
        <v/>
      </c>
      <c r="K12" s="35">
        <f>IF($A12&gt;NYears*12,"",IF($D12=1,$J12,$K11+$J12))</f>
        <v/>
      </c>
      <c r="L12" s="35">
        <f>IF($A12&gt;NYears*12,"",IF(MOD($D12,3)=0,SUM($J10:$J12),0))</f>
        <v/>
      </c>
      <c r="M12" s="35">
        <f>IF($A12&gt;NYears*12,"",IF(TaxFreq="Quarterly",$K12*12/$D12,$K12))</f>
        <v/>
      </c>
      <c r="N12" s="36">
        <f>IF($A12&gt;NYears*12,"",LOOKUP($M12,TaxLower,TaxRate))</f>
        <v/>
      </c>
      <c r="O12" s="35">
        <f>IF($A12&gt;NYears*12,"",IF(TaxFreq="Quarterly",IF(MOD($D12,3)=0,$L12*$N12,0),IF($D12=12,$K12*$N12,0)))</f>
        <v/>
      </c>
      <c r="P12" s="35">
        <f>IF($A12&gt;NYears*12,"",IF($D12=1,$O12,$P11+$O12))</f>
        <v/>
      </c>
      <c r="Q12" s="35">
        <f>IF($A12&gt;NYears*12,"",IF($D12=12,MIN(WdrPct*IF(WdrBase="Post-tax profit",$K12-$P12,$K12),WdrCap),0))</f>
        <v/>
      </c>
      <c r="R12" s="35">
        <f>IF($A12&gt;NYears*12,"",$F12+$J12-$O12-$Q12)</f>
        <v/>
      </c>
      <c r="S12" s="33">
        <f>IF($A12&gt;NYears*12,"",INT($R12/$E12))</f>
        <v/>
      </c>
    </row>
    <row r="13">
      <c r="A13" s="33">
        <f>9</f>
        <v/>
      </c>
      <c r="B13" s="34">
        <f>IF($A13&gt;NYears*12,"",EDATE(StartMonth,$A13-1))</f>
        <v/>
      </c>
      <c r="C13" s="33">
        <f>IF($A13&gt;NYears*12,"",INT(($A13-1)/12)+1)</f>
        <v/>
      </c>
      <c r="D13" s="33">
        <f>IF($A13&gt;NYears*12,"",MOD($A13-1,12)+1)</f>
        <v/>
      </c>
      <c r="E13" s="35">
        <f>IF($A13&gt;NYears*12,"",LotValue0*(1+LotGrowth)^($C13-1))</f>
        <v/>
      </c>
      <c r="F13" s="35">
        <f>IF($A13&gt;NYears*12,"",IF($A13=1,InitInvest,$R12))</f>
        <v/>
      </c>
      <c r="G13" s="33">
        <f>IF($A13&gt;NYears*12,"",INT($F13/$E13))</f>
        <v/>
      </c>
      <c r="H13" s="35">
        <f>IF($A13&gt;NYears*12,"",$G13*$E13)</f>
        <v/>
      </c>
      <c r="I13" s="35">
        <f>IF($A13&gt;NYears*12,"",$F13-$H13)</f>
        <v/>
      </c>
      <c r="J13" s="35">
        <f>IF($A13&gt;NYears*12,"",$H13*RateA)</f>
        <v/>
      </c>
      <c r="K13" s="35">
        <f>IF($A13&gt;NYears*12,"",IF($D13=1,$J13,$K12+$J13))</f>
        <v/>
      </c>
      <c r="L13" s="35">
        <f>IF($A13&gt;NYears*12,"",IF(MOD($D13,3)=0,SUM($J11:$J13),0))</f>
        <v/>
      </c>
      <c r="M13" s="35">
        <f>IF($A13&gt;NYears*12,"",IF(TaxFreq="Quarterly",$K13*12/$D13,$K13))</f>
        <v/>
      </c>
      <c r="N13" s="36">
        <f>IF($A13&gt;NYears*12,"",LOOKUP($M13,TaxLower,TaxRate))</f>
        <v/>
      </c>
      <c r="O13" s="35">
        <f>IF($A13&gt;NYears*12,"",IF(TaxFreq="Quarterly",IF(MOD($D13,3)=0,$L13*$N13,0),IF($D13=12,$K13*$N13,0)))</f>
        <v/>
      </c>
      <c r="P13" s="35">
        <f>IF($A13&gt;NYears*12,"",IF($D13=1,$O13,$P12+$O13))</f>
        <v/>
      </c>
      <c r="Q13" s="35">
        <f>IF($A13&gt;NYears*12,"",IF($D13=12,MIN(WdrPct*IF(WdrBase="Post-tax profit",$K13-$P13,$K13),WdrCap),0))</f>
        <v/>
      </c>
      <c r="R13" s="35">
        <f>IF($A13&gt;NYears*12,"",$F13+$J13-$O13-$Q13)</f>
        <v/>
      </c>
      <c r="S13" s="33">
        <f>IF($A13&gt;NYears*12,"",INT($R13/$E13))</f>
        <v/>
      </c>
    </row>
    <row r="14">
      <c r="A14" s="33">
        <f>10</f>
        <v/>
      </c>
      <c r="B14" s="34">
        <f>IF($A14&gt;NYears*12,"",EDATE(StartMonth,$A14-1))</f>
        <v/>
      </c>
      <c r="C14" s="33">
        <f>IF($A14&gt;NYears*12,"",INT(($A14-1)/12)+1)</f>
        <v/>
      </c>
      <c r="D14" s="33">
        <f>IF($A14&gt;NYears*12,"",MOD($A14-1,12)+1)</f>
        <v/>
      </c>
      <c r="E14" s="35">
        <f>IF($A14&gt;NYears*12,"",LotValue0*(1+LotGrowth)^($C14-1))</f>
        <v/>
      </c>
      <c r="F14" s="35">
        <f>IF($A14&gt;NYears*12,"",IF($A14=1,InitInvest,$R13))</f>
        <v/>
      </c>
      <c r="G14" s="33">
        <f>IF($A14&gt;NYears*12,"",INT($F14/$E14))</f>
        <v/>
      </c>
      <c r="H14" s="35">
        <f>IF($A14&gt;NYears*12,"",$G14*$E14)</f>
        <v/>
      </c>
      <c r="I14" s="35">
        <f>IF($A14&gt;NYears*12,"",$F14-$H14)</f>
        <v/>
      </c>
      <c r="J14" s="35">
        <f>IF($A14&gt;NYears*12,"",$H14*RateA)</f>
        <v/>
      </c>
      <c r="K14" s="35">
        <f>IF($A14&gt;NYears*12,"",IF($D14=1,$J14,$K13+$J14))</f>
        <v/>
      </c>
      <c r="L14" s="35">
        <f>IF($A14&gt;NYears*12,"",IF(MOD($D14,3)=0,SUM($J12:$J14),0))</f>
        <v/>
      </c>
      <c r="M14" s="35">
        <f>IF($A14&gt;NYears*12,"",IF(TaxFreq="Quarterly",$K14*12/$D14,$K14))</f>
        <v/>
      </c>
      <c r="N14" s="36">
        <f>IF($A14&gt;NYears*12,"",LOOKUP($M14,TaxLower,TaxRate))</f>
        <v/>
      </c>
      <c r="O14" s="35">
        <f>IF($A14&gt;NYears*12,"",IF(TaxFreq="Quarterly",IF(MOD($D14,3)=0,$L14*$N14,0),IF($D14=12,$K14*$N14,0)))</f>
        <v/>
      </c>
      <c r="P14" s="35">
        <f>IF($A14&gt;NYears*12,"",IF($D14=1,$O14,$P13+$O14))</f>
        <v/>
      </c>
      <c r="Q14" s="35">
        <f>IF($A14&gt;NYears*12,"",IF($D14=12,MIN(WdrPct*IF(WdrBase="Post-tax profit",$K14-$P14,$K14),WdrCap),0))</f>
        <v/>
      </c>
      <c r="R14" s="35">
        <f>IF($A14&gt;NYears*12,"",$F14+$J14-$O14-$Q14)</f>
        <v/>
      </c>
      <c r="S14" s="33">
        <f>IF($A14&gt;NYears*12,"",INT($R14/$E14))</f>
        <v/>
      </c>
    </row>
    <row r="15">
      <c r="A15" s="33">
        <f>11</f>
        <v/>
      </c>
      <c r="B15" s="34">
        <f>IF($A15&gt;NYears*12,"",EDATE(StartMonth,$A15-1))</f>
        <v/>
      </c>
      <c r="C15" s="33">
        <f>IF($A15&gt;NYears*12,"",INT(($A15-1)/12)+1)</f>
        <v/>
      </c>
      <c r="D15" s="33">
        <f>IF($A15&gt;NYears*12,"",MOD($A15-1,12)+1)</f>
        <v/>
      </c>
      <c r="E15" s="35">
        <f>IF($A15&gt;NYears*12,"",LotValue0*(1+LotGrowth)^($C15-1))</f>
        <v/>
      </c>
      <c r="F15" s="35">
        <f>IF($A15&gt;NYears*12,"",IF($A15=1,InitInvest,$R14))</f>
        <v/>
      </c>
      <c r="G15" s="33">
        <f>IF($A15&gt;NYears*12,"",INT($F15/$E15))</f>
        <v/>
      </c>
      <c r="H15" s="35">
        <f>IF($A15&gt;NYears*12,"",$G15*$E15)</f>
        <v/>
      </c>
      <c r="I15" s="35">
        <f>IF($A15&gt;NYears*12,"",$F15-$H15)</f>
        <v/>
      </c>
      <c r="J15" s="35">
        <f>IF($A15&gt;NYears*12,"",$H15*RateA)</f>
        <v/>
      </c>
      <c r="K15" s="35">
        <f>IF($A15&gt;NYears*12,"",IF($D15=1,$J15,$K14+$J15))</f>
        <v/>
      </c>
      <c r="L15" s="35">
        <f>IF($A15&gt;NYears*12,"",IF(MOD($D15,3)=0,SUM($J13:$J15),0))</f>
        <v/>
      </c>
      <c r="M15" s="35">
        <f>IF($A15&gt;NYears*12,"",IF(TaxFreq="Quarterly",$K15*12/$D15,$K15))</f>
        <v/>
      </c>
      <c r="N15" s="36">
        <f>IF($A15&gt;NYears*12,"",LOOKUP($M15,TaxLower,TaxRate))</f>
        <v/>
      </c>
      <c r="O15" s="35">
        <f>IF($A15&gt;NYears*12,"",IF(TaxFreq="Quarterly",IF(MOD($D15,3)=0,$L15*$N15,0),IF($D15=12,$K15*$N15,0)))</f>
        <v/>
      </c>
      <c r="P15" s="35">
        <f>IF($A15&gt;NYears*12,"",IF($D15=1,$O15,$P14+$O15))</f>
        <v/>
      </c>
      <c r="Q15" s="35">
        <f>IF($A15&gt;NYears*12,"",IF($D15=12,MIN(WdrPct*IF(WdrBase="Post-tax profit",$K15-$P15,$K15),WdrCap),0))</f>
        <v/>
      </c>
      <c r="R15" s="35">
        <f>IF($A15&gt;NYears*12,"",$F15+$J15-$O15-$Q15)</f>
        <v/>
      </c>
      <c r="S15" s="33">
        <f>IF($A15&gt;NYears*12,"",INT($R15/$E15))</f>
        <v/>
      </c>
    </row>
    <row r="16">
      <c r="A16" s="37">
        <f>12</f>
        <v/>
      </c>
      <c r="B16" s="38">
        <f>IF($A16&gt;NYears*12,"",EDATE(StartMonth,$A16-1))</f>
        <v/>
      </c>
      <c r="C16" s="37">
        <f>IF($A16&gt;NYears*12,"",INT(($A16-1)/12)+1)</f>
        <v/>
      </c>
      <c r="D16" s="37">
        <f>IF($A16&gt;NYears*12,"",MOD($A16-1,12)+1)</f>
        <v/>
      </c>
      <c r="E16" s="39">
        <f>IF($A16&gt;NYears*12,"",LotValue0*(1+LotGrowth)^($C16-1))</f>
        <v/>
      </c>
      <c r="F16" s="39">
        <f>IF($A16&gt;NYears*12,"",IF($A16=1,InitInvest,$R15))</f>
        <v/>
      </c>
      <c r="G16" s="37">
        <f>IF($A16&gt;NYears*12,"",INT($F16/$E16))</f>
        <v/>
      </c>
      <c r="H16" s="39">
        <f>IF($A16&gt;NYears*12,"",$G16*$E16)</f>
        <v/>
      </c>
      <c r="I16" s="39">
        <f>IF($A16&gt;NYears*12,"",$F16-$H16)</f>
        <v/>
      </c>
      <c r="J16" s="39">
        <f>IF($A16&gt;NYears*12,"",$H16*RateA)</f>
        <v/>
      </c>
      <c r="K16" s="39">
        <f>IF($A16&gt;NYears*12,"",IF($D16=1,$J16,$K15+$J16))</f>
        <v/>
      </c>
      <c r="L16" s="39">
        <f>IF($A16&gt;NYears*12,"",IF(MOD($D16,3)=0,SUM($J14:$J16),0))</f>
        <v/>
      </c>
      <c r="M16" s="39">
        <f>IF($A16&gt;NYears*12,"",IF(TaxFreq="Quarterly",$K16*12/$D16,$K16))</f>
        <v/>
      </c>
      <c r="N16" s="40">
        <f>IF($A16&gt;NYears*12,"",LOOKUP($M16,TaxLower,TaxRate))</f>
        <v/>
      </c>
      <c r="O16" s="39">
        <f>IF($A16&gt;NYears*12,"",IF(TaxFreq="Quarterly",IF(MOD($D16,3)=0,$L16*$N16,0),IF($D16=12,$K16*$N16,0)))</f>
        <v/>
      </c>
      <c r="P16" s="39">
        <f>IF($A16&gt;NYears*12,"",IF($D16=1,$O16,$P15+$O16))</f>
        <v/>
      </c>
      <c r="Q16" s="39">
        <f>IF($A16&gt;NYears*12,"",IF($D16=12,MIN(WdrPct*IF(WdrBase="Post-tax profit",$K16-$P16,$K16),WdrCap),0))</f>
        <v/>
      </c>
      <c r="R16" s="39">
        <f>IF($A16&gt;NYears*12,"",$F16+$J16-$O16-$Q16)</f>
        <v/>
      </c>
      <c r="S16" s="37">
        <f>IF($A16&gt;NYears*12,"",INT($R16/$E16))</f>
        <v/>
      </c>
    </row>
    <row r="17">
      <c r="A17" s="33">
        <f>13</f>
        <v/>
      </c>
      <c r="B17" s="34">
        <f>IF($A17&gt;NYears*12,"",EDATE(StartMonth,$A17-1))</f>
        <v/>
      </c>
      <c r="C17" s="33">
        <f>IF($A17&gt;NYears*12,"",INT(($A17-1)/12)+1)</f>
        <v/>
      </c>
      <c r="D17" s="33">
        <f>IF($A17&gt;NYears*12,"",MOD($A17-1,12)+1)</f>
        <v/>
      </c>
      <c r="E17" s="35">
        <f>IF($A17&gt;NYears*12,"",LotValue0*(1+LotGrowth)^($C17-1))</f>
        <v/>
      </c>
      <c r="F17" s="35">
        <f>IF($A17&gt;NYears*12,"",IF($A17=1,InitInvest,$R16))</f>
        <v/>
      </c>
      <c r="G17" s="33">
        <f>IF($A17&gt;NYears*12,"",INT($F17/$E17))</f>
        <v/>
      </c>
      <c r="H17" s="35">
        <f>IF($A17&gt;NYears*12,"",$G17*$E17)</f>
        <v/>
      </c>
      <c r="I17" s="35">
        <f>IF($A17&gt;NYears*12,"",$F17-$H17)</f>
        <v/>
      </c>
      <c r="J17" s="35">
        <f>IF($A17&gt;NYears*12,"",$H17*RateA)</f>
        <v/>
      </c>
      <c r="K17" s="35">
        <f>IF($A17&gt;NYears*12,"",IF($D17=1,$J17,$K16+$J17))</f>
        <v/>
      </c>
      <c r="L17" s="35">
        <f>IF($A17&gt;NYears*12,"",IF(MOD($D17,3)=0,SUM($J15:$J17),0))</f>
        <v/>
      </c>
      <c r="M17" s="35">
        <f>IF($A17&gt;NYears*12,"",IF(TaxFreq="Quarterly",$K17*12/$D17,$K17))</f>
        <v/>
      </c>
      <c r="N17" s="36">
        <f>IF($A17&gt;NYears*12,"",LOOKUP($M17,TaxLower,TaxRate))</f>
        <v/>
      </c>
      <c r="O17" s="35">
        <f>IF($A17&gt;NYears*12,"",IF(TaxFreq="Quarterly",IF(MOD($D17,3)=0,$L17*$N17,0),IF($D17=12,$K17*$N17,0)))</f>
        <v/>
      </c>
      <c r="P17" s="35">
        <f>IF($A17&gt;NYears*12,"",IF($D17=1,$O17,$P16+$O17))</f>
        <v/>
      </c>
      <c r="Q17" s="35">
        <f>IF($A17&gt;NYears*12,"",IF($D17=12,MIN(WdrPct*IF(WdrBase="Post-tax profit",$K17-$P17,$K17),WdrCap),0))</f>
        <v/>
      </c>
      <c r="R17" s="35">
        <f>IF($A17&gt;NYears*12,"",$F17+$J17-$O17-$Q17)</f>
        <v/>
      </c>
      <c r="S17" s="33">
        <f>IF($A17&gt;NYears*12,"",INT($R17/$E17))</f>
        <v/>
      </c>
    </row>
    <row r="18">
      <c r="A18" s="33">
        <f>14</f>
        <v/>
      </c>
      <c r="B18" s="34">
        <f>IF($A18&gt;NYears*12,"",EDATE(StartMonth,$A18-1))</f>
        <v/>
      </c>
      <c r="C18" s="33">
        <f>IF($A18&gt;NYears*12,"",INT(($A18-1)/12)+1)</f>
        <v/>
      </c>
      <c r="D18" s="33">
        <f>IF($A18&gt;NYears*12,"",MOD($A18-1,12)+1)</f>
        <v/>
      </c>
      <c r="E18" s="35">
        <f>IF($A18&gt;NYears*12,"",LotValue0*(1+LotGrowth)^($C18-1))</f>
        <v/>
      </c>
      <c r="F18" s="35">
        <f>IF($A18&gt;NYears*12,"",IF($A18=1,InitInvest,$R17))</f>
        <v/>
      </c>
      <c r="G18" s="33">
        <f>IF($A18&gt;NYears*12,"",INT($F18/$E18))</f>
        <v/>
      </c>
      <c r="H18" s="35">
        <f>IF($A18&gt;NYears*12,"",$G18*$E18)</f>
        <v/>
      </c>
      <c r="I18" s="35">
        <f>IF($A18&gt;NYears*12,"",$F18-$H18)</f>
        <v/>
      </c>
      <c r="J18" s="35">
        <f>IF($A18&gt;NYears*12,"",$H18*RateA)</f>
        <v/>
      </c>
      <c r="K18" s="35">
        <f>IF($A18&gt;NYears*12,"",IF($D18=1,$J18,$K17+$J18))</f>
        <v/>
      </c>
      <c r="L18" s="35">
        <f>IF($A18&gt;NYears*12,"",IF(MOD($D18,3)=0,SUM($J16:$J18),0))</f>
        <v/>
      </c>
      <c r="M18" s="35">
        <f>IF($A18&gt;NYears*12,"",IF(TaxFreq="Quarterly",$K18*12/$D18,$K18))</f>
        <v/>
      </c>
      <c r="N18" s="36">
        <f>IF($A18&gt;NYears*12,"",LOOKUP($M18,TaxLower,TaxRate))</f>
        <v/>
      </c>
      <c r="O18" s="35">
        <f>IF($A18&gt;NYears*12,"",IF(TaxFreq="Quarterly",IF(MOD($D18,3)=0,$L18*$N18,0),IF($D18=12,$K18*$N18,0)))</f>
        <v/>
      </c>
      <c r="P18" s="35">
        <f>IF($A18&gt;NYears*12,"",IF($D18=1,$O18,$P17+$O18))</f>
        <v/>
      </c>
      <c r="Q18" s="35">
        <f>IF($A18&gt;NYears*12,"",IF($D18=12,MIN(WdrPct*IF(WdrBase="Post-tax profit",$K18-$P18,$K18),WdrCap),0))</f>
        <v/>
      </c>
      <c r="R18" s="35">
        <f>IF($A18&gt;NYears*12,"",$F18+$J18-$O18-$Q18)</f>
        <v/>
      </c>
      <c r="S18" s="33">
        <f>IF($A18&gt;NYears*12,"",INT($R18/$E18))</f>
        <v/>
      </c>
    </row>
    <row r="19">
      <c r="A19" s="33">
        <f>15</f>
        <v/>
      </c>
      <c r="B19" s="34">
        <f>IF($A19&gt;NYears*12,"",EDATE(StartMonth,$A19-1))</f>
        <v/>
      </c>
      <c r="C19" s="33">
        <f>IF($A19&gt;NYears*12,"",INT(($A19-1)/12)+1)</f>
        <v/>
      </c>
      <c r="D19" s="33">
        <f>IF($A19&gt;NYears*12,"",MOD($A19-1,12)+1)</f>
        <v/>
      </c>
      <c r="E19" s="35">
        <f>IF($A19&gt;NYears*12,"",LotValue0*(1+LotGrowth)^($C19-1))</f>
        <v/>
      </c>
      <c r="F19" s="35">
        <f>IF($A19&gt;NYears*12,"",IF($A19=1,InitInvest,$R18))</f>
        <v/>
      </c>
      <c r="G19" s="33">
        <f>IF($A19&gt;NYears*12,"",INT($F19/$E19))</f>
        <v/>
      </c>
      <c r="H19" s="35">
        <f>IF($A19&gt;NYears*12,"",$G19*$E19)</f>
        <v/>
      </c>
      <c r="I19" s="35">
        <f>IF($A19&gt;NYears*12,"",$F19-$H19)</f>
        <v/>
      </c>
      <c r="J19" s="35">
        <f>IF($A19&gt;NYears*12,"",$H19*RateA)</f>
        <v/>
      </c>
      <c r="K19" s="35">
        <f>IF($A19&gt;NYears*12,"",IF($D19=1,$J19,$K18+$J19))</f>
        <v/>
      </c>
      <c r="L19" s="35">
        <f>IF($A19&gt;NYears*12,"",IF(MOD($D19,3)=0,SUM($J17:$J19),0))</f>
        <v/>
      </c>
      <c r="M19" s="35">
        <f>IF($A19&gt;NYears*12,"",IF(TaxFreq="Quarterly",$K19*12/$D19,$K19))</f>
        <v/>
      </c>
      <c r="N19" s="36">
        <f>IF($A19&gt;NYears*12,"",LOOKUP($M19,TaxLower,TaxRate))</f>
        <v/>
      </c>
      <c r="O19" s="35">
        <f>IF($A19&gt;NYears*12,"",IF(TaxFreq="Quarterly",IF(MOD($D19,3)=0,$L19*$N19,0),IF($D19=12,$K19*$N19,0)))</f>
        <v/>
      </c>
      <c r="P19" s="35">
        <f>IF($A19&gt;NYears*12,"",IF($D19=1,$O19,$P18+$O19))</f>
        <v/>
      </c>
      <c r="Q19" s="35">
        <f>IF($A19&gt;NYears*12,"",IF($D19=12,MIN(WdrPct*IF(WdrBase="Post-tax profit",$K19-$P19,$K19),WdrCap),0))</f>
        <v/>
      </c>
      <c r="R19" s="35">
        <f>IF($A19&gt;NYears*12,"",$F19+$J19-$O19-$Q19)</f>
        <v/>
      </c>
      <c r="S19" s="33">
        <f>IF($A19&gt;NYears*12,"",INT($R19/$E19))</f>
        <v/>
      </c>
    </row>
    <row r="20">
      <c r="A20" s="33">
        <f>16</f>
        <v/>
      </c>
      <c r="B20" s="34">
        <f>IF($A20&gt;NYears*12,"",EDATE(StartMonth,$A20-1))</f>
        <v/>
      </c>
      <c r="C20" s="33">
        <f>IF($A20&gt;NYears*12,"",INT(($A20-1)/12)+1)</f>
        <v/>
      </c>
      <c r="D20" s="33">
        <f>IF($A20&gt;NYears*12,"",MOD($A20-1,12)+1)</f>
        <v/>
      </c>
      <c r="E20" s="35">
        <f>IF($A20&gt;NYears*12,"",LotValue0*(1+LotGrowth)^($C20-1))</f>
        <v/>
      </c>
      <c r="F20" s="35">
        <f>IF($A20&gt;NYears*12,"",IF($A20=1,InitInvest,$R19))</f>
        <v/>
      </c>
      <c r="G20" s="33">
        <f>IF($A20&gt;NYears*12,"",INT($F20/$E20))</f>
        <v/>
      </c>
      <c r="H20" s="35">
        <f>IF($A20&gt;NYears*12,"",$G20*$E20)</f>
        <v/>
      </c>
      <c r="I20" s="35">
        <f>IF($A20&gt;NYears*12,"",$F20-$H20)</f>
        <v/>
      </c>
      <c r="J20" s="35">
        <f>IF($A20&gt;NYears*12,"",$H20*RateA)</f>
        <v/>
      </c>
      <c r="K20" s="35">
        <f>IF($A20&gt;NYears*12,"",IF($D20=1,$J20,$K19+$J20))</f>
        <v/>
      </c>
      <c r="L20" s="35">
        <f>IF($A20&gt;NYears*12,"",IF(MOD($D20,3)=0,SUM($J18:$J20),0))</f>
        <v/>
      </c>
      <c r="M20" s="35">
        <f>IF($A20&gt;NYears*12,"",IF(TaxFreq="Quarterly",$K20*12/$D20,$K20))</f>
        <v/>
      </c>
      <c r="N20" s="36">
        <f>IF($A20&gt;NYears*12,"",LOOKUP($M20,TaxLower,TaxRate))</f>
        <v/>
      </c>
      <c r="O20" s="35">
        <f>IF($A20&gt;NYears*12,"",IF(TaxFreq="Quarterly",IF(MOD($D20,3)=0,$L20*$N20,0),IF($D20=12,$K20*$N20,0)))</f>
        <v/>
      </c>
      <c r="P20" s="35">
        <f>IF($A20&gt;NYears*12,"",IF($D20=1,$O20,$P19+$O20))</f>
        <v/>
      </c>
      <c r="Q20" s="35">
        <f>IF($A20&gt;NYears*12,"",IF($D20=12,MIN(WdrPct*IF(WdrBase="Post-tax profit",$K20-$P20,$K20),WdrCap),0))</f>
        <v/>
      </c>
      <c r="R20" s="35">
        <f>IF($A20&gt;NYears*12,"",$F20+$J20-$O20-$Q20)</f>
        <v/>
      </c>
      <c r="S20" s="33">
        <f>IF($A20&gt;NYears*12,"",INT($R20/$E20))</f>
        <v/>
      </c>
    </row>
    <row r="21">
      <c r="A21" s="33">
        <f>17</f>
        <v/>
      </c>
      <c r="B21" s="34">
        <f>IF($A21&gt;NYears*12,"",EDATE(StartMonth,$A21-1))</f>
        <v/>
      </c>
      <c r="C21" s="33">
        <f>IF($A21&gt;NYears*12,"",INT(($A21-1)/12)+1)</f>
        <v/>
      </c>
      <c r="D21" s="33">
        <f>IF($A21&gt;NYears*12,"",MOD($A21-1,12)+1)</f>
        <v/>
      </c>
      <c r="E21" s="35">
        <f>IF($A21&gt;NYears*12,"",LotValue0*(1+LotGrowth)^($C21-1))</f>
        <v/>
      </c>
      <c r="F21" s="35">
        <f>IF($A21&gt;NYears*12,"",IF($A21=1,InitInvest,$R20))</f>
        <v/>
      </c>
      <c r="G21" s="33">
        <f>IF($A21&gt;NYears*12,"",INT($F21/$E21))</f>
        <v/>
      </c>
      <c r="H21" s="35">
        <f>IF($A21&gt;NYears*12,"",$G21*$E21)</f>
        <v/>
      </c>
      <c r="I21" s="35">
        <f>IF($A21&gt;NYears*12,"",$F21-$H21)</f>
        <v/>
      </c>
      <c r="J21" s="35">
        <f>IF($A21&gt;NYears*12,"",$H21*RateA)</f>
        <v/>
      </c>
      <c r="K21" s="35">
        <f>IF($A21&gt;NYears*12,"",IF($D21=1,$J21,$K20+$J21))</f>
        <v/>
      </c>
      <c r="L21" s="35">
        <f>IF($A21&gt;NYears*12,"",IF(MOD($D21,3)=0,SUM($J19:$J21),0))</f>
        <v/>
      </c>
      <c r="M21" s="35">
        <f>IF($A21&gt;NYears*12,"",IF(TaxFreq="Quarterly",$K21*12/$D21,$K21))</f>
        <v/>
      </c>
      <c r="N21" s="36">
        <f>IF($A21&gt;NYears*12,"",LOOKUP($M21,TaxLower,TaxRate))</f>
        <v/>
      </c>
      <c r="O21" s="35">
        <f>IF($A21&gt;NYears*12,"",IF(TaxFreq="Quarterly",IF(MOD($D21,3)=0,$L21*$N21,0),IF($D21=12,$K21*$N21,0)))</f>
        <v/>
      </c>
      <c r="P21" s="35">
        <f>IF($A21&gt;NYears*12,"",IF($D21=1,$O21,$P20+$O21))</f>
        <v/>
      </c>
      <c r="Q21" s="35">
        <f>IF($A21&gt;NYears*12,"",IF($D21=12,MIN(WdrPct*IF(WdrBase="Post-tax profit",$K21-$P21,$K21),WdrCap),0))</f>
        <v/>
      </c>
      <c r="R21" s="35">
        <f>IF($A21&gt;NYears*12,"",$F21+$J21-$O21-$Q21)</f>
        <v/>
      </c>
      <c r="S21" s="33">
        <f>IF($A21&gt;NYears*12,"",INT($R21/$E21))</f>
        <v/>
      </c>
    </row>
    <row r="22">
      <c r="A22" s="33">
        <f>18</f>
        <v/>
      </c>
      <c r="B22" s="34">
        <f>IF($A22&gt;NYears*12,"",EDATE(StartMonth,$A22-1))</f>
        <v/>
      </c>
      <c r="C22" s="33">
        <f>IF($A22&gt;NYears*12,"",INT(($A22-1)/12)+1)</f>
        <v/>
      </c>
      <c r="D22" s="33">
        <f>IF($A22&gt;NYears*12,"",MOD($A22-1,12)+1)</f>
        <v/>
      </c>
      <c r="E22" s="35">
        <f>IF($A22&gt;NYears*12,"",LotValue0*(1+LotGrowth)^($C22-1))</f>
        <v/>
      </c>
      <c r="F22" s="35">
        <f>IF($A22&gt;NYears*12,"",IF($A22=1,InitInvest,$R21))</f>
        <v/>
      </c>
      <c r="G22" s="33">
        <f>IF($A22&gt;NYears*12,"",INT($F22/$E22))</f>
        <v/>
      </c>
      <c r="H22" s="35">
        <f>IF($A22&gt;NYears*12,"",$G22*$E22)</f>
        <v/>
      </c>
      <c r="I22" s="35">
        <f>IF($A22&gt;NYears*12,"",$F22-$H22)</f>
        <v/>
      </c>
      <c r="J22" s="35">
        <f>IF($A22&gt;NYears*12,"",$H22*RateA)</f>
        <v/>
      </c>
      <c r="K22" s="35">
        <f>IF($A22&gt;NYears*12,"",IF($D22=1,$J22,$K21+$J22))</f>
        <v/>
      </c>
      <c r="L22" s="35">
        <f>IF($A22&gt;NYears*12,"",IF(MOD($D22,3)=0,SUM($J20:$J22),0))</f>
        <v/>
      </c>
      <c r="M22" s="35">
        <f>IF($A22&gt;NYears*12,"",IF(TaxFreq="Quarterly",$K22*12/$D22,$K22))</f>
        <v/>
      </c>
      <c r="N22" s="36">
        <f>IF($A22&gt;NYears*12,"",LOOKUP($M22,TaxLower,TaxRate))</f>
        <v/>
      </c>
      <c r="O22" s="35">
        <f>IF($A22&gt;NYears*12,"",IF(TaxFreq="Quarterly",IF(MOD($D22,3)=0,$L22*$N22,0),IF($D22=12,$K22*$N22,0)))</f>
        <v/>
      </c>
      <c r="P22" s="35">
        <f>IF($A22&gt;NYears*12,"",IF($D22=1,$O22,$P21+$O22))</f>
        <v/>
      </c>
      <c r="Q22" s="35">
        <f>IF($A22&gt;NYears*12,"",IF($D22=12,MIN(WdrPct*IF(WdrBase="Post-tax profit",$K22-$P22,$K22),WdrCap),0))</f>
        <v/>
      </c>
      <c r="R22" s="35">
        <f>IF($A22&gt;NYears*12,"",$F22+$J22-$O22-$Q22)</f>
        <v/>
      </c>
      <c r="S22" s="33">
        <f>IF($A22&gt;NYears*12,"",INT($R22/$E22))</f>
        <v/>
      </c>
    </row>
    <row r="23">
      <c r="A23" s="33">
        <f>19</f>
        <v/>
      </c>
      <c r="B23" s="34">
        <f>IF($A23&gt;NYears*12,"",EDATE(StartMonth,$A23-1))</f>
        <v/>
      </c>
      <c r="C23" s="33">
        <f>IF($A23&gt;NYears*12,"",INT(($A23-1)/12)+1)</f>
        <v/>
      </c>
      <c r="D23" s="33">
        <f>IF($A23&gt;NYears*12,"",MOD($A23-1,12)+1)</f>
        <v/>
      </c>
      <c r="E23" s="35">
        <f>IF($A23&gt;NYears*12,"",LotValue0*(1+LotGrowth)^($C23-1))</f>
        <v/>
      </c>
      <c r="F23" s="35">
        <f>IF($A23&gt;NYears*12,"",IF($A23=1,InitInvest,$R22))</f>
        <v/>
      </c>
      <c r="G23" s="33">
        <f>IF($A23&gt;NYears*12,"",INT($F23/$E23))</f>
        <v/>
      </c>
      <c r="H23" s="35">
        <f>IF($A23&gt;NYears*12,"",$G23*$E23)</f>
        <v/>
      </c>
      <c r="I23" s="35">
        <f>IF($A23&gt;NYears*12,"",$F23-$H23)</f>
        <v/>
      </c>
      <c r="J23" s="35">
        <f>IF($A23&gt;NYears*12,"",$H23*RateA)</f>
        <v/>
      </c>
      <c r="K23" s="35">
        <f>IF($A23&gt;NYears*12,"",IF($D23=1,$J23,$K22+$J23))</f>
        <v/>
      </c>
      <c r="L23" s="35">
        <f>IF($A23&gt;NYears*12,"",IF(MOD($D23,3)=0,SUM($J21:$J23),0))</f>
        <v/>
      </c>
      <c r="M23" s="35">
        <f>IF($A23&gt;NYears*12,"",IF(TaxFreq="Quarterly",$K23*12/$D23,$K23))</f>
        <v/>
      </c>
      <c r="N23" s="36">
        <f>IF($A23&gt;NYears*12,"",LOOKUP($M23,TaxLower,TaxRate))</f>
        <v/>
      </c>
      <c r="O23" s="35">
        <f>IF($A23&gt;NYears*12,"",IF(TaxFreq="Quarterly",IF(MOD($D23,3)=0,$L23*$N23,0),IF($D23=12,$K23*$N23,0)))</f>
        <v/>
      </c>
      <c r="P23" s="35">
        <f>IF($A23&gt;NYears*12,"",IF($D23=1,$O23,$P22+$O23))</f>
        <v/>
      </c>
      <c r="Q23" s="35">
        <f>IF($A23&gt;NYears*12,"",IF($D23=12,MIN(WdrPct*IF(WdrBase="Post-tax profit",$K23-$P23,$K23),WdrCap),0))</f>
        <v/>
      </c>
      <c r="R23" s="35">
        <f>IF($A23&gt;NYears*12,"",$F23+$J23-$O23-$Q23)</f>
        <v/>
      </c>
      <c r="S23" s="33">
        <f>IF($A23&gt;NYears*12,"",INT($R23/$E23))</f>
        <v/>
      </c>
    </row>
    <row r="24">
      <c r="A24" s="33">
        <f>20</f>
        <v/>
      </c>
      <c r="B24" s="34">
        <f>IF($A24&gt;NYears*12,"",EDATE(StartMonth,$A24-1))</f>
        <v/>
      </c>
      <c r="C24" s="33">
        <f>IF($A24&gt;NYears*12,"",INT(($A24-1)/12)+1)</f>
        <v/>
      </c>
      <c r="D24" s="33">
        <f>IF($A24&gt;NYears*12,"",MOD($A24-1,12)+1)</f>
        <v/>
      </c>
      <c r="E24" s="35">
        <f>IF($A24&gt;NYears*12,"",LotValue0*(1+LotGrowth)^($C24-1))</f>
        <v/>
      </c>
      <c r="F24" s="35">
        <f>IF($A24&gt;NYears*12,"",IF($A24=1,InitInvest,$R23))</f>
        <v/>
      </c>
      <c r="G24" s="33">
        <f>IF($A24&gt;NYears*12,"",INT($F24/$E24))</f>
        <v/>
      </c>
      <c r="H24" s="35">
        <f>IF($A24&gt;NYears*12,"",$G24*$E24)</f>
        <v/>
      </c>
      <c r="I24" s="35">
        <f>IF($A24&gt;NYears*12,"",$F24-$H24)</f>
        <v/>
      </c>
      <c r="J24" s="35">
        <f>IF($A24&gt;NYears*12,"",$H24*RateA)</f>
        <v/>
      </c>
      <c r="K24" s="35">
        <f>IF($A24&gt;NYears*12,"",IF($D24=1,$J24,$K23+$J24))</f>
        <v/>
      </c>
      <c r="L24" s="35">
        <f>IF($A24&gt;NYears*12,"",IF(MOD($D24,3)=0,SUM($J22:$J24),0))</f>
        <v/>
      </c>
      <c r="M24" s="35">
        <f>IF($A24&gt;NYears*12,"",IF(TaxFreq="Quarterly",$K24*12/$D24,$K24))</f>
        <v/>
      </c>
      <c r="N24" s="36">
        <f>IF($A24&gt;NYears*12,"",LOOKUP($M24,TaxLower,TaxRate))</f>
        <v/>
      </c>
      <c r="O24" s="35">
        <f>IF($A24&gt;NYears*12,"",IF(TaxFreq="Quarterly",IF(MOD($D24,3)=0,$L24*$N24,0),IF($D24=12,$K24*$N24,0)))</f>
        <v/>
      </c>
      <c r="P24" s="35">
        <f>IF($A24&gt;NYears*12,"",IF($D24=1,$O24,$P23+$O24))</f>
        <v/>
      </c>
      <c r="Q24" s="35">
        <f>IF($A24&gt;NYears*12,"",IF($D24=12,MIN(WdrPct*IF(WdrBase="Post-tax profit",$K24-$P24,$K24),WdrCap),0))</f>
        <v/>
      </c>
      <c r="R24" s="35">
        <f>IF($A24&gt;NYears*12,"",$F24+$J24-$O24-$Q24)</f>
        <v/>
      </c>
      <c r="S24" s="33">
        <f>IF($A24&gt;NYears*12,"",INT($R24/$E24))</f>
        <v/>
      </c>
    </row>
    <row r="25">
      <c r="A25" s="33">
        <f>21</f>
        <v/>
      </c>
      <c r="B25" s="34">
        <f>IF($A25&gt;NYears*12,"",EDATE(StartMonth,$A25-1))</f>
        <v/>
      </c>
      <c r="C25" s="33">
        <f>IF($A25&gt;NYears*12,"",INT(($A25-1)/12)+1)</f>
        <v/>
      </c>
      <c r="D25" s="33">
        <f>IF($A25&gt;NYears*12,"",MOD($A25-1,12)+1)</f>
        <v/>
      </c>
      <c r="E25" s="35">
        <f>IF($A25&gt;NYears*12,"",LotValue0*(1+LotGrowth)^($C25-1))</f>
        <v/>
      </c>
      <c r="F25" s="35">
        <f>IF($A25&gt;NYears*12,"",IF($A25=1,InitInvest,$R24))</f>
        <v/>
      </c>
      <c r="G25" s="33">
        <f>IF($A25&gt;NYears*12,"",INT($F25/$E25))</f>
        <v/>
      </c>
      <c r="H25" s="35">
        <f>IF($A25&gt;NYears*12,"",$G25*$E25)</f>
        <v/>
      </c>
      <c r="I25" s="35">
        <f>IF($A25&gt;NYears*12,"",$F25-$H25)</f>
        <v/>
      </c>
      <c r="J25" s="35">
        <f>IF($A25&gt;NYears*12,"",$H25*RateA)</f>
        <v/>
      </c>
      <c r="K25" s="35">
        <f>IF($A25&gt;NYears*12,"",IF($D25=1,$J25,$K24+$J25))</f>
        <v/>
      </c>
      <c r="L25" s="35">
        <f>IF($A25&gt;NYears*12,"",IF(MOD($D25,3)=0,SUM($J23:$J25),0))</f>
        <v/>
      </c>
      <c r="M25" s="35">
        <f>IF($A25&gt;NYears*12,"",IF(TaxFreq="Quarterly",$K25*12/$D25,$K25))</f>
        <v/>
      </c>
      <c r="N25" s="36">
        <f>IF($A25&gt;NYears*12,"",LOOKUP($M25,TaxLower,TaxRate))</f>
        <v/>
      </c>
      <c r="O25" s="35">
        <f>IF($A25&gt;NYears*12,"",IF(TaxFreq="Quarterly",IF(MOD($D25,3)=0,$L25*$N25,0),IF($D25=12,$K25*$N25,0)))</f>
        <v/>
      </c>
      <c r="P25" s="35">
        <f>IF($A25&gt;NYears*12,"",IF($D25=1,$O25,$P24+$O25))</f>
        <v/>
      </c>
      <c r="Q25" s="35">
        <f>IF($A25&gt;NYears*12,"",IF($D25=12,MIN(WdrPct*IF(WdrBase="Post-tax profit",$K25-$P25,$K25),WdrCap),0))</f>
        <v/>
      </c>
      <c r="R25" s="35">
        <f>IF($A25&gt;NYears*12,"",$F25+$J25-$O25-$Q25)</f>
        <v/>
      </c>
      <c r="S25" s="33">
        <f>IF($A25&gt;NYears*12,"",INT($R25/$E25))</f>
        <v/>
      </c>
    </row>
    <row r="26">
      <c r="A26" s="33">
        <f>22</f>
        <v/>
      </c>
      <c r="B26" s="34">
        <f>IF($A26&gt;NYears*12,"",EDATE(StartMonth,$A26-1))</f>
        <v/>
      </c>
      <c r="C26" s="33">
        <f>IF($A26&gt;NYears*12,"",INT(($A26-1)/12)+1)</f>
        <v/>
      </c>
      <c r="D26" s="33">
        <f>IF($A26&gt;NYears*12,"",MOD($A26-1,12)+1)</f>
        <v/>
      </c>
      <c r="E26" s="35">
        <f>IF($A26&gt;NYears*12,"",LotValue0*(1+LotGrowth)^($C26-1))</f>
        <v/>
      </c>
      <c r="F26" s="35">
        <f>IF($A26&gt;NYears*12,"",IF($A26=1,InitInvest,$R25))</f>
        <v/>
      </c>
      <c r="G26" s="33">
        <f>IF($A26&gt;NYears*12,"",INT($F26/$E26))</f>
        <v/>
      </c>
      <c r="H26" s="35">
        <f>IF($A26&gt;NYears*12,"",$G26*$E26)</f>
        <v/>
      </c>
      <c r="I26" s="35">
        <f>IF($A26&gt;NYears*12,"",$F26-$H26)</f>
        <v/>
      </c>
      <c r="J26" s="35">
        <f>IF($A26&gt;NYears*12,"",$H26*RateA)</f>
        <v/>
      </c>
      <c r="K26" s="35">
        <f>IF($A26&gt;NYears*12,"",IF($D26=1,$J26,$K25+$J26))</f>
        <v/>
      </c>
      <c r="L26" s="35">
        <f>IF($A26&gt;NYears*12,"",IF(MOD($D26,3)=0,SUM($J24:$J26),0))</f>
        <v/>
      </c>
      <c r="M26" s="35">
        <f>IF($A26&gt;NYears*12,"",IF(TaxFreq="Quarterly",$K26*12/$D26,$K26))</f>
        <v/>
      </c>
      <c r="N26" s="36">
        <f>IF($A26&gt;NYears*12,"",LOOKUP($M26,TaxLower,TaxRate))</f>
        <v/>
      </c>
      <c r="O26" s="35">
        <f>IF($A26&gt;NYears*12,"",IF(TaxFreq="Quarterly",IF(MOD($D26,3)=0,$L26*$N26,0),IF($D26=12,$K26*$N26,0)))</f>
        <v/>
      </c>
      <c r="P26" s="35">
        <f>IF($A26&gt;NYears*12,"",IF($D26=1,$O26,$P25+$O26))</f>
        <v/>
      </c>
      <c r="Q26" s="35">
        <f>IF($A26&gt;NYears*12,"",IF($D26=12,MIN(WdrPct*IF(WdrBase="Post-tax profit",$K26-$P26,$K26),WdrCap),0))</f>
        <v/>
      </c>
      <c r="R26" s="35">
        <f>IF($A26&gt;NYears*12,"",$F26+$J26-$O26-$Q26)</f>
        <v/>
      </c>
      <c r="S26" s="33">
        <f>IF($A26&gt;NYears*12,"",INT($R26/$E26))</f>
        <v/>
      </c>
    </row>
    <row r="27">
      <c r="A27" s="33">
        <f>23</f>
        <v/>
      </c>
      <c r="B27" s="34">
        <f>IF($A27&gt;NYears*12,"",EDATE(StartMonth,$A27-1))</f>
        <v/>
      </c>
      <c r="C27" s="33">
        <f>IF($A27&gt;NYears*12,"",INT(($A27-1)/12)+1)</f>
        <v/>
      </c>
      <c r="D27" s="33">
        <f>IF($A27&gt;NYears*12,"",MOD($A27-1,12)+1)</f>
        <v/>
      </c>
      <c r="E27" s="35">
        <f>IF($A27&gt;NYears*12,"",LotValue0*(1+LotGrowth)^($C27-1))</f>
        <v/>
      </c>
      <c r="F27" s="35">
        <f>IF($A27&gt;NYears*12,"",IF($A27=1,InitInvest,$R26))</f>
        <v/>
      </c>
      <c r="G27" s="33">
        <f>IF($A27&gt;NYears*12,"",INT($F27/$E27))</f>
        <v/>
      </c>
      <c r="H27" s="35">
        <f>IF($A27&gt;NYears*12,"",$G27*$E27)</f>
        <v/>
      </c>
      <c r="I27" s="35">
        <f>IF($A27&gt;NYears*12,"",$F27-$H27)</f>
        <v/>
      </c>
      <c r="J27" s="35">
        <f>IF($A27&gt;NYears*12,"",$H27*RateA)</f>
        <v/>
      </c>
      <c r="K27" s="35">
        <f>IF($A27&gt;NYears*12,"",IF($D27=1,$J27,$K26+$J27))</f>
        <v/>
      </c>
      <c r="L27" s="35">
        <f>IF($A27&gt;NYears*12,"",IF(MOD($D27,3)=0,SUM($J25:$J27),0))</f>
        <v/>
      </c>
      <c r="M27" s="35">
        <f>IF($A27&gt;NYears*12,"",IF(TaxFreq="Quarterly",$K27*12/$D27,$K27))</f>
        <v/>
      </c>
      <c r="N27" s="36">
        <f>IF($A27&gt;NYears*12,"",LOOKUP($M27,TaxLower,TaxRate))</f>
        <v/>
      </c>
      <c r="O27" s="35">
        <f>IF($A27&gt;NYears*12,"",IF(TaxFreq="Quarterly",IF(MOD($D27,3)=0,$L27*$N27,0),IF($D27=12,$K27*$N27,0)))</f>
        <v/>
      </c>
      <c r="P27" s="35">
        <f>IF($A27&gt;NYears*12,"",IF($D27=1,$O27,$P26+$O27))</f>
        <v/>
      </c>
      <c r="Q27" s="35">
        <f>IF($A27&gt;NYears*12,"",IF($D27=12,MIN(WdrPct*IF(WdrBase="Post-tax profit",$K27-$P27,$K27),WdrCap),0))</f>
        <v/>
      </c>
      <c r="R27" s="35">
        <f>IF($A27&gt;NYears*12,"",$F27+$J27-$O27-$Q27)</f>
        <v/>
      </c>
      <c r="S27" s="33">
        <f>IF($A27&gt;NYears*12,"",INT($R27/$E27))</f>
        <v/>
      </c>
    </row>
    <row r="28">
      <c r="A28" s="37">
        <f>24</f>
        <v/>
      </c>
      <c r="B28" s="38">
        <f>IF($A28&gt;NYears*12,"",EDATE(StartMonth,$A28-1))</f>
        <v/>
      </c>
      <c r="C28" s="37">
        <f>IF($A28&gt;NYears*12,"",INT(($A28-1)/12)+1)</f>
        <v/>
      </c>
      <c r="D28" s="37">
        <f>IF($A28&gt;NYears*12,"",MOD($A28-1,12)+1)</f>
        <v/>
      </c>
      <c r="E28" s="39">
        <f>IF($A28&gt;NYears*12,"",LotValue0*(1+LotGrowth)^($C28-1))</f>
        <v/>
      </c>
      <c r="F28" s="39">
        <f>IF($A28&gt;NYears*12,"",IF($A28=1,InitInvest,$R27))</f>
        <v/>
      </c>
      <c r="G28" s="37">
        <f>IF($A28&gt;NYears*12,"",INT($F28/$E28))</f>
        <v/>
      </c>
      <c r="H28" s="39">
        <f>IF($A28&gt;NYears*12,"",$G28*$E28)</f>
        <v/>
      </c>
      <c r="I28" s="39">
        <f>IF($A28&gt;NYears*12,"",$F28-$H28)</f>
        <v/>
      </c>
      <c r="J28" s="39">
        <f>IF($A28&gt;NYears*12,"",$H28*RateA)</f>
        <v/>
      </c>
      <c r="K28" s="39">
        <f>IF($A28&gt;NYears*12,"",IF($D28=1,$J28,$K27+$J28))</f>
        <v/>
      </c>
      <c r="L28" s="39">
        <f>IF($A28&gt;NYears*12,"",IF(MOD($D28,3)=0,SUM($J26:$J28),0))</f>
        <v/>
      </c>
      <c r="M28" s="39">
        <f>IF($A28&gt;NYears*12,"",IF(TaxFreq="Quarterly",$K28*12/$D28,$K28))</f>
        <v/>
      </c>
      <c r="N28" s="40">
        <f>IF($A28&gt;NYears*12,"",LOOKUP($M28,TaxLower,TaxRate))</f>
        <v/>
      </c>
      <c r="O28" s="39">
        <f>IF($A28&gt;NYears*12,"",IF(TaxFreq="Quarterly",IF(MOD($D28,3)=0,$L28*$N28,0),IF($D28=12,$K28*$N28,0)))</f>
        <v/>
      </c>
      <c r="P28" s="39">
        <f>IF($A28&gt;NYears*12,"",IF($D28=1,$O28,$P27+$O28))</f>
        <v/>
      </c>
      <c r="Q28" s="39">
        <f>IF($A28&gt;NYears*12,"",IF($D28=12,MIN(WdrPct*IF(WdrBase="Post-tax profit",$K28-$P28,$K28),WdrCap),0))</f>
        <v/>
      </c>
      <c r="R28" s="39">
        <f>IF($A28&gt;NYears*12,"",$F28+$J28-$O28-$Q28)</f>
        <v/>
      </c>
      <c r="S28" s="37">
        <f>IF($A28&gt;NYears*12,"",INT($R28/$E28))</f>
        <v/>
      </c>
    </row>
    <row r="29">
      <c r="A29" s="33">
        <f>25</f>
        <v/>
      </c>
      <c r="B29" s="34">
        <f>IF($A29&gt;NYears*12,"",EDATE(StartMonth,$A29-1))</f>
        <v/>
      </c>
      <c r="C29" s="33">
        <f>IF($A29&gt;NYears*12,"",INT(($A29-1)/12)+1)</f>
        <v/>
      </c>
      <c r="D29" s="33">
        <f>IF($A29&gt;NYears*12,"",MOD($A29-1,12)+1)</f>
        <v/>
      </c>
      <c r="E29" s="35">
        <f>IF($A29&gt;NYears*12,"",LotValue0*(1+LotGrowth)^($C29-1))</f>
        <v/>
      </c>
      <c r="F29" s="35">
        <f>IF($A29&gt;NYears*12,"",IF($A29=1,InitInvest,$R28))</f>
        <v/>
      </c>
      <c r="G29" s="33">
        <f>IF($A29&gt;NYears*12,"",INT($F29/$E29))</f>
        <v/>
      </c>
      <c r="H29" s="35">
        <f>IF($A29&gt;NYears*12,"",$G29*$E29)</f>
        <v/>
      </c>
      <c r="I29" s="35">
        <f>IF($A29&gt;NYears*12,"",$F29-$H29)</f>
        <v/>
      </c>
      <c r="J29" s="35">
        <f>IF($A29&gt;NYears*12,"",$H29*RateA)</f>
        <v/>
      </c>
      <c r="K29" s="35">
        <f>IF($A29&gt;NYears*12,"",IF($D29=1,$J29,$K28+$J29))</f>
        <v/>
      </c>
      <c r="L29" s="35">
        <f>IF($A29&gt;NYears*12,"",IF(MOD($D29,3)=0,SUM($J27:$J29),0))</f>
        <v/>
      </c>
      <c r="M29" s="35">
        <f>IF($A29&gt;NYears*12,"",IF(TaxFreq="Quarterly",$K29*12/$D29,$K29))</f>
        <v/>
      </c>
      <c r="N29" s="36">
        <f>IF($A29&gt;NYears*12,"",LOOKUP($M29,TaxLower,TaxRate))</f>
        <v/>
      </c>
      <c r="O29" s="35">
        <f>IF($A29&gt;NYears*12,"",IF(TaxFreq="Quarterly",IF(MOD($D29,3)=0,$L29*$N29,0),IF($D29=12,$K29*$N29,0)))</f>
        <v/>
      </c>
      <c r="P29" s="35">
        <f>IF($A29&gt;NYears*12,"",IF($D29=1,$O29,$P28+$O29))</f>
        <v/>
      </c>
      <c r="Q29" s="35">
        <f>IF($A29&gt;NYears*12,"",IF($D29=12,MIN(WdrPct*IF(WdrBase="Post-tax profit",$K29-$P29,$K29),WdrCap),0))</f>
        <v/>
      </c>
      <c r="R29" s="35">
        <f>IF($A29&gt;NYears*12,"",$F29+$J29-$O29-$Q29)</f>
        <v/>
      </c>
      <c r="S29" s="33">
        <f>IF($A29&gt;NYears*12,"",INT($R29/$E29))</f>
        <v/>
      </c>
    </row>
    <row r="30">
      <c r="A30" s="33">
        <f>26</f>
        <v/>
      </c>
      <c r="B30" s="34">
        <f>IF($A30&gt;NYears*12,"",EDATE(StartMonth,$A30-1))</f>
        <v/>
      </c>
      <c r="C30" s="33">
        <f>IF($A30&gt;NYears*12,"",INT(($A30-1)/12)+1)</f>
        <v/>
      </c>
      <c r="D30" s="33">
        <f>IF($A30&gt;NYears*12,"",MOD($A30-1,12)+1)</f>
        <v/>
      </c>
      <c r="E30" s="35">
        <f>IF($A30&gt;NYears*12,"",LotValue0*(1+LotGrowth)^($C30-1))</f>
        <v/>
      </c>
      <c r="F30" s="35">
        <f>IF($A30&gt;NYears*12,"",IF($A30=1,InitInvest,$R29))</f>
        <v/>
      </c>
      <c r="G30" s="33">
        <f>IF($A30&gt;NYears*12,"",INT($F30/$E30))</f>
        <v/>
      </c>
      <c r="H30" s="35">
        <f>IF($A30&gt;NYears*12,"",$G30*$E30)</f>
        <v/>
      </c>
      <c r="I30" s="35">
        <f>IF($A30&gt;NYears*12,"",$F30-$H30)</f>
        <v/>
      </c>
      <c r="J30" s="35">
        <f>IF($A30&gt;NYears*12,"",$H30*RateA)</f>
        <v/>
      </c>
      <c r="K30" s="35">
        <f>IF($A30&gt;NYears*12,"",IF($D30=1,$J30,$K29+$J30))</f>
        <v/>
      </c>
      <c r="L30" s="35">
        <f>IF($A30&gt;NYears*12,"",IF(MOD($D30,3)=0,SUM($J28:$J30),0))</f>
        <v/>
      </c>
      <c r="M30" s="35">
        <f>IF($A30&gt;NYears*12,"",IF(TaxFreq="Quarterly",$K30*12/$D30,$K30))</f>
        <v/>
      </c>
      <c r="N30" s="36">
        <f>IF($A30&gt;NYears*12,"",LOOKUP($M30,TaxLower,TaxRate))</f>
        <v/>
      </c>
      <c r="O30" s="35">
        <f>IF($A30&gt;NYears*12,"",IF(TaxFreq="Quarterly",IF(MOD($D30,3)=0,$L30*$N30,0),IF($D30=12,$K30*$N30,0)))</f>
        <v/>
      </c>
      <c r="P30" s="35">
        <f>IF($A30&gt;NYears*12,"",IF($D30=1,$O30,$P29+$O30))</f>
        <v/>
      </c>
      <c r="Q30" s="35">
        <f>IF($A30&gt;NYears*12,"",IF($D30=12,MIN(WdrPct*IF(WdrBase="Post-tax profit",$K30-$P30,$K30),WdrCap),0))</f>
        <v/>
      </c>
      <c r="R30" s="35">
        <f>IF($A30&gt;NYears*12,"",$F30+$J30-$O30-$Q30)</f>
        <v/>
      </c>
      <c r="S30" s="33">
        <f>IF($A30&gt;NYears*12,"",INT($R30/$E30))</f>
        <v/>
      </c>
    </row>
    <row r="31">
      <c r="A31" s="33">
        <f>27</f>
        <v/>
      </c>
      <c r="B31" s="34">
        <f>IF($A31&gt;NYears*12,"",EDATE(StartMonth,$A31-1))</f>
        <v/>
      </c>
      <c r="C31" s="33">
        <f>IF($A31&gt;NYears*12,"",INT(($A31-1)/12)+1)</f>
        <v/>
      </c>
      <c r="D31" s="33">
        <f>IF($A31&gt;NYears*12,"",MOD($A31-1,12)+1)</f>
        <v/>
      </c>
      <c r="E31" s="35">
        <f>IF($A31&gt;NYears*12,"",LotValue0*(1+LotGrowth)^($C31-1))</f>
        <v/>
      </c>
      <c r="F31" s="35">
        <f>IF($A31&gt;NYears*12,"",IF($A31=1,InitInvest,$R30))</f>
        <v/>
      </c>
      <c r="G31" s="33">
        <f>IF($A31&gt;NYears*12,"",INT($F31/$E31))</f>
        <v/>
      </c>
      <c r="H31" s="35">
        <f>IF($A31&gt;NYears*12,"",$G31*$E31)</f>
        <v/>
      </c>
      <c r="I31" s="35">
        <f>IF($A31&gt;NYears*12,"",$F31-$H31)</f>
        <v/>
      </c>
      <c r="J31" s="35">
        <f>IF($A31&gt;NYears*12,"",$H31*RateA)</f>
        <v/>
      </c>
      <c r="K31" s="35">
        <f>IF($A31&gt;NYears*12,"",IF($D31=1,$J31,$K30+$J31))</f>
        <v/>
      </c>
      <c r="L31" s="35">
        <f>IF($A31&gt;NYears*12,"",IF(MOD($D31,3)=0,SUM($J29:$J31),0))</f>
        <v/>
      </c>
      <c r="M31" s="35">
        <f>IF($A31&gt;NYears*12,"",IF(TaxFreq="Quarterly",$K31*12/$D31,$K31))</f>
        <v/>
      </c>
      <c r="N31" s="36">
        <f>IF($A31&gt;NYears*12,"",LOOKUP($M31,TaxLower,TaxRate))</f>
        <v/>
      </c>
      <c r="O31" s="35">
        <f>IF($A31&gt;NYears*12,"",IF(TaxFreq="Quarterly",IF(MOD($D31,3)=0,$L31*$N31,0),IF($D31=12,$K31*$N31,0)))</f>
        <v/>
      </c>
      <c r="P31" s="35">
        <f>IF($A31&gt;NYears*12,"",IF($D31=1,$O31,$P30+$O31))</f>
        <v/>
      </c>
      <c r="Q31" s="35">
        <f>IF($A31&gt;NYears*12,"",IF($D31=12,MIN(WdrPct*IF(WdrBase="Post-tax profit",$K31-$P31,$K31),WdrCap),0))</f>
        <v/>
      </c>
      <c r="R31" s="35">
        <f>IF($A31&gt;NYears*12,"",$F31+$J31-$O31-$Q31)</f>
        <v/>
      </c>
      <c r="S31" s="33">
        <f>IF($A31&gt;NYears*12,"",INT($R31/$E31))</f>
        <v/>
      </c>
    </row>
    <row r="32">
      <c r="A32" s="33">
        <f>28</f>
        <v/>
      </c>
      <c r="B32" s="34">
        <f>IF($A32&gt;NYears*12,"",EDATE(StartMonth,$A32-1))</f>
        <v/>
      </c>
      <c r="C32" s="33">
        <f>IF($A32&gt;NYears*12,"",INT(($A32-1)/12)+1)</f>
        <v/>
      </c>
      <c r="D32" s="33">
        <f>IF($A32&gt;NYears*12,"",MOD($A32-1,12)+1)</f>
        <v/>
      </c>
      <c r="E32" s="35">
        <f>IF($A32&gt;NYears*12,"",LotValue0*(1+LotGrowth)^($C32-1))</f>
        <v/>
      </c>
      <c r="F32" s="35">
        <f>IF($A32&gt;NYears*12,"",IF($A32=1,InitInvest,$R31))</f>
        <v/>
      </c>
      <c r="G32" s="33">
        <f>IF($A32&gt;NYears*12,"",INT($F32/$E32))</f>
        <v/>
      </c>
      <c r="H32" s="35">
        <f>IF($A32&gt;NYears*12,"",$G32*$E32)</f>
        <v/>
      </c>
      <c r="I32" s="35">
        <f>IF($A32&gt;NYears*12,"",$F32-$H32)</f>
        <v/>
      </c>
      <c r="J32" s="35">
        <f>IF($A32&gt;NYears*12,"",$H32*RateA)</f>
        <v/>
      </c>
      <c r="K32" s="35">
        <f>IF($A32&gt;NYears*12,"",IF($D32=1,$J32,$K31+$J32))</f>
        <v/>
      </c>
      <c r="L32" s="35">
        <f>IF($A32&gt;NYears*12,"",IF(MOD($D32,3)=0,SUM($J30:$J32),0))</f>
        <v/>
      </c>
      <c r="M32" s="35">
        <f>IF($A32&gt;NYears*12,"",IF(TaxFreq="Quarterly",$K32*12/$D32,$K32))</f>
        <v/>
      </c>
      <c r="N32" s="36">
        <f>IF($A32&gt;NYears*12,"",LOOKUP($M32,TaxLower,TaxRate))</f>
        <v/>
      </c>
      <c r="O32" s="35">
        <f>IF($A32&gt;NYears*12,"",IF(TaxFreq="Quarterly",IF(MOD($D32,3)=0,$L32*$N32,0),IF($D32=12,$K32*$N32,0)))</f>
        <v/>
      </c>
      <c r="P32" s="35">
        <f>IF($A32&gt;NYears*12,"",IF($D32=1,$O32,$P31+$O32))</f>
        <v/>
      </c>
      <c r="Q32" s="35">
        <f>IF($A32&gt;NYears*12,"",IF($D32=12,MIN(WdrPct*IF(WdrBase="Post-tax profit",$K32-$P32,$K32),WdrCap),0))</f>
        <v/>
      </c>
      <c r="R32" s="35">
        <f>IF($A32&gt;NYears*12,"",$F32+$J32-$O32-$Q32)</f>
        <v/>
      </c>
      <c r="S32" s="33">
        <f>IF($A32&gt;NYears*12,"",INT($R32/$E32))</f>
        <v/>
      </c>
    </row>
    <row r="33">
      <c r="A33" s="33">
        <f>29</f>
        <v/>
      </c>
      <c r="B33" s="34">
        <f>IF($A33&gt;NYears*12,"",EDATE(StartMonth,$A33-1))</f>
        <v/>
      </c>
      <c r="C33" s="33">
        <f>IF($A33&gt;NYears*12,"",INT(($A33-1)/12)+1)</f>
        <v/>
      </c>
      <c r="D33" s="33">
        <f>IF($A33&gt;NYears*12,"",MOD($A33-1,12)+1)</f>
        <v/>
      </c>
      <c r="E33" s="35">
        <f>IF($A33&gt;NYears*12,"",LotValue0*(1+LotGrowth)^($C33-1))</f>
        <v/>
      </c>
      <c r="F33" s="35">
        <f>IF($A33&gt;NYears*12,"",IF($A33=1,InitInvest,$R32))</f>
        <v/>
      </c>
      <c r="G33" s="33">
        <f>IF($A33&gt;NYears*12,"",INT($F33/$E33))</f>
        <v/>
      </c>
      <c r="H33" s="35">
        <f>IF($A33&gt;NYears*12,"",$G33*$E33)</f>
        <v/>
      </c>
      <c r="I33" s="35">
        <f>IF($A33&gt;NYears*12,"",$F33-$H33)</f>
        <v/>
      </c>
      <c r="J33" s="35">
        <f>IF($A33&gt;NYears*12,"",$H33*RateA)</f>
        <v/>
      </c>
      <c r="K33" s="35">
        <f>IF($A33&gt;NYears*12,"",IF($D33=1,$J33,$K32+$J33))</f>
        <v/>
      </c>
      <c r="L33" s="35">
        <f>IF($A33&gt;NYears*12,"",IF(MOD($D33,3)=0,SUM($J31:$J33),0))</f>
        <v/>
      </c>
      <c r="M33" s="35">
        <f>IF($A33&gt;NYears*12,"",IF(TaxFreq="Quarterly",$K33*12/$D33,$K33))</f>
        <v/>
      </c>
      <c r="N33" s="36">
        <f>IF($A33&gt;NYears*12,"",LOOKUP($M33,TaxLower,TaxRate))</f>
        <v/>
      </c>
      <c r="O33" s="35">
        <f>IF($A33&gt;NYears*12,"",IF(TaxFreq="Quarterly",IF(MOD($D33,3)=0,$L33*$N33,0),IF($D33=12,$K33*$N33,0)))</f>
        <v/>
      </c>
      <c r="P33" s="35">
        <f>IF($A33&gt;NYears*12,"",IF($D33=1,$O33,$P32+$O33))</f>
        <v/>
      </c>
      <c r="Q33" s="35">
        <f>IF($A33&gt;NYears*12,"",IF($D33=12,MIN(WdrPct*IF(WdrBase="Post-tax profit",$K33-$P33,$K33),WdrCap),0))</f>
        <v/>
      </c>
      <c r="R33" s="35">
        <f>IF($A33&gt;NYears*12,"",$F33+$J33-$O33-$Q33)</f>
        <v/>
      </c>
      <c r="S33" s="33">
        <f>IF($A33&gt;NYears*12,"",INT($R33/$E33))</f>
        <v/>
      </c>
    </row>
    <row r="34">
      <c r="A34" s="33">
        <f>30</f>
        <v/>
      </c>
      <c r="B34" s="34">
        <f>IF($A34&gt;NYears*12,"",EDATE(StartMonth,$A34-1))</f>
        <v/>
      </c>
      <c r="C34" s="33">
        <f>IF($A34&gt;NYears*12,"",INT(($A34-1)/12)+1)</f>
        <v/>
      </c>
      <c r="D34" s="33">
        <f>IF($A34&gt;NYears*12,"",MOD($A34-1,12)+1)</f>
        <v/>
      </c>
      <c r="E34" s="35">
        <f>IF($A34&gt;NYears*12,"",LotValue0*(1+LotGrowth)^($C34-1))</f>
        <v/>
      </c>
      <c r="F34" s="35">
        <f>IF($A34&gt;NYears*12,"",IF($A34=1,InitInvest,$R33))</f>
        <v/>
      </c>
      <c r="G34" s="33">
        <f>IF($A34&gt;NYears*12,"",INT($F34/$E34))</f>
        <v/>
      </c>
      <c r="H34" s="35">
        <f>IF($A34&gt;NYears*12,"",$G34*$E34)</f>
        <v/>
      </c>
      <c r="I34" s="35">
        <f>IF($A34&gt;NYears*12,"",$F34-$H34)</f>
        <v/>
      </c>
      <c r="J34" s="35">
        <f>IF($A34&gt;NYears*12,"",$H34*RateA)</f>
        <v/>
      </c>
      <c r="K34" s="35">
        <f>IF($A34&gt;NYears*12,"",IF($D34=1,$J34,$K33+$J34))</f>
        <v/>
      </c>
      <c r="L34" s="35">
        <f>IF($A34&gt;NYears*12,"",IF(MOD($D34,3)=0,SUM($J32:$J34),0))</f>
        <v/>
      </c>
      <c r="M34" s="35">
        <f>IF($A34&gt;NYears*12,"",IF(TaxFreq="Quarterly",$K34*12/$D34,$K34))</f>
        <v/>
      </c>
      <c r="N34" s="36">
        <f>IF($A34&gt;NYears*12,"",LOOKUP($M34,TaxLower,TaxRate))</f>
        <v/>
      </c>
      <c r="O34" s="35">
        <f>IF($A34&gt;NYears*12,"",IF(TaxFreq="Quarterly",IF(MOD($D34,3)=0,$L34*$N34,0),IF($D34=12,$K34*$N34,0)))</f>
        <v/>
      </c>
      <c r="P34" s="35">
        <f>IF($A34&gt;NYears*12,"",IF($D34=1,$O34,$P33+$O34))</f>
        <v/>
      </c>
      <c r="Q34" s="35">
        <f>IF($A34&gt;NYears*12,"",IF($D34=12,MIN(WdrPct*IF(WdrBase="Post-tax profit",$K34-$P34,$K34),WdrCap),0))</f>
        <v/>
      </c>
      <c r="R34" s="35">
        <f>IF($A34&gt;NYears*12,"",$F34+$J34-$O34-$Q34)</f>
        <v/>
      </c>
      <c r="S34" s="33">
        <f>IF($A34&gt;NYears*12,"",INT($R34/$E34))</f>
        <v/>
      </c>
    </row>
    <row r="35">
      <c r="A35" s="33">
        <f>31</f>
        <v/>
      </c>
      <c r="B35" s="34">
        <f>IF($A35&gt;NYears*12,"",EDATE(StartMonth,$A35-1))</f>
        <v/>
      </c>
      <c r="C35" s="33">
        <f>IF($A35&gt;NYears*12,"",INT(($A35-1)/12)+1)</f>
        <v/>
      </c>
      <c r="D35" s="33">
        <f>IF($A35&gt;NYears*12,"",MOD($A35-1,12)+1)</f>
        <v/>
      </c>
      <c r="E35" s="35">
        <f>IF($A35&gt;NYears*12,"",LotValue0*(1+LotGrowth)^($C35-1))</f>
        <v/>
      </c>
      <c r="F35" s="35">
        <f>IF($A35&gt;NYears*12,"",IF($A35=1,InitInvest,$R34))</f>
        <v/>
      </c>
      <c r="G35" s="33">
        <f>IF($A35&gt;NYears*12,"",INT($F35/$E35))</f>
        <v/>
      </c>
      <c r="H35" s="35">
        <f>IF($A35&gt;NYears*12,"",$G35*$E35)</f>
        <v/>
      </c>
      <c r="I35" s="35">
        <f>IF($A35&gt;NYears*12,"",$F35-$H35)</f>
        <v/>
      </c>
      <c r="J35" s="35">
        <f>IF($A35&gt;NYears*12,"",$H35*RateA)</f>
        <v/>
      </c>
      <c r="K35" s="35">
        <f>IF($A35&gt;NYears*12,"",IF($D35=1,$J35,$K34+$J35))</f>
        <v/>
      </c>
      <c r="L35" s="35">
        <f>IF($A35&gt;NYears*12,"",IF(MOD($D35,3)=0,SUM($J33:$J35),0))</f>
        <v/>
      </c>
      <c r="M35" s="35">
        <f>IF($A35&gt;NYears*12,"",IF(TaxFreq="Quarterly",$K35*12/$D35,$K35))</f>
        <v/>
      </c>
      <c r="N35" s="36">
        <f>IF($A35&gt;NYears*12,"",LOOKUP($M35,TaxLower,TaxRate))</f>
        <v/>
      </c>
      <c r="O35" s="35">
        <f>IF($A35&gt;NYears*12,"",IF(TaxFreq="Quarterly",IF(MOD($D35,3)=0,$L35*$N35,0),IF($D35=12,$K35*$N35,0)))</f>
        <v/>
      </c>
      <c r="P35" s="35">
        <f>IF($A35&gt;NYears*12,"",IF($D35=1,$O35,$P34+$O35))</f>
        <v/>
      </c>
      <c r="Q35" s="35">
        <f>IF($A35&gt;NYears*12,"",IF($D35=12,MIN(WdrPct*IF(WdrBase="Post-tax profit",$K35-$P35,$K35),WdrCap),0))</f>
        <v/>
      </c>
      <c r="R35" s="35">
        <f>IF($A35&gt;NYears*12,"",$F35+$J35-$O35-$Q35)</f>
        <v/>
      </c>
      <c r="S35" s="33">
        <f>IF($A35&gt;NYears*12,"",INT($R35/$E35))</f>
        <v/>
      </c>
    </row>
    <row r="36">
      <c r="A36" s="33">
        <f>32</f>
        <v/>
      </c>
      <c r="B36" s="34">
        <f>IF($A36&gt;NYears*12,"",EDATE(StartMonth,$A36-1))</f>
        <v/>
      </c>
      <c r="C36" s="33">
        <f>IF($A36&gt;NYears*12,"",INT(($A36-1)/12)+1)</f>
        <v/>
      </c>
      <c r="D36" s="33">
        <f>IF($A36&gt;NYears*12,"",MOD($A36-1,12)+1)</f>
        <v/>
      </c>
      <c r="E36" s="35">
        <f>IF($A36&gt;NYears*12,"",LotValue0*(1+LotGrowth)^($C36-1))</f>
        <v/>
      </c>
      <c r="F36" s="35">
        <f>IF($A36&gt;NYears*12,"",IF($A36=1,InitInvest,$R35))</f>
        <v/>
      </c>
      <c r="G36" s="33">
        <f>IF($A36&gt;NYears*12,"",INT($F36/$E36))</f>
        <v/>
      </c>
      <c r="H36" s="35">
        <f>IF($A36&gt;NYears*12,"",$G36*$E36)</f>
        <v/>
      </c>
      <c r="I36" s="35">
        <f>IF($A36&gt;NYears*12,"",$F36-$H36)</f>
        <v/>
      </c>
      <c r="J36" s="35">
        <f>IF($A36&gt;NYears*12,"",$H36*RateA)</f>
        <v/>
      </c>
      <c r="K36" s="35">
        <f>IF($A36&gt;NYears*12,"",IF($D36=1,$J36,$K35+$J36))</f>
        <v/>
      </c>
      <c r="L36" s="35">
        <f>IF($A36&gt;NYears*12,"",IF(MOD($D36,3)=0,SUM($J34:$J36),0))</f>
        <v/>
      </c>
      <c r="M36" s="35">
        <f>IF($A36&gt;NYears*12,"",IF(TaxFreq="Quarterly",$K36*12/$D36,$K36))</f>
        <v/>
      </c>
      <c r="N36" s="36">
        <f>IF($A36&gt;NYears*12,"",LOOKUP($M36,TaxLower,TaxRate))</f>
        <v/>
      </c>
      <c r="O36" s="35">
        <f>IF($A36&gt;NYears*12,"",IF(TaxFreq="Quarterly",IF(MOD($D36,3)=0,$L36*$N36,0),IF($D36=12,$K36*$N36,0)))</f>
        <v/>
      </c>
      <c r="P36" s="35">
        <f>IF($A36&gt;NYears*12,"",IF($D36=1,$O36,$P35+$O36))</f>
        <v/>
      </c>
      <c r="Q36" s="35">
        <f>IF($A36&gt;NYears*12,"",IF($D36=12,MIN(WdrPct*IF(WdrBase="Post-tax profit",$K36-$P36,$K36),WdrCap),0))</f>
        <v/>
      </c>
      <c r="R36" s="35">
        <f>IF($A36&gt;NYears*12,"",$F36+$J36-$O36-$Q36)</f>
        <v/>
      </c>
      <c r="S36" s="33">
        <f>IF($A36&gt;NYears*12,"",INT($R36/$E36))</f>
        <v/>
      </c>
    </row>
    <row r="37">
      <c r="A37" s="33">
        <f>33</f>
        <v/>
      </c>
      <c r="B37" s="34">
        <f>IF($A37&gt;NYears*12,"",EDATE(StartMonth,$A37-1))</f>
        <v/>
      </c>
      <c r="C37" s="33">
        <f>IF($A37&gt;NYears*12,"",INT(($A37-1)/12)+1)</f>
        <v/>
      </c>
      <c r="D37" s="33">
        <f>IF($A37&gt;NYears*12,"",MOD($A37-1,12)+1)</f>
        <v/>
      </c>
      <c r="E37" s="35">
        <f>IF($A37&gt;NYears*12,"",LotValue0*(1+LotGrowth)^($C37-1))</f>
        <v/>
      </c>
      <c r="F37" s="35">
        <f>IF($A37&gt;NYears*12,"",IF($A37=1,InitInvest,$R36))</f>
        <v/>
      </c>
      <c r="G37" s="33">
        <f>IF($A37&gt;NYears*12,"",INT($F37/$E37))</f>
        <v/>
      </c>
      <c r="H37" s="35">
        <f>IF($A37&gt;NYears*12,"",$G37*$E37)</f>
        <v/>
      </c>
      <c r="I37" s="35">
        <f>IF($A37&gt;NYears*12,"",$F37-$H37)</f>
        <v/>
      </c>
      <c r="J37" s="35">
        <f>IF($A37&gt;NYears*12,"",$H37*RateA)</f>
        <v/>
      </c>
      <c r="K37" s="35">
        <f>IF($A37&gt;NYears*12,"",IF($D37=1,$J37,$K36+$J37))</f>
        <v/>
      </c>
      <c r="L37" s="35">
        <f>IF($A37&gt;NYears*12,"",IF(MOD($D37,3)=0,SUM($J35:$J37),0))</f>
        <v/>
      </c>
      <c r="M37" s="35">
        <f>IF($A37&gt;NYears*12,"",IF(TaxFreq="Quarterly",$K37*12/$D37,$K37))</f>
        <v/>
      </c>
      <c r="N37" s="36">
        <f>IF($A37&gt;NYears*12,"",LOOKUP($M37,TaxLower,TaxRate))</f>
        <v/>
      </c>
      <c r="O37" s="35">
        <f>IF($A37&gt;NYears*12,"",IF(TaxFreq="Quarterly",IF(MOD($D37,3)=0,$L37*$N37,0),IF($D37=12,$K37*$N37,0)))</f>
        <v/>
      </c>
      <c r="P37" s="35">
        <f>IF($A37&gt;NYears*12,"",IF($D37=1,$O37,$P36+$O37))</f>
        <v/>
      </c>
      <c r="Q37" s="35">
        <f>IF($A37&gt;NYears*12,"",IF($D37=12,MIN(WdrPct*IF(WdrBase="Post-tax profit",$K37-$P37,$K37),WdrCap),0))</f>
        <v/>
      </c>
      <c r="R37" s="35">
        <f>IF($A37&gt;NYears*12,"",$F37+$J37-$O37-$Q37)</f>
        <v/>
      </c>
      <c r="S37" s="33">
        <f>IF($A37&gt;NYears*12,"",INT($R37/$E37))</f>
        <v/>
      </c>
    </row>
    <row r="38">
      <c r="A38" s="33">
        <f>34</f>
        <v/>
      </c>
      <c r="B38" s="34">
        <f>IF($A38&gt;NYears*12,"",EDATE(StartMonth,$A38-1))</f>
        <v/>
      </c>
      <c r="C38" s="33">
        <f>IF($A38&gt;NYears*12,"",INT(($A38-1)/12)+1)</f>
        <v/>
      </c>
      <c r="D38" s="33">
        <f>IF($A38&gt;NYears*12,"",MOD($A38-1,12)+1)</f>
        <v/>
      </c>
      <c r="E38" s="35">
        <f>IF($A38&gt;NYears*12,"",LotValue0*(1+LotGrowth)^($C38-1))</f>
        <v/>
      </c>
      <c r="F38" s="35">
        <f>IF($A38&gt;NYears*12,"",IF($A38=1,InitInvest,$R37))</f>
        <v/>
      </c>
      <c r="G38" s="33">
        <f>IF($A38&gt;NYears*12,"",INT($F38/$E38))</f>
        <v/>
      </c>
      <c r="H38" s="35">
        <f>IF($A38&gt;NYears*12,"",$G38*$E38)</f>
        <v/>
      </c>
      <c r="I38" s="35">
        <f>IF($A38&gt;NYears*12,"",$F38-$H38)</f>
        <v/>
      </c>
      <c r="J38" s="35">
        <f>IF($A38&gt;NYears*12,"",$H38*RateA)</f>
        <v/>
      </c>
      <c r="K38" s="35">
        <f>IF($A38&gt;NYears*12,"",IF($D38=1,$J38,$K37+$J38))</f>
        <v/>
      </c>
      <c r="L38" s="35">
        <f>IF($A38&gt;NYears*12,"",IF(MOD($D38,3)=0,SUM($J36:$J38),0))</f>
        <v/>
      </c>
      <c r="M38" s="35">
        <f>IF($A38&gt;NYears*12,"",IF(TaxFreq="Quarterly",$K38*12/$D38,$K38))</f>
        <v/>
      </c>
      <c r="N38" s="36">
        <f>IF($A38&gt;NYears*12,"",LOOKUP($M38,TaxLower,TaxRate))</f>
        <v/>
      </c>
      <c r="O38" s="35">
        <f>IF($A38&gt;NYears*12,"",IF(TaxFreq="Quarterly",IF(MOD($D38,3)=0,$L38*$N38,0),IF($D38=12,$K38*$N38,0)))</f>
        <v/>
      </c>
      <c r="P38" s="35">
        <f>IF($A38&gt;NYears*12,"",IF($D38=1,$O38,$P37+$O38))</f>
        <v/>
      </c>
      <c r="Q38" s="35">
        <f>IF($A38&gt;NYears*12,"",IF($D38=12,MIN(WdrPct*IF(WdrBase="Post-tax profit",$K38-$P38,$K38),WdrCap),0))</f>
        <v/>
      </c>
      <c r="R38" s="35">
        <f>IF($A38&gt;NYears*12,"",$F38+$J38-$O38-$Q38)</f>
        <v/>
      </c>
      <c r="S38" s="33">
        <f>IF($A38&gt;NYears*12,"",INT($R38/$E38))</f>
        <v/>
      </c>
    </row>
    <row r="39">
      <c r="A39" s="33">
        <f>35</f>
        <v/>
      </c>
      <c r="B39" s="34">
        <f>IF($A39&gt;NYears*12,"",EDATE(StartMonth,$A39-1))</f>
        <v/>
      </c>
      <c r="C39" s="33">
        <f>IF($A39&gt;NYears*12,"",INT(($A39-1)/12)+1)</f>
        <v/>
      </c>
      <c r="D39" s="33">
        <f>IF($A39&gt;NYears*12,"",MOD($A39-1,12)+1)</f>
        <v/>
      </c>
      <c r="E39" s="35">
        <f>IF($A39&gt;NYears*12,"",LotValue0*(1+LotGrowth)^($C39-1))</f>
        <v/>
      </c>
      <c r="F39" s="35">
        <f>IF($A39&gt;NYears*12,"",IF($A39=1,InitInvest,$R38))</f>
        <v/>
      </c>
      <c r="G39" s="33">
        <f>IF($A39&gt;NYears*12,"",INT($F39/$E39))</f>
        <v/>
      </c>
      <c r="H39" s="35">
        <f>IF($A39&gt;NYears*12,"",$G39*$E39)</f>
        <v/>
      </c>
      <c r="I39" s="35">
        <f>IF($A39&gt;NYears*12,"",$F39-$H39)</f>
        <v/>
      </c>
      <c r="J39" s="35">
        <f>IF($A39&gt;NYears*12,"",$H39*RateA)</f>
        <v/>
      </c>
      <c r="K39" s="35">
        <f>IF($A39&gt;NYears*12,"",IF($D39=1,$J39,$K38+$J39))</f>
        <v/>
      </c>
      <c r="L39" s="35">
        <f>IF($A39&gt;NYears*12,"",IF(MOD($D39,3)=0,SUM($J37:$J39),0))</f>
        <v/>
      </c>
      <c r="M39" s="35">
        <f>IF($A39&gt;NYears*12,"",IF(TaxFreq="Quarterly",$K39*12/$D39,$K39))</f>
        <v/>
      </c>
      <c r="N39" s="36">
        <f>IF($A39&gt;NYears*12,"",LOOKUP($M39,TaxLower,TaxRate))</f>
        <v/>
      </c>
      <c r="O39" s="35">
        <f>IF($A39&gt;NYears*12,"",IF(TaxFreq="Quarterly",IF(MOD($D39,3)=0,$L39*$N39,0),IF($D39=12,$K39*$N39,0)))</f>
        <v/>
      </c>
      <c r="P39" s="35">
        <f>IF($A39&gt;NYears*12,"",IF($D39=1,$O39,$P38+$O39))</f>
        <v/>
      </c>
      <c r="Q39" s="35">
        <f>IF($A39&gt;NYears*12,"",IF($D39=12,MIN(WdrPct*IF(WdrBase="Post-tax profit",$K39-$P39,$K39),WdrCap),0))</f>
        <v/>
      </c>
      <c r="R39" s="35">
        <f>IF($A39&gt;NYears*12,"",$F39+$J39-$O39-$Q39)</f>
        <v/>
      </c>
      <c r="S39" s="33">
        <f>IF($A39&gt;NYears*12,"",INT($R39/$E39))</f>
        <v/>
      </c>
    </row>
    <row r="40">
      <c r="A40" s="37">
        <f>36</f>
        <v/>
      </c>
      <c r="B40" s="38">
        <f>IF($A40&gt;NYears*12,"",EDATE(StartMonth,$A40-1))</f>
        <v/>
      </c>
      <c r="C40" s="37">
        <f>IF($A40&gt;NYears*12,"",INT(($A40-1)/12)+1)</f>
        <v/>
      </c>
      <c r="D40" s="37">
        <f>IF($A40&gt;NYears*12,"",MOD($A40-1,12)+1)</f>
        <v/>
      </c>
      <c r="E40" s="39">
        <f>IF($A40&gt;NYears*12,"",LotValue0*(1+LotGrowth)^($C40-1))</f>
        <v/>
      </c>
      <c r="F40" s="39">
        <f>IF($A40&gt;NYears*12,"",IF($A40=1,InitInvest,$R39))</f>
        <v/>
      </c>
      <c r="G40" s="37">
        <f>IF($A40&gt;NYears*12,"",INT($F40/$E40))</f>
        <v/>
      </c>
      <c r="H40" s="39">
        <f>IF($A40&gt;NYears*12,"",$G40*$E40)</f>
        <v/>
      </c>
      <c r="I40" s="39">
        <f>IF($A40&gt;NYears*12,"",$F40-$H40)</f>
        <v/>
      </c>
      <c r="J40" s="39">
        <f>IF($A40&gt;NYears*12,"",$H40*RateA)</f>
        <v/>
      </c>
      <c r="K40" s="39">
        <f>IF($A40&gt;NYears*12,"",IF($D40=1,$J40,$K39+$J40))</f>
        <v/>
      </c>
      <c r="L40" s="39">
        <f>IF($A40&gt;NYears*12,"",IF(MOD($D40,3)=0,SUM($J38:$J40),0))</f>
        <v/>
      </c>
      <c r="M40" s="39">
        <f>IF($A40&gt;NYears*12,"",IF(TaxFreq="Quarterly",$K40*12/$D40,$K40))</f>
        <v/>
      </c>
      <c r="N40" s="40">
        <f>IF($A40&gt;NYears*12,"",LOOKUP($M40,TaxLower,TaxRate))</f>
        <v/>
      </c>
      <c r="O40" s="39">
        <f>IF($A40&gt;NYears*12,"",IF(TaxFreq="Quarterly",IF(MOD($D40,3)=0,$L40*$N40,0),IF($D40=12,$K40*$N40,0)))</f>
        <v/>
      </c>
      <c r="P40" s="39">
        <f>IF($A40&gt;NYears*12,"",IF($D40=1,$O40,$P39+$O40))</f>
        <v/>
      </c>
      <c r="Q40" s="39">
        <f>IF($A40&gt;NYears*12,"",IF($D40=12,MIN(WdrPct*IF(WdrBase="Post-tax profit",$K40-$P40,$K40),WdrCap),0))</f>
        <v/>
      </c>
      <c r="R40" s="39">
        <f>IF($A40&gt;NYears*12,"",$F40+$J40-$O40-$Q40)</f>
        <v/>
      </c>
      <c r="S40" s="37">
        <f>IF($A40&gt;NYears*12,"",INT($R40/$E40))</f>
        <v/>
      </c>
    </row>
    <row r="41">
      <c r="A41" s="33">
        <f>37</f>
        <v/>
      </c>
      <c r="B41" s="34">
        <f>IF($A41&gt;NYears*12,"",EDATE(StartMonth,$A41-1))</f>
        <v/>
      </c>
      <c r="C41" s="33">
        <f>IF($A41&gt;NYears*12,"",INT(($A41-1)/12)+1)</f>
        <v/>
      </c>
      <c r="D41" s="33">
        <f>IF($A41&gt;NYears*12,"",MOD($A41-1,12)+1)</f>
        <v/>
      </c>
      <c r="E41" s="35">
        <f>IF($A41&gt;NYears*12,"",LotValue0*(1+LotGrowth)^($C41-1))</f>
        <v/>
      </c>
      <c r="F41" s="35">
        <f>IF($A41&gt;NYears*12,"",IF($A41=1,InitInvest,$R40))</f>
        <v/>
      </c>
      <c r="G41" s="33">
        <f>IF($A41&gt;NYears*12,"",INT($F41/$E41))</f>
        <v/>
      </c>
      <c r="H41" s="35">
        <f>IF($A41&gt;NYears*12,"",$G41*$E41)</f>
        <v/>
      </c>
      <c r="I41" s="35">
        <f>IF($A41&gt;NYears*12,"",$F41-$H41)</f>
        <v/>
      </c>
      <c r="J41" s="35">
        <f>IF($A41&gt;NYears*12,"",$H41*RateA)</f>
        <v/>
      </c>
      <c r="K41" s="35">
        <f>IF($A41&gt;NYears*12,"",IF($D41=1,$J41,$K40+$J41))</f>
        <v/>
      </c>
      <c r="L41" s="35">
        <f>IF($A41&gt;NYears*12,"",IF(MOD($D41,3)=0,SUM($J39:$J41),0))</f>
        <v/>
      </c>
      <c r="M41" s="35">
        <f>IF($A41&gt;NYears*12,"",IF(TaxFreq="Quarterly",$K41*12/$D41,$K41))</f>
        <v/>
      </c>
      <c r="N41" s="36">
        <f>IF($A41&gt;NYears*12,"",LOOKUP($M41,TaxLower,TaxRate))</f>
        <v/>
      </c>
      <c r="O41" s="35">
        <f>IF($A41&gt;NYears*12,"",IF(TaxFreq="Quarterly",IF(MOD($D41,3)=0,$L41*$N41,0),IF($D41=12,$K41*$N41,0)))</f>
        <v/>
      </c>
      <c r="P41" s="35">
        <f>IF($A41&gt;NYears*12,"",IF($D41=1,$O41,$P40+$O41))</f>
        <v/>
      </c>
      <c r="Q41" s="35">
        <f>IF($A41&gt;NYears*12,"",IF($D41=12,MIN(WdrPct*IF(WdrBase="Post-tax profit",$K41-$P41,$K41),WdrCap),0))</f>
        <v/>
      </c>
      <c r="R41" s="35">
        <f>IF($A41&gt;NYears*12,"",$F41+$J41-$O41-$Q41)</f>
        <v/>
      </c>
      <c r="S41" s="33">
        <f>IF($A41&gt;NYears*12,"",INT($R41/$E41))</f>
        <v/>
      </c>
    </row>
    <row r="42">
      <c r="A42" s="33">
        <f>38</f>
        <v/>
      </c>
      <c r="B42" s="34">
        <f>IF($A42&gt;NYears*12,"",EDATE(StartMonth,$A42-1))</f>
        <v/>
      </c>
      <c r="C42" s="33">
        <f>IF($A42&gt;NYears*12,"",INT(($A42-1)/12)+1)</f>
        <v/>
      </c>
      <c r="D42" s="33">
        <f>IF($A42&gt;NYears*12,"",MOD($A42-1,12)+1)</f>
        <v/>
      </c>
      <c r="E42" s="35">
        <f>IF($A42&gt;NYears*12,"",LotValue0*(1+LotGrowth)^($C42-1))</f>
        <v/>
      </c>
      <c r="F42" s="35">
        <f>IF($A42&gt;NYears*12,"",IF($A42=1,InitInvest,$R41))</f>
        <v/>
      </c>
      <c r="G42" s="33">
        <f>IF($A42&gt;NYears*12,"",INT($F42/$E42))</f>
        <v/>
      </c>
      <c r="H42" s="35">
        <f>IF($A42&gt;NYears*12,"",$G42*$E42)</f>
        <v/>
      </c>
      <c r="I42" s="35">
        <f>IF($A42&gt;NYears*12,"",$F42-$H42)</f>
        <v/>
      </c>
      <c r="J42" s="35">
        <f>IF($A42&gt;NYears*12,"",$H42*RateA)</f>
        <v/>
      </c>
      <c r="K42" s="35">
        <f>IF($A42&gt;NYears*12,"",IF($D42=1,$J42,$K41+$J42))</f>
        <v/>
      </c>
      <c r="L42" s="35">
        <f>IF($A42&gt;NYears*12,"",IF(MOD($D42,3)=0,SUM($J40:$J42),0))</f>
        <v/>
      </c>
      <c r="M42" s="35">
        <f>IF($A42&gt;NYears*12,"",IF(TaxFreq="Quarterly",$K42*12/$D42,$K42))</f>
        <v/>
      </c>
      <c r="N42" s="36">
        <f>IF($A42&gt;NYears*12,"",LOOKUP($M42,TaxLower,TaxRate))</f>
        <v/>
      </c>
      <c r="O42" s="35">
        <f>IF($A42&gt;NYears*12,"",IF(TaxFreq="Quarterly",IF(MOD($D42,3)=0,$L42*$N42,0),IF($D42=12,$K42*$N42,0)))</f>
        <v/>
      </c>
      <c r="P42" s="35">
        <f>IF($A42&gt;NYears*12,"",IF($D42=1,$O42,$P41+$O42))</f>
        <v/>
      </c>
      <c r="Q42" s="35">
        <f>IF($A42&gt;NYears*12,"",IF($D42=12,MIN(WdrPct*IF(WdrBase="Post-tax profit",$K42-$P42,$K42),WdrCap),0))</f>
        <v/>
      </c>
      <c r="R42" s="35">
        <f>IF($A42&gt;NYears*12,"",$F42+$J42-$O42-$Q42)</f>
        <v/>
      </c>
      <c r="S42" s="33">
        <f>IF($A42&gt;NYears*12,"",INT($R42/$E42))</f>
        <v/>
      </c>
    </row>
    <row r="43">
      <c r="A43" s="33">
        <f>39</f>
        <v/>
      </c>
      <c r="B43" s="34">
        <f>IF($A43&gt;NYears*12,"",EDATE(StartMonth,$A43-1))</f>
        <v/>
      </c>
      <c r="C43" s="33">
        <f>IF($A43&gt;NYears*12,"",INT(($A43-1)/12)+1)</f>
        <v/>
      </c>
      <c r="D43" s="33">
        <f>IF($A43&gt;NYears*12,"",MOD($A43-1,12)+1)</f>
        <v/>
      </c>
      <c r="E43" s="35">
        <f>IF($A43&gt;NYears*12,"",LotValue0*(1+LotGrowth)^($C43-1))</f>
        <v/>
      </c>
      <c r="F43" s="35">
        <f>IF($A43&gt;NYears*12,"",IF($A43=1,InitInvest,$R42))</f>
        <v/>
      </c>
      <c r="G43" s="33">
        <f>IF($A43&gt;NYears*12,"",INT($F43/$E43))</f>
        <v/>
      </c>
      <c r="H43" s="35">
        <f>IF($A43&gt;NYears*12,"",$G43*$E43)</f>
        <v/>
      </c>
      <c r="I43" s="35">
        <f>IF($A43&gt;NYears*12,"",$F43-$H43)</f>
        <v/>
      </c>
      <c r="J43" s="35">
        <f>IF($A43&gt;NYears*12,"",$H43*RateA)</f>
        <v/>
      </c>
      <c r="K43" s="35">
        <f>IF($A43&gt;NYears*12,"",IF($D43=1,$J43,$K42+$J43))</f>
        <v/>
      </c>
      <c r="L43" s="35">
        <f>IF($A43&gt;NYears*12,"",IF(MOD($D43,3)=0,SUM($J41:$J43),0))</f>
        <v/>
      </c>
      <c r="M43" s="35">
        <f>IF($A43&gt;NYears*12,"",IF(TaxFreq="Quarterly",$K43*12/$D43,$K43))</f>
        <v/>
      </c>
      <c r="N43" s="36">
        <f>IF($A43&gt;NYears*12,"",LOOKUP($M43,TaxLower,TaxRate))</f>
        <v/>
      </c>
      <c r="O43" s="35">
        <f>IF($A43&gt;NYears*12,"",IF(TaxFreq="Quarterly",IF(MOD($D43,3)=0,$L43*$N43,0),IF($D43=12,$K43*$N43,0)))</f>
        <v/>
      </c>
      <c r="P43" s="35">
        <f>IF($A43&gt;NYears*12,"",IF($D43=1,$O43,$P42+$O43))</f>
        <v/>
      </c>
      <c r="Q43" s="35">
        <f>IF($A43&gt;NYears*12,"",IF($D43=12,MIN(WdrPct*IF(WdrBase="Post-tax profit",$K43-$P43,$K43),WdrCap),0))</f>
        <v/>
      </c>
      <c r="R43" s="35">
        <f>IF($A43&gt;NYears*12,"",$F43+$J43-$O43-$Q43)</f>
        <v/>
      </c>
      <c r="S43" s="33">
        <f>IF($A43&gt;NYears*12,"",INT($R43/$E43))</f>
        <v/>
      </c>
    </row>
    <row r="44">
      <c r="A44" s="33">
        <f>40</f>
        <v/>
      </c>
      <c r="B44" s="34">
        <f>IF($A44&gt;NYears*12,"",EDATE(StartMonth,$A44-1))</f>
        <v/>
      </c>
      <c r="C44" s="33">
        <f>IF($A44&gt;NYears*12,"",INT(($A44-1)/12)+1)</f>
        <v/>
      </c>
      <c r="D44" s="33">
        <f>IF($A44&gt;NYears*12,"",MOD($A44-1,12)+1)</f>
        <v/>
      </c>
      <c r="E44" s="35">
        <f>IF($A44&gt;NYears*12,"",LotValue0*(1+LotGrowth)^($C44-1))</f>
        <v/>
      </c>
      <c r="F44" s="35">
        <f>IF($A44&gt;NYears*12,"",IF($A44=1,InitInvest,$R43))</f>
        <v/>
      </c>
      <c r="G44" s="33">
        <f>IF($A44&gt;NYears*12,"",INT($F44/$E44))</f>
        <v/>
      </c>
      <c r="H44" s="35">
        <f>IF($A44&gt;NYears*12,"",$G44*$E44)</f>
        <v/>
      </c>
      <c r="I44" s="35">
        <f>IF($A44&gt;NYears*12,"",$F44-$H44)</f>
        <v/>
      </c>
      <c r="J44" s="35">
        <f>IF($A44&gt;NYears*12,"",$H44*RateA)</f>
        <v/>
      </c>
      <c r="K44" s="35">
        <f>IF($A44&gt;NYears*12,"",IF($D44=1,$J44,$K43+$J44))</f>
        <v/>
      </c>
      <c r="L44" s="35">
        <f>IF($A44&gt;NYears*12,"",IF(MOD($D44,3)=0,SUM($J42:$J44),0))</f>
        <v/>
      </c>
      <c r="M44" s="35">
        <f>IF($A44&gt;NYears*12,"",IF(TaxFreq="Quarterly",$K44*12/$D44,$K44))</f>
        <v/>
      </c>
      <c r="N44" s="36">
        <f>IF($A44&gt;NYears*12,"",LOOKUP($M44,TaxLower,TaxRate))</f>
        <v/>
      </c>
      <c r="O44" s="35">
        <f>IF($A44&gt;NYears*12,"",IF(TaxFreq="Quarterly",IF(MOD($D44,3)=0,$L44*$N44,0),IF($D44=12,$K44*$N44,0)))</f>
        <v/>
      </c>
      <c r="P44" s="35">
        <f>IF($A44&gt;NYears*12,"",IF($D44=1,$O44,$P43+$O44))</f>
        <v/>
      </c>
      <c r="Q44" s="35">
        <f>IF($A44&gt;NYears*12,"",IF($D44=12,MIN(WdrPct*IF(WdrBase="Post-tax profit",$K44-$P44,$K44),WdrCap),0))</f>
        <v/>
      </c>
      <c r="R44" s="35">
        <f>IF($A44&gt;NYears*12,"",$F44+$J44-$O44-$Q44)</f>
        <v/>
      </c>
      <c r="S44" s="33">
        <f>IF($A44&gt;NYears*12,"",INT($R44/$E44))</f>
        <v/>
      </c>
    </row>
    <row r="45">
      <c r="A45" s="33">
        <f>41</f>
        <v/>
      </c>
      <c r="B45" s="34">
        <f>IF($A45&gt;NYears*12,"",EDATE(StartMonth,$A45-1))</f>
        <v/>
      </c>
      <c r="C45" s="33">
        <f>IF($A45&gt;NYears*12,"",INT(($A45-1)/12)+1)</f>
        <v/>
      </c>
      <c r="D45" s="33">
        <f>IF($A45&gt;NYears*12,"",MOD($A45-1,12)+1)</f>
        <v/>
      </c>
      <c r="E45" s="35">
        <f>IF($A45&gt;NYears*12,"",LotValue0*(1+LotGrowth)^($C45-1))</f>
        <v/>
      </c>
      <c r="F45" s="35">
        <f>IF($A45&gt;NYears*12,"",IF($A45=1,InitInvest,$R44))</f>
        <v/>
      </c>
      <c r="G45" s="33">
        <f>IF($A45&gt;NYears*12,"",INT($F45/$E45))</f>
        <v/>
      </c>
      <c r="H45" s="35">
        <f>IF($A45&gt;NYears*12,"",$G45*$E45)</f>
        <v/>
      </c>
      <c r="I45" s="35">
        <f>IF($A45&gt;NYears*12,"",$F45-$H45)</f>
        <v/>
      </c>
      <c r="J45" s="35">
        <f>IF($A45&gt;NYears*12,"",$H45*RateA)</f>
        <v/>
      </c>
      <c r="K45" s="35">
        <f>IF($A45&gt;NYears*12,"",IF($D45=1,$J45,$K44+$J45))</f>
        <v/>
      </c>
      <c r="L45" s="35">
        <f>IF($A45&gt;NYears*12,"",IF(MOD($D45,3)=0,SUM($J43:$J45),0))</f>
        <v/>
      </c>
      <c r="M45" s="35">
        <f>IF($A45&gt;NYears*12,"",IF(TaxFreq="Quarterly",$K45*12/$D45,$K45))</f>
        <v/>
      </c>
      <c r="N45" s="36">
        <f>IF($A45&gt;NYears*12,"",LOOKUP($M45,TaxLower,TaxRate))</f>
        <v/>
      </c>
      <c r="O45" s="35">
        <f>IF($A45&gt;NYears*12,"",IF(TaxFreq="Quarterly",IF(MOD($D45,3)=0,$L45*$N45,0),IF($D45=12,$K45*$N45,0)))</f>
        <v/>
      </c>
      <c r="P45" s="35">
        <f>IF($A45&gt;NYears*12,"",IF($D45=1,$O45,$P44+$O45))</f>
        <v/>
      </c>
      <c r="Q45" s="35">
        <f>IF($A45&gt;NYears*12,"",IF($D45=12,MIN(WdrPct*IF(WdrBase="Post-tax profit",$K45-$P45,$K45),WdrCap),0))</f>
        <v/>
      </c>
      <c r="R45" s="35">
        <f>IF($A45&gt;NYears*12,"",$F45+$J45-$O45-$Q45)</f>
        <v/>
      </c>
      <c r="S45" s="33">
        <f>IF($A45&gt;NYears*12,"",INT($R45/$E45))</f>
        <v/>
      </c>
    </row>
    <row r="46">
      <c r="A46" s="33">
        <f>42</f>
        <v/>
      </c>
      <c r="B46" s="34">
        <f>IF($A46&gt;NYears*12,"",EDATE(StartMonth,$A46-1))</f>
        <v/>
      </c>
      <c r="C46" s="33">
        <f>IF($A46&gt;NYears*12,"",INT(($A46-1)/12)+1)</f>
        <v/>
      </c>
      <c r="D46" s="33">
        <f>IF($A46&gt;NYears*12,"",MOD($A46-1,12)+1)</f>
        <v/>
      </c>
      <c r="E46" s="35">
        <f>IF($A46&gt;NYears*12,"",LotValue0*(1+LotGrowth)^($C46-1))</f>
        <v/>
      </c>
      <c r="F46" s="35">
        <f>IF($A46&gt;NYears*12,"",IF($A46=1,InitInvest,$R45))</f>
        <v/>
      </c>
      <c r="G46" s="33">
        <f>IF($A46&gt;NYears*12,"",INT($F46/$E46))</f>
        <v/>
      </c>
      <c r="H46" s="35">
        <f>IF($A46&gt;NYears*12,"",$G46*$E46)</f>
        <v/>
      </c>
      <c r="I46" s="35">
        <f>IF($A46&gt;NYears*12,"",$F46-$H46)</f>
        <v/>
      </c>
      <c r="J46" s="35">
        <f>IF($A46&gt;NYears*12,"",$H46*RateA)</f>
        <v/>
      </c>
      <c r="K46" s="35">
        <f>IF($A46&gt;NYears*12,"",IF($D46=1,$J46,$K45+$J46))</f>
        <v/>
      </c>
      <c r="L46" s="35">
        <f>IF($A46&gt;NYears*12,"",IF(MOD($D46,3)=0,SUM($J44:$J46),0))</f>
        <v/>
      </c>
      <c r="M46" s="35">
        <f>IF($A46&gt;NYears*12,"",IF(TaxFreq="Quarterly",$K46*12/$D46,$K46))</f>
        <v/>
      </c>
      <c r="N46" s="36">
        <f>IF($A46&gt;NYears*12,"",LOOKUP($M46,TaxLower,TaxRate))</f>
        <v/>
      </c>
      <c r="O46" s="35">
        <f>IF($A46&gt;NYears*12,"",IF(TaxFreq="Quarterly",IF(MOD($D46,3)=0,$L46*$N46,0),IF($D46=12,$K46*$N46,0)))</f>
        <v/>
      </c>
      <c r="P46" s="35">
        <f>IF($A46&gt;NYears*12,"",IF($D46=1,$O46,$P45+$O46))</f>
        <v/>
      </c>
      <c r="Q46" s="35">
        <f>IF($A46&gt;NYears*12,"",IF($D46=12,MIN(WdrPct*IF(WdrBase="Post-tax profit",$K46-$P46,$K46),WdrCap),0))</f>
        <v/>
      </c>
      <c r="R46" s="35">
        <f>IF($A46&gt;NYears*12,"",$F46+$J46-$O46-$Q46)</f>
        <v/>
      </c>
      <c r="S46" s="33">
        <f>IF($A46&gt;NYears*12,"",INT($R46/$E46))</f>
        <v/>
      </c>
    </row>
    <row r="47">
      <c r="A47" s="33">
        <f>43</f>
        <v/>
      </c>
      <c r="B47" s="34">
        <f>IF($A47&gt;NYears*12,"",EDATE(StartMonth,$A47-1))</f>
        <v/>
      </c>
      <c r="C47" s="33">
        <f>IF($A47&gt;NYears*12,"",INT(($A47-1)/12)+1)</f>
        <v/>
      </c>
      <c r="D47" s="33">
        <f>IF($A47&gt;NYears*12,"",MOD($A47-1,12)+1)</f>
        <v/>
      </c>
      <c r="E47" s="35">
        <f>IF($A47&gt;NYears*12,"",LotValue0*(1+LotGrowth)^($C47-1))</f>
        <v/>
      </c>
      <c r="F47" s="35">
        <f>IF($A47&gt;NYears*12,"",IF($A47=1,InitInvest,$R46))</f>
        <v/>
      </c>
      <c r="G47" s="33">
        <f>IF($A47&gt;NYears*12,"",INT($F47/$E47))</f>
        <v/>
      </c>
      <c r="H47" s="35">
        <f>IF($A47&gt;NYears*12,"",$G47*$E47)</f>
        <v/>
      </c>
      <c r="I47" s="35">
        <f>IF($A47&gt;NYears*12,"",$F47-$H47)</f>
        <v/>
      </c>
      <c r="J47" s="35">
        <f>IF($A47&gt;NYears*12,"",$H47*RateA)</f>
        <v/>
      </c>
      <c r="K47" s="35">
        <f>IF($A47&gt;NYears*12,"",IF($D47=1,$J47,$K46+$J47))</f>
        <v/>
      </c>
      <c r="L47" s="35">
        <f>IF($A47&gt;NYears*12,"",IF(MOD($D47,3)=0,SUM($J45:$J47),0))</f>
        <v/>
      </c>
      <c r="M47" s="35">
        <f>IF($A47&gt;NYears*12,"",IF(TaxFreq="Quarterly",$K47*12/$D47,$K47))</f>
        <v/>
      </c>
      <c r="N47" s="36">
        <f>IF($A47&gt;NYears*12,"",LOOKUP($M47,TaxLower,TaxRate))</f>
        <v/>
      </c>
      <c r="O47" s="35">
        <f>IF($A47&gt;NYears*12,"",IF(TaxFreq="Quarterly",IF(MOD($D47,3)=0,$L47*$N47,0),IF($D47=12,$K47*$N47,0)))</f>
        <v/>
      </c>
      <c r="P47" s="35">
        <f>IF($A47&gt;NYears*12,"",IF($D47=1,$O47,$P46+$O47))</f>
        <v/>
      </c>
      <c r="Q47" s="35">
        <f>IF($A47&gt;NYears*12,"",IF($D47=12,MIN(WdrPct*IF(WdrBase="Post-tax profit",$K47-$P47,$K47),WdrCap),0))</f>
        <v/>
      </c>
      <c r="R47" s="35">
        <f>IF($A47&gt;NYears*12,"",$F47+$J47-$O47-$Q47)</f>
        <v/>
      </c>
      <c r="S47" s="33">
        <f>IF($A47&gt;NYears*12,"",INT($R47/$E47))</f>
        <v/>
      </c>
    </row>
    <row r="48">
      <c r="A48" s="33">
        <f>44</f>
        <v/>
      </c>
      <c r="B48" s="34">
        <f>IF($A48&gt;NYears*12,"",EDATE(StartMonth,$A48-1))</f>
        <v/>
      </c>
      <c r="C48" s="33">
        <f>IF($A48&gt;NYears*12,"",INT(($A48-1)/12)+1)</f>
        <v/>
      </c>
      <c r="D48" s="33">
        <f>IF($A48&gt;NYears*12,"",MOD($A48-1,12)+1)</f>
        <v/>
      </c>
      <c r="E48" s="35">
        <f>IF($A48&gt;NYears*12,"",LotValue0*(1+LotGrowth)^($C48-1))</f>
        <v/>
      </c>
      <c r="F48" s="35">
        <f>IF($A48&gt;NYears*12,"",IF($A48=1,InitInvest,$R47))</f>
        <v/>
      </c>
      <c r="G48" s="33">
        <f>IF($A48&gt;NYears*12,"",INT($F48/$E48))</f>
        <v/>
      </c>
      <c r="H48" s="35">
        <f>IF($A48&gt;NYears*12,"",$G48*$E48)</f>
        <v/>
      </c>
      <c r="I48" s="35">
        <f>IF($A48&gt;NYears*12,"",$F48-$H48)</f>
        <v/>
      </c>
      <c r="J48" s="35">
        <f>IF($A48&gt;NYears*12,"",$H48*RateA)</f>
        <v/>
      </c>
      <c r="K48" s="35">
        <f>IF($A48&gt;NYears*12,"",IF($D48=1,$J48,$K47+$J48))</f>
        <v/>
      </c>
      <c r="L48" s="35">
        <f>IF($A48&gt;NYears*12,"",IF(MOD($D48,3)=0,SUM($J46:$J48),0))</f>
        <v/>
      </c>
      <c r="M48" s="35">
        <f>IF($A48&gt;NYears*12,"",IF(TaxFreq="Quarterly",$K48*12/$D48,$K48))</f>
        <v/>
      </c>
      <c r="N48" s="36">
        <f>IF($A48&gt;NYears*12,"",LOOKUP($M48,TaxLower,TaxRate))</f>
        <v/>
      </c>
      <c r="O48" s="35">
        <f>IF($A48&gt;NYears*12,"",IF(TaxFreq="Quarterly",IF(MOD($D48,3)=0,$L48*$N48,0),IF($D48=12,$K48*$N48,0)))</f>
        <v/>
      </c>
      <c r="P48" s="35">
        <f>IF($A48&gt;NYears*12,"",IF($D48=1,$O48,$P47+$O48))</f>
        <v/>
      </c>
      <c r="Q48" s="35">
        <f>IF($A48&gt;NYears*12,"",IF($D48=12,MIN(WdrPct*IF(WdrBase="Post-tax profit",$K48-$P48,$K48),WdrCap),0))</f>
        <v/>
      </c>
      <c r="R48" s="35">
        <f>IF($A48&gt;NYears*12,"",$F48+$J48-$O48-$Q48)</f>
        <v/>
      </c>
      <c r="S48" s="33">
        <f>IF($A48&gt;NYears*12,"",INT($R48/$E48))</f>
        <v/>
      </c>
    </row>
    <row r="49">
      <c r="A49" s="33">
        <f>45</f>
        <v/>
      </c>
      <c r="B49" s="34">
        <f>IF($A49&gt;NYears*12,"",EDATE(StartMonth,$A49-1))</f>
        <v/>
      </c>
      <c r="C49" s="33">
        <f>IF($A49&gt;NYears*12,"",INT(($A49-1)/12)+1)</f>
        <v/>
      </c>
      <c r="D49" s="33">
        <f>IF($A49&gt;NYears*12,"",MOD($A49-1,12)+1)</f>
        <v/>
      </c>
      <c r="E49" s="35">
        <f>IF($A49&gt;NYears*12,"",LotValue0*(1+LotGrowth)^($C49-1))</f>
        <v/>
      </c>
      <c r="F49" s="35">
        <f>IF($A49&gt;NYears*12,"",IF($A49=1,InitInvest,$R48))</f>
        <v/>
      </c>
      <c r="G49" s="33">
        <f>IF($A49&gt;NYears*12,"",INT($F49/$E49))</f>
        <v/>
      </c>
      <c r="H49" s="35">
        <f>IF($A49&gt;NYears*12,"",$G49*$E49)</f>
        <v/>
      </c>
      <c r="I49" s="35">
        <f>IF($A49&gt;NYears*12,"",$F49-$H49)</f>
        <v/>
      </c>
      <c r="J49" s="35">
        <f>IF($A49&gt;NYears*12,"",$H49*RateA)</f>
        <v/>
      </c>
      <c r="K49" s="35">
        <f>IF($A49&gt;NYears*12,"",IF($D49=1,$J49,$K48+$J49))</f>
        <v/>
      </c>
      <c r="L49" s="35">
        <f>IF($A49&gt;NYears*12,"",IF(MOD($D49,3)=0,SUM($J47:$J49),0))</f>
        <v/>
      </c>
      <c r="M49" s="35">
        <f>IF($A49&gt;NYears*12,"",IF(TaxFreq="Quarterly",$K49*12/$D49,$K49))</f>
        <v/>
      </c>
      <c r="N49" s="36">
        <f>IF($A49&gt;NYears*12,"",LOOKUP($M49,TaxLower,TaxRate))</f>
        <v/>
      </c>
      <c r="O49" s="35">
        <f>IF($A49&gt;NYears*12,"",IF(TaxFreq="Quarterly",IF(MOD($D49,3)=0,$L49*$N49,0),IF($D49=12,$K49*$N49,0)))</f>
        <v/>
      </c>
      <c r="P49" s="35">
        <f>IF($A49&gt;NYears*12,"",IF($D49=1,$O49,$P48+$O49))</f>
        <v/>
      </c>
      <c r="Q49" s="35">
        <f>IF($A49&gt;NYears*12,"",IF($D49=12,MIN(WdrPct*IF(WdrBase="Post-tax profit",$K49-$P49,$K49),WdrCap),0))</f>
        <v/>
      </c>
      <c r="R49" s="35">
        <f>IF($A49&gt;NYears*12,"",$F49+$J49-$O49-$Q49)</f>
        <v/>
      </c>
      <c r="S49" s="33">
        <f>IF($A49&gt;NYears*12,"",INT($R49/$E49))</f>
        <v/>
      </c>
    </row>
    <row r="50">
      <c r="A50" s="33">
        <f>46</f>
        <v/>
      </c>
      <c r="B50" s="34">
        <f>IF($A50&gt;NYears*12,"",EDATE(StartMonth,$A50-1))</f>
        <v/>
      </c>
      <c r="C50" s="33">
        <f>IF($A50&gt;NYears*12,"",INT(($A50-1)/12)+1)</f>
        <v/>
      </c>
      <c r="D50" s="33">
        <f>IF($A50&gt;NYears*12,"",MOD($A50-1,12)+1)</f>
        <v/>
      </c>
      <c r="E50" s="35">
        <f>IF($A50&gt;NYears*12,"",LotValue0*(1+LotGrowth)^($C50-1))</f>
        <v/>
      </c>
      <c r="F50" s="35">
        <f>IF($A50&gt;NYears*12,"",IF($A50=1,InitInvest,$R49))</f>
        <v/>
      </c>
      <c r="G50" s="33">
        <f>IF($A50&gt;NYears*12,"",INT($F50/$E50))</f>
        <v/>
      </c>
      <c r="H50" s="35">
        <f>IF($A50&gt;NYears*12,"",$G50*$E50)</f>
        <v/>
      </c>
      <c r="I50" s="35">
        <f>IF($A50&gt;NYears*12,"",$F50-$H50)</f>
        <v/>
      </c>
      <c r="J50" s="35">
        <f>IF($A50&gt;NYears*12,"",$H50*RateA)</f>
        <v/>
      </c>
      <c r="K50" s="35">
        <f>IF($A50&gt;NYears*12,"",IF($D50=1,$J50,$K49+$J50))</f>
        <v/>
      </c>
      <c r="L50" s="35">
        <f>IF($A50&gt;NYears*12,"",IF(MOD($D50,3)=0,SUM($J48:$J50),0))</f>
        <v/>
      </c>
      <c r="M50" s="35">
        <f>IF($A50&gt;NYears*12,"",IF(TaxFreq="Quarterly",$K50*12/$D50,$K50))</f>
        <v/>
      </c>
      <c r="N50" s="36">
        <f>IF($A50&gt;NYears*12,"",LOOKUP($M50,TaxLower,TaxRate))</f>
        <v/>
      </c>
      <c r="O50" s="35">
        <f>IF($A50&gt;NYears*12,"",IF(TaxFreq="Quarterly",IF(MOD($D50,3)=0,$L50*$N50,0),IF($D50=12,$K50*$N50,0)))</f>
        <v/>
      </c>
      <c r="P50" s="35">
        <f>IF($A50&gt;NYears*12,"",IF($D50=1,$O50,$P49+$O50))</f>
        <v/>
      </c>
      <c r="Q50" s="35">
        <f>IF($A50&gt;NYears*12,"",IF($D50=12,MIN(WdrPct*IF(WdrBase="Post-tax profit",$K50-$P50,$K50),WdrCap),0))</f>
        <v/>
      </c>
      <c r="R50" s="35">
        <f>IF($A50&gt;NYears*12,"",$F50+$J50-$O50-$Q50)</f>
        <v/>
      </c>
      <c r="S50" s="33">
        <f>IF($A50&gt;NYears*12,"",INT($R50/$E50))</f>
        <v/>
      </c>
    </row>
    <row r="51">
      <c r="A51" s="33">
        <f>47</f>
        <v/>
      </c>
      <c r="B51" s="34">
        <f>IF($A51&gt;NYears*12,"",EDATE(StartMonth,$A51-1))</f>
        <v/>
      </c>
      <c r="C51" s="33">
        <f>IF($A51&gt;NYears*12,"",INT(($A51-1)/12)+1)</f>
        <v/>
      </c>
      <c r="D51" s="33">
        <f>IF($A51&gt;NYears*12,"",MOD($A51-1,12)+1)</f>
        <v/>
      </c>
      <c r="E51" s="35">
        <f>IF($A51&gt;NYears*12,"",LotValue0*(1+LotGrowth)^($C51-1))</f>
        <v/>
      </c>
      <c r="F51" s="35">
        <f>IF($A51&gt;NYears*12,"",IF($A51=1,InitInvest,$R50))</f>
        <v/>
      </c>
      <c r="G51" s="33">
        <f>IF($A51&gt;NYears*12,"",INT($F51/$E51))</f>
        <v/>
      </c>
      <c r="H51" s="35">
        <f>IF($A51&gt;NYears*12,"",$G51*$E51)</f>
        <v/>
      </c>
      <c r="I51" s="35">
        <f>IF($A51&gt;NYears*12,"",$F51-$H51)</f>
        <v/>
      </c>
      <c r="J51" s="35">
        <f>IF($A51&gt;NYears*12,"",$H51*RateA)</f>
        <v/>
      </c>
      <c r="K51" s="35">
        <f>IF($A51&gt;NYears*12,"",IF($D51=1,$J51,$K50+$J51))</f>
        <v/>
      </c>
      <c r="L51" s="35">
        <f>IF($A51&gt;NYears*12,"",IF(MOD($D51,3)=0,SUM($J49:$J51),0))</f>
        <v/>
      </c>
      <c r="M51" s="35">
        <f>IF($A51&gt;NYears*12,"",IF(TaxFreq="Quarterly",$K51*12/$D51,$K51))</f>
        <v/>
      </c>
      <c r="N51" s="36">
        <f>IF($A51&gt;NYears*12,"",LOOKUP($M51,TaxLower,TaxRate))</f>
        <v/>
      </c>
      <c r="O51" s="35">
        <f>IF($A51&gt;NYears*12,"",IF(TaxFreq="Quarterly",IF(MOD($D51,3)=0,$L51*$N51,0),IF($D51=12,$K51*$N51,0)))</f>
        <v/>
      </c>
      <c r="P51" s="35">
        <f>IF($A51&gt;NYears*12,"",IF($D51=1,$O51,$P50+$O51))</f>
        <v/>
      </c>
      <c r="Q51" s="35">
        <f>IF($A51&gt;NYears*12,"",IF($D51=12,MIN(WdrPct*IF(WdrBase="Post-tax profit",$K51-$P51,$K51),WdrCap),0))</f>
        <v/>
      </c>
      <c r="R51" s="35">
        <f>IF($A51&gt;NYears*12,"",$F51+$J51-$O51-$Q51)</f>
        <v/>
      </c>
      <c r="S51" s="33">
        <f>IF($A51&gt;NYears*12,"",INT($R51/$E51))</f>
        <v/>
      </c>
    </row>
    <row r="52">
      <c r="A52" s="37">
        <f>48</f>
        <v/>
      </c>
      <c r="B52" s="38">
        <f>IF($A52&gt;NYears*12,"",EDATE(StartMonth,$A52-1))</f>
        <v/>
      </c>
      <c r="C52" s="37">
        <f>IF($A52&gt;NYears*12,"",INT(($A52-1)/12)+1)</f>
        <v/>
      </c>
      <c r="D52" s="37">
        <f>IF($A52&gt;NYears*12,"",MOD($A52-1,12)+1)</f>
        <v/>
      </c>
      <c r="E52" s="39">
        <f>IF($A52&gt;NYears*12,"",LotValue0*(1+LotGrowth)^($C52-1))</f>
        <v/>
      </c>
      <c r="F52" s="39">
        <f>IF($A52&gt;NYears*12,"",IF($A52=1,InitInvest,$R51))</f>
        <v/>
      </c>
      <c r="G52" s="37">
        <f>IF($A52&gt;NYears*12,"",INT($F52/$E52))</f>
        <v/>
      </c>
      <c r="H52" s="39">
        <f>IF($A52&gt;NYears*12,"",$G52*$E52)</f>
        <v/>
      </c>
      <c r="I52" s="39">
        <f>IF($A52&gt;NYears*12,"",$F52-$H52)</f>
        <v/>
      </c>
      <c r="J52" s="39">
        <f>IF($A52&gt;NYears*12,"",$H52*RateA)</f>
        <v/>
      </c>
      <c r="K52" s="39">
        <f>IF($A52&gt;NYears*12,"",IF($D52=1,$J52,$K51+$J52))</f>
        <v/>
      </c>
      <c r="L52" s="39">
        <f>IF($A52&gt;NYears*12,"",IF(MOD($D52,3)=0,SUM($J50:$J52),0))</f>
        <v/>
      </c>
      <c r="M52" s="39">
        <f>IF($A52&gt;NYears*12,"",IF(TaxFreq="Quarterly",$K52*12/$D52,$K52))</f>
        <v/>
      </c>
      <c r="N52" s="40">
        <f>IF($A52&gt;NYears*12,"",LOOKUP($M52,TaxLower,TaxRate))</f>
        <v/>
      </c>
      <c r="O52" s="39">
        <f>IF($A52&gt;NYears*12,"",IF(TaxFreq="Quarterly",IF(MOD($D52,3)=0,$L52*$N52,0),IF($D52=12,$K52*$N52,0)))</f>
        <v/>
      </c>
      <c r="P52" s="39">
        <f>IF($A52&gt;NYears*12,"",IF($D52=1,$O52,$P51+$O52))</f>
        <v/>
      </c>
      <c r="Q52" s="39">
        <f>IF($A52&gt;NYears*12,"",IF($D52=12,MIN(WdrPct*IF(WdrBase="Post-tax profit",$K52-$P52,$K52),WdrCap),0))</f>
        <v/>
      </c>
      <c r="R52" s="39">
        <f>IF($A52&gt;NYears*12,"",$F52+$J52-$O52-$Q52)</f>
        <v/>
      </c>
      <c r="S52" s="37">
        <f>IF($A52&gt;NYears*12,"",INT($R52/$E52))</f>
        <v/>
      </c>
    </row>
    <row r="53">
      <c r="A53" s="33">
        <f>49</f>
        <v/>
      </c>
      <c r="B53" s="34">
        <f>IF($A53&gt;NYears*12,"",EDATE(StartMonth,$A53-1))</f>
        <v/>
      </c>
      <c r="C53" s="33">
        <f>IF($A53&gt;NYears*12,"",INT(($A53-1)/12)+1)</f>
        <v/>
      </c>
      <c r="D53" s="33">
        <f>IF($A53&gt;NYears*12,"",MOD($A53-1,12)+1)</f>
        <v/>
      </c>
      <c r="E53" s="35">
        <f>IF($A53&gt;NYears*12,"",LotValue0*(1+LotGrowth)^($C53-1))</f>
        <v/>
      </c>
      <c r="F53" s="35">
        <f>IF($A53&gt;NYears*12,"",IF($A53=1,InitInvest,$R52))</f>
        <v/>
      </c>
      <c r="G53" s="33">
        <f>IF($A53&gt;NYears*12,"",INT($F53/$E53))</f>
        <v/>
      </c>
      <c r="H53" s="35">
        <f>IF($A53&gt;NYears*12,"",$G53*$E53)</f>
        <v/>
      </c>
      <c r="I53" s="35">
        <f>IF($A53&gt;NYears*12,"",$F53-$H53)</f>
        <v/>
      </c>
      <c r="J53" s="35">
        <f>IF($A53&gt;NYears*12,"",$H53*RateA)</f>
        <v/>
      </c>
      <c r="K53" s="35">
        <f>IF($A53&gt;NYears*12,"",IF($D53=1,$J53,$K52+$J53))</f>
        <v/>
      </c>
      <c r="L53" s="35">
        <f>IF($A53&gt;NYears*12,"",IF(MOD($D53,3)=0,SUM($J51:$J53),0))</f>
        <v/>
      </c>
      <c r="M53" s="35">
        <f>IF($A53&gt;NYears*12,"",IF(TaxFreq="Quarterly",$K53*12/$D53,$K53))</f>
        <v/>
      </c>
      <c r="N53" s="36">
        <f>IF($A53&gt;NYears*12,"",LOOKUP($M53,TaxLower,TaxRate))</f>
        <v/>
      </c>
      <c r="O53" s="35">
        <f>IF($A53&gt;NYears*12,"",IF(TaxFreq="Quarterly",IF(MOD($D53,3)=0,$L53*$N53,0),IF($D53=12,$K53*$N53,0)))</f>
        <v/>
      </c>
      <c r="P53" s="35">
        <f>IF($A53&gt;NYears*12,"",IF($D53=1,$O53,$P52+$O53))</f>
        <v/>
      </c>
      <c r="Q53" s="35">
        <f>IF($A53&gt;NYears*12,"",IF($D53=12,MIN(WdrPct*IF(WdrBase="Post-tax profit",$K53-$P53,$K53),WdrCap),0))</f>
        <v/>
      </c>
      <c r="R53" s="35">
        <f>IF($A53&gt;NYears*12,"",$F53+$J53-$O53-$Q53)</f>
        <v/>
      </c>
      <c r="S53" s="33">
        <f>IF($A53&gt;NYears*12,"",INT($R53/$E53))</f>
        <v/>
      </c>
    </row>
    <row r="54">
      <c r="A54" s="33">
        <f>50</f>
        <v/>
      </c>
      <c r="B54" s="34">
        <f>IF($A54&gt;NYears*12,"",EDATE(StartMonth,$A54-1))</f>
        <v/>
      </c>
      <c r="C54" s="33">
        <f>IF($A54&gt;NYears*12,"",INT(($A54-1)/12)+1)</f>
        <v/>
      </c>
      <c r="D54" s="33">
        <f>IF($A54&gt;NYears*12,"",MOD($A54-1,12)+1)</f>
        <v/>
      </c>
      <c r="E54" s="35">
        <f>IF($A54&gt;NYears*12,"",LotValue0*(1+LotGrowth)^($C54-1))</f>
        <v/>
      </c>
      <c r="F54" s="35">
        <f>IF($A54&gt;NYears*12,"",IF($A54=1,InitInvest,$R53))</f>
        <v/>
      </c>
      <c r="G54" s="33">
        <f>IF($A54&gt;NYears*12,"",INT($F54/$E54))</f>
        <v/>
      </c>
      <c r="H54" s="35">
        <f>IF($A54&gt;NYears*12,"",$G54*$E54)</f>
        <v/>
      </c>
      <c r="I54" s="35">
        <f>IF($A54&gt;NYears*12,"",$F54-$H54)</f>
        <v/>
      </c>
      <c r="J54" s="35">
        <f>IF($A54&gt;NYears*12,"",$H54*RateA)</f>
        <v/>
      </c>
      <c r="K54" s="35">
        <f>IF($A54&gt;NYears*12,"",IF($D54=1,$J54,$K53+$J54))</f>
        <v/>
      </c>
      <c r="L54" s="35">
        <f>IF($A54&gt;NYears*12,"",IF(MOD($D54,3)=0,SUM($J52:$J54),0))</f>
        <v/>
      </c>
      <c r="M54" s="35">
        <f>IF($A54&gt;NYears*12,"",IF(TaxFreq="Quarterly",$K54*12/$D54,$K54))</f>
        <v/>
      </c>
      <c r="N54" s="36">
        <f>IF($A54&gt;NYears*12,"",LOOKUP($M54,TaxLower,TaxRate))</f>
        <v/>
      </c>
      <c r="O54" s="35">
        <f>IF($A54&gt;NYears*12,"",IF(TaxFreq="Quarterly",IF(MOD($D54,3)=0,$L54*$N54,0),IF($D54=12,$K54*$N54,0)))</f>
        <v/>
      </c>
      <c r="P54" s="35">
        <f>IF($A54&gt;NYears*12,"",IF($D54=1,$O54,$P53+$O54))</f>
        <v/>
      </c>
      <c r="Q54" s="35">
        <f>IF($A54&gt;NYears*12,"",IF($D54=12,MIN(WdrPct*IF(WdrBase="Post-tax profit",$K54-$P54,$K54),WdrCap),0))</f>
        <v/>
      </c>
      <c r="R54" s="35">
        <f>IF($A54&gt;NYears*12,"",$F54+$J54-$O54-$Q54)</f>
        <v/>
      </c>
      <c r="S54" s="33">
        <f>IF($A54&gt;NYears*12,"",INT($R54/$E54))</f>
        <v/>
      </c>
    </row>
    <row r="55">
      <c r="A55" s="33">
        <f>51</f>
        <v/>
      </c>
      <c r="B55" s="34">
        <f>IF($A55&gt;NYears*12,"",EDATE(StartMonth,$A55-1))</f>
        <v/>
      </c>
      <c r="C55" s="33">
        <f>IF($A55&gt;NYears*12,"",INT(($A55-1)/12)+1)</f>
        <v/>
      </c>
      <c r="D55" s="33">
        <f>IF($A55&gt;NYears*12,"",MOD($A55-1,12)+1)</f>
        <v/>
      </c>
      <c r="E55" s="35">
        <f>IF($A55&gt;NYears*12,"",LotValue0*(1+LotGrowth)^($C55-1))</f>
        <v/>
      </c>
      <c r="F55" s="35">
        <f>IF($A55&gt;NYears*12,"",IF($A55=1,InitInvest,$R54))</f>
        <v/>
      </c>
      <c r="G55" s="33">
        <f>IF($A55&gt;NYears*12,"",INT($F55/$E55))</f>
        <v/>
      </c>
      <c r="H55" s="35">
        <f>IF($A55&gt;NYears*12,"",$G55*$E55)</f>
        <v/>
      </c>
      <c r="I55" s="35">
        <f>IF($A55&gt;NYears*12,"",$F55-$H55)</f>
        <v/>
      </c>
      <c r="J55" s="35">
        <f>IF($A55&gt;NYears*12,"",$H55*RateA)</f>
        <v/>
      </c>
      <c r="K55" s="35">
        <f>IF($A55&gt;NYears*12,"",IF($D55=1,$J55,$K54+$J55))</f>
        <v/>
      </c>
      <c r="L55" s="35">
        <f>IF($A55&gt;NYears*12,"",IF(MOD($D55,3)=0,SUM($J53:$J55),0))</f>
        <v/>
      </c>
      <c r="M55" s="35">
        <f>IF($A55&gt;NYears*12,"",IF(TaxFreq="Quarterly",$K55*12/$D55,$K55))</f>
        <v/>
      </c>
      <c r="N55" s="36">
        <f>IF($A55&gt;NYears*12,"",LOOKUP($M55,TaxLower,TaxRate))</f>
        <v/>
      </c>
      <c r="O55" s="35">
        <f>IF($A55&gt;NYears*12,"",IF(TaxFreq="Quarterly",IF(MOD($D55,3)=0,$L55*$N55,0),IF($D55=12,$K55*$N55,0)))</f>
        <v/>
      </c>
      <c r="P55" s="35">
        <f>IF($A55&gt;NYears*12,"",IF($D55=1,$O55,$P54+$O55))</f>
        <v/>
      </c>
      <c r="Q55" s="35">
        <f>IF($A55&gt;NYears*12,"",IF($D55=12,MIN(WdrPct*IF(WdrBase="Post-tax profit",$K55-$P55,$K55),WdrCap),0))</f>
        <v/>
      </c>
      <c r="R55" s="35">
        <f>IF($A55&gt;NYears*12,"",$F55+$J55-$O55-$Q55)</f>
        <v/>
      </c>
      <c r="S55" s="33">
        <f>IF($A55&gt;NYears*12,"",INT($R55/$E55))</f>
        <v/>
      </c>
    </row>
    <row r="56">
      <c r="A56" s="33">
        <f>52</f>
        <v/>
      </c>
      <c r="B56" s="34">
        <f>IF($A56&gt;NYears*12,"",EDATE(StartMonth,$A56-1))</f>
        <v/>
      </c>
      <c r="C56" s="33">
        <f>IF($A56&gt;NYears*12,"",INT(($A56-1)/12)+1)</f>
        <v/>
      </c>
      <c r="D56" s="33">
        <f>IF($A56&gt;NYears*12,"",MOD($A56-1,12)+1)</f>
        <v/>
      </c>
      <c r="E56" s="35">
        <f>IF($A56&gt;NYears*12,"",LotValue0*(1+LotGrowth)^($C56-1))</f>
        <v/>
      </c>
      <c r="F56" s="35">
        <f>IF($A56&gt;NYears*12,"",IF($A56=1,InitInvest,$R55))</f>
        <v/>
      </c>
      <c r="G56" s="33">
        <f>IF($A56&gt;NYears*12,"",INT($F56/$E56))</f>
        <v/>
      </c>
      <c r="H56" s="35">
        <f>IF($A56&gt;NYears*12,"",$G56*$E56)</f>
        <v/>
      </c>
      <c r="I56" s="35">
        <f>IF($A56&gt;NYears*12,"",$F56-$H56)</f>
        <v/>
      </c>
      <c r="J56" s="35">
        <f>IF($A56&gt;NYears*12,"",$H56*RateA)</f>
        <v/>
      </c>
      <c r="K56" s="35">
        <f>IF($A56&gt;NYears*12,"",IF($D56=1,$J56,$K55+$J56))</f>
        <v/>
      </c>
      <c r="L56" s="35">
        <f>IF($A56&gt;NYears*12,"",IF(MOD($D56,3)=0,SUM($J54:$J56),0))</f>
        <v/>
      </c>
      <c r="M56" s="35">
        <f>IF($A56&gt;NYears*12,"",IF(TaxFreq="Quarterly",$K56*12/$D56,$K56))</f>
        <v/>
      </c>
      <c r="N56" s="36">
        <f>IF($A56&gt;NYears*12,"",LOOKUP($M56,TaxLower,TaxRate))</f>
        <v/>
      </c>
      <c r="O56" s="35">
        <f>IF($A56&gt;NYears*12,"",IF(TaxFreq="Quarterly",IF(MOD($D56,3)=0,$L56*$N56,0),IF($D56=12,$K56*$N56,0)))</f>
        <v/>
      </c>
      <c r="P56" s="35">
        <f>IF($A56&gt;NYears*12,"",IF($D56=1,$O56,$P55+$O56))</f>
        <v/>
      </c>
      <c r="Q56" s="35">
        <f>IF($A56&gt;NYears*12,"",IF($D56=12,MIN(WdrPct*IF(WdrBase="Post-tax profit",$K56-$P56,$K56),WdrCap),0))</f>
        <v/>
      </c>
      <c r="R56" s="35">
        <f>IF($A56&gt;NYears*12,"",$F56+$J56-$O56-$Q56)</f>
        <v/>
      </c>
      <c r="S56" s="33">
        <f>IF($A56&gt;NYears*12,"",INT($R56/$E56))</f>
        <v/>
      </c>
    </row>
    <row r="57">
      <c r="A57" s="33">
        <f>53</f>
        <v/>
      </c>
      <c r="B57" s="34">
        <f>IF($A57&gt;NYears*12,"",EDATE(StartMonth,$A57-1))</f>
        <v/>
      </c>
      <c r="C57" s="33">
        <f>IF($A57&gt;NYears*12,"",INT(($A57-1)/12)+1)</f>
        <v/>
      </c>
      <c r="D57" s="33">
        <f>IF($A57&gt;NYears*12,"",MOD($A57-1,12)+1)</f>
        <v/>
      </c>
      <c r="E57" s="35">
        <f>IF($A57&gt;NYears*12,"",LotValue0*(1+LotGrowth)^($C57-1))</f>
        <v/>
      </c>
      <c r="F57" s="35">
        <f>IF($A57&gt;NYears*12,"",IF($A57=1,InitInvest,$R56))</f>
        <v/>
      </c>
      <c r="G57" s="33">
        <f>IF($A57&gt;NYears*12,"",INT($F57/$E57))</f>
        <v/>
      </c>
      <c r="H57" s="35">
        <f>IF($A57&gt;NYears*12,"",$G57*$E57)</f>
        <v/>
      </c>
      <c r="I57" s="35">
        <f>IF($A57&gt;NYears*12,"",$F57-$H57)</f>
        <v/>
      </c>
      <c r="J57" s="35">
        <f>IF($A57&gt;NYears*12,"",$H57*RateA)</f>
        <v/>
      </c>
      <c r="K57" s="35">
        <f>IF($A57&gt;NYears*12,"",IF($D57=1,$J57,$K56+$J57))</f>
        <v/>
      </c>
      <c r="L57" s="35">
        <f>IF($A57&gt;NYears*12,"",IF(MOD($D57,3)=0,SUM($J55:$J57),0))</f>
        <v/>
      </c>
      <c r="M57" s="35">
        <f>IF($A57&gt;NYears*12,"",IF(TaxFreq="Quarterly",$K57*12/$D57,$K57))</f>
        <v/>
      </c>
      <c r="N57" s="36">
        <f>IF($A57&gt;NYears*12,"",LOOKUP($M57,TaxLower,TaxRate))</f>
        <v/>
      </c>
      <c r="O57" s="35">
        <f>IF($A57&gt;NYears*12,"",IF(TaxFreq="Quarterly",IF(MOD($D57,3)=0,$L57*$N57,0),IF($D57=12,$K57*$N57,0)))</f>
        <v/>
      </c>
      <c r="P57" s="35">
        <f>IF($A57&gt;NYears*12,"",IF($D57=1,$O57,$P56+$O57))</f>
        <v/>
      </c>
      <c r="Q57" s="35">
        <f>IF($A57&gt;NYears*12,"",IF($D57=12,MIN(WdrPct*IF(WdrBase="Post-tax profit",$K57-$P57,$K57),WdrCap),0))</f>
        <v/>
      </c>
      <c r="R57" s="35">
        <f>IF($A57&gt;NYears*12,"",$F57+$J57-$O57-$Q57)</f>
        <v/>
      </c>
      <c r="S57" s="33">
        <f>IF($A57&gt;NYears*12,"",INT($R57/$E57))</f>
        <v/>
      </c>
    </row>
    <row r="58">
      <c r="A58" s="33">
        <f>54</f>
        <v/>
      </c>
      <c r="B58" s="34">
        <f>IF($A58&gt;NYears*12,"",EDATE(StartMonth,$A58-1))</f>
        <v/>
      </c>
      <c r="C58" s="33">
        <f>IF($A58&gt;NYears*12,"",INT(($A58-1)/12)+1)</f>
        <v/>
      </c>
      <c r="D58" s="33">
        <f>IF($A58&gt;NYears*12,"",MOD($A58-1,12)+1)</f>
        <v/>
      </c>
      <c r="E58" s="35">
        <f>IF($A58&gt;NYears*12,"",LotValue0*(1+LotGrowth)^($C58-1))</f>
        <v/>
      </c>
      <c r="F58" s="35">
        <f>IF($A58&gt;NYears*12,"",IF($A58=1,InitInvest,$R57))</f>
        <v/>
      </c>
      <c r="G58" s="33">
        <f>IF($A58&gt;NYears*12,"",INT($F58/$E58))</f>
        <v/>
      </c>
      <c r="H58" s="35">
        <f>IF($A58&gt;NYears*12,"",$G58*$E58)</f>
        <v/>
      </c>
      <c r="I58" s="35">
        <f>IF($A58&gt;NYears*12,"",$F58-$H58)</f>
        <v/>
      </c>
      <c r="J58" s="35">
        <f>IF($A58&gt;NYears*12,"",$H58*RateA)</f>
        <v/>
      </c>
      <c r="K58" s="35">
        <f>IF($A58&gt;NYears*12,"",IF($D58=1,$J58,$K57+$J58))</f>
        <v/>
      </c>
      <c r="L58" s="35">
        <f>IF($A58&gt;NYears*12,"",IF(MOD($D58,3)=0,SUM($J56:$J58),0))</f>
        <v/>
      </c>
      <c r="M58" s="35">
        <f>IF($A58&gt;NYears*12,"",IF(TaxFreq="Quarterly",$K58*12/$D58,$K58))</f>
        <v/>
      </c>
      <c r="N58" s="36">
        <f>IF($A58&gt;NYears*12,"",LOOKUP($M58,TaxLower,TaxRate))</f>
        <v/>
      </c>
      <c r="O58" s="35">
        <f>IF($A58&gt;NYears*12,"",IF(TaxFreq="Quarterly",IF(MOD($D58,3)=0,$L58*$N58,0),IF($D58=12,$K58*$N58,0)))</f>
        <v/>
      </c>
      <c r="P58" s="35">
        <f>IF($A58&gt;NYears*12,"",IF($D58=1,$O58,$P57+$O58))</f>
        <v/>
      </c>
      <c r="Q58" s="35">
        <f>IF($A58&gt;NYears*12,"",IF($D58=12,MIN(WdrPct*IF(WdrBase="Post-tax profit",$K58-$P58,$K58),WdrCap),0))</f>
        <v/>
      </c>
      <c r="R58" s="35">
        <f>IF($A58&gt;NYears*12,"",$F58+$J58-$O58-$Q58)</f>
        <v/>
      </c>
      <c r="S58" s="33">
        <f>IF($A58&gt;NYears*12,"",INT($R58/$E58))</f>
        <v/>
      </c>
    </row>
    <row r="59">
      <c r="A59" s="33">
        <f>55</f>
        <v/>
      </c>
      <c r="B59" s="34">
        <f>IF($A59&gt;NYears*12,"",EDATE(StartMonth,$A59-1))</f>
        <v/>
      </c>
      <c r="C59" s="33">
        <f>IF($A59&gt;NYears*12,"",INT(($A59-1)/12)+1)</f>
        <v/>
      </c>
      <c r="D59" s="33">
        <f>IF($A59&gt;NYears*12,"",MOD($A59-1,12)+1)</f>
        <v/>
      </c>
      <c r="E59" s="35">
        <f>IF($A59&gt;NYears*12,"",LotValue0*(1+LotGrowth)^($C59-1))</f>
        <v/>
      </c>
      <c r="F59" s="35">
        <f>IF($A59&gt;NYears*12,"",IF($A59=1,InitInvest,$R58))</f>
        <v/>
      </c>
      <c r="G59" s="33">
        <f>IF($A59&gt;NYears*12,"",INT($F59/$E59))</f>
        <v/>
      </c>
      <c r="H59" s="35">
        <f>IF($A59&gt;NYears*12,"",$G59*$E59)</f>
        <v/>
      </c>
      <c r="I59" s="35">
        <f>IF($A59&gt;NYears*12,"",$F59-$H59)</f>
        <v/>
      </c>
      <c r="J59" s="35">
        <f>IF($A59&gt;NYears*12,"",$H59*RateA)</f>
        <v/>
      </c>
      <c r="K59" s="35">
        <f>IF($A59&gt;NYears*12,"",IF($D59=1,$J59,$K58+$J59))</f>
        <v/>
      </c>
      <c r="L59" s="35">
        <f>IF($A59&gt;NYears*12,"",IF(MOD($D59,3)=0,SUM($J57:$J59),0))</f>
        <v/>
      </c>
      <c r="M59" s="35">
        <f>IF($A59&gt;NYears*12,"",IF(TaxFreq="Quarterly",$K59*12/$D59,$K59))</f>
        <v/>
      </c>
      <c r="N59" s="36">
        <f>IF($A59&gt;NYears*12,"",LOOKUP($M59,TaxLower,TaxRate))</f>
        <v/>
      </c>
      <c r="O59" s="35">
        <f>IF($A59&gt;NYears*12,"",IF(TaxFreq="Quarterly",IF(MOD($D59,3)=0,$L59*$N59,0),IF($D59=12,$K59*$N59,0)))</f>
        <v/>
      </c>
      <c r="P59" s="35">
        <f>IF($A59&gt;NYears*12,"",IF($D59=1,$O59,$P58+$O59))</f>
        <v/>
      </c>
      <c r="Q59" s="35">
        <f>IF($A59&gt;NYears*12,"",IF($D59=12,MIN(WdrPct*IF(WdrBase="Post-tax profit",$K59-$P59,$K59),WdrCap),0))</f>
        <v/>
      </c>
      <c r="R59" s="35">
        <f>IF($A59&gt;NYears*12,"",$F59+$J59-$O59-$Q59)</f>
        <v/>
      </c>
      <c r="S59" s="33">
        <f>IF($A59&gt;NYears*12,"",INT($R59/$E59))</f>
        <v/>
      </c>
    </row>
    <row r="60">
      <c r="A60" s="33">
        <f>56</f>
        <v/>
      </c>
      <c r="B60" s="34">
        <f>IF($A60&gt;NYears*12,"",EDATE(StartMonth,$A60-1))</f>
        <v/>
      </c>
      <c r="C60" s="33">
        <f>IF($A60&gt;NYears*12,"",INT(($A60-1)/12)+1)</f>
        <v/>
      </c>
      <c r="D60" s="33">
        <f>IF($A60&gt;NYears*12,"",MOD($A60-1,12)+1)</f>
        <v/>
      </c>
      <c r="E60" s="35">
        <f>IF($A60&gt;NYears*12,"",LotValue0*(1+LotGrowth)^($C60-1))</f>
        <v/>
      </c>
      <c r="F60" s="35">
        <f>IF($A60&gt;NYears*12,"",IF($A60=1,InitInvest,$R59))</f>
        <v/>
      </c>
      <c r="G60" s="33">
        <f>IF($A60&gt;NYears*12,"",INT($F60/$E60))</f>
        <v/>
      </c>
      <c r="H60" s="35">
        <f>IF($A60&gt;NYears*12,"",$G60*$E60)</f>
        <v/>
      </c>
      <c r="I60" s="35">
        <f>IF($A60&gt;NYears*12,"",$F60-$H60)</f>
        <v/>
      </c>
      <c r="J60" s="35">
        <f>IF($A60&gt;NYears*12,"",$H60*RateA)</f>
        <v/>
      </c>
      <c r="K60" s="35">
        <f>IF($A60&gt;NYears*12,"",IF($D60=1,$J60,$K59+$J60))</f>
        <v/>
      </c>
      <c r="L60" s="35">
        <f>IF($A60&gt;NYears*12,"",IF(MOD($D60,3)=0,SUM($J58:$J60),0))</f>
        <v/>
      </c>
      <c r="M60" s="35">
        <f>IF($A60&gt;NYears*12,"",IF(TaxFreq="Quarterly",$K60*12/$D60,$K60))</f>
        <v/>
      </c>
      <c r="N60" s="36">
        <f>IF($A60&gt;NYears*12,"",LOOKUP($M60,TaxLower,TaxRate))</f>
        <v/>
      </c>
      <c r="O60" s="35">
        <f>IF($A60&gt;NYears*12,"",IF(TaxFreq="Quarterly",IF(MOD($D60,3)=0,$L60*$N60,0),IF($D60=12,$K60*$N60,0)))</f>
        <v/>
      </c>
      <c r="P60" s="35">
        <f>IF($A60&gt;NYears*12,"",IF($D60=1,$O60,$P59+$O60))</f>
        <v/>
      </c>
      <c r="Q60" s="35">
        <f>IF($A60&gt;NYears*12,"",IF($D60=12,MIN(WdrPct*IF(WdrBase="Post-tax profit",$K60-$P60,$K60),WdrCap),0))</f>
        <v/>
      </c>
      <c r="R60" s="35">
        <f>IF($A60&gt;NYears*12,"",$F60+$J60-$O60-$Q60)</f>
        <v/>
      </c>
      <c r="S60" s="33">
        <f>IF($A60&gt;NYears*12,"",INT($R60/$E60))</f>
        <v/>
      </c>
    </row>
    <row r="61">
      <c r="A61" s="33">
        <f>57</f>
        <v/>
      </c>
      <c r="B61" s="34">
        <f>IF($A61&gt;NYears*12,"",EDATE(StartMonth,$A61-1))</f>
        <v/>
      </c>
      <c r="C61" s="33">
        <f>IF($A61&gt;NYears*12,"",INT(($A61-1)/12)+1)</f>
        <v/>
      </c>
      <c r="D61" s="33">
        <f>IF($A61&gt;NYears*12,"",MOD($A61-1,12)+1)</f>
        <v/>
      </c>
      <c r="E61" s="35">
        <f>IF($A61&gt;NYears*12,"",LotValue0*(1+LotGrowth)^($C61-1))</f>
        <v/>
      </c>
      <c r="F61" s="35">
        <f>IF($A61&gt;NYears*12,"",IF($A61=1,InitInvest,$R60))</f>
        <v/>
      </c>
      <c r="G61" s="33">
        <f>IF($A61&gt;NYears*12,"",INT($F61/$E61))</f>
        <v/>
      </c>
      <c r="H61" s="35">
        <f>IF($A61&gt;NYears*12,"",$G61*$E61)</f>
        <v/>
      </c>
      <c r="I61" s="35">
        <f>IF($A61&gt;NYears*12,"",$F61-$H61)</f>
        <v/>
      </c>
      <c r="J61" s="35">
        <f>IF($A61&gt;NYears*12,"",$H61*RateA)</f>
        <v/>
      </c>
      <c r="K61" s="35">
        <f>IF($A61&gt;NYears*12,"",IF($D61=1,$J61,$K60+$J61))</f>
        <v/>
      </c>
      <c r="L61" s="35">
        <f>IF($A61&gt;NYears*12,"",IF(MOD($D61,3)=0,SUM($J59:$J61),0))</f>
        <v/>
      </c>
      <c r="M61" s="35">
        <f>IF($A61&gt;NYears*12,"",IF(TaxFreq="Quarterly",$K61*12/$D61,$K61))</f>
        <v/>
      </c>
      <c r="N61" s="36">
        <f>IF($A61&gt;NYears*12,"",LOOKUP($M61,TaxLower,TaxRate))</f>
        <v/>
      </c>
      <c r="O61" s="35">
        <f>IF($A61&gt;NYears*12,"",IF(TaxFreq="Quarterly",IF(MOD($D61,3)=0,$L61*$N61,0),IF($D61=12,$K61*$N61,0)))</f>
        <v/>
      </c>
      <c r="P61" s="35">
        <f>IF($A61&gt;NYears*12,"",IF($D61=1,$O61,$P60+$O61))</f>
        <v/>
      </c>
      <c r="Q61" s="35">
        <f>IF($A61&gt;NYears*12,"",IF($D61=12,MIN(WdrPct*IF(WdrBase="Post-tax profit",$K61-$P61,$K61),WdrCap),0))</f>
        <v/>
      </c>
      <c r="R61" s="35">
        <f>IF($A61&gt;NYears*12,"",$F61+$J61-$O61-$Q61)</f>
        <v/>
      </c>
      <c r="S61" s="33">
        <f>IF($A61&gt;NYears*12,"",INT($R61/$E61))</f>
        <v/>
      </c>
    </row>
    <row r="62">
      <c r="A62" s="33">
        <f>58</f>
        <v/>
      </c>
      <c r="B62" s="34">
        <f>IF($A62&gt;NYears*12,"",EDATE(StartMonth,$A62-1))</f>
        <v/>
      </c>
      <c r="C62" s="33">
        <f>IF($A62&gt;NYears*12,"",INT(($A62-1)/12)+1)</f>
        <v/>
      </c>
      <c r="D62" s="33">
        <f>IF($A62&gt;NYears*12,"",MOD($A62-1,12)+1)</f>
        <v/>
      </c>
      <c r="E62" s="35">
        <f>IF($A62&gt;NYears*12,"",LotValue0*(1+LotGrowth)^($C62-1))</f>
        <v/>
      </c>
      <c r="F62" s="35">
        <f>IF($A62&gt;NYears*12,"",IF($A62=1,InitInvest,$R61))</f>
        <v/>
      </c>
      <c r="G62" s="33">
        <f>IF($A62&gt;NYears*12,"",INT($F62/$E62))</f>
        <v/>
      </c>
      <c r="H62" s="35">
        <f>IF($A62&gt;NYears*12,"",$G62*$E62)</f>
        <v/>
      </c>
      <c r="I62" s="35">
        <f>IF($A62&gt;NYears*12,"",$F62-$H62)</f>
        <v/>
      </c>
      <c r="J62" s="35">
        <f>IF($A62&gt;NYears*12,"",$H62*RateA)</f>
        <v/>
      </c>
      <c r="K62" s="35">
        <f>IF($A62&gt;NYears*12,"",IF($D62=1,$J62,$K61+$J62))</f>
        <v/>
      </c>
      <c r="L62" s="35">
        <f>IF($A62&gt;NYears*12,"",IF(MOD($D62,3)=0,SUM($J60:$J62),0))</f>
        <v/>
      </c>
      <c r="M62" s="35">
        <f>IF($A62&gt;NYears*12,"",IF(TaxFreq="Quarterly",$K62*12/$D62,$K62))</f>
        <v/>
      </c>
      <c r="N62" s="36">
        <f>IF($A62&gt;NYears*12,"",LOOKUP($M62,TaxLower,TaxRate))</f>
        <v/>
      </c>
      <c r="O62" s="35">
        <f>IF($A62&gt;NYears*12,"",IF(TaxFreq="Quarterly",IF(MOD($D62,3)=0,$L62*$N62,0),IF($D62=12,$K62*$N62,0)))</f>
        <v/>
      </c>
      <c r="P62" s="35">
        <f>IF($A62&gt;NYears*12,"",IF($D62=1,$O62,$P61+$O62))</f>
        <v/>
      </c>
      <c r="Q62" s="35">
        <f>IF($A62&gt;NYears*12,"",IF($D62=12,MIN(WdrPct*IF(WdrBase="Post-tax profit",$K62-$P62,$K62),WdrCap),0))</f>
        <v/>
      </c>
      <c r="R62" s="35">
        <f>IF($A62&gt;NYears*12,"",$F62+$J62-$O62-$Q62)</f>
        <v/>
      </c>
      <c r="S62" s="33">
        <f>IF($A62&gt;NYears*12,"",INT($R62/$E62))</f>
        <v/>
      </c>
    </row>
    <row r="63">
      <c r="A63" s="33">
        <f>59</f>
        <v/>
      </c>
      <c r="B63" s="34">
        <f>IF($A63&gt;NYears*12,"",EDATE(StartMonth,$A63-1))</f>
        <v/>
      </c>
      <c r="C63" s="33">
        <f>IF($A63&gt;NYears*12,"",INT(($A63-1)/12)+1)</f>
        <v/>
      </c>
      <c r="D63" s="33">
        <f>IF($A63&gt;NYears*12,"",MOD($A63-1,12)+1)</f>
        <v/>
      </c>
      <c r="E63" s="35">
        <f>IF($A63&gt;NYears*12,"",LotValue0*(1+LotGrowth)^($C63-1))</f>
        <v/>
      </c>
      <c r="F63" s="35">
        <f>IF($A63&gt;NYears*12,"",IF($A63=1,InitInvest,$R62))</f>
        <v/>
      </c>
      <c r="G63" s="33">
        <f>IF($A63&gt;NYears*12,"",INT($F63/$E63))</f>
        <v/>
      </c>
      <c r="H63" s="35">
        <f>IF($A63&gt;NYears*12,"",$G63*$E63)</f>
        <v/>
      </c>
      <c r="I63" s="35">
        <f>IF($A63&gt;NYears*12,"",$F63-$H63)</f>
        <v/>
      </c>
      <c r="J63" s="35">
        <f>IF($A63&gt;NYears*12,"",$H63*RateA)</f>
        <v/>
      </c>
      <c r="K63" s="35">
        <f>IF($A63&gt;NYears*12,"",IF($D63=1,$J63,$K62+$J63))</f>
        <v/>
      </c>
      <c r="L63" s="35">
        <f>IF($A63&gt;NYears*12,"",IF(MOD($D63,3)=0,SUM($J61:$J63),0))</f>
        <v/>
      </c>
      <c r="M63" s="35">
        <f>IF($A63&gt;NYears*12,"",IF(TaxFreq="Quarterly",$K63*12/$D63,$K63))</f>
        <v/>
      </c>
      <c r="N63" s="36">
        <f>IF($A63&gt;NYears*12,"",LOOKUP($M63,TaxLower,TaxRate))</f>
        <v/>
      </c>
      <c r="O63" s="35">
        <f>IF($A63&gt;NYears*12,"",IF(TaxFreq="Quarterly",IF(MOD($D63,3)=0,$L63*$N63,0),IF($D63=12,$K63*$N63,0)))</f>
        <v/>
      </c>
      <c r="P63" s="35">
        <f>IF($A63&gt;NYears*12,"",IF($D63=1,$O63,$P62+$O63))</f>
        <v/>
      </c>
      <c r="Q63" s="35">
        <f>IF($A63&gt;NYears*12,"",IF($D63=12,MIN(WdrPct*IF(WdrBase="Post-tax profit",$K63-$P63,$K63),WdrCap),0))</f>
        <v/>
      </c>
      <c r="R63" s="35">
        <f>IF($A63&gt;NYears*12,"",$F63+$J63-$O63-$Q63)</f>
        <v/>
      </c>
      <c r="S63" s="33">
        <f>IF($A63&gt;NYears*12,"",INT($R63/$E63))</f>
        <v/>
      </c>
    </row>
    <row r="64">
      <c r="A64" s="37">
        <f>60</f>
        <v/>
      </c>
      <c r="B64" s="38">
        <f>IF($A64&gt;NYears*12,"",EDATE(StartMonth,$A64-1))</f>
        <v/>
      </c>
      <c r="C64" s="37">
        <f>IF($A64&gt;NYears*12,"",INT(($A64-1)/12)+1)</f>
        <v/>
      </c>
      <c r="D64" s="37">
        <f>IF($A64&gt;NYears*12,"",MOD($A64-1,12)+1)</f>
        <v/>
      </c>
      <c r="E64" s="39">
        <f>IF($A64&gt;NYears*12,"",LotValue0*(1+LotGrowth)^($C64-1))</f>
        <v/>
      </c>
      <c r="F64" s="39">
        <f>IF($A64&gt;NYears*12,"",IF($A64=1,InitInvest,$R63))</f>
        <v/>
      </c>
      <c r="G64" s="37">
        <f>IF($A64&gt;NYears*12,"",INT($F64/$E64))</f>
        <v/>
      </c>
      <c r="H64" s="39">
        <f>IF($A64&gt;NYears*12,"",$G64*$E64)</f>
        <v/>
      </c>
      <c r="I64" s="39">
        <f>IF($A64&gt;NYears*12,"",$F64-$H64)</f>
        <v/>
      </c>
      <c r="J64" s="39">
        <f>IF($A64&gt;NYears*12,"",$H64*RateA)</f>
        <v/>
      </c>
      <c r="K64" s="39">
        <f>IF($A64&gt;NYears*12,"",IF($D64=1,$J64,$K63+$J64))</f>
        <v/>
      </c>
      <c r="L64" s="39">
        <f>IF($A64&gt;NYears*12,"",IF(MOD($D64,3)=0,SUM($J62:$J64),0))</f>
        <v/>
      </c>
      <c r="M64" s="39">
        <f>IF($A64&gt;NYears*12,"",IF(TaxFreq="Quarterly",$K64*12/$D64,$K64))</f>
        <v/>
      </c>
      <c r="N64" s="40">
        <f>IF($A64&gt;NYears*12,"",LOOKUP($M64,TaxLower,TaxRate))</f>
        <v/>
      </c>
      <c r="O64" s="39">
        <f>IF($A64&gt;NYears*12,"",IF(TaxFreq="Quarterly",IF(MOD($D64,3)=0,$L64*$N64,0),IF($D64=12,$K64*$N64,0)))</f>
        <v/>
      </c>
      <c r="P64" s="39">
        <f>IF($A64&gt;NYears*12,"",IF($D64=1,$O64,$P63+$O64))</f>
        <v/>
      </c>
      <c r="Q64" s="39">
        <f>IF($A64&gt;NYears*12,"",IF($D64=12,MIN(WdrPct*IF(WdrBase="Post-tax profit",$K64-$P64,$K64),WdrCap),0))</f>
        <v/>
      </c>
      <c r="R64" s="39">
        <f>IF($A64&gt;NYears*12,"",$F64+$J64-$O64-$Q64)</f>
        <v/>
      </c>
      <c r="S64" s="37">
        <f>IF($A64&gt;NYears*12,"",INT($R64/$E64))</f>
        <v/>
      </c>
    </row>
    <row r="65">
      <c r="A65" s="33">
        <f>61</f>
        <v/>
      </c>
      <c r="B65" s="34">
        <f>IF($A65&gt;NYears*12,"",EDATE(StartMonth,$A65-1))</f>
        <v/>
      </c>
      <c r="C65" s="33">
        <f>IF($A65&gt;NYears*12,"",INT(($A65-1)/12)+1)</f>
        <v/>
      </c>
      <c r="D65" s="33">
        <f>IF($A65&gt;NYears*12,"",MOD($A65-1,12)+1)</f>
        <v/>
      </c>
      <c r="E65" s="35">
        <f>IF($A65&gt;NYears*12,"",LotValue0*(1+LotGrowth)^($C65-1))</f>
        <v/>
      </c>
      <c r="F65" s="35">
        <f>IF($A65&gt;NYears*12,"",IF($A65=1,InitInvest,$R64))</f>
        <v/>
      </c>
      <c r="G65" s="33">
        <f>IF($A65&gt;NYears*12,"",INT($F65/$E65))</f>
        <v/>
      </c>
      <c r="H65" s="35">
        <f>IF($A65&gt;NYears*12,"",$G65*$E65)</f>
        <v/>
      </c>
      <c r="I65" s="35">
        <f>IF($A65&gt;NYears*12,"",$F65-$H65)</f>
        <v/>
      </c>
      <c r="J65" s="35">
        <f>IF($A65&gt;NYears*12,"",$H65*RateA)</f>
        <v/>
      </c>
      <c r="K65" s="35">
        <f>IF($A65&gt;NYears*12,"",IF($D65=1,$J65,$K64+$J65))</f>
        <v/>
      </c>
      <c r="L65" s="35">
        <f>IF($A65&gt;NYears*12,"",IF(MOD($D65,3)=0,SUM($J63:$J65),0))</f>
        <v/>
      </c>
      <c r="M65" s="35">
        <f>IF($A65&gt;NYears*12,"",IF(TaxFreq="Quarterly",$K65*12/$D65,$K65))</f>
        <v/>
      </c>
      <c r="N65" s="36">
        <f>IF($A65&gt;NYears*12,"",LOOKUP($M65,TaxLower,TaxRate))</f>
        <v/>
      </c>
      <c r="O65" s="35">
        <f>IF($A65&gt;NYears*12,"",IF(TaxFreq="Quarterly",IF(MOD($D65,3)=0,$L65*$N65,0),IF($D65=12,$K65*$N65,0)))</f>
        <v/>
      </c>
      <c r="P65" s="35">
        <f>IF($A65&gt;NYears*12,"",IF($D65=1,$O65,$P64+$O65))</f>
        <v/>
      </c>
      <c r="Q65" s="35">
        <f>IF($A65&gt;NYears*12,"",IF($D65=12,MIN(WdrPct*IF(WdrBase="Post-tax profit",$K65-$P65,$K65),WdrCap),0))</f>
        <v/>
      </c>
      <c r="R65" s="35">
        <f>IF($A65&gt;NYears*12,"",$F65+$J65-$O65-$Q65)</f>
        <v/>
      </c>
      <c r="S65" s="33">
        <f>IF($A65&gt;NYears*12,"",INT($R65/$E65))</f>
        <v/>
      </c>
    </row>
    <row r="66">
      <c r="A66" s="33">
        <f>62</f>
        <v/>
      </c>
      <c r="B66" s="34">
        <f>IF($A66&gt;NYears*12,"",EDATE(StartMonth,$A66-1))</f>
        <v/>
      </c>
      <c r="C66" s="33">
        <f>IF($A66&gt;NYears*12,"",INT(($A66-1)/12)+1)</f>
        <v/>
      </c>
      <c r="D66" s="33">
        <f>IF($A66&gt;NYears*12,"",MOD($A66-1,12)+1)</f>
        <v/>
      </c>
      <c r="E66" s="35">
        <f>IF($A66&gt;NYears*12,"",LotValue0*(1+LotGrowth)^($C66-1))</f>
        <v/>
      </c>
      <c r="F66" s="35">
        <f>IF($A66&gt;NYears*12,"",IF($A66=1,InitInvest,$R65))</f>
        <v/>
      </c>
      <c r="G66" s="33">
        <f>IF($A66&gt;NYears*12,"",INT($F66/$E66))</f>
        <v/>
      </c>
      <c r="H66" s="35">
        <f>IF($A66&gt;NYears*12,"",$G66*$E66)</f>
        <v/>
      </c>
      <c r="I66" s="35">
        <f>IF($A66&gt;NYears*12,"",$F66-$H66)</f>
        <v/>
      </c>
      <c r="J66" s="35">
        <f>IF($A66&gt;NYears*12,"",$H66*RateA)</f>
        <v/>
      </c>
      <c r="K66" s="35">
        <f>IF($A66&gt;NYears*12,"",IF($D66=1,$J66,$K65+$J66))</f>
        <v/>
      </c>
      <c r="L66" s="35">
        <f>IF($A66&gt;NYears*12,"",IF(MOD($D66,3)=0,SUM($J64:$J66),0))</f>
        <v/>
      </c>
      <c r="M66" s="35">
        <f>IF($A66&gt;NYears*12,"",IF(TaxFreq="Quarterly",$K66*12/$D66,$K66))</f>
        <v/>
      </c>
      <c r="N66" s="36">
        <f>IF($A66&gt;NYears*12,"",LOOKUP($M66,TaxLower,TaxRate))</f>
        <v/>
      </c>
      <c r="O66" s="35">
        <f>IF($A66&gt;NYears*12,"",IF(TaxFreq="Quarterly",IF(MOD($D66,3)=0,$L66*$N66,0),IF($D66=12,$K66*$N66,0)))</f>
        <v/>
      </c>
      <c r="P66" s="35">
        <f>IF($A66&gt;NYears*12,"",IF($D66=1,$O66,$P65+$O66))</f>
        <v/>
      </c>
      <c r="Q66" s="35">
        <f>IF($A66&gt;NYears*12,"",IF($D66=12,MIN(WdrPct*IF(WdrBase="Post-tax profit",$K66-$P66,$K66),WdrCap),0))</f>
        <v/>
      </c>
      <c r="R66" s="35">
        <f>IF($A66&gt;NYears*12,"",$F66+$J66-$O66-$Q66)</f>
        <v/>
      </c>
      <c r="S66" s="33">
        <f>IF($A66&gt;NYears*12,"",INT($R66/$E66))</f>
        <v/>
      </c>
    </row>
    <row r="67">
      <c r="A67" s="33">
        <f>63</f>
        <v/>
      </c>
      <c r="B67" s="34">
        <f>IF($A67&gt;NYears*12,"",EDATE(StartMonth,$A67-1))</f>
        <v/>
      </c>
      <c r="C67" s="33">
        <f>IF($A67&gt;NYears*12,"",INT(($A67-1)/12)+1)</f>
        <v/>
      </c>
      <c r="D67" s="33">
        <f>IF($A67&gt;NYears*12,"",MOD($A67-1,12)+1)</f>
        <v/>
      </c>
      <c r="E67" s="35">
        <f>IF($A67&gt;NYears*12,"",LotValue0*(1+LotGrowth)^($C67-1))</f>
        <v/>
      </c>
      <c r="F67" s="35">
        <f>IF($A67&gt;NYears*12,"",IF($A67=1,InitInvest,$R66))</f>
        <v/>
      </c>
      <c r="G67" s="33">
        <f>IF($A67&gt;NYears*12,"",INT($F67/$E67))</f>
        <v/>
      </c>
      <c r="H67" s="35">
        <f>IF($A67&gt;NYears*12,"",$G67*$E67)</f>
        <v/>
      </c>
      <c r="I67" s="35">
        <f>IF($A67&gt;NYears*12,"",$F67-$H67)</f>
        <v/>
      </c>
      <c r="J67" s="35">
        <f>IF($A67&gt;NYears*12,"",$H67*RateA)</f>
        <v/>
      </c>
      <c r="K67" s="35">
        <f>IF($A67&gt;NYears*12,"",IF($D67=1,$J67,$K66+$J67))</f>
        <v/>
      </c>
      <c r="L67" s="35">
        <f>IF($A67&gt;NYears*12,"",IF(MOD($D67,3)=0,SUM($J65:$J67),0))</f>
        <v/>
      </c>
      <c r="M67" s="35">
        <f>IF($A67&gt;NYears*12,"",IF(TaxFreq="Quarterly",$K67*12/$D67,$K67))</f>
        <v/>
      </c>
      <c r="N67" s="36">
        <f>IF($A67&gt;NYears*12,"",LOOKUP($M67,TaxLower,TaxRate))</f>
        <v/>
      </c>
      <c r="O67" s="35">
        <f>IF($A67&gt;NYears*12,"",IF(TaxFreq="Quarterly",IF(MOD($D67,3)=0,$L67*$N67,0),IF($D67=12,$K67*$N67,0)))</f>
        <v/>
      </c>
      <c r="P67" s="35">
        <f>IF($A67&gt;NYears*12,"",IF($D67=1,$O67,$P66+$O67))</f>
        <v/>
      </c>
      <c r="Q67" s="35">
        <f>IF($A67&gt;NYears*12,"",IF($D67=12,MIN(WdrPct*IF(WdrBase="Post-tax profit",$K67-$P67,$K67),WdrCap),0))</f>
        <v/>
      </c>
      <c r="R67" s="35">
        <f>IF($A67&gt;NYears*12,"",$F67+$J67-$O67-$Q67)</f>
        <v/>
      </c>
      <c r="S67" s="33">
        <f>IF($A67&gt;NYears*12,"",INT($R67/$E67))</f>
        <v/>
      </c>
    </row>
    <row r="68">
      <c r="A68" s="33">
        <f>64</f>
        <v/>
      </c>
      <c r="B68" s="34">
        <f>IF($A68&gt;NYears*12,"",EDATE(StartMonth,$A68-1))</f>
        <v/>
      </c>
      <c r="C68" s="33">
        <f>IF($A68&gt;NYears*12,"",INT(($A68-1)/12)+1)</f>
        <v/>
      </c>
      <c r="D68" s="33">
        <f>IF($A68&gt;NYears*12,"",MOD($A68-1,12)+1)</f>
        <v/>
      </c>
      <c r="E68" s="35">
        <f>IF($A68&gt;NYears*12,"",LotValue0*(1+LotGrowth)^($C68-1))</f>
        <v/>
      </c>
      <c r="F68" s="35">
        <f>IF($A68&gt;NYears*12,"",IF($A68=1,InitInvest,$R67))</f>
        <v/>
      </c>
      <c r="G68" s="33">
        <f>IF($A68&gt;NYears*12,"",INT($F68/$E68))</f>
        <v/>
      </c>
      <c r="H68" s="35">
        <f>IF($A68&gt;NYears*12,"",$G68*$E68)</f>
        <v/>
      </c>
      <c r="I68" s="35">
        <f>IF($A68&gt;NYears*12,"",$F68-$H68)</f>
        <v/>
      </c>
      <c r="J68" s="35">
        <f>IF($A68&gt;NYears*12,"",$H68*RateA)</f>
        <v/>
      </c>
      <c r="K68" s="35">
        <f>IF($A68&gt;NYears*12,"",IF($D68=1,$J68,$K67+$J68))</f>
        <v/>
      </c>
      <c r="L68" s="35">
        <f>IF($A68&gt;NYears*12,"",IF(MOD($D68,3)=0,SUM($J66:$J68),0))</f>
        <v/>
      </c>
      <c r="M68" s="35">
        <f>IF($A68&gt;NYears*12,"",IF(TaxFreq="Quarterly",$K68*12/$D68,$K68))</f>
        <v/>
      </c>
      <c r="N68" s="36">
        <f>IF($A68&gt;NYears*12,"",LOOKUP($M68,TaxLower,TaxRate))</f>
        <v/>
      </c>
      <c r="O68" s="35">
        <f>IF($A68&gt;NYears*12,"",IF(TaxFreq="Quarterly",IF(MOD($D68,3)=0,$L68*$N68,0),IF($D68=12,$K68*$N68,0)))</f>
        <v/>
      </c>
      <c r="P68" s="35">
        <f>IF($A68&gt;NYears*12,"",IF($D68=1,$O68,$P67+$O68))</f>
        <v/>
      </c>
      <c r="Q68" s="35">
        <f>IF($A68&gt;NYears*12,"",IF($D68=12,MIN(WdrPct*IF(WdrBase="Post-tax profit",$K68-$P68,$K68),WdrCap),0))</f>
        <v/>
      </c>
      <c r="R68" s="35">
        <f>IF($A68&gt;NYears*12,"",$F68+$J68-$O68-$Q68)</f>
        <v/>
      </c>
      <c r="S68" s="33">
        <f>IF($A68&gt;NYears*12,"",INT($R68/$E68))</f>
        <v/>
      </c>
    </row>
    <row r="69">
      <c r="A69" s="33">
        <f>65</f>
        <v/>
      </c>
      <c r="B69" s="34">
        <f>IF($A69&gt;NYears*12,"",EDATE(StartMonth,$A69-1))</f>
        <v/>
      </c>
      <c r="C69" s="33">
        <f>IF($A69&gt;NYears*12,"",INT(($A69-1)/12)+1)</f>
        <v/>
      </c>
      <c r="D69" s="33">
        <f>IF($A69&gt;NYears*12,"",MOD($A69-1,12)+1)</f>
        <v/>
      </c>
      <c r="E69" s="35">
        <f>IF($A69&gt;NYears*12,"",LotValue0*(1+LotGrowth)^($C69-1))</f>
        <v/>
      </c>
      <c r="F69" s="35">
        <f>IF($A69&gt;NYears*12,"",IF($A69=1,InitInvest,$R68))</f>
        <v/>
      </c>
      <c r="G69" s="33">
        <f>IF($A69&gt;NYears*12,"",INT($F69/$E69))</f>
        <v/>
      </c>
      <c r="H69" s="35">
        <f>IF($A69&gt;NYears*12,"",$G69*$E69)</f>
        <v/>
      </c>
      <c r="I69" s="35">
        <f>IF($A69&gt;NYears*12,"",$F69-$H69)</f>
        <v/>
      </c>
      <c r="J69" s="35">
        <f>IF($A69&gt;NYears*12,"",$H69*RateA)</f>
        <v/>
      </c>
      <c r="K69" s="35">
        <f>IF($A69&gt;NYears*12,"",IF($D69=1,$J69,$K68+$J69))</f>
        <v/>
      </c>
      <c r="L69" s="35">
        <f>IF($A69&gt;NYears*12,"",IF(MOD($D69,3)=0,SUM($J67:$J69),0))</f>
        <v/>
      </c>
      <c r="M69" s="35">
        <f>IF($A69&gt;NYears*12,"",IF(TaxFreq="Quarterly",$K69*12/$D69,$K69))</f>
        <v/>
      </c>
      <c r="N69" s="36">
        <f>IF($A69&gt;NYears*12,"",LOOKUP($M69,TaxLower,TaxRate))</f>
        <v/>
      </c>
      <c r="O69" s="35">
        <f>IF($A69&gt;NYears*12,"",IF(TaxFreq="Quarterly",IF(MOD($D69,3)=0,$L69*$N69,0),IF($D69=12,$K69*$N69,0)))</f>
        <v/>
      </c>
      <c r="P69" s="35">
        <f>IF($A69&gt;NYears*12,"",IF($D69=1,$O69,$P68+$O69))</f>
        <v/>
      </c>
      <c r="Q69" s="35">
        <f>IF($A69&gt;NYears*12,"",IF($D69=12,MIN(WdrPct*IF(WdrBase="Post-tax profit",$K69-$P69,$K69),WdrCap),0))</f>
        <v/>
      </c>
      <c r="R69" s="35">
        <f>IF($A69&gt;NYears*12,"",$F69+$J69-$O69-$Q69)</f>
        <v/>
      </c>
      <c r="S69" s="33">
        <f>IF($A69&gt;NYears*12,"",INT($R69/$E69))</f>
        <v/>
      </c>
    </row>
    <row r="70">
      <c r="A70" s="33">
        <f>66</f>
        <v/>
      </c>
      <c r="B70" s="34">
        <f>IF($A70&gt;NYears*12,"",EDATE(StartMonth,$A70-1))</f>
        <v/>
      </c>
      <c r="C70" s="33">
        <f>IF($A70&gt;NYears*12,"",INT(($A70-1)/12)+1)</f>
        <v/>
      </c>
      <c r="D70" s="33">
        <f>IF($A70&gt;NYears*12,"",MOD($A70-1,12)+1)</f>
        <v/>
      </c>
      <c r="E70" s="35">
        <f>IF($A70&gt;NYears*12,"",LotValue0*(1+LotGrowth)^($C70-1))</f>
        <v/>
      </c>
      <c r="F70" s="35">
        <f>IF($A70&gt;NYears*12,"",IF($A70=1,InitInvest,$R69))</f>
        <v/>
      </c>
      <c r="G70" s="33">
        <f>IF($A70&gt;NYears*12,"",INT($F70/$E70))</f>
        <v/>
      </c>
      <c r="H70" s="35">
        <f>IF($A70&gt;NYears*12,"",$G70*$E70)</f>
        <v/>
      </c>
      <c r="I70" s="35">
        <f>IF($A70&gt;NYears*12,"",$F70-$H70)</f>
        <v/>
      </c>
      <c r="J70" s="35">
        <f>IF($A70&gt;NYears*12,"",$H70*RateA)</f>
        <v/>
      </c>
      <c r="K70" s="35">
        <f>IF($A70&gt;NYears*12,"",IF($D70=1,$J70,$K69+$J70))</f>
        <v/>
      </c>
      <c r="L70" s="35">
        <f>IF($A70&gt;NYears*12,"",IF(MOD($D70,3)=0,SUM($J68:$J70),0))</f>
        <v/>
      </c>
      <c r="M70" s="35">
        <f>IF($A70&gt;NYears*12,"",IF(TaxFreq="Quarterly",$K70*12/$D70,$K70))</f>
        <v/>
      </c>
      <c r="N70" s="36">
        <f>IF($A70&gt;NYears*12,"",LOOKUP($M70,TaxLower,TaxRate))</f>
        <v/>
      </c>
      <c r="O70" s="35">
        <f>IF($A70&gt;NYears*12,"",IF(TaxFreq="Quarterly",IF(MOD($D70,3)=0,$L70*$N70,0),IF($D70=12,$K70*$N70,0)))</f>
        <v/>
      </c>
      <c r="P70" s="35">
        <f>IF($A70&gt;NYears*12,"",IF($D70=1,$O70,$P69+$O70))</f>
        <v/>
      </c>
      <c r="Q70" s="35">
        <f>IF($A70&gt;NYears*12,"",IF($D70=12,MIN(WdrPct*IF(WdrBase="Post-tax profit",$K70-$P70,$K70),WdrCap),0))</f>
        <v/>
      </c>
      <c r="R70" s="35">
        <f>IF($A70&gt;NYears*12,"",$F70+$J70-$O70-$Q70)</f>
        <v/>
      </c>
      <c r="S70" s="33">
        <f>IF($A70&gt;NYears*12,"",INT($R70/$E70))</f>
        <v/>
      </c>
    </row>
    <row r="71">
      <c r="A71" s="33">
        <f>67</f>
        <v/>
      </c>
      <c r="B71" s="34">
        <f>IF($A71&gt;NYears*12,"",EDATE(StartMonth,$A71-1))</f>
        <v/>
      </c>
      <c r="C71" s="33">
        <f>IF($A71&gt;NYears*12,"",INT(($A71-1)/12)+1)</f>
        <v/>
      </c>
      <c r="D71" s="33">
        <f>IF($A71&gt;NYears*12,"",MOD($A71-1,12)+1)</f>
        <v/>
      </c>
      <c r="E71" s="35">
        <f>IF($A71&gt;NYears*12,"",LotValue0*(1+LotGrowth)^($C71-1))</f>
        <v/>
      </c>
      <c r="F71" s="35">
        <f>IF($A71&gt;NYears*12,"",IF($A71=1,InitInvest,$R70))</f>
        <v/>
      </c>
      <c r="G71" s="33">
        <f>IF($A71&gt;NYears*12,"",INT($F71/$E71))</f>
        <v/>
      </c>
      <c r="H71" s="35">
        <f>IF($A71&gt;NYears*12,"",$G71*$E71)</f>
        <v/>
      </c>
      <c r="I71" s="35">
        <f>IF($A71&gt;NYears*12,"",$F71-$H71)</f>
        <v/>
      </c>
      <c r="J71" s="35">
        <f>IF($A71&gt;NYears*12,"",$H71*RateA)</f>
        <v/>
      </c>
      <c r="K71" s="35">
        <f>IF($A71&gt;NYears*12,"",IF($D71=1,$J71,$K70+$J71))</f>
        <v/>
      </c>
      <c r="L71" s="35">
        <f>IF($A71&gt;NYears*12,"",IF(MOD($D71,3)=0,SUM($J69:$J71),0))</f>
        <v/>
      </c>
      <c r="M71" s="35">
        <f>IF($A71&gt;NYears*12,"",IF(TaxFreq="Quarterly",$K71*12/$D71,$K71))</f>
        <v/>
      </c>
      <c r="N71" s="36">
        <f>IF($A71&gt;NYears*12,"",LOOKUP($M71,TaxLower,TaxRate))</f>
        <v/>
      </c>
      <c r="O71" s="35">
        <f>IF($A71&gt;NYears*12,"",IF(TaxFreq="Quarterly",IF(MOD($D71,3)=0,$L71*$N71,0),IF($D71=12,$K71*$N71,0)))</f>
        <v/>
      </c>
      <c r="P71" s="35">
        <f>IF($A71&gt;NYears*12,"",IF($D71=1,$O71,$P70+$O71))</f>
        <v/>
      </c>
      <c r="Q71" s="35">
        <f>IF($A71&gt;NYears*12,"",IF($D71=12,MIN(WdrPct*IF(WdrBase="Post-tax profit",$K71-$P71,$K71),WdrCap),0))</f>
        <v/>
      </c>
      <c r="R71" s="35">
        <f>IF($A71&gt;NYears*12,"",$F71+$J71-$O71-$Q71)</f>
        <v/>
      </c>
      <c r="S71" s="33">
        <f>IF($A71&gt;NYears*12,"",INT($R71/$E71))</f>
        <v/>
      </c>
    </row>
    <row r="72">
      <c r="A72" s="33">
        <f>68</f>
        <v/>
      </c>
      <c r="B72" s="34">
        <f>IF($A72&gt;NYears*12,"",EDATE(StartMonth,$A72-1))</f>
        <v/>
      </c>
      <c r="C72" s="33">
        <f>IF($A72&gt;NYears*12,"",INT(($A72-1)/12)+1)</f>
        <v/>
      </c>
      <c r="D72" s="33">
        <f>IF($A72&gt;NYears*12,"",MOD($A72-1,12)+1)</f>
        <v/>
      </c>
      <c r="E72" s="35">
        <f>IF($A72&gt;NYears*12,"",LotValue0*(1+LotGrowth)^($C72-1))</f>
        <v/>
      </c>
      <c r="F72" s="35">
        <f>IF($A72&gt;NYears*12,"",IF($A72=1,InitInvest,$R71))</f>
        <v/>
      </c>
      <c r="G72" s="33">
        <f>IF($A72&gt;NYears*12,"",INT($F72/$E72))</f>
        <v/>
      </c>
      <c r="H72" s="35">
        <f>IF($A72&gt;NYears*12,"",$G72*$E72)</f>
        <v/>
      </c>
      <c r="I72" s="35">
        <f>IF($A72&gt;NYears*12,"",$F72-$H72)</f>
        <v/>
      </c>
      <c r="J72" s="35">
        <f>IF($A72&gt;NYears*12,"",$H72*RateA)</f>
        <v/>
      </c>
      <c r="K72" s="35">
        <f>IF($A72&gt;NYears*12,"",IF($D72=1,$J72,$K71+$J72))</f>
        <v/>
      </c>
      <c r="L72" s="35">
        <f>IF($A72&gt;NYears*12,"",IF(MOD($D72,3)=0,SUM($J70:$J72),0))</f>
        <v/>
      </c>
      <c r="M72" s="35">
        <f>IF($A72&gt;NYears*12,"",IF(TaxFreq="Quarterly",$K72*12/$D72,$K72))</f>
        <v/>
      </c>
      <c r="N72" s="36">
        <f>IF($A72&gt;NYears*12,"",LOOKUP($M72,TaxLower,TaxRate))</f>
        <v/>
      </c>
      <c r="O72" s="35">
        <f>IF($A72&gt;NYears*12,"",IF(TaxFreq="Quarterly",IF(MOD($D72,3)=0,$L72*$N72,0),IF($D72=12,$K72*$N72,0)))</f>
        <v/>
      </c>
      <c r="P72" s="35">
        <f>IF($A72&gt;NYears*12,"",IF($D72=1,$O72,$P71+$O72))</f>
        <v/>
      </c>
      <c r="Q72" s="35">
        <f>IF($A72&gt;NYears*12,"",IF($D72=12,MIN(WdrPct*IF(WdrBase="Post-tax profit",$K72-$P72,$K72),WdrCap),0))</f>
        <v/>
      </c>
      <c r="R72" s="35">
        <f>IF($A72&gt;NYears*12,"",$F72+$J72-$O72-$Q72)</f>
        <v/>
      </c>
      <c r="S72" s="33">
        <f>IF($A72&gt;NYears*12,"",INT($R72/$E72))</f>
        <v/>
      </c>
    </row>
    <row r="73">
      <c r="A73" s="33">
        <f>69</f>
        <v/>
      </c>
      <c r="B73" s="34">
        <f>IF($A73&gt;NYears*12,"",EDATE(StartMonth,$A73-1))</f>
        <v/>
      </c>
      <c r="C73" s="33">
        <f>IF($A73&gt;NYears*12,"",INT(($A73-1)/12)+1)</f>
        <v/>
      </c>
      <c r="D73" s="33">
        <f>IF($A73&gt;NYears*12,"",MOD($A73-1,12)+1)</f>
        <v/>
      </c>
      <c r="E73" s="35">
        <f>IF($A73&gt;NYears*12,"",LotValue0*(1+LotGrowth)^($C73-1))</f>
        <v/>
      </c>
      <c r="F73" s="35">
        <f>IF($A73&gt;NYears*12,"",IF($A73=1,InitInvest,$R72))</f>
        <v/>
      </c>
      <c r="G73" s="33">
        <f>IF($A73&gt;NYears*12,"",INT($F73/$E73))</f>
        <v/>
      </c>
      <c r="H73" s="35">
        <f>IF($A73&gt;NYears*12,"",$G73*$E73)</f>
        <v/>
      </c>
      <c r="I73" s="35">
        <f>IF($A73&gt;NYears*12,"",$F73-$H73)</f>
        <v/>
      </c>
      <c r="J73" s="35">
        <f>IF($A73&gt;NYears*12,"",$H73*RateA)</f>
        <v/>
      </c>
      <c r="K73" s="35">
        <f>IF($A73&gt;NYears*12,"",IF($D73=1,$J73,$K72+$J73))</f>
        <v/>
      </c>
      <c r="L73" s="35">
        <f>IF($A73&gt;NYears*12,"",IF(MOD($D73,3)=0,SUM($J71:$J73),0))</f>
        <v/>
      </c>
      <c r="M73" s="35">
        <f>IF($A73&gt;NYears*12,"",IF(TaxFreq="Quarterly",$K73*12/$D73,$K73))</f>
        <v/>
      </c>
      <c r="N73" s="36">
        <f>IF($A73&gt;NYears*12,"",LOOKUP($M73,TaxLower,TaxRate))</f>
        <v/>
      </c>
      <c r="O73" s="35">
        <f>IF($A73&gt;NYears*12,"",IF(TaxFreq="Quarterly",IF(MOD($D73,3)=0,$L73*$N73,0),IF($D73=12,$K73*$N73,0)))</f>
        <v/>
      </c>
      <c r="P73" s="35">
        <f>IF($A73&gt;NYears*12,"",IF($D73=1,$O73,$P72+$O73))</f>
        <v/>
      </c>
      <c r="Q73" s="35">
        <f>IF($A73&gt;NYears*12,"",IF($D73=12,MIN(WdrPct*IF(WdrBase="Post-tax profit",$K73-$P73,$K73),WdrCap),0))</f>
        <v/>
      </c>
      <c r="R73" s="35">
        <f>IF($A73&gt;NYears*12,"",$F73+$J73-$O73-$Q73)</f>
        <v/>
      </c>
      <c r="S73" s="33">
        <f>IF($A73&gt;NYears*12,"",INT($R73/$E73))</f>
        <v/>
      </c>
    </row>
    <row r="74">
      <c r="A74" s="33">
        <f>70</f>
        <v/>
      </c>
      <c r="B74" s="34">
        <f>IF($A74&gt;NYears*12,"",EDATE(StartMonth,$A74-1))</f>
        <v/>
      </c>
      <c r="C74" s="33">
        <f>IF($A74&gt;NYears*12,"",INT(($A74-1)/12)+1)</f>
        <v/>
      </c>
      <c r="D74" s="33">
        <f>IF($A74&gt;NYears*12,"",MOD($A74-1,12)+1)</f>
        <v/>
      </c>
      <c r="E74" s="35">
        <f>IF($A74&gt;NYears*12,"",LotValue0*(1+LotGrowth)^($C74-1))</f>
        <v/>
      </c>
      <c r="F74" s="35">
        <f>IF($A74&gt;NYears*12,"",IF($A74=1,InitInvest,$R73))</f>
        <v/>
      </c>
      <c r="G74" s="33">
        <f>IF($A74&gt;NYears*12,"",INT($F74/$E74))</f>
        <v/>
      </c>
      <c r="H74" s="35">
        <f>IF($A74&gt;NYears*12,"",$G74*$E74)</f>
        <v/>
      </c>
      <c r="I74" s="35">
        <f>IF($A74&gt;NYears*12,"",$F74-$H74)</f>
        <v/>
      </c>
      <c r="J74" s="35">
        <f>IF($A74&gt;NYears*12,"",$H74*RateA)</f>
        <v/>
      </c>
      <c r="K74" s="35">
        <f>IF($A74&gt;NYears*12,"",IF($D74=1,$J74,$K73+$J74))</f>
        <v/>
      </c>
      <c r="L74" s="35">
        <f>IF($A74&gt;NYears*12,"",IF(MOD($D74,3)=0,SUM($J72:$J74),0))</f>
        <v/>
      </c>
      <c r="M74" s="35">
        <f>IF($A74&gt;NYears*12,"",IF(TaxFreq="Quarterly",$K74*12/$D74,$K74))</f>
        <v/>
      </c>
      <c r="N74" s="36">
        <f>IF($A74&gt;NYears*12,"",LOOKUP($M74,TaxLower,TaxRate))</f>
        <v/>
      </c>
      <c r="O74" s="35">
        <f>IF($A74&gt;NYears*12,"",IF(TaxFreq="Quarterly",IF(MOD($D74,3)=0,$L74*$N74,0),IF($D74=12,$K74*$N74,0)))</f>
        <v/>
      </c>
      <c r="P74" s="35">
        <f>IF($A74&gt;NYears*12,"",IF($D74=1,$O74,$P73+$O74))</f>
        <v/>
      </c>
      <c r="Q74" s="35">
        <f>IF($A74&gt;NYears*12,"",IF($D74=12,MIN(WdrPct*IF(WdrBase="Post-tax profit",$K74-$P74,$K74),WdrCap),0))</f>
        <v/>
      </c>
      <c r="R74" s="35">
        <f>IF($A74&gt;NYears*12,"",$F74+$J74-$O74-$Q74)</f>
        <v/>
      </c>
      <c r="S74" s="33">
        <f>IF($A74&gt;NYears*12,"",INT($R74/$E74))</f>
        <v/>
      </c>
    </row>
    <row r="75">
      <c r="A75" s="33">
        <f>71</f>
        <v/>
      </c>
      <c r="B75" s="34">
        <f>IF($A75&gt;NYears*12,"",EDATE(StartMonth,$A75-1))</f>
        <v/>
      </c>
      <c r="C75" s="33">
        <f>IF($A75&gt;NYears*12,"",INT(($A75-1)/12)+1)</f>
        <v/>
      </c>
      <c r="D75" s="33">
        <f>IF($A75&gt;NYears*12,"",MOD($A75-1,12)+1)</f>
        <v/>
      </c>
      <c r="E75" s="35">
        <f>IF($A75&gt;NYears*12,"",LotValue0*(1+LotGrowth)^($C75-1))</f>
        <v/>
      </c>
      <c r="F75" s="35">
        <f>IF($A75&gt;NYears*12,"",IF($A75=1,InitInvest,$R74))</f>
        <v/>
      </c>
      <c r="G75" s="33">
        <f>IF($A75&gt;NYears*12,"",INT($F75/$E75))</f>
        <v/>
      </c>
      <c r="H75" s="35">
        <f>IF($A75&gt;NYears*12,"",$G75*$E75)</f>
        <v/>
      </c>
      <c r="I75" s="35">
        <f>IF($A75&gt;NYears*12,"",$F75-$H75)</f>
        <v/>
      </c>
      <c r="J75" s="35">
        <f>IF($A75&gt;NYears*12,"",$H75*RateA)</f>
        <v/>
      </c>
      <c r="K75" s="35">
        <f>IF($A75&gt;NYears*12,"",IF($D75=1,$J75,$K74+$J75))</f>
        <v/>
      </c>
      <c r="L75" s="35">
        <f>IF($A75&gt;NYears*12,"",IF(MOD($D75,3)=0,SUM($J73:$J75),0))</f>
        <v/>
      </c>
      <c r="M75" s="35">
        <f>IF($A75&gt;NYears*12,"",IF(TaxFreq="Quarterly",$K75*12/$D75,$K75))</f>
        <v/>
      </c>
      <c r="N75" s="36">
        <f>IF($A75&gt;NYears*12,"",LOOKUP($M75,TaxLower,TaxRate))</f>
        <v/>
      </c>
      <c r="O75" s="35">
        <f>IF($A75&gt;NYears*12,"",IF(TaxFreq="Quarterly",IF(MOD($D75,3)=0,$L75*$N75,0),IF($D75=12,$K75*$N75,0)))</f>
        <v/>
      </c>
      <c r="P75" s="35">
        <f>IF($A75&gt;NYears*12,"",IF($D75=1,$O75,$P74+$O75))</f>
        <v/>
      </c>
      <c r="Q75" s="35">
        <f>IF($A75&gt;NYears*12,"",IF($D75=12,MIN(WdrPct*IF(WdrBase="Post-tax profit",$K75-$P75,$K75),WdrCap),0))</f>
        <v/>
      </c>
      <c r="R75" s="35">
        <f>IF($A75&gt;NYears*12,"",$F75+$J75-$O75-$Q75)</f>
        <v/>
      </c>
      <c r="S75" s="33">
        <f>IF($A75&gt;NYears*12,"",INT($R75/$E75))</f>
        <v/>
      </c>
    </row>
    <row r="76">
      <c r="A76" s="37">
        <f>72</f>
        <v/>
      </c>
      <c r="B76" s="38">
        <f>IF($A76&gt;NYears*12,"",EDATE(StartMonth,$A76-1))</f>
        <v/>
      </c>
      <c r="C76" s="37">
        <f>IF($A76&gt;NYears*12,"",INT(($A76-1)/12)+1)</f>
        <v/>
      </c>
      <c r="D76" s="37">
        <f>IF($A76&gt;NYears*12,"",MOD($A76-1,12)+1)</f>
        <v/>
      </c>
      <c r="E76" s="39">
        <f>IF($A76&gt;NYears*12,"",LotValue0*(1+LotGrowth)^($C76-1))</f>
        <v/>
      </c>
      <c r="F76" s="39">
        <f>IF($A76&gt;NYears*12,"",IF($A76=1,InitInvest,$R75))</f>
        <v/>
      </c>
      <c r="G76" s="37">
        <f>IF($A76&gt;NYears*12,"",INT($F76/$E76))</f>
        <v/>
      </c>
      <c r="H76" s="39">
        <f>IF($A76&gt;NYears*12,"",$G76*$E76)</f>
        <v/>
      </c>
      <c r="I76" s="39">
        <f>IF($A76&gt;NYears*12,"",$F76-$H76)</f>
        <v/>
      </c>
      <c r="J76" s="39">
        <f>IF($A76&gt;NYears*12,"",$H76*RateA)</f>
        <v/>
      </c>
      <c r="K76" s="39">
        <f>IF($A76&gt;NYears*12,"",IF($D76=1,$J76,$K75+$J76))</f>
        <v/>
      </c>
      <c r="L76" s="39">
        <f>IF($A76&gt;NYears*12,"",IF(MOD($D76,3)=0,SUM($J74:$J76),0))</f>
        <v/>
      </c>
      <c r="M76" s="39">
        <f>IF($A76&gt;NYears*12,"",IF(TaxFreq="Quarterly",$K76*12/$D76,$K76))</f>
        <v/>
      </c>
      <c r="N76" s="40">
        <f>IF($A76&gt;NYears*12,"",LOOKUP($M76,TaxLower,TaxRate))</f>
        <v/>
      </c>
      <c r="O76" s="39">
        <f>IF($A76&gt;NYears*12,"",IF(TaxFreq="Quarterly",IF(MOD($D76,3)=0,$L76*$N76,0),IF($D76=12,$K76*$N76,0)))</f>
        <v/>
      </c>
      <c r="P76" s="39">
        <f>IF($A76&gt;NYears*12,"",IF($D76=1,$O76,$P75+$O76))</f>
        <v/>
      </c>
      <c r="Q76" s="39">
        <f>IF($A76&gt;NYears*12,"",IF($D76=12,MIN(WdrPct*IF(WdrBase="Post-tax profit",$K76-$P76,$K76),WdrCap),0))</f>
        <v/>
      </c>
      <c r="R76" s="39">
        <f>IF($A76&gt;NYears*12,"",$F76+$J76-$O76-$Q76)</f>
        <v/>
      </c>
      <c r="S76" s="37">
        <f>IF($A76&gt;NYears*12,"",INT($R76/$E76))</f>
        <v/>
      </c>
    </row>
    <row r="77">
      <c r="A77" s="33">
        <f>73</f>
        <v/>
      </c>
      <c r="B77" s="34">
        <f>IF($A77&gt;NYears*12,"",EDATE(StartMonth,$A77-1))</f>
        <v/>
      </c>
      <c r="C77" s="33">
        <f>IF($A77&gt;NYears*12,"",INT(($A77-1)/12)+1)</f>
        <v/>
      </c>
      <c r="D77" s="33">
        <f>IF($A77&gt;NYears*12,"",MOD($A77-1,12)+1)</f>
        <v/>
      </c>
      <c r="E77" s="35">
        <f>IF($A77&gt;NYears*12,"",LotValue0*(1+LotGrowth)^($C77-1))</f>
        <v/>
      </c>
      <c r="F77" s="35">
        <f>IF($A77&gt;NYears*12,"",IF($A77=1,InitInvest,$R76))</f>
        <v/>
      </c>
      <c r="G77" s="33">
        <f>IF($A77&gt;NYears*12,"",INT($F77/$E77))</f>
        <v/>
      </c>
      <c r="H77" s="35">
        <f>IF($A77&gt;NYears*12,"",$G77*$E77)</f>
        <v/>
      </c>
      <c r="I77" s="35">
        <f>IF($A77&gt;NYears*12,"",$F77-$H77)</f>
        <v/>
      </c>
      <c r="J77" s="35">
        <f>IF($A77&gt;NYears*12,"",$H77*RateA)</f>
        <v/>
      </c>
      <c r="K77" s="35">
        <f>IF($A77&gt;NYears*12,"",IF($D77=1,$J77,$K76+$J77))</f>
        <v/>
      </c>
      <c r="L77" s="35">
        <f>IF($A77&gt;NYears*12,"",IF(MOD($D77,3)=0,SUM($J75:$J77),0))</f>
        <v/>
      </c>
      <c r="M77" s="35">
        <f>IF($A77&gt;NYears*12,"",IF(TaxFreq="Quarterly",$K77*12/$D77,$K77))</f>
        <v/>
      </c>
      <c r="N77" s="36">
        <f>IF($A77&gt;NYears*12,"",LOOKUP($M77,TaxLower,TaxRate))</f>
        <v/>
      </c>
      <c r="O77" s="35">
        <f>IF($A77&gt;NYears*12,"",IF(TaxFreq="Quarterly",IF(MOD($D77,3)=0,$L77*$N77,0),IF($D77=12,$K77*$N77,0)))</f>
        <v/>
      </c>
      <c r="P77" s="35">
        <f>IF($A77&gt;NYears*12,"",IF($D77=1,$O77,$P76+$O77))</f>
        <v/>
      </c>
      <c r="Q77" s="35">
        <f>IF($A77&gt;NYears*12,"",IF($D77=12,MIN(WdrPct*IF(WdrBase="Post-tax profit",$K77-$P77,$K77),WdrCap),0))</f>
        <v/>
      </c>
      <c r="R77" s="35">
        <f>IF($A77&gt;NYears*12,"",$F77+$J77-$O77-$Q77)</f>
        <v/>
      </c>
      <c r="S77" s="33">
        <f>IF($A77&gt;NYears*12,"",INT($R77/$E77))</f>
        <v/>
      </c>
    </row>
    <row r="78">
      <c r="A78" s="33">
        <f>74</f>
        <v/>
      </c>
      <c r="B78" s="34">
        <f>IF($A78&gt;NYears*12,"",EDATE(StartMonth,$A78-1))</f>
        <v/>
      </c>
      <c r="C78" s="33">
        <f>IF($A78&gt;NYears*12,"",INT(($A78-1)/12)+1)</f>
        <v/>
      </c>
      <c r="D78" s="33">
        <f>IF($A78&gt;NYears*12,"",MOD($A78-1,12)+1)</f>
        <v/>
      </c>
      <c r="E78" s="35">
        <f>IF($A78&gt;NYears*12,"",LotValue0*(1+LotGrowth)^($C78-1))</f>
        <v/>
      </c>
      <c r="F78" s="35">
        <f>IF($A78&gt;NYears*12,"",IF($A78=1,InitInvest,$R77))</f>
        <v/>
      </c>
      <c r="G78" s="33">
        <f>IF($A78&gt;NYears*12,"",INT($F78/$E78))</f>
        <v/>
      </c>
      <c r="H78" s="35">
        <f>IF($A78&gt;NYears*12,"",$G78*$E78)</f>
        <v/>
      </c>
      <c r="I78" s="35">
        <f>IF($A78&gt;NYears*12,"",$F78-$H78)</f>
        <v/>
      </c>
      <c r="J78" s="35">
        <f>IF($A78&gt;NYears*12,"",$H78*RateA)</f>
        <v/>
      </c>
      <c r="K78" s="35">
        <f>IF($A78&gt;NYears*12,"",IF($D78=1,$J78,$K77+$J78))</f>
        <v/>
      </c>
      <c r="L78" s="35">
        <f>IF($A78&gt;NYears*12,"",IF(MOD($D78,3)=0,SUM($J76:$J78),0))</f>
        <v/>
      </c>
      <c r="M78" s="35">
        <f>IF($A78&gt;NYears*12,"",IF(TaxFreq="Quarterly",$K78*12/$D78,$K78))</f>
        <v/>
      </c>
      <c r="N78" s="36">
        <f>IF($A78&gt;NYears*12,"",LOOKUP($M78,TaxLower,TaxRate))</f>
        <v/>
      </c>
      <c r="O78" s="35">
        <f>IF($A78&gt;NYears*12,"",IF(TaxFreq="Quarterly",IF(MOD($D78,3)=0,$L78*$N78,0),IF($D78=12,$K78*$N78,0)))</f>
        <v/>
      </c>
      <c r="P78" s="35">
        <f>IF($A78&gt;NYears*12,"",IF($D78=1,$O78,$P77+$O78))</f>
        <v/>
      </c>
      <c r="Q78" s="35">
        <f>IF($A78&gt;NYears*12,"",IF($D78=12,MIN(WdrPct*IF(WdrBase="Post-tax profit",$K78-$P78,$K78),WdrCap),0))</f>
        <v/>
      </c>
      <c r="R78" s="35">
        <f>IF($A78&gt;NYears*12,"",$F78+$J78-$O78-$Q78)</f>
        <v/>
      </c>
      <c r="S78" s="33">
        <f>IF($A78&gt;NYears*12,"",INT($R78/$E78))</f>
        <v/>
      </c>
    </row>
    <row r="79">
      <c r="A79" s="33">
        <f>75</f>
        <v/>
      </c>
      <c r="B79" s="34">
        <f>IF($A79&gt;NYears*12,"",EDATE(StartMonth,$A79-1))</f>
        <v/>
      </c>
      <c r="C79" s="33">
        <f>IF($A79&gt;NYears*12,"",INT(($A79-1)/12)+1)</f>
        <v/>
      </c>
      <c r="D79" s="33">
        <f>IF($A79&gt;NYears*12,"",MOD($A79-1,12)+1)</f>
        <v/>
      </c>
      <c r="E79" s="35">
        <f>IF($A79&gt;NYears*12,"",LotValue0*(1+LotGrowth)^($C79-1))</f>
        <v/>
      </c>
      <c r="F79" s="35">
        <f>IF($A79&gt;NYears*12,"",IF($A79=1,InitInvest,$R78))</f>
        <v/>
      </c>
      <c r="G79" s="33">
        <f>IF($A79&gt;NYears*12,"",INT($F79/$E79))</f>
        <v/>
      </c>
      <c r="H79" s="35">
        <f>IF($A79&gt;NYears*12,"",$G79*$E79)</f>
        <v/>
      </c>
      <c r="I79" s="35">
        <f>IF($A79&gt;NYears*12,"",$F79-$H79)</f>
        <v/>
      </c>
      <c r="J79" s="35">
        <f>IF($A79&gt;NYears*12,"",$H79*RateA)</f>
        <v/>
      </c>
      <c r="K79" s="35">
        <f>IF($A79&gt;NYears*12,"",IF($D79=1,$J79,$K78+$J79))</f>
        <v/>
      </c>
      <c r="L79" s="35">
        <f>IF($A79&gt;NYears*12,"",IF(MOD($D79,3)=0,SUM($J77:$J79),0))</f>
        <v/>
      </c>
      <c r="M79" s="35">
        <f>IF($A79&gt;NYears*12,"",IF(TaxFreq="Quarterly",$K79*12/$D79,$K79))</f>
        <v/>
      </c>
      <c r="N79" s="36">
        <f>IF($A79&gt;NYears*12,"",LOOKUP($M79,TaxLower,TaxRate))</f>
        <v/>
      </c>
      <c r="O79" s="35">
        <f>IF($A79&gt;NYears*12,"",IF(TaxFreq="Quarterly",IF(MOD($D79,3)=0,$L79*$N79,0),IF($D79=12,$K79*$N79,0)))</f>
        <v/>
      </c>
      <c r="P79" s="35">
        <f>IF($A79&gt;NYears*12,"",IF($D79=1,$O79,$P78+$O79))</f>
        <v/>
      </c>
      <c r="Q79" s="35">
        <f>IF($A79&gt;NYears*12,"",IF($D79=12,MIN(WdrPct*IF(WdrBase="Post-tax profit",$K79-$P79,$K79),WdrCap),0))</f>
        <v/>
      </c>
      <c r="R79" s="35">
        <f>IF($A79&gt;NYears*12,"",$F79+$J79-$O79-$Q79)</f>
        <v/>
      </c>
      <c r="S79" s="33">
        <f>IF($A79&gt;NYears*12,"",INT($R79/$E79))</f>
        <v/>
      </c>
    </row>
    <row r="80">
      <c r="A80" s="33">
        <f>76</f>
        <v/>
      </c>
      <c r="B80" s="34">
        <f>IF($A80&gt;NYears*12,"",EDATE(StartMonth,$A80-1))</f>
        <v/>
      </c>
      <c r="C80" s="33">
        <f>IF($A80&gt;NYears*12,"",INT(($A80-1)/12)+1)</f>
        <v/>
      </c>
      <c r="D80" s="33">
        <f>IF($A80&gt;NYears*12,"",MOD($A80-1,12)+1)</f>
        <v/>
      </c>
      <c r="E80" s="35">
        <f>IF($A80&gt;NYears*12,"",LotValue0*(1+LotGrowth)^($C80-1))</f>
        <v/>
      </c>
      <c r="F80" s="35">
        <f>IF($A80&gt;NYears*12,"",IF($A80=1,InitInvest,$R79))</f>
        <v/>
      </c>
      <c r="G80" s="33">
        <f>IF($A80&gt;NYears*12,"",INT($F80/$E80))</f>
        <v/>
      </c>
      <c r="H80" s="35">
        <f>IF($A80&gt;NYears*12,"",$G80*$E80)</f>
        <v/>
      </c>
      <c r="I80" s="35">
        <f>IF($A80&gt;NYears*12,"",$F80-$H80)</f>
        <v/>
      </c>
      <c r="J80" s="35">
        <f>IF($A80&gt;NYears*12,"",$H80*RateA)</f>
        <v/>
      </c>
      <c r="K80" s="35">
        <f>IF($A80&gt;NYears*12,"",IF($D80=1,$J80,$K79+$J80))</f>
        <v/>
      </c>
      <c r="L80" s="35">
        <f>IF($A80&gt;NYears*12,"",IF(MOD($D80,3)=0,SUM($J78:$J80),0))</f>
        <v/>
      </c>
      <c r="M80" s="35">
        <f>IF($A80&gt;NYears*12,"",IF(TaxFreq="Quarterly",$K80*12/$D80,$K80))</f>
        <v/>
      </c>
      <c r="N80" s="36">
        <f>IF($A80&gt;NYears*12,"",LOOKUP($M80,TaxLower,TaxRate))</f>
        <v/>
      </c>
      <c r="O80" s="35">
        <f>IF($A80&gt;NYears*12,"",IF(TaxFreq="Quarterly",IF(MOD($D80,3)=0,$L80*$N80,0),IF($D80=12,$K80*$N80,0)))</f>
        <v/>
      </c>
      <c r="P80" s="35">
        <f>IF($A80&gt;NYears*12,"",IF($D80=1,$O80,$P79+$O80))</f>
        <v/>
      </c>
      <c r="Q80" s="35">
        <f>IF($A80&gt;NYears*12,"",IF($D80=12,MIN(WdrPct*IF(WdrBase="Post-tax profit",$K80-$P80,$K80),WdrCap),0))</f>
        <v/>
      </c>
      <c r="R80" s="35">
        <f>IF($A80&gt;NYears*12,"",$F80+$J80-$O80-$Q80)</f>
        <v/>
      </c>
      <c r="S80" s="33">
        <f>IF($A80&gt;NYears*12,"",INT($R80/$E80))</f>
        <v/>
      </c>
    </row>
    <row r="81">
      <c r="A81" s="33">
        <f>77</f>
        <v/>
      </c>
      <c r="B81" s="34">
        <f>IF($A81&gt;NYears*12,"",EDATE(StartMonth,$A81-1))</f>
        <v/>
      </c>
      <c r="C81" s="33">
        <f>IF($A81&gt;NYears*12,"",INT(($A81-1)/12)+1)</f>
        <v/>
      </c>
      <c r="D81" s="33">
        <f>IF($A81&gt;NYears*12,"",MOD($A81-1,12)+1)</f>
        <v/>
      </c>
      <c r="E81" s="35">
        <f>IF($A81&gt;NYears*12,"",LotValue0*(1+LotGrowth)^($C81-1))</f>
        <v/>
      </c>
      <c r="F81" s="35">
        <f>IF($A81&gt;NYears*12,"",IF($A81=1,InitInvest,$R80))</f>
        <v/>
      </c>
      <c r="G81" s="33">
        <f>IF($A81&gt;NYears*12,"",INT($F81/$E81))</f>
        <v/>
      </c>
      <c r="H81" s="35">
        <f>IF($A81&gt;NYears*12,"",$G81*$E81)</f>
        <v/>
      </c>
      <c r="I81" s="35">
        <f>IF($A81&gt;NYears*12,"",$F81-$H81)</f>
        <v/>
      </c>
      <c r="J81" s="35">
        <f>IF($A81&gt;NYears*12,"",$H81*RateA)</f>
        <v/>
      </c>
      <c r="K81" s="35">
        <f>IF($A81&gt;NYears*12,"",IF($D81=1,$J81,$K80+$J81))</f>
        <v/>
      </c>
      <c r="L81" s="35">
        <f>IF($A81&gt;NYears*12,"",IF(MOD($D81,3)=0,SUM($J79:$J81),0))</f>
        <v/>
      </c>
      <c r="M81" s="35">
        <f>IF($A81&gt;NYears*12,"",IF(TaxFreq="Quarterly",$K81*12/$D81,$K81))</f>
        <v/>
      </c>
      <c r="N81" s="36">
        <f>IF($A81&gt;NYears*12,"",LOOKUP($M81,TaxLower,TaxRate))</f>
        <v/>
      </c>
      <c r="O81" s="35">
        <f>IF($A81&gt;NYears*12,"",IF(TaxFreq="Quarterly",IF(MOD($D81,3)=0,$L81*$N81,0),IF($D81=12,$K81*$N81,0)))</f>
        <v/>
      </c>
      <c r="P81" s="35">
        <f>IF($A81&gt;NYears*12,"",IF($D81=1,$O81,$P80+$O81))</f>
        <v/>
      </c>
      <c r="Q81" s="35">
        <f>IF($A81&gt;NYears*12,"",IF($D81=12,MIN(WdrPct*IF(WdrBase="Post-tax profit",$K81-$P81,$K81),WdrCap),0))</f>
        <v/>
      </c>
      <c r="R81" s="35">
        <f>IF($A81&gt;NYears*12,"",$F81+$J81-$O81-$Q81)</f>
        <v/>
      </c>
      <c r="S81" s="33">
        <f>IF($A81&gt;NYears*12,"",INT($R81/$E81))</f>
        <v/>
      </c>
    </row>
    <row r="82">
      <c r="A82" s="33">
        <f>78</f>
        <v/>
      </c>
      <c r="B82" s="34">
        <f>IF($A82&gt;NYears*12,"",EDATE(StartMonth,$A82-1))</f>
        <v/>
      </c>
      <c r="C82" s="33">
        <f>IF($A82&gt;NYears*12,"",INT(($A82-1)/12)+1)</f>
        <v/>
      </c>
      <c r="D82" s="33">
        <f>IF($A82&gt;NYears*12,"",MOD($A82-1,12)+1)</f>
        <v/>
      </c>
      <c r="E82" s="35">
        <f>IF($A82&gt;NYears*12,"",LotValue0*(1+LotGrowth)^($C82-1))</f>
        <v/>
      </c>
      <c r="F82" s="35">
        <f>IF($A82&gt;NYears*12,"",IF($A82=1,InitInvest,$R81))</f>
        <v/>
      </c>
      <c r="G82" s="33">
        <f>IF($A82&gt;NYears*12,"",INT($F82/$E82))</f>
        <v/>
      </c>
      <c r="H82" s="35">
        <f>IF($A82&gt;NYears*12,"",$G82*$E82)</f>
        <v/>
      </c>
      <c r="I82" s="35">
        <f>IF($A82&gt;NYears*12,"",$F82-$H82)</f>
        <v/>
      </c>
      <c r="J82" s="35">
        <f>IF($A82&gt;NYears*12,"",$H82*RateA)</f>
        <v/>
      </c>
      <c r="K82" s="35">
        <f>IF($A82&gt;NYears*12,"",IF($D82=1,$J82,$K81+$J82))</f>
        <v/>
      </c>
      <c r="L82" s="35">
        <f>IF($A82&gt;NYears*12,"",IF(MOD($D82,3)=0,SUM($J80:$J82),0))</f>
        <v/>
      </c>
      <c r="M82" s="35">
        <f>IF($A82&gt;NYears*12,"",IF(TaxFreq="Quarterly",$K82*12/$D82,$K82))</f>
        <v/>
      </c>
      <c r="N82" s="36">
        <f>IF($A82&gt;NYears*12,"",LOOKUP($M82,TaxLower,TaxRate))</f>
        <v/>
      </c>
      <c r="O82" s="35">
        <f>IF($A82&gt;NYears*12,"",IF(TaxFreq="Quarterly",IF(MOD($D82,3)=0,$L82*$N82,0),IF($D82=12,$K82*$N82,0)))</f>
        <v/>
      </c>
      <c r="P82" s="35">
        <f>IF($A82&gt;NYears*12,"",IF($D82=1,$O82,$P81+$O82))</f>
        <v/>
      </c>
      <c r="Q82" s="35">
        <f>IF($A82&gt;NYears*12,"",IF($D82=12,MIN(WdrPct*IF(WdrBase="Post-tax profit",$K82-$P82,$K82),WdrCap),0))</f>
        <v/>
      </c>
      <c r="R82" s="35">
        <f>IF($A82&gt;NYears*12,"",$F82+$J82-$O82-$Q82)</f>
        <v/>
      </c>
      <c r="S82" s="33">
        <f>IF($A82&gt;NYears*12,"",INT($R82/$E82))</f>
        <v/>
      </c>
    </row>
    <row r="83">
      <c r="A83" s="33">
        <f>79</f>
        <v/>
      </c>
      <c r="B83" s="34">
        <f>IF($A83&gt;NYears*12,"",EDATE(StartMonth,$A83-1))</f>
        <v/>
      </c>
      <c r="C83" s="33">
        <f>IF($A83&gt;NYears*12,"",INT(($A83-1)/12)+1)</f>
        <v/>
      </c>
      <c r="D83" s="33">
        <f>IF($A83&gt;NYears*12,"",MOD($A83-1,12)+1)</f>
        <v/>
      </c>
      <c r="E83" s="35">
        <f>IF($A83&gt;NYears*12,"",LotValue0*(1+LotGrowth)^($C83-1))</f>
        <v/>
      </c>
      <c r="F83" s="35">
        <f>IF($A83&gt;NYears*12,"",IF($A83=1,InitInvest,$R82))</f>
        <v/>
      </c>
      <c r="G83" s="33">
        <f>IF($A83&gt;NYears*12,"",INT($F83/$E83))</f>
        <v/>
      </c>
      <c r="H83" s="35">
        <f>IF($A83&gt;NYears*12,"",$G83*$E83)</f>
        <v/>
      </c>
      <c r="I83" s="35">
        <f>IF($A83&gt;NYears*12,"",$F83-$H83)</f>
        <v/>
      </c>
      <c r="J83" s="35">
        <f>IF($A83&gt;NYears*12,"",$H83*RateA)</f>
        <v/>
      </c>
      <c r="K83" s="35">
        <f>IF($A83&gt;NYears*12,"",IF($D83=1,$J83,$K82+$J83))</f>
        <v/>
      </c>
      <c r="L83" s="35">
        <f>IF($A83&gt;NYears*12,"",IF(MOD($D83,3)=0,SUM($J81:$J83),0))</f>
        <v/>
      </c>
      <c r="M83" s="35">
        <f>IF($A83&gt;NYears*12,"",IF(TaxFreq="Quarterly",$K83*12/$D83,$K83))</f>
        <v/>
      </c>
      <c r="N83" s="36">
        <f>IF($A83&gt;NYears*12,"",LOOKUP($M83,TaxLower,TaxRate))</f>
        <v/>
      </c>
      <c r="O83" s="35">
        <f>IF($A83&gt;NYears*12,"",IF(TaxFreq="Quarterly",IF(MOD($D83,3)=0,$L83*$N83,0),IF($D83=12,$K83*$N83,0)))</f>
        <v/>
      </c>
      <c r="P83" s="35">
        <f>IF($A83&gt;NYears*12,"",IF($D83=1,$O83,$P82+$O83))</f>
        <v/>
      </c>
      <c r="Q83" s="35">
        <f>IF($A83&gt;NYears*12,"",IF($D83=12,MIN(WdrPct*IF(WdrBase="Post-tax profit",$K83-$P83,$K83),WdrCap),0))</f>
        <v/>
      </c>
      <c r="R83" s="35">
        <f>IF($A83&gt;NYears*12,"",$F83+$J83-$O83-$Q83)</f>
        <v/>
      </c>
      <c r="S83" s="33">
        <f>IF($A83&gt;NYears*12,"",INT($R83/$E83))</f>
        <v/>
      </c>
    </row>
    <row r="84">
      <c r="A84" s="33">
        <f>80</f>
        <v/>
      </c>
      <c r="B84" s="34">
        <f>IF($A84&gt;NYears*12,"",EDATE(StartMonth,$A84-1))</f>
        <v/>
      </c>
      <c r="C84" s="33">
        <f>IF($A84&gt;NYears*12,"",INT(($A84-1)/12)+1)</f>
        <v/>
      </c>
      <c r="D84" s="33">
        <f>IF($A84&gt;NYears*12,"",MOD($A84-1,12)+1)</f>
        <v/>
      </c>
      <c r="E84" s="35">
        <f>IF($A84&gt;NYears*12,"",LotValue0*(1+LotGrowth)^($C84-1))</f>
        <v/>
      </c>
      <c r="F84" s="35">
        <f>IF($A84&gt;NYears*12,"",IF($A84=1,InitInvest,$R83))</f>
        <v/>
      </c>
      <c r="G84" s="33">
        <f>IF($A84&gt;NYears*12,"",INT($F84/$E84))</f>
        <v/>
      </c>
      <c r="H84" s="35">
        <f>IF($A84&gt;NYears*12,"",$G84*$E84)</f>
        <v/>
      </c>
      <c r="I84" s="35">
        <f>IF($A84&gt;NYears*12,"",$F84-$H84)</f>
        <v/>
      </c>
      <c r="J84" s="35">
        <f>IF($A84&gt;NYears*12,"",$H84*RateA)</f>
        <v/>
      </c>
      <c r="K84" s="35">
        <f>IF($A84&gt;NYears*12,"",IF($D84=1,$J84,$K83+$J84))</f>
        <v/>
      </c>
      <c r="L84" s="35">
        <f>IF($A84&gt;NYears*12,"",IF(MOD($D84,3)=0,SUM($J82:$J84),0))</f>
        <v/>
      </c>
      <c r="M84" s="35">
        <f>IF($A84&gt;NYears*12,"",IF(TaxFreq="Quarterly",$K84*12/$D84,$K84))</f>
        <v/>
      </c>
      <c r="N84" s="36">
        <f>IF($A84&gt;NYears*12,"",LOOKUP($M84,TaxLower,TaxRate))</f>
        <v/>
      </c>
      <c r="O84" s="35">
        <f>IF($A84&gt;NYears*12,"",IF(TaxFreq="Quarterly",IF(MOD($D84,3)=0,$L84*$N84,0),IF($D84=12,$K84*$N84,0)))</f>
        <v/>
      </c>
      <c r="P84" s="35">
        <f>IF($A84&gt;NYears*12,"",IF($D84=1,$O84,$P83+$O84))</f>
        <v/>
      </c>
      <c r="Q84" s="35">
        <f>IF($A84&gt;NYears*12,"",IF($D84=12,MIN(WdrPct*IF(WdrBase="Post-tax profit",$K84-$P84,$K84),WdrCap),0))</f>
        <v/>
      </c>
      <c r="R84" s="35">
        <f>IF($A84&gt;NYears*12,"",$F84+$J84-$O84-$Q84)</f>
        <v/>
      </c>
      <c r="S84" s="33">
        <f>IF($A84&gt;NYears*12,"",INT($R84/$E84))</f>
        <v/>
      </c>
    </row>
    <row r="85">
      <c r="A85" s="33">
        <f>81</f>
        <v/>
      </c>
      <c r="B85" s="34">
        <f>IF($A85&gt;NYears*12,"",EDATE(StartMonth,$A85-1))</f>
        <v/>
      </c>
      <c r="C85" s="33">
        <f>IF($A85&gt;NYears*12,"",INT(($A85-1)/12)+1)</f>
        <v/>
      </c>
      <c r="D85" s="33">
        <f>IF($A85&gt;NYears*12,"",MOD($A85-1,12)+1)</f>
        <v/>
      </c>
      <c r="E85" s="35">
        <f>IF($A85&gt;NYears*12,"",LotValue0*(1+LotGrowth)^($C85-1))</f>
        <v/>
      </c>
      <c r="F85" s="35">
        <f>IF($A85&gt;NYears*12,"",IF($A85=1,InitInvest,$R84))</f>
        <v/>
      </c>
      <c r="G85" s="33">
        <f>IF($A85&gt;NYears*12,"",INT($F85/$E85))</f>
        <v/>
      </c>
      <c r="H85" s="35">
        <f>IF($A85&gt;NYears*12,"",$G85*$E85)</f>
        <v/>
      </c>
      <c r="I85" s="35">
        <f>IF($A85&gt;NYears*12,"",$F85-$H85)</f>
        <v/>
      </c>
      <c r="J85" s="35">
        <f>IF($A85&gt;NYears*12,"",$H85*RateA)</f>
        <v/>
      </c>
      <c r="K85" s="35">
        <f>IF($A85&gt;NYears*12,"",IF($D85=1,$J85,$K84+$J85))</f>
        <v/>
      </c>
      <c r="L85" s="35">
        <f>IF($A85&gt;NYears*12,"",IF(MOD($D85,3)=0,SUM($J83:$J85),0))</f>
        <v/>
      </c>
      <c r="M85" s="35">
        <f>IF($A85&gt;NYears*12,"",IF(TaxFreq="Quarterly",$K85*12/$D85,$K85))</f>
        <v/>
      </c>
      <c r="N85" s="36">
        <f>IF($A85&gt;NYears*12,"",LOOKUP($M85,TaxLower,TaxRate))</f>
        <v/>
      </c>
      <c r="O85" s="35">
        <f>IF($A85&gt;NYears*12,"",IF(TaxFreq="Quarterly",IF(MOD($D85,3)=0,$L85*$N85,0),IF($D85=12,$K85*$N85,0)))</f>
        <v/>
      </c>
      <c r="P85" s="35">
        <f>IF($A85&gt;NYears*12,"",IF($D85=1,$O85,$P84+$O85))</f>
        <v/>
      </c>
      <c r="Q85" s="35">
        <f>IF($A85&gt;NYears*12,"",IF($D85=12,MIN(WdrPct*IF(WdrBase="Post-tax profit",$K85-$P85,$K85),WdrCap),0))</f>
        <v/>
      </c>
      <c r="R85" s="35">
        <f>IF($A85&gt;NYears*12,"",$F85+$J85-$O85-$Q85)</f>
        <v/>
      </c>
      <c r="S85" s="33">
        <f>IF($A85&gt;NYears*12,"",INT($R85/$E85))</f>
        <v/>
      </c>
    </row>
    <row r="86">
      <c r="A86" s="33">
        <f>82</f>
        <v/>
      </c>
      <c r="B86" s="34">
        <f>IF($A86&gt;NYears*12,"",EDATE(StartMonth,$A86-1))</f>
        <v/>
      </c>
      <c r="C86" s="33">
        <f>IF($A86&gt;NYears*12,"",INT(($A86-1)/12)+1)</f>
        <v/>
      </c>
      <c r="D86" s="33">
        <f>IF($A86&gt;NYears*12,"",MOD($A86-1,12)+1)</f>
        <v/>
      </c>
      <c r="E86" s="35">
        <f>IF($A86&gt;NYears*12,"",LotValue0*(1+LotGrowth)^($C86-1))</f>
        <v/>
      </c>
      <c r="F86" s="35">
        <f>IF($A86&gt;NYears*12,"",IF($A86=1,InitInvest,$R85))</f>
        <v/>
      </c>
      <c r="G86" s="33">
        <f>IF($A86&gt;NYears*12,"",INT($F86/$E86))</f>
        <v/>
      </c>
      <c r="H86" s="35">
        <f>IF($A86&gt;NYears*12,"",$G86*$E86)</f>
        <v/>
      </c>
      <c r="I86" s="35">
        <f>IF($A86&gt;NYears*12,"",$F86-$H86)</f>
        <v/>
      </c>
      <c r="J86" s="35">
        <f>IF($A86&gt;NYears*12,"",$H86*RateA)</f>
        <v/>
      </c>
      <c r="K86" s="35">
        <f>IF($A86&gt;NYears*12,"",IF($D86=1,$J86,$K85+$J86))</f>
        <v/>
      </c>
      <c r="L86" s="35">
        <f>IF($A86&gt;NYears*12,"",IF(MOD($D86,3)=0,SUM($J84:$J86),0))</f>
        <v/>
      </c>
      <c r="M86" s="35">
        <f>IF($A86&gt;NYears*12,"",IF(TaxFreq="Quarterly",$K86*12/$D86,$K86))</f>
        <v/>
      </c>
      <c r="N86" s="36">
        <f>IF($A86&gt;NYears*12,"",LOOKUP($M86,TaxLower,TaxRate))</f>
        <v/>
      </c>
      <c r="O86" s="35">
        <f>IF($A86&gt;NYears*12,"",IF(TaxFreq="Quarterly",IF(MOD($D86,3)=0,$L86*$N86,0),IF($D86=12,$K86*$N86,0)))</f>
        <v/>
      </c>
      <c r="P86" s="35">
        <f>IF($A86&gt;NYears*12,"",IF($D86=1,$O86,$P85+$O86))</f>
        <v/>
      </c>
      <c r="Q86" s="35">
        <f>IF($A86&gt;NYears*12,"",IF($D86=12,MIN(WdrPct*IF(WdrBase="Post-tax profit",$K86-$P86,$K86),WdrCap),0))</f>
        <v/>
      </c>
      <c r="R86" s="35">
        <f>IF($A86&gt;NYears*12,"",$F86+$J86-$O86-$Q86)</f>
        <v/>
      </c>
      <c r="S86" s="33">
        <f>IF($A86&gt;NYears*12,"",INT($R86/$E86))</f>
        <v/>
      </c>
    </row>
    <row r="87">
      <c r="A87" s="33">
        <f>83</f>
        <v/>
      </c>
      <c r="B87" s="34">
        <f>IF($A87&gt;NYears*12,"",EDATE(StartMonth,$A87-1))</f>
        <v/>
      </c>
      <c r="C87" s="33">
        <f>IF($A87&gt;NYears*12,"",INT(($A87-1)/12)+1)</f>
        <v/>
      </c>
      <c r="D87" s="33">
        <f>IF($A87&gt;NYears*12,"",MOD($A87-1,12)+1)</f>
        <v/>
      </c>
      <c r="E87" s="35">
        <f>IF($A87&gt;NYears*12,"",LotValue0*(1+LotGrowth)^($C87-1))</f>
        <v/>
      </c>
      <c r="F87" s="35">
        <f>IF($A87&gt;NYears*12,"",IF($A87=1,InitInvest,$R86))</f>
        <v/>
      </c>
      <c r="G87" s="33">
        <f>IF($A87&gt;NYears*12,"",INT($F87/$E87))</f>
        <v/>
      </c>
      <c r="H87" s="35">
        <f>IF($A87&gt;NYears*12,"",$G87*$E87)</f>
        <v/>
      </c>
      <c r="I87" s="35">
        <f>IF($A87&gt;NYears*12,"",$F87-$H87)</f>
        <v/>
      </c>
      <c r="J87" s="35">
        <f>IF($A87&gt;NYears*12,"",$H87*RateA)</f>
        <v/>
      </c>
      <c r="K87" s="35">
        <f>IF($A87&gt;NYears*12,"",IF($D87=1,$J87,$K86+$J87))</f>
        <v/>
      </c>
      <c r="L87" s="35">
        <f>IF($A87&gt;NYears*12,"",IF(MOD($D87,3)=0,SUM($J85:$J87),0))</f>
        <v/>
      </c>
      <c r="M87" s="35">
        <f>IF($A87&gt;NYears*12,"",IF(TaxFreq="Quarterly",$K87*12/$D87,$K87))</f>
        <v/>
      </c>
      <c r="N87" s="36">
        <f>IF($A87&gt;NYears*12,"",LOOKUP($M87,TaxLower,TaxRate))</f>
        <v/>
      </c>
      <c r="O87" s="35">
        <f>IF($A87&gt;NYears*12,"",IF(TaxFreq="Quarterly",IF(MOD($D87,3)=0,$L87*$N87,0),IF($D87=12,$K87*$N87,0)))</f>
        <v/>
      </c>
      <c r="P87" s="35">
        <f>IF($A87&gt;NYears*12,"",IF($D87=1,$O87,$P86+$O87))</f>
        <v/>
      </c>
      <c r="Q87" s="35">
        <f>IF($A87&gt;NYears*12,"",IF($D87=12,MIN(WdrPct*IF(WdrBase="Post-tax profit",$K87-$P87,$K87),WdrCap),0))</f>
        <v/>
      </c>
      <c r="R87" s="35">
        <f>IF($A87&gt;NYears*12,"",$F87+$J87-$O87-$Q87)</f>
        <v/>
      </c>
      <c r="S87" s="33">
        <f>IF($A87&gt;NYears*12,"",INT($R87/$E87))</f>
        <v/>
      </c>
    </row>
    <row r="88">
      <c r="A88" s="37">
        <f>84</f>
        <v/>
      </c>
      <c r="B88" s="38">
        <f>IF($A88&gt;NYears*12,"",EDATE(StartMonth,$A88-1))</f>
        <v/>
      </c>
      <c r="C88" s="37">
        <f>IF($A88&gt;NYears*12,"",INT(($A88-1)/12)+1)</f>
        <v/>
      </c>
      <c r="D88" s="37">
        <f>IF($A88&gt;NYears*12,"",MOD($A88-1,12)+1)</f>
        <v/>
      </c>
      <c r="E88" s="39">
        <f>IF($A88&gt;NYears*12,"",LotValue0*(1+LotGrowth)^($C88-1))</f>
        <v/>
      </c>
      <c r="F88" s="39">
        <f>IF($A88&gt;NYears*12,"",IF($A88=1,InitInvest,$R87))</f>
        <v/>
      </c>
      <c r="G88" s="37">
        <f>IF($A88&gt;NYears*12,"",INT($F88/$E88))</f>
        <v/>
      </c>
      <c r="H88" s="39">
        <f>IF($A88&gt;NYears*12,"",$G88*$E88)</f>
        <v/>
      </c>
      <c r="I88" s="39">
        <f>IF($A88&gt;NYears*12,"",$F88-$H88)</f>
        <v/>
      </c>
      <c r="J88" s="39">
        <f>IF($A88&gt;NYears*12,"",$H88*RateA)</f>
        <v/>
      </c>
      <c r="K88" s="39">
        <f>IF($A88&gt;NYears*12,"",IF($D88=1,$J88,$K87+$J88))</f>
        <v/>
      </c>
      <c r="L88" s="39">
        <f>IF($A88&gt;NYears*12,"",IF(MOD($D88,3)=0,SUM($J86:$J88),0))</f>
        <v/>
      </c>
      <c r="M88" s="39">
        <f>IF($A88&gt;NYears*12,"",IF(TaxFreq="Quarterly",$K88*12/$D88,$K88))</f>
        <v/>
      </c>
      <c r="N88" s="40">
        <f>IF($A88&gt;NYears*12,"",LOOKUP($M88,TaxLower,TaxRate))</f>
        <v/>
      </c>
      <c r="O88" s="39">
        <f>IF($A88&gt;NYears*12,"",IF(TaxFreq="Quarterly",IF(MOD($D88,3)=0,$L88*$N88,0),IF($D88=12,$K88*$N88,0)))</f>
        <v/>
      </c>
      <c r="P88" s="39">
        <f>IF($A88&gt;NYears*12,"",IF($D88=1,$O88,$P87+$O88))</f>
        <v/>
      </c>
      <c r="Q88" s="39">
        <f>IF($A88&gt;NYears*12,"",IF($D88=12,MIN(WdrPct*IF(WdrBase="Post-tax profit",$K88-$P88,$K88),WdrCap),0))</f>
        <v/>
      </c>
      <c r="R88" s="39">
        <f>IF($A88&gt;NYears*12,"",$F88+$J88-$O88-$Q88)</f>
        <v/>
      </c>
      <c r="S88" s="37">
        <f>IF($A88&gt;NYears*12,"",INT($R88/$E88))</f>
        <v/>
      </c>
    </row>
    <row r="89">
      <c r="A89" s="33">
        <f>85</f>
        <v/>
      </c>
      <c r="B89" s="34">
        <f>IF($A89&gt;NYears*12,"",EDATE(StartMonth,$A89-1))</f>
        <v/>
      </c>
      <c r="C89" s="33">
        <f>IF($A89&gt;NYears*12,"",INT(($A89-1)/12)+1)</f>
        <v/>
      </c>
      <c r="D89" s="33">
        <f>IF($A89&gt;NYears*12,"",MOD($A89-1,12)+1)</f>
        <v/>
      </c>
      <c r="E89" s="35">
        <f>IF($A89&gt;NYears*12,"",LotValue0*(1+LotGrowth)^($C89-1))</f>
        <v/>
      </c>
      <c r="F89" s="35">
        <f>IF($A89&gt;NYears*12,"",IF($A89=1,InitInvest,$R88))</f>
        <v/>
      </c>
      <c r="G89" s="33">
        <f>IF($A89&gt;NYears*12,"",INT($F89/$E89))</f>
        <v/>
      </c>
      <c r="H89" s="35">
        <f>IF($A89&gt;NYears*12,"",$G89*$E89)</f>
        <v/>
      </c>
      <c r="I89" s="35">
        <f>IF($A89&gt;NYears*12,"",$F89-$H89)</f>
        <v/>
      </c>
      <c r="J89" s="35">
        <f>IF($A89&gt;NYears*12,"",$H89*RateA)</f>
        <v/>
      </c>
      <c r="K89" s="35">
        <f>IF($A89&gt;NYears*12,"",IF($D89=1,$J89,$K88+$J89))</f>
        <v/>
      </c>
      <c r="L89" s="35">
        <f>IF($A89&gt;NYears*12,"",IF(MOD($D89,3)=0,SUM($J87:$J89),0))</f>
        <v/>
      </c>
      <c r="M89" s="35">
        <f>IF($A89&gt;NYears*12,"",IF(TaxFreq="Quarterly",$K89*12/$D89,$K89))</f>
        <v/>
      </c>
      <c r="N89" s="36">
        <f>IF($A89&gt;NYears*12,"",LOOKUP($M89,TaxLower,TaxRate))</f>
        <v/>
      </c>
      <c r="O89" s="35">
        <f>IF($A89&gt;NYears*12,"",IF(TaxFreq="Quarterly",IF(MOD($D89,3)=0,$L89*$N89,0),IF($D89=12,$K89*$N89,0)))</f>
        <v/>
      </c>
      <c r="P89" s="35">
        <f>IF($A89&gt;NYears*12,"",IF($D89=1,$O89,$P88+$O89))</f>
        <v/>
      </c>
      <c r="Q89" s="35">
        <f>IF($A89&gt;NYears*12,"",IF($D89=12,MIN(WdrPct*IF(WdrBase="Post-tax profit",$K89-$P89,$K89),WdrCap),0))</f>
        <v/>
      </c>
      <c r="R89" s="35">
        <f>IF($A89&gt;NYears*12,"",$F89+$J89-$O89-$Q89)</f>
        <v/>
      </c>
      <c r="S89" s="33">
        <f>IF($A89&gt;NYears*12,"",INT($R89/$E89))</f>
        <v/>
      </c>
    </row>
    <row r="90">
      <c r="A90" s="33">
        <f>86</f>
        <v/>
      </c>
      <c r="B90" s="34">
        <f>IF($A90&gt;NYears*12,"",EDATE(StartMonth,$A90-1))</f>
        <v/>
      </c>
      <c r="C90" s="33">
        <f>IF($A90&gt;NYears*12,"",INT(($A90-1)/12)+1)</f>
        <v/>
      </c>
      <c r="D90" s="33">
        <f>IF($A90&gt;NYears*12,"",MOD($A90-1,12)+1)</f>
        <v/>
      </c>
      <c r="E90" s="35">
        <f>IF($A90&gt;NYears*12,"",LotValue0*(1+LotGrowth)^($C90-1))</f>
        <v/>
      </c>
      <c r="F90" s="35">
        <f>IF($A90&gt;NYears*12,"",IF($A90=1,InitInvest,$R89))</f>
        <v/>
      </c>
      <c r="G90" s="33">
        <f>IF($A90&gt;NYears*12,"",INT($F90/$E90))</f>
        <v/>
      </c>
      <c r="H90" s="35">
        <f>IF($A90&gt;NYears*12,"",$G90*$E90)</f>
        <v/>
      </c>
      <c r="I90" s="35">
        <f>IF($A90&gt;NYears*12,"",$F90-$H90)</f>
        <v/>
      </c>
      <c r="J90" s="35">
        <f>IF($A90&gt;NYears*12,"",$H90*RateA)</f>
        <v/>
      </c>
      <c r="K90" s="35">
        <f>IF($A90&gt;NYears*12,"",IF($D90=1,$J90,$K89+$J90))</f>
        <v/>
      </c>
      <c r="L90" s="35">
        <f>IF($A90&gt;NYears*12,"",IF(MOD($D90,3)=0,SUM($J88:$J90),0))</f>
        <v/>
      </c>
      <c r="M90" s="35">
        <f>IF($A90&gt;NYears*12,"",IF(TaxFreq="Quarterly",$K90*12/$D90,$K90))</f>
        <v/>
      </c>
      <c r="N90" s="36">
        <f>IF($A90&gt;NYears*12,"",LOOKUP($M90,TaxLower,TaxRate))</f>
        <v/>
      </c>
      <c r="O90" s="35">
        <f>IF($A90&gt;NYears*12,"",IF(TaxFreq="Quarterly",IF(MOD($D90,3)=0,$L90*$N90,0),IF($D90=12,$K90*$N90,0)))</f>
        <v/>
      </c>
      <c r="P90" s="35">
        <f>IF($A90&gt;NYears*12,"",IF($D90=1,$O90,$P89+$O90))</f>
        <v/>
      </c>
      <c r="Q90" s="35">
        <f>IF($A90&gt;NYears*12,"",IF($D90=12,MIN(WdrPct*IF(WdrBase="Post-tax profit",$K90-$P90,$K90),WdrCap),0))</f>
        <v/>
      </c>
      <c r="R90" s="35">
        <f>IF($A90&gt;NYears*12,"",$F90+$J90-$O90-$Q90)</f>
        <v/>
      </c>
      <c r="S90" s="33">
        <f>IF($A90&gt;NYears*12,"",INT($R90/$E90))</f>
        <v/>
      </c>
    </row>
    <row r="91">
      <c r="A91" s="33">
        <f>87</f>
        <v/>
      </c>
      <c r="B91" s="34">
        <f>IF($A91&gt;NYears*12,"",EDATE(StartMonth,$A91-1))</f>
        <v/>
      </c>
      <c r="C91" s="33">
        <f>IF($A91&gt;NYears*12,"",INT(($A91-1)/12)+1)</f>
        <v/>
      </c>
      <c r="D91" s="33">
        <f>IF($A91&gt;NYears*12,"",MOD($A91-1,12)+1)</f>
        <v/>
      </c>
      <c r="E91" s="35">
        <f>IF($A91&gt;NYears*12,"",LotValue0*(1+LotGrowth)^($C91-1))</f>
        <v/>
      </c>
      <c r="F91" s="35">
        <f>IF($A91&gt;NYears*12,"",IF($A91=1,InitInvest,$R90))</f>
        <v/>
      </c>
      <c r="G91" s="33">
        <f>IF($A91&gt;NYears*12,"",INT($F91/$E91))</f>
        <v/>
      </c>
      <c r="H91" s="35">
        <f>IF($A91&gt;NYears*12,"",$G91*$E91)</f>
        <v/>
      </c>
      <c r="I91" s="35">
        <f>IF($A91&gt;NYears*12,"",$F91-$H91)</f>
        <v/>
      </c>
      <c r="J91" s="35">
        <f>IF($A91&gt;NYears*12,"",$H91*RateA)</f>
        <v/>
      </c>
      <c r="K91" s="35">
        <f>IF($A91&gt;NYears*12,"",IF($D91=1,$J91,$K90+$J91))</f>
        <v/>
      </c>
      <c r="L91" s="35">
        <f>IF($A91&gt;NYears*12,"",IF(MOD($D91,3)=0,SUM($J89:$J91),0))</f>
        <v/>
      </c>
      <c r="M91" s="35">
        <f>IF($A91&gt;NYears*12,"",IF(TaxFreq="Quarterly",$K91*12/$D91,$K91))</f>
        <v/>
      </c>
      <c r="N91" s="36">
        <f>IF($A91&gt;NYears*12,"",LOOKUP($M91,TaxLower,TaxRate))</f>
        <v/>
      </c>
      <c r="O91" s="35">
        <f>IF($A91&gt;NYears*12,"",IF(TaxFreq="Quarterly",IF(MOD($D91,3)=0,$L91*$N91,0),IF($D91=12,$K91*$N91,0)))</f>
        <v/>
      </c>
      <c r="P91" s="35">
        <f>IF($A91&gt;NYears*12,"",IF($D91=1,$O91,$P90+$O91))</f>
        <v/>
      </c>
      <c r="Q91" s="35">
        <f>IF($A91&gt;NYears*12,"",IF($D91=12,MIN(WdrPct*IF(WdrBase="Post-tax profit",$K91-$P91,$K91),WdrCap),0))</f>
        <v/>
      </c>
      <c r="R91" s="35">
        <f>IF($A91&gt;NYears*12,"",$F91+$J91-$O91-$Q91)</f>
        <v/>
      </c>
      <c r="S91" s="33">
        <f>IF($A91&gt;NYears*12,"",INT($R91/$E91))</f>
        <v/>
      </c>
    </row>
    <row r="92">
      <c r="A92" s="33">
        <f>88</f>
        <v/>
      </c>
      <c r="B92" s="34">
        <f>IF($A92&gt;NYears*12,"",EDATE(StartMonth,$A92-1))</f>
        <v/>
      </c>
      <c r="C92" s="33">
        <f>IF($A92&gt;NYears*12,"",INT(($A92-1)/12)+1)</f>
        <v/>
      </c>
      <c r="D92" s="33">
        <f>IF($A92&gt;NYears*12,"",MOD($A92-1,12)+1)</f>
        <v/>
      </c>
      <c r="E92" s="35">
        <f>IF($A92&gt;NYears*12,"",LotValue0*(1+LotGrowth)^($C92-1))</f>
        <v/>
      </c>
      <c r="F92" s="35">
        <f>IF($A92&gt;NYears*12,"",IF($A92=1,InitInvest,$R91))</f>
        <v/>
      </c>
      <c r="G92" s="33">
        <f>IF($A92&gt;NYears*12,"",INT($F92/$E92))</f>
        <v/>
      </c>
      <c r="H92" s="35">
        <f>IF($A92&gt;NYears*12,"",$G92*$E92)</f>
        <v/>
      </c>
      <c r="I92" s="35">
        <f>IF($A92&gt;NYears*12,"",$F92-$H92)</f>
        <v/>
      </c>
      <c r="J92" s="35">
        <f>IF($A92&gt;NYears*12,"",$H92*RateA)</f>
        <v/>
      </c>
      <c r="K92" s="35">
        <f>IF($A92&gt;NYears*12,"",IF($D92=1,$J92,$K91+$J92))</f>
        <v/>
      </c>
      <c r="L92" s="35">
        <f>IF($A92&gt;NYears*12,"",IF(MOD($D92,3)=0,SUM($J90:$J92),0))</f>
        <v/>
      </c>
      <c r="M92" s="35">
        <f>IF($A92&gt;NYears*12,"",IF(TaxFreq="Quarterly",$K92*12/$D92,$K92))</f>
        <v/>
      </c>
      <c r="N92" s="36">
        <f>IF($A92&gt;NYears*12,"",LOOKUP($M92,TaxLower,TaxRate))</f>
        <v/>
      </c>
      <c r="O92" s="35">
        <f>IF($A92&gt;NYears*12,"",IF(TaxFreq="Quarterly",IF(MOD($D92,3)=0,$L92*$N92,0),IF($D92=12,$K92*$N92,0)))</f>
        <v/>
      </c>
      <c r="P92" s="35">
        <f>IF($A92&gt;NYears*12,"",IF($D92=1,$O92,$P91+$O92))</f>
        <v/>
      </c>
      <c r="Q92" s="35">
        <f>IF($A92&gt;NYears*12,"",IF($D92=12,MIN(WdrPct*IF(WdrBase="Post-tax profit",$K92-$P92,$K92),WdrCap),0))</f>
        <v/>
      </c>
      <c r="R92" s="35">
        <f>IF($A92&gt;NYears*12,"",$F92+$J92-$O92-$Q92)</f>
        <v/>
      </c>
      <c r="S92" s="33">
        <f>IF($A92&gt;NYears*12,"",INT($R92/$E92))</f>
        <v/>
      </c>
    </row>
    <row r="93">
      <c r="A93" s="33">
        <f>89</f>
        <v/>
      </c>
      <c r="B93" s="34">
        <f>IF($A93&gt;NYears*12,"",EDATE(StartMonth,$A93-1))</f>
        <v/>
      </c>
      <c r="C93" s="33">
        <f>IF($A93&gt;NYears*12,"",INT(($A93-1)/12)+1)</f>
        <v/>
      </c>
      <c r="D93" s="33">
        <f>IF($A93&gt;NYears*12,"",MOD($A93-1,12)+1)</f>
        <v/>
      </c>
      <c r="E93" s="35">
        <f>IF($A93&gt;NYears*12,"",LotValue0*(1+LotGrowth)^($C93-1))</f>
        <v/>
      </c>
      <c r="F93" s="35">
        <f>IF($A93&gt;NYears*12,"",IF($A93=1,InitInvest,$R92))</f>
        <v/>
      </c>
      <c r="G93" s="33">
        <f>IF($A93&gt;NYears*12,"",INT($F93/$E93))</f>
        <v/>
      </c>
      <c r="H93" s="35">
        <f>IF($A93&gt;NYears*12,"",$G93*$E93)</f>
        <v/>
      </c>
      <c r="I93" s="35">
        <f>IF($A93&gt;NYears*12,"",$F93-$H93)</f>
        <v/>
      </c>
      <c r="J93" s="35">
        <f>IF($A93&gt;NYears*12,"",$H93*RateA)</f>
        <v/>
      </c>
      <c r="K93" s="35">
        <f>IF($A93&gt;NYears*12,"",IF($D93=1,$J93,$K92+$J93))</f>
        <v/>
      </c>
      <c r="L93" s="35">
        <f>IF($A93&gt;NYears*12,"",IF(MOD($D93,3)=0,SUM($J91:$J93),0))</f>
        <v/>
      </c>
      <c r="M93" s="35">
        <f>IF($A93&gt;NYears*12,"",IF(TaxFreq="Quarterly",$K93*12/$D93,$K93))</f>
        <v/>
      </c>
      <c r="N93" s="36">
        <f>IF($A93&gt;NYears*12,"",LOOKUP($M93,TaxLower,TaxRate))</f>
        <v/>
      </c>
      <c r="O93" s="35">
        <f>IF($A93&gt;NYears*12,"",IF(TaxFreq="Quarterly",IF(MOD($D93,3)=0,$L93*$N93,0),IF($D93=12,$K93*$N93,0)))</f>
        <v/>
      </c>
      <c r="P93" s="35">
        <f>IF($A93&gt;NYears*12,"",IF($D93=1,$O93,$P92+$O93))</f>
        <v/>
      </c>
      <c r="Q93" s="35">
        <f>IF($A93&gt;NYears*12,"",IF($D93=12,MIN(WdrPct*IF(WdrBase="Post-tax profit",$K93-$P93,$K93),WdrCap),0))</f>
        <v/>
      </c>
      <c r="R93" s="35">
        <f>IF($A93&gt;NYears*12,"",$F93+$J93-$O93-$Q93)</f>
        <v/>
      </c>
      <c r="S93" s="33">
        <f>IF($A93&gt;NYears*12,"",INT($R93/$E93))</f>
        <v/>
      </c>
    </row>
    <row r="94">
      <c r="A94" s="33">
        <f>90</f>
        <v/>
      </c>
      <c r="B94" s="34">
        <f>IF($A94&gt;NYears*12,"",EDATE(StartMonth,$A94-1))</f>
        <v/>
      </c>
      <c r="C94" s="33">
        <f>IF($A94&gt;NYears*12,"",INT(($A94-1)/12)+1)</f>
        <v/>
      </c>
      <c r="D94" s="33">
        <f>IF($A94&gt;NYears*12,"",MOD($A94-1,12)+1)</f>
        <v/>
      </c>
      <c r="E94" s="35">
        <f>IF($A94&gt;NYears*12,"",LotValue0*(1+LotGrowth)^($C94-1))</f>
        <v/>
      </c>
      <c r="F94" s="35">
        <f>IF($A94&gt;NYears*12,"",IF($A94=1,InitInvest,$R93))</f>
        <v/>
      </c>
      <c r="G94" s="33">
        <f>IF($A94&gt;NYears*12,"",INT($F94/$E94))</f>
        <v/>
      </c>
      <c r="H94" s="35">
        <f>IF($A94&gt;NYears*12,"",$G94*$E94)</f>
        <v/>
      </c>
      <c r="I94" s="35">
        <f>IF($A94&gt;NYears*12,"",$F94-$H94)</f>
        <v/>
      </c>
      <c r="J94" s="35">
        <f>IF($A94&gt;NYears*12,"",$H94*RateA)</f>
        <v/>
      </c>
      <c r="K94" s="35">
        <f>IF($A94&gt;NYears*12,"",IF($D94=1,$J94,$K93+$J94))</f>
        <v/>
      </c>
      <c r="L94" s="35">
        <f>IF($A94&gt;NYears*12,"",IF(MOD($D94,3)=0,SUM($J92:$J94),0))</f>
        <v/>
      </c>
      <c r="M94" s="35">
        <f>IF($A94&gt;NYears*12,"",IF(TaxFreq="Quarterly",$K94*12/$D94,$K94))</f>
        <v/>
      </c>
      <c r="N94" s="36">
        <f>IF($A94&gt;NYears*12,"",LOOKUP($M94,TaxLower,TaxRate))</f>
        <v/>
      </c>
      <c r="O94" s="35">
        <f>IF($A94&gt;NYears*12,"",IF(TaxFreq="Quarterly",IF(MOD($D94,3)=0,$L94*$N94,0),IF($D94=12,$K94*$N94,0)))</f>
        <v/>
      </c>
      <c r="P94" s="35">
        <f>IF($A94&gt;NYears*12,"",IF($D94=1,$O94,$P93+$O94))</f>
        <v/>
      </c>
      <c r="Q94" s="35">
        <f>IF($A94&gt;NYears*12,"",IF($D94=12,MIN(WdrPct*IF(WdrBase="Post-tax profit",$K94-$P94,$K94),WdrCap),0))</f>
        <v/>
      </c>
      <c r="R94" s="35">
        <f>IF($A94&gt;NYears*12,"",$F94+$J94-$O94-$Q94)</f>
        <v/>
      </c>
      <c r="S94" s="33">
        <f>IF($A94&gt;NYears*12,"",INT($R94/$E94))</f>
        <v/>
      </c>
    </row>
    <row r="95">
      <c r="A95" s="33">
        <f>91</f>
        <v/>
      </c>
      <c r="B95" s="34">
        <f>IF($A95&gt;NYears*12,"",EDATE(StartMonth,$A95-1))</f>
        <v/>
      </c>
      <c r="C95" s="33">
        <f>IF($A95&gt;NYears*12,"",INT(($A95-1)/12)+1)</f>
        <v/>
      </c>
      <c r="D95" s="33">
        <f>IF($A95&gt;NYears*12,"",MOD($A95-1,12)+1)</f>
        <v/>
      </c>
      <c r="E95" s="35">
        <f>IF($A95&gt;NYears*12,"",LotValue0*(1+LotGrowth)^($C95-1))</f>
        <v/>
      </c>
      <c r="F95" s="35">
        <f>IF($A95&gt;NYears*12,"",IF($A95=1,InitInvest,$R94))</f>
        <v/>
      </c>
      <c r="G95" s="33">
        <f>IF($A95&gt;NYears*12,"",INT($F95/$E95))</f>
        <v/>
      </c>
      <c r="H95" s="35">
        <f>IF($A95&gt;NYears*12,"",$G95*$E95)</f>
        <v/>
      </c>
      <c r="I95" s="35">
        <f>IF($A95&gt;NYears*12,"",$F95-$H95)</f>
        <v/>
      </c>
      <c r="J95" s="35">
        <f>IF($A95&gt;NYears*12,"",$H95*RateA)</f>
        <v/>
      </c>
      <c r="K95" s="35">
        <f>IF($A95&gt;NYears*12,"",IF($D95=1,$J95,$K94+$J95))</f>
        <v/>
      </c>
      <c r="L95" s="35">
        <f>IF($A95&gt;NYears*12,"",IF(MOD($D95,3)=0,SUM($J93:$J95),0))</f>
        <v/>
      </c>
      <c r="M95" s="35">
        <f>IF($A95&gt;NYears*12,"",IF(TaxFreq="Quarterly",$K95*12/$D95,$K95))</f>
        <v/>
      </c>
      <c r="N95" s="36">
        <f>IF($A95&gt;NYears*12,"",LOOKUP($M95,TaxLower,TaxRate))</f>
        <v/>
      </c>
      <c r="O95" s="35">
        <f>IF($A95&gt;NYears*12,"",IF(TaxFreq="Quarterly",IF(MOD($D95,3)=0,$L95*$N95,0),IF($D95=12,$K95*$N95,0)))</f>
        <v/>
      </c>
      <c r="P95" s="35">
        <f>IF($A95&gt;NYears*12,"",IF($D95=1,$O95,$P94+$O95))</f>
        <v/>
      </c>
      <c r="Q95" s="35">
        <f>IF($A95&gt;NYears*12,"",IF($D95=12,MIN(WdrPct*IF(WdrBase="Post-tax profit",$K95-$P95,$K95),WdrCap),0))</f>
        <v/>
      </c>
      <c r="R95" s="35">
        <f>IF($A95&gt;NYears*12,"",$F95+$J95-$O95-$Q95)</f>
        <v/>
      </c>
      <c r="S95" s="33">
        <f>IF($A95&gt;NYears*12,"",INT($R95/$E95))</f>
        <v/>
      </c>
    </row>
    <row r="96">
      <c r="A96" s="33">
        <f>92</f>
        <v/>
      </c>
      <c r="B96" s="34">
        <f>IF($A96&gt;NYears*12,"",EDATE(StartMonth,$A96-1))</f>
        <v/>
      </c>
      <c r="C96" s="33">
        <f>IF($A96&gt;NYears*12,"",INT(($A96-1)/12)+1)</f>
        <v/>
      </c>
      <c r="D96" s="33">
        <f>IF($A96&gt;NYears*12,"",MOD($A96-1,12)+1)</f>
        <v/>
      </c>
      <c r="E96" s="35">
        <f>IF($A96&gt;NYears*12,"",LotValue0*(1+LotGrowth)^($C96-1))</f>
        <v/>
      </c>
      <c r="F96" s="35">
        <f>IF($A96&gt;NYears*12,"",IF($A96=1,InitInvest,$R95))</f>
        <v/>
      </c>
      <c r="G96" s="33">
        <f>IF($A96&gt;NYears*12,"",INT($F96/$E96))</f>
        <v/>
      </c>
      <c r="H96" s="35">
        <f>IF($A96&gt;NYears*12,"",$G96*$E96)</f>
        <v/>
      </c>
      <c r="I96" s="35">
        <f>IF($A96&gt;NYears*12,"",$F96-$H96)</f>
        <v/>
      </c>
      <c r="J96" s="35">
        <f>IF($A96&gt;NYears*12,"",$H96*RateA)</f>
        <v/>
      </c>
      <c r="K96" s="35">
        <f>IF($A96&gt;NYears*12,"",IF($D96=1,$J96,$K95+$J96))</f>
        <v/>
      </c>
      <c r="L96" s="35">
        <f>IF($A96&gt;NYears*12,"",IF(MOD($D96,3)=0,SUM($J94:$J96),0))</f>
        <v/>
      </c>
      <c r="M96" s="35">
        <f>IF($A96&gt;NYears*12,"",IF(TaxFreq="Quarterly",$K96*12/$D96,$K96))</f>
        <v/>
      </c>
      <c r="N96" s="36">
        <f>IF($A96&gt;NYears*12,"",LOOKUP($M96,TaxLower,TaxRate))</f>
        <v/>
      </c>
      <c r="O96" s="35">
        <f>IF($A96&gt;NYears*12,"",IF(TaxFreq="Quarterly",IF(MOD($D96,3)=0,$L96*$N96,0),IF($D96=12,$K96*$N96,0)))</f>
        <v/>
      </c>
      <c r="P96" s="35">
        <f>IF($A96&gt;NYears*12,"",IF($D96=1,$O96,$P95+$O96))</f>
        <v/>
      </c>
      <c r="Q96" s="35">
        <f>IF($A96&gt;NYears*12,"",IF($D96=12,MIN(WdrPct*IF(WdrBase="Post-tax profit",$K96-$P96,$K96),WdrCap),0))</f>
        <v/>
      </c>
      <c r="R96" s="35">
        <f>IF($A96&gt;NYears*12,"",$F96+$J96-$O96-$Q96)</f>
        <v/>
      </c>
      <c r="S96" s="33">
        <f>IF($A96&gt;NYears*12,"",INT($R96/$E96))</f>
        <v/>
      </c>
    </row>
    <row r="97">
      <c r="A97" s="33">
        <f>93</f>
        <v/>
      </c>
      <c r="B97" s="34">
        <f>IF($A97&gt;NYears*12,"",EDATE(StartMonth,$A97-1))</f>
        <v/>
      </c>
      <c r="C97" s="33">
        <f>IF($A97&gt;NYears*12,"",INT(($A97-1)/12)+1)</f>
        <v/>
      </c>
      <c r="D97" s="33">
        <f>IF($A97&gt;NYears*12,"",MOD($A97-1,12)+1)</f>
        <v/>
      </c>
      <c r="E97" s="35">
        <f>IF($A97&gt;NYears*12,"",LotValue0*(1+LotGrowth)^($C97-1))</f>
        <v/>
      </c>
      <c r="F97" s="35">
        <f>IF($A97&gt;NYears*12,"",IF($A97=1,InitInvest,$R96))</f>
        <v/>
      </c>
      <c r="G97" s="33">
        <f>IF($A97&gt;NYears*12,"",INT($F97/$E97))</f>
        <v/>
      </c>
      <c r="H97" s="35">
        <f>IF($A97&gt;NYears*12,"",$G97*$E97)</f>
        <v/>
      </c>
      <c r="I97" s="35">
        <f>IF($A97&gt;NYears*12,"",$F97-$H97)</f>
        <v/>
      </c>
      <c r="J97" s="35">
        <f>IF($A97&gt;NYears*12,"",$H97*RateA)</f>
        <v/>
      </c>
      <c r="K97" s="35">
        <f>IF($A97&gt;NYears*12,"",IF($D97=1,$J97,$K96+$J97))</f>
        <v/>
      </c>
      <c r="L97" s="35">
        <f>IF($A97&gt;NYears*12,"",IF(MOD($D97,3)=0,SUM($J95:$J97),0))</f>
        <v/>
      </c>
      <c r="M97" s="35">
        <f>IF($A97&gt;NYears*12,"",IF(TaxFreq="Quarterly",$K97*12/$D97,$K97))</f>
        <v/>
      </c>
      <c r="N97" s="36">
        <f>IF($A97&gt;NYears*12,"",LOOKUP($M97,TaxLower,TaxRate))</f>
        <v/>
      </c>
      <c r="O97" s="35">
        <f>IF($A97&gt;NYears*12,"",IF(TaxFreq="Quarterly",IF(MOD($D97,3)=0,$L97*$N97,0),IF($D97=12,$K97*$N97,0)))</f>
        <v/>
      </c>
      <c r="P97" s="35">
        <f>IF($A97&gt;NYears*12,"",IF($D97=1,$O97,$P96+$O97))</f>
        <v/>
      </c>
      <c r="Q97" s="35">
        <f>IF($A97&gt;NYears*12,"",IF($D97=12,MIN(WdrPct*IF(WdrBase="Post-tax profit",$K97-$P97,$K97),WdrCap),0))</f>
        <v/>
      </c>
      <c r="R97" s="35">
        <f>IF($A97&gt;NYears*12,"",$F97+$J97-$O97-$Q97)</f>
        <v/>
      </c>
      <c r="S97" s="33">
        <f>IF($A97&gt;NYears*12,"",INT($R97/$E97))</f>
        <v/>
      </c>
    </row>
    <row r="98">
      <c r="A98" s="33">
        <f>94</f>
        <v/>
      </c>
      <c r="B98" s="34">
        <f>IF($A98&gt;NYears*12,"",EDATE(StartMonth,$A98-1))</f>
        <v/>
      </c>
      <c r="C98" s="33">
        <f>IF($A98&gt;NYears*12,"",INT(($A98-1)/12)+1)</f>
        <v/>
      </c>
      <c r="D98" s="33">
        <f>IF($A98&gt;NYears*12,"",MOD($A98-1,12)+1)</f>
        <v/>
      </c>
      <c r="E98" s="35">
        <f>IF($A98&gt;NYears*12,"",LotValue0*(1+LotGrowth)^($C98-1))</f>
        <v/>
      </c>
      <c r="F98" s="35">
        <f>IF($A98&gt;NYears*12,"",IF($A98=1,InitInvest,$R97))</f>
        <v/>
      </c>
      <c r="G98" s="33">
        <f>IF($A98&gt;NYears*12,"",INT($F98/$E98))</f>
        <v/>
      </c>
      <c r="H98" s="35">
        <f>IF($A98&gt;NYears*12,"",$G98*$E98)</f>
        <v/>
      </c>
      <c r="I98" s="35">
        <f>IF($A98&gt;NYears*12,"",$F98-$H98)</f>
        <v/>
      </c>
      <c r="J98" s="35">
        <f>IF($A98&gt;NYears*12,"",$H98*RateA)</f>
        <v/>
      </c>
      <c r="K98" s="35">
        <f>IF($A98&gt;NYears*12,"",IF($D98=1,$J98,$K97+$J98))</f>
        <v/>
      </c>
      <c r="L98" s="35">
        <f>IF($A98&gt;NYears*12,"",IF(MOD($D98,3)=0,SUM($J96:$J98),0))</f>
        <v/>
      </c>
      <c r="M98" s="35">
        <f>IF($A98&gt;NYears*12,"",IF(TaxFreq="Quarterly",$K98*12/$D98,$K98))</f>
        <v/>
      </c>
      <c r="N98" s="36">
        <f>IF($A98&gt;NYears*12,"",LOOKUP($M98,TaxLower,TaxRate))</f>
        <v/>
      </c>
      <c r="O98" s="35">
        <f>IF($A98&gt;NYears*12,"",IF(TaxFreq="Quarterly",IF(MOD($D98,3)=0,$L98*$N98,0),IF($D98=12,$K98*$N98,0)))</f>
        <v/>
      </c>
      <c r="P98" s="35">
        <f>IF($A98&gt;NYears*12,"",IF($D98=1,$O98,$P97+$O98))</f>
        <v/>
      </c>
      <c r="Q98" s="35">
        <f>IF($A98&gt;NYears*12,"",IF($D98=12,MIN(WdrPct*IF(WdrBase="Post-tax profit",$K98-$P98,$K98),WdrCap),0))</f>
        <v/>
      </c>
      <c r="R98" s="35">
        <f>IF($A98&gt;NYears*12,"",$F98+$J98-$O98-$Q98)</f>
        <v/>
      </c>
      <c r="S98" s="33">
        <f>IF($A98&gt;NYears*12,"",INT($R98/$E98))</f>
        <v/>
      </c>
    </row>
    <row r="99">
      <c r="A99" s="33">
        <f>95</f>
        <v/>
      </c>
      <c r="B99" s="34">
        <f>IF($A99&gt;NYears*12,"",EDATE(StartMonth,$A99-1))</f>
        <v/>
      </c>
      <c r="C99" s="33">
        <f>IF($A99&gt;NYears*12,"",INT(($A99-1)/12)+1)</f>
        <v/>
      </c>
      <c r="D99" s="33">
        <f>IF($A99&gt;NYears*12,"",MOD($A99-1,12)+1)</f>
        <v/>
      </c>
      <c r="E99" s="35">
        <f>IF($A99&gt;NYears*12,"",LotValue0*(1+LotGrowth)^($C99-1))</f>
        <v/>
      </c>
      <c r="F99" s="35">
        <f>IF($A99&gt;NYears*12,"",IF($A99=1,InitInvest,$R98))</f>
        <v/>
      </c>
      <c r="G99" s="33">
        <f>IF($A99&gt;NYears*12,"",INT($F99/$E99))</f>
        <v/>
      </c>
      <c r="H99" s="35">
        <f>IF($A99&gt;NYears*12,"",$G99*$E99)</f>
        <v/>
      </c>
      <c r="I99" s="35">
        <f>IF($A99&gt;NYears*12,"",$F99-$H99)</f>
        <v/>
      </c>
      <c r="J99" s="35">
        <f>IF($A99&gt;NYears*12,"",$H99*RateA)</f>
        <v/>
      </c>
      <c r="K99" s="35">
        <f>IF($A99&gt;NYears*12,"",IF($D99=1,$J99,$K98+$J99))</f>
        <v/>
      </c>
      <c r="L99" s="35">
        <f>IF($A99&gt;NYears*12,"",IF(MOD($D99,3)=0,SUM($J97:$J99),0))</f>
        <v/>
      </c>
      <c r="M99" s="35">
        <f>IF($A99&gt;NYears*12,"",IF(TaxFreq="Quarterly",$K99*12/$D99,$K99))</f>
        <v/>
      </c>
      <c r="N99" s="36">
        <f>IF($A99&gt;NYears*12,"",LOOKUP($M99,TaxLower,TaxRate))</f>
        <v/>
      </c>
      <c r="O99" s="35">
        <f>IF($A99&gt;NYears*12,"",IF(TaxFreq="Quarterly",IF(MOD($D99,3)=0,$L99*$N99,0),IF($D99=12,$K99*$N99,0)))</f>
        <v/>
      </c>
      <c r="P99" s="35">
        <f>IF($A99&gt;NYears*12,"",IF($D99=1,$O99,$P98+$O99))</f>
        <v/>
      </c>
      <c r="Q99" s="35">
        <f>IF($A99&gt;NYears*12,"",IF($D99=12,MIN(WdrPct*IF(WdrBase="Post-tax profit",$K99-$P99,$K99),WdrCap),0))</f>
        <v/>
      </c>
      <c r="R99" s="35">
        <f>IF($A99&gt;NYears*12,"",$F99+$J99-$O99-$Q99)</f>
        <v/>
      </c>
      <c r="S99" s="33">
        <f>IF($A99&gt;NYears*12,"",INT($R99/$E99))</f>
        <v/>
      </c>
    </row>
    <row r="100">
      <c r="A100" s="37">
        <f>96</f>
        <v/>
      </c>
      <c r="B100" s="38">
        <f>IF($A100&gt;NYears*12,"",EDATE(StartMonth,$A100-1))</f>
        <v/>
      </c>
      <c r="C100" s="37">
        <f>IF($A100&gt;NYears*12,"",INT(($A100-1)/12)+1)</f>
        <v/>
      </c>
      <c r="D100" s="37">
        <f>IF($A100&gt;NYears*12,"",MOD($A100-1,12)+1)</f>
        <v/>
      </c>
      <c r="E100" s="39">
        <f>IF($A100&gt;NYears*12,"",LotValue0*(1+LotGrowth)^($C100-1))</f>
        <v/>
      </c>
      <c r="F100" s="39">
        <f>IF($A100&gt;NYears*12,"",IF($A100=1,InitInvest,$R99))</f>
        <v/>
      </c>
      <c r="G100" s="37">
        <f>IF($A100&gt;NYears*12,"",INT($F100/$E100))</f>
        <v/>
      </c>
      <c r="H100" s="39">
        <f>IF($A100&gt;NYears*12,"",$G100*$E100)</f>
        <v/>
      </c>
      <c r="I100" s="39">
        <f>IF($A100&gt;NYears*12,"",$F100-$H100)</f>
        <v/>
      </c>
      <c r="J100" s="39">
        <f>IF($A100&gt;NYears*12,"",$H100*RateA)</f>
        <v/>
      </c>
      <c r="K100" s="39">
        <f>IF($A100&gt;NYears*12,"",IF($D100=1,$J100,$K99+$J100))</f>
        <v/>
      </c>
      <c r="L100" s="39">
        <f>IF($A100&gt;NYears*12,"",IF(MOD($D100,3)=0,SUM($J98:$J100),0))</f>
        <v/>
      </c>
      <c r="M100" s="39">
        <f>IF($A100&gt;NYears*12,"",IF(TaxFreq="Quarterly",$K100*12/$D100,$K100))</f>
        <v/>
      </c>
      <c r="N100" s="40">
        <f>IF($A100&gt;NYears*12,"",LOOKUP($M100,TaxLower,TaxRate))</f>
        <v/>
      </c>
      <c r="O100" s="39">
        <f>IF($A100&gt;NYears*12,"",IF(TaxFreq="Quarterly",IF(MOD($D100,3)=0,$L100*$N100,0),IF($D100=12,$K100*$N100,0)))</f>
        <v/>
      </c>
      <c r="P100" s="39">
        <f>IF($A100&gt;NYears*12,"",IF($D100=1,$O100,$P99+$O100))</f>
        <v/>
      </c>
      <c r="Q100" s="39">
        <f>IF($A100&gt;NYears*12,"",IF($D100=12,MIN(WdrPct*IF(WdrBase="Post-tax profit",$K100-$P100,$K100),WdrCap),0))</f>
        <v/>
      </c>
      <c r="R100" s="39">
        <f>IF($A100&gt;NYears*12,"",$F100+$J100-$O100-$Q100)</f>
        <v/>
      </c>
      <c r="S100" s="37">
        <f>IF($A100&gt;NYears*12,"",INT($R100/$E100))</f>
        <v/>
      </c>
    </row>
    <row r="101">
      <c r="A101" s="33">
        <f>97</f>
        <v/>
      </c>
      <c r="B101" s="34">
        <f>IF($A101&gt;NYears*12,"",EDATE(StartMonth,$A101-1))</f>
        <v/>
      </c>
      <c r="C101" s="33">
        <f>IF($A101&gt;NYears*12,"",INT(($A101-1)/12)+1)</f>
        <v/>
      </c>
      <c r="D101" s="33">
        <f>IF($A101&gt;NYears*12,"",MOD($A101-1,12)+1)</f>
        <v/>
      </c>
      <c r="E101" s="35">
        <f>IF($A101&gt;NYears*12,"",LotValue0*(1+LotGrowth)^($C101-1))</f>
        <v/>
      </c>
      <c r="F101" s="35">
        <f>IF($A101&gt;NYears*12,"",IF($A101=1,InitInvest,$R100))</f>
        <v/>
      </c>
      <c r="G101" s="33">
        <f>IF($A101&gt;NYears*12,"",INT($F101/$E101))</f>
        <v/>
      </c>
      <c r="H101" s="35">
        <f>IF($A101&gt;NYears*12,"",$G101*$E101)</f>
        <v/>
      </c>
      <c r="I101" s="35">
        <f>IF($A101&gt;NYears*12,"",$F101-$H101)</f>
        <v/>
      </c>
      <c r="J101" s="35">
        <f>IF($A101&gt;NYears*12,"",$H101*RateA)</f>
        <v/>
      </c>
      <c r="K101" s="35">
        <f>IF($A101&gt;NYears*12,"",IF($D101=1,$J101,$K100+$J101))</f>
        <v/>
      </c>
      <c r="L101" s="35">
        <f>IF($A101&gt;NYears*12,"",IF(MOD($D101,3)=0,SUM($J99:$J101),0))</f>
        <v/>
      </c>
      <c r="M101" s="35">
        <f>IF($A101&gt;NYears*12,"",IF(TaxFreq="Quarterly",$K101*12/$D101,$K101))</f>
        <v/>
      </c>
      <c r="N101" s="36">
        <f>IF($A101&gt;NYears*12,"",LOOKUP($M101,TaxLower,TaxRate))</f>
        <v/>
      </c>
      <c r="O101" s="35">
        <f>IF($A101&gt;NYears*12,"",IF(TaxFreq="Quarterly",IF(MOD($D101,3)=0,$L101*$N101,0),IF($D101=12,$K101*$N101,0)))</f>
        <v/>
      </c>
      <c r="P101" s="35">
        <f>IF($A101&gt;NYears*12,"",IF($D101=1,$O101,$P100+$O101))</f>
        <v/>
      </c>
      <c r="Q101" s="35">
        <f>IF($A101&gt;NYears*12,"",IF($D101=12,MIN(WdrPct*IF(WdrBase="Post-tax profit",$K101-$P101,$K101),WdrCap),0))</f>
        <v/>
      </c>
      <c r="R101" s="35">
        <f>IF($A101&gt;NYears*12,"",$F101+$J101-$O101-$Q101)</f>
        <v/>
      </c>
      <c r="S101" s="33">
        <f>IF($A101&gt;NYears*12,"",INT($R101/$E101))</f>
        <v/>
      </c>
    </row>
    <row r="102">
      <c r="A102" s="33">
        <f>98</f>
        <v/>
      </c>
      <c r="B102" s="34">
        <f>IF($A102&gt;NYears*12,"",EDATE(StartMonth,$A102-1))</f>
        <v/>
      </c>
      <c r="C102" s="33">
        <f>IF($A102&gt;NYears*12,"",INT(($A102-1)/12)+1)</f>
        <v/>
      </c>
      <c r="D102" s="33">
        <f>IF($A102&gt;NYears*12,"",MOD($A102-1,12)+1)</f>
        <v/>
      </c>
      <c r="E102" s="35">
        <f>IF($A102&gt;NYears*12,"",LotValue0*(1+LotGrowth)^($C102-1))</f>
        <v/>
      </c>
      <c r="F102" s="35">
        <f>IF($A102&gt;NYears*12,"",IF($A102=1,InitInvest,$R101))</f>
        <v/>
      </c>
      <c r="G102" s="33">
        <f>IF($A102&gt;NYears*12,"",INT($F102/$E102))</f>
        <v/>
      </c>
      <c r="H102" s="35">
        <f>IF($A102&gt;NYears*12,"",$G102*$E102)</f>
        <v/>
      </c>
      <c r="I102" s="35">
        <f>IF($A102&gt;NYears*12,"",$F102-$H102)</f>
        <v/>
      </c>
      <c r="J102" s="35">
        <f>IF($A102&gt;NYears*12,"",$H102*RateA)</f>
        <v/>
      </c>
      <c r="K102" s="35">
        <f>IF($A102&gt;NYears*12,"",IF($D102=1,$J102,$K101+$J102))</f>
        <v/>
      </c>
      <c r="L102" s="35">
        <f>IF($A102&gt;NYears*12,"",IF(MOD($D102,3)=0,SUM($J100:$J102),0))</f>
        <v/>
      </c>
      <c r="M102" s="35">
        <f>IF($A102&gt;NYears*12,"",IF(TaxFreq="Quarterly",$K102*12/$D102,$K102))</f>
        <v/>
      </c>
      <c r="N102" s="36">
        <f>IF($A102&gt;NYears*12,"",LOOKUP($M102,TaxLower,TaxRate))</f>
        <v/>
      </c>
      <c r="O102" s="35">
        <f>IF($A102&gt;NYears*12,"",IF(TaxFreq="Quarterly",IF(MOD($D102,3)=0,$L102*$N102,0),IF($D102=12,$K102*$N102,0)))</f>
        <v/>
      </c>
      <c r="P102" s="35">
        <f>IF($A102&gt;NYears*12,"",IF($D102=1,$O102,$P101+$O102))</f>
        <v/>
      </c>
      <c r="Q102" s="35">
        <f>IF($A102&gt;NYears*12,"",IF($D102=12,MIN(WdrPct*IF(WdrBase="Post-tax profit",$K102-$P102,$K102),WdrCap),0))</f>
        <v/>
      </c>
      <c r="R102" s="35">
        <f>IF($A102&gt;NYears*12,"",$F102+$J102-$O102-$Q102)</f>
        <v/>
      </c>
      <c r="S102" s="33">
        <f>IF($A102&gt;NYears*12,"",INT($R102/$E102))</f>
        <v/>
      </c>
    </row>
    <row r="103">
      <c r="A103" s="33">
        <f>99</f>
        <v/>
      </c>
      <c r="B103" s="34">
        <f>IF($A103&gt;NYears*12,"",EDATE(StartMonth,$A103-1))</f>
        <v/>
      </c>
      <c r="C103" s="33">
        <f>IF($A103&gt;NYears*12,"",INT(($A103-1)/12)+1)</f>
        <v/>
      </c>
      <c r="D103" s="33">
        <f>IF($A103&gt;NYears*12,"",MOD($A103-1,12)+1)</f>
        <v/>
      </c>
      <c r="E103" s="35">
        <f>IF($A103&gt;NYears*12,"",LotValue0*(1+LotGrowth)^($C103-1))</f>
        <v/>
      </c>
      <c r="F103" s="35">
        <f>IF($A103&gt;NYears*12,"",IF($A103=1,InitInvest,$R102))</f>
        <v/>
      </c>
      <c r="G103" s="33">
        <f>IF($A103&gt;NYears*12,"",INT($F103/$E103))</f>
        <v/>
      </c>
      <c r="H103" s="35">
        <f>IF($A103&gt;NYears*12,"",$G103*$E103)</f>
        <v/>
      </c>
      <c r="I103" s="35">
        <f>IF($A103&gt;NYears*12,"",$F103-$H103)</f>
        <v/>
      </c>
      <c r="J103" s="35">
        <f>IF($A103&gt;NYears*12,"",$H103*RateA)</f>
        <v/>
      </c>
      <c r="K103" s="35">
        <f>IF($A103&gt;NYears*12,"",IF($D103=1,$J103,$K102+$J103))</f>
        <v/>
      </c>
      <c r="L103" s="35">
        <f>IF($A103&gt;NYears*12,"",IF(MOD($D103,3)=0,SUM($J101:$J103),0))</f>
        <v/>
      </c>
      <c r="M103" s="35">
        <f>IF($A103&gt;NYears*12,"",IF(TaxFreq="Quarterly",$K103*12/$D103,$K103))</f>
        <v/>
      </c>
      <c r="N103" s="36">
        <f>IF($A103&gt;NYears*12,"",LOOKUP($M103,TaxLower,TaxRate))</f>
        <v/>
      </c>
      <c r="O103" s="35">
        <f>IF($A103&gt;NYears*12,"",IF(TaxFreq="Quarterly",IF(MOD($D103,3)=0,$L103*$N103,0),IF($D103=12,$K103*$N103,0)))</f>
        <v/>
      </c>
      <c r="P103" s="35">
        <f>IF($A103&gt;NYears*12,"",IF($D103=1,$O103,$P102+$O103))</f>
        <v/>
      </c>
      <c r="Q103" s="35">
        <f>IF($A103&gt;NYears*12,"",IF($D103=12,MIN(WdrPct*IF(WdrBase="Post-tax profit",$K103-$P103,$K103),WdrCap),0))</f>
        <v/>
      </c>
      <c r="R103" s="35">
        <f>IF($A103&gt;NYears*12,"",$F103+$J103-$O103-$Q103)</f>
        <v/>
      </c>
      <c r="S103" s="33">
        <f>IF($A103&gt;NYears*12,"",INT($R103/$E103))</f>
        <v/>
      </c>
    </row>
    <row r="104">
      <c r="A104" s="33">
        <f>100</f>
        <v/>
      </c>
      <c r="B104" s="34">
        <f>IF($A104&gt;NYears*12,"",EDATE(StartMonth,$A104-1))</f>
        <v/>
      </c>
      <c r="C104" s="33">
        <f>IF($A104&gt;NYears*12,"",INT(($A104-1)/12)+1)</f>
        <v/>
      </c>
      <c r="D104" s="33">
        <f>IF($A104&gt;NYears*12,"",MOD($A104-1,12)+1)</f>
        <v/>
      </c>
      <c r="E104" s="35">
        <f>IF($A104&gt;NYears*12,"",LotValue0*(1+LotGrowth)^($C104-1))</f>
        <v/>
      </c>
      <c r="F104" s="35">
        <f>IF($A104&gt;NYears*12,"",IF($A104=1,InitInvest,$R103))</f>
        <v/>
      </c>
      <c r="G104" s="33">
        <f>IF($A104&gt;NYears*12,"",INT($F104/$E104))</f>
        <v/>
      </c>
      <c r="H104" s="35">
        <f>IF($A104&gt;NYears*12,"",$G104*$E104)</f>
        <v/>
      </c>
      <c r="I104" s="35">
        <f>IF($A104&gt;NYears*12,"",$F104-$H104)</f>
        <v/>
      </c>
      <c r="J104" s="35">
        <f>IF($A104&gt;NYears*12,"",$H104*RateA)</f>
        <v/>
      </c>
      <c r="K104" s="35">
        <f>IF($A104&gt;NYears*12,"",IF($D104=1,$J104,$K103+$J104))</f>
        <v/>
      </c>
      <c r="L104" s="35">
        <f>IF($A104&gt;NYears*12,"",IF(MOD($D104,3)=0,SUM($J102:$J104),0))</f>
        <v/>
      </c>
      <c r="M104" s="35">
        <f>IF($A104&gt;NYears*12,"",IF(TaxFreq="Quarterly",$K104*12/$D104,$K104))</f>
        <v/>
      </c>
      <c r="N104" s="36">
        <f>IF($A104&gt;NYears*12,"",LOOKUP($M104,TaxLower,TaxRate))</f>
        <v/>
      </c>
      <c r="O104" s="35">
        <f>IF($A104&gt;NYears*12,"",IF(TaxFreq="Quarterly",IF(MOD($D104,3)=0,$L104*$N104,0),IF($D104=12,$K104*$N104,0)))</f>
        <v/>
      </c>
      <c r="P104" s="35">
        <f>IF($A104&gt;NYears*12,"",IF($D104=1,$O104,$P103+$O104))</f>
        <v/>
      </c>
      <c r="Q104" s="35">
        <f>IF($A104&gt;NYears*12,"",IF($D104=12,MIN(WdrPct*IF(WdrBase="Post-tax profit",$K104-$P104,$K104),WdrCap),0))</f>
        <v/>
      </c>
      <c r="R104" s="35">
        <f>IF($A104&gt;NYears*12,"",$F104+$J104-$O104-$Q104)</f>
        <v/>
      </c>
      <c r="S104" s="33">
        <f>IF($A104&gt;NYears*12,"",INT($R104/$E104))</f>
        <v/>
      </c>
    </row>
    <row r="105">
      <c r="A105" s="33">
        <f>101</f>
        <v/>
      </c>
      <c r="B105" s="34">
        <f>IF($A105&gt;NYears*12,"",EDATE(StartMonth,$A105-1))</f>
        <v/>
      </c>
      <c r="C105" s="33">
        <f>IF($A105&gt;NYears*12,"",INT(($A105-1)/12)+1)</f>
        <v/>
      </c>
      <c r="D105" s="33">
        <f>IF($A105&gt;NYears*12,"",MOD($A105-1,12)+1)</f>
        <v/>
      </c>
      <c r="E105" s="35">
        <f>IF($A105&gt;NYears*12,"",LotValue0*(1+LotGrowth)^($C105-1))</f>
        <v/>
      </c>
      <c r="F105" s="35">
        <f>IF($A105&gt;NYears*12,"",IF($A105=1,InitInvest,$R104))</f>
        <v/>
      </c>
      <c r="G105" s="33">
        <f>IF($A105&gt;NYears*12,"",INT($F105/$E105))</f>
        <v/>
      </c>
      <c r="H105" s="35">
        <f>IF($A105&gt;NYears*12,"",$G105*$E105)</f>
        <v/>
      </c>
      <c r="I105" s="35">
        <f>IF($A105&gt;NYears*12,"",$F105-$H105)</f>
        <v/>
      </c>
      <c r="J105" s="35">
        <f>IF($A105&gt;NYears*12,"",$H105*RateA)</f>
        <v/>
      </c>
      <c r="K105" s="35">
        <f>IF($A105&gt;NYears*12,"",IF($D105=1,$J105,$K104+$J105))</f>
        <v/>
      </c>
      <c r="L105" s="35">
        <f>IF($A105&gt;NYears*12,"",IF(MOD($D105,3)=0,SUM($J103:$J105),0))</f>
        <v/>
      </c>
      <c r="M105" s="35">
        <f>IF($A105&gt;NYears*12,"",IF(TaxFreq="Quarterly",$K105*12/$D105,$K105))</f>
        <v/>
      </c>
      <c r="N105" s="36">
        <f>IF($A105&gt;NYears*12,"",LOOKUP($M105,TaxLower,TaxRate))</f>
        <v/>
      </c>
      <c r="O105" s="35">
        <f>IF($A105&gt;NYears*12,"",IF(TaxFreq="Quarterly",IF(MOD($D105,3)=0,$L105*$N105,0),IF($D105=12,$K105*$N105,0)))</f>
        <v/>
      </c>
      <c r="P105" s="35">
        <f>IF($A105&gt;NYears*12,"",IF($D105=1,$O105,$P104+$O105))</f>
        <v/>
      </c>
      <c r="Q105" s="35">
        <f>IF($A105&gt;NYears*12,"",IF($D105=12,MIN(WdrPct*IF(WdrBase="Post-tax profit",$K105-$P105,$K105),WdrCap),0))</f>
        <v/>
      </c>
      <c r="R105" s="35">
        <f>IF($A105&gt;NYears*12,"",$F105+$J105-$O105-$Q105)</f>
        <v/>
      </c>
      <c r="S105" s="33">
        <f>IF($A105&gt;NYears*12,"",INT($R105/$E105))</f>
        <v/>
      </c>
    </row>
    <row r="106">
      <c r="A106" s="33">
        <f>102</f>
        <v/>
      </c>
      <c r="B106" s="34">
        <f>IF($A106&gt;NYears*12,"",EDATE(StartMonth,$A106-1))</f>
        <v/>
      </c>
      <c r="C106" s="33">
        <f>IF($A106&gt;NYears*12,"",INT(($A106-1)/12)+1)</f>
        <v/>
      </c>
      <c r="D106" s="33">
        <f>IF($A106&gt;NYears*12,"",MOD($A106-1,12)+1)</f>
        <v/>
      </c>
      <c r="E106" s="35">
        <f>IF($A106&gt;NYears*12,"",LotValue0*(1+LotGrowth)^($C106-1))</f>
        <v/>
      </c>
      <c r="F106" s="35">
        <f>IF($A106&gt;NYears*12,"",IF($A106=1,InitInvest,$R105))</f>
        <v/>
      </c>
      <c r="G106" s="33">
        <f>IF($A106&gt;NYears*12,"",INT($F106/$E106))</f>
        <v/>
      </c>
      <c r="H106" s="35">
        <f>IF($A106&gt;NYears*12,"",$G106*$E106)</f>
        <v/>
      </c>
      <c r="I106" s="35">
        <f>IF($A106&gt;NYears*12,"",$F106-$H106)</f>
        <v/>
      </c>
      <c r="J106" s="35">
        <f>IF($A106&gt;NYears*12,"",$H106*RateA)</f>
        <v/>
      </c>
      <c r="K106" s="35">
        <f>IF($A106&gt;NYears*12,"",IF($D106=1,$J106,$K105+$J106))</f>
        <v/>
      </c>
      <c r="L106" s="35">
        <f>IF($A106&gt;NYears*12,"",IF(MOD($D106,3)=0,SUM($J104:$J106),0))</f>
        <v/>
      </c>
      <c r="M106" s="35">
        <f>IF($A106&gt;NYears*12,"",IF(TaxFreq="Quarterly",$K106*12/$D106,$K106))</f>
        <v/>
      </c>
      <c r="N106" s="36">
        <f>IF($A106&gt;NYears*12,"",LOOKUP($M106,TaxLower,TaxRate))</f>
        <v/>
      </c>
      <c r="O106" s="35">
        <f>IF($A106&gt;NYears*12,"",IF(TaxFreq="Quarterly",IF(MOD($D106,3)=0,$L106*$N106,0),IF($D106=12,$K106*$N106,0)))</f>
        <v/>
      </c>
      <c r="P106" s="35">
        <f>IF($A106&gt;NYears*12,"",IF($D106=1,$O106,$P105+$O106))</f>
        <v/>
      </c>
      <c r="Q106" s="35">
        <f>IF($A106&gt;NYears*12,"",IF($D106=12,MIN(WdrPct*IF(WdrBase="Post-tax profit",$K106-$P106,$K106),WdrCap),0))</f>
        <v/>
      </c>
      <c r="R106" s="35">
        <f>IF($A106&gt;NYears*12,"",$F106+$J106-$O106-$Q106)</f>
        <v/>
      </c>
      <c r="S106" s="33">
        <f>IF($A106&gt;NYears*12,"",INT($R106/$E106))</f>
        <v/>
      </c>
    </row>
    <row r="107">
      <c r="A107" s="33">
        <f>103</f>
        <v/>
      </c>
      <c r="B107" s="34">
        <f>IF($A107&gt;NYears*12,"",EDATE(StartMonth,$A107-1))</f>
        <v/>
      </c>
      <c r="C107" s="33">
        <f>IF($A107&gt;NYears*12,"",INT(($A107-1)/12)+1)</f>
        <v/>
      </c>
      <c r="D107" s="33">
        <f>IF($A107&gt;NYears*12,"",MOD($A107-1,12)+1)</f>
        <v/>
      </c>
      <c r="E107" s="35">
        <f>IF($A107&gt;NYears*12,"",LotValue0*(1+LotGrowth)^($C107-1))</f>
        <v/>
      </c>
      <c r="F107" s="35">
        <f>IF($A107&gt;NYears*12,"",IF($A107=1,InitInvest,$R106))</f>
        <v/>
      </c>
      <c r="G107" s="33">
        <f>IF($A107&gt;NYears*12,"",INT($F107/$E107))</f>
        <v/>
      </c>
      <c r="H107" s="35">
        <f>IF($A107&gt;NYears*12,"",$G107*$E107)</f>
        <v/>
      </c>
      <c r="I107" s="35">
        <f>IF($A107&gt;NYears*12,"",$F107-$H107)</f>
        <v/>
      </c>
      <c r="J107" s="35">
        <f>IF($A107&gt;NYears*12,"",$H107*RateA)</f>
        <v/>
      </c>
      <c r="K107" s="35">
        <f>IF($A107&gt;NYears*12,"",IF($D107=1,$J107,$K106+$J107))</f>
        <v/>
      </c>
      <c r="L107" s="35">
        <f>IF($A107&gt;NYears*12,"",IF(MOD($D107,3)=0,SUM($J105:$J107),0))</f>
        <v/>
      </c>
      <c r="M107" s="35">
        <f>IF($A107&gt;NYears*12,"",IF(TaxFreq="Quarterly",$K107*12/$D107,$K107))</f>
        <v/>
      </c>
      <c r="N107" s="36">
        <f>IF($A107&gt;NYears*12,"",LOOKUP($M107,TaxLower,TaxRate))</f>
        <v/>
      </c>
      <c r="O107" s="35">
        <f>IF($A107&gt;NYears*12,"",IF(TaxFreq="Quarterly",IF(MOD($D107,3)=0,$L107*$N107,0),IF($D107=12,$K107*$N107,0)))</f>
        <v/>
      </c>
      <c r="P107" s="35">
        <f>IF($A107&gt;NYears*12,"",IF($D107=1,$O107,$P106+$O107))</f>
        <v/>
      </c>
      <c r="Q107" s="35">
        <f>IF($A107&gt;NYears*12,"",IF($D107=12,MIN(WdrPct*IF(WdrBase="Post-tax profit",$K107-$P107,$K107),WdrCap),0))</f>
        <v/>
      </c>
      <c r="R107" s="35">
        <f>IF($A107&gt;NYears*12,"",$F107+$J107-$O107-$Q107)</f>
        <v/>
      </c>
      <c r="S107" s="33">
        <f>IF($A107&gt;NYears*12,"",INT($R107/$E107))</f>
        <v/>
      </c>
    </row>
    <row r="108">
      <c r="A108" s="33">
        <f>104</f>
        <v/>
      </c>
      <c r="B108" s="34">
        <f>IF($A108&gt;NYears*12,"",EDATE(StartMonth,$A108-1))</f>
        <v/>
      </c>
      <c r="C108" s="33">
        <f>IF($A108&gt;NYears*12,"",INT(($A108-1)/12)+1)</f>
        <v/>
      </c>
      <c r="D108" s="33">
        <f>IF($A108&gt;NYears*12,"",MOD($A108-1,12)+1)</f>
        <v/>
      </c>
      <c r="E108" s="35">
        <f>IF($A108&gt;NYears*12,"",LotValue0*(1+LotGrowth)^($C108-1))</f>
        <v/>
      </c>
      <c r="F108" s="35">
        <f>IF($A108&gt;NYears*12,"",IF($A108=1,InitInvest,$R107))</f>
        <v/>
      </c>
      <c r="G108" s="33">
        <f>IF($A108&gt;NYears*12,"",INT($F108/$E108))</f>
        <v/>
      </c>
      <c r="H108" s="35">
        <f>IF($A108&gt;NYears*12,"",$G108*$E108)</f>
        <v/>
      </c>
      <c r="I108" s="35">
        <f>IF($A108&gt;NYears*12,"",$F108-$H108)</f>
        <v/>
      </c>
      <c r="J108" s="35">
        <f>IF($A108&gt;NYears*12,"",$H108*RateA)</f>
        <v/>
      </c>
      <c r="K108" s="35">
        <f>IF($A108&gt;NYears*12,"",IF($D108=1,$J108,$K107+$J108))</f>
        <v/>
      </c>
      <c r="L108" s="35">
        <f>IF($A108&gt;NYears*12,"",IF(MOD($D108,3)=0,SUM($J106:$J108),0))</f>
        <v/>
      </c>
      <c r="M108" s="35">
        <f>IF($A108&gt;NYears*12,"",IF(TaxFreq="Quarterly",$K108*12/$D108,$K108))</f>
        <v/>
      </c>
      <c r="N108" s="36">
        <f>IF($A108&gt;NYears*12,"",LOOKUP($M108,TaxLower,TaxRate))</f>
        <v/>
      </c>
      <c r="O108" s="35">
        <f>IF($A108&gt;NYears*12,"",IF(TaxFreq="Quarterly",IF(MOD($D108,3)=0,$L108*$N108,0),IF($D108=12,$K108*$N108,0)))</f>
        <v/>
      </c>
      <c r="P108" s="35">
        <f>IF($A108&gt;NYears*12,"",IF($D108=1,$O108,$P107+$O108))</f>
        <v/>
      </c>
      <c r="Q108" s="35">
        <f>IF($A108&gt;NYears*12,"",IF($D108=12,MIN(WdrPct*IF(WdrBase="Post-tax profit",$K108-$P108,$K108),WdrCap),0))</f>
        <v/>
      </c>
      <c r="R108" s="35">
        <f>IF($A108&gt;NYears*12,"",$F108+$J108-$O108-$Q108)</f>
        <v/>
      </c>
      <c r="S108" s="33">
        <f>IF($A108&gt;NYears*12,"",INT($R108/$E108))</f>
        <v/>
      </c>
    </row>
    <row r="109">
      <c r="A109" s="33">
        <f>105</f>
        <v/>
      </c>
      <c r="B109" s="34">
        <f>IF($A109&gt;NYears*12,"",EDATE(StartMonth,$A109-1))</f>
        <v/>
      </c>
      <c r="C109" s="33">
        <f>IF($A109&gt;NYears*12,"",INT(($A109-1)/12)+1)</f>
        <v/>
      </c>
      <c r="D109" s="33">
        <f>IF($A109&gt;NYears*12,"",MOD($A109-1,12)+1)</f>
        <v/>
      </c>
      <c r="E109" s="35">
        <f>IF($A109&gt;NYears*12,"",LotValue0*(1+LotGrowth)^($C109-1))</f>
        <v/>
      </c>
      <c r="F109" s="35">
        <f>IF($A109&gt;NYears*12,"",IF($A109=1,InitInvest,$R108))</f>
        <v/>
      </c>
      <c r="G109" s="33">
        <f>IF($A109&gt;NYears*12,"",INT($F109/$E109))</f>
        <v/>
      </c>
      <c r="H109" s="35">
        <f>IF($A109&gt;NYears*12,"",$G109*$E109)</f>
        <v/>
      </c>
      <c r="I109" s="35">
        <f>IF($A109&gt;NYears*12,"",$F109-$H109)</f>
        <v/>
      </c>
      <c r="J109" s="35">
        <f>IF($A109&gt;NYears*12,"",$H109*RateA)</f>
        <v/>
      </c>
      <c r="K109" s="35">
        <f>IF($A109&gt;NYears*12,"",IF($D109=1,$J109,$K108+$J109))</f>
        <v/>
      </c>
      <c r="L109" s="35">
        <f>IF($A109&gt;NYears*12,"",IF(MOD($D109,3)=0,SUM($J107:$J109),0))</f>
        <v/>
      </c>
      <c r="M109" s="35">
        <f>IF($A109&gt;NYears*12,"",IF(TaxFreq="Quarterly",$K109*12/$D109,$K109))</f>
        <v/>
      </c>
      <c r="N109" s="36">
        <f>IF($A109&gt;NYears*12,"",LOOKUP($M109,TaxLower,TaxRate))</f>
        <v/>
      </c>
      <c r="O109" s="35">
        <f>IF($A109&gt;NYears*12,"",IF(TaxFreq="Quarterly",IF(MOD($D109,3)=0,$L109*$N109,0),IF($D109=12,$K109*$N109,0)))</f>
        <v/>
      </c>
      <c r="P109" s="35">
        <f>IF($A109&gt;NYears*12,"",IF($D109=1,$O109,$P108+$O109))</f>
        <v/>
      </c>
      <c r="Q109" s="35">
        <f>IF($A109&gt;NYears*12,"",IF($D109=12,MIN(WdrPct*IF(WdrBase="Post-tax profit",$K109-$P109,$K109),WdrCap),0))</f>
        <v/>
      </c>
      <c r="R109" s="35">
        <f>IF($A109&gt;NYears*12,"",$F109+$J109-$O109-$Q109)</f>
        <v/>
      </c>
      <c r="S109" s="33">
        <f>IF($A109&gt;NYears*12,"",INT($R109/$E109))</f>
        <v/>
      </c>
    </row>
    <row r="110">
      <c r="A110" s="33">
        <f>106</f>
        <v/>
      </c>
      <c r="B110" s="34">
        <f>IF($A110&gt;NYears*12,"",EDATE(StartMonth,$A110-1))</f>
        <v/>
      </c>
      <c r="C110" s="33">
        <f>IF($A110&gt;NYears*12,"",INT(($A110-1)/12)+1)</f>
        <v/>
      </c>
      <c r="D110" s="33">
        <f>IF($A110&gt;NYears*12,"",MOD($A110-1,12)+1)</f>
        <v/>
      </c>
      <c r="E110" s="35">
        <f>IF($A110&gt;NYears*12,"",LotValue0*(1+LotGrowth)^($C110-1))</f>
        <v/>
      </c>
      <c r="F110" s="35">
        <f>IF($A110&gt;NYears*12,"",IF($A110=1,InitInvest,$R109))</f>
        <v/>
      </c>
      <c r="G110" s="33">
        <f>IF($A110&gt;NYears*12,"",INT($F110/$E110))</f>
        <v/>
      </c>
      <c r="H110" s="35">
        <f>IF($A110&gt;NYears*12,"",$G110*$E110)</f>
        <v/>
      </c>
      <c r="I110" s="35">
        <f>IF($A110&gt;NYears*12,"",$F110-$H110)</f>
        <v/>
      </c>
      <c r="J110" s="35">
        <f>IF($A110&gt;NYears*12,"",$H110*RateA)</f>
        <v/>
      </c>
      <c r="K110" s="35">
        <f>IF($A110&gt;NYears*12,"",IF($D110=1,$J110,$K109+$J110))</f>
        <v/>
      </c>
      <c r="L110" s="35">
        <f>IF($A110&gt;NYears*12,"",IF(MOD($D110,3)=0,SUM($J108:$J110),0))</f>
        <v/>
      </c>
      <c r="M110" s="35">
        <f>IF($A110&gt;NYears*12,"",IF(TaxFreq="Quarterly",$K110*12/$D110,$K110))</f>
        <v/>
      </c>
      <c r="N110" s="36">
        <f>IF($A110&gt;NYears*12,"",LOOKUP($M110,TaxLower,TaxRate))</f>
        <v/>
      </c>
      <c r="O110" s="35">
        <f>IF($A110&gt;NYears*12,"",IF(TaxFreq="Quarterly",IF(MOD($D110,3)=0,$L110*$N110,0),IF($D110=12,$K110*$N110,0)))</f>
        <v/>
      </c>
      <c r="P110" s="35">
        <f>IF($A110&gt;NYears*12,"",IF($D110=1,$O110,$P109+$O110))</f>
        <v/>
      </c>
      <c r="Q110" s="35">
        <f>IF($A110&gt;NYears*12,"",IF($D110=12,MIN(WdrPct*IF(WdrBase="Post-tax profit",$K110-$P110,$K110),WdrCap),0))</f>
        <v/>
      </c>
      <c r="R110" s="35">
        <f>IF($A110&gt;NYears*12,"",$F110+$J110-$O110-$Q110)</f>
        <v/>
      </c>
      <c r="S110" s="33">
        <f>IF($A110&gt;NYears*12,"",INT($R110/$E110))</f>
        <v/>
      </c>
    </row>
    <row r="111">
      <c r="A111" s="33">
        <f>107</f>
        <v/>
      </c>
      <c r="B111" s="34">
        <f>IF($A111&gt;NYears*12,"",EDATE(StartMonth,$A111-1))</f>
        <v/>
      </c>
      <c r="C111" s="33">
        <f>IF($A111&gt;NYears*12,"",INT(($A111-1)/12)+1)</f>
        <v/>
      </c>
      <c r="D111" s="33">
        <f>IF($A111&gt;NYears*12,"",MOD($A111-1,12)+1)</f>
        <v/>
      </c>
      <c r="E111" s="35">
        <f>IF($A111&gt;NYears*12,"",LotValue0*(1+LotGrowth)^($C111-1))</f>
        <v/>
      </c>
      <c r="F111" s="35">
        <f>IF($A111&gt;NYears*12,"",IF($A111=1,InitInvest,$R110))</f>
        <v/>
      </c>
      <c r="G111" s="33">
        <f>IF($A111&gt;NYears*12,"",INT($F111/$E111))</f>
        <v/>
      </c>
      <c r="H111" s="35">
        <f>IF($A111&gt;NYears*12,"",$G111*$E111)</f>
        <v/>
      </c>
      <c r="I111" s="35">
        <f>IF($A111&gt;NYears*12,"",$F111-$H111)</f>
        <v/>
      </c>
      <c r="J111" s="35">
        <f>IF($A111&gt;NYears*12,"",$H111*RateA)</f>
        <v/>
      </c>
      <c r="K111" s="35">
        <f>IF($A111&gt;NYears*12,"",IF($D111=1,$J111,$K110+$J111))</f>
        <v/>
      </c>
      <c r="L111" s="35">
        <f>IF($A111&gt;NYears*12,"",IF(MOD($D111,3)=0,SUM($J109:$J111),0))</f>
        <v/>
      </c>
      <c r="M111" s="35">
        <f>IF($A111&gt;NYears*12,"",IF(TaxFreq="Quarterly",$K111*12/$D111,$K111))</f>
        <v/>
      </c>
      <c r="N111" s="36">
        <f>IF($A111&gt;NYears*12,"",LOOKUP($M111,TaxLower,TaxRate))</f>
        <v/>
      </c>
      <c r="O111" s="35">
        <f>IF($A111&gt;NYears*12,"",IF(TaxFreq="Quarterly",IF(MOD($D111,3)=0,$L111*$N111,0),IF($D111=12,$K111*$N111,0)))</f>
        <v/>
      </c>
      <c r="P111" s="35">
        <f>IF($A111&gt;NYears*12,"",IF($D111=1,$O111,$P110+$O111))</f>
        <v/>
      </c>
      <c r="Q111" s="35">
        <f>IF($A111&gt;NYears*12,"",IF($D111=12,MIN(WdrPct*IF(WdrBase="Post-tax profit",$K111-$P111,$K111),WdrCap),0))</f>
        <v/>
      </c>
      <c r="R111" s="35">
        <f>IF($A111&gt;NYears*12,"",$F111+$J111-$O111-$Q111)</f>
        <v/>
      </c>
      <c r="S111" s="33">
        <f>IF($A111&gt;NYears*12,"",INT($R111/$E111))</f>
        <v/>
      </c>
    </row>
    <row r="112">
      <c r="A112" s="37">
        <f>108</f>
        <v/>
      </c>
      <c r="B112" s="38">
        <f>IF($A112&gt;NYears*12,"",EDATE(StartMonth,$A112-1))</f>
        <v/>
      </c>
      <c r="C112" s="37">
        <f>IF($A112&gt;NYears*12,"",INT(($A112-1)/12)+1)</f>
        <v/>
      </c>
      <c r="D112" s="37">
        <f>IF($A112&gt;NYears*12,"",MOD($A112-1,12)+1)</f>
        <v/>
      </c>
      <c r="E112" s="39">
        <f>IF($A112&gt;NYears*12,"",LotValue0*(1+LotGrowth)^($C112-1))</f>
        <v/>
      </c>
      <c r="F112" s="39">
        <f>IF($A112&gt;NYears*12,"",IF($A112=1,InitInvest,$R111))</f>
        <v/>
      </c>
      <c r="G112" s="37">
        <f>IF($A112&gt;NYears*12,"",INT($F112/$E112))</f>
        <v/>
      </c>
      <c r="H112" s="39">
        <f>IF($A112&gt;NYears*12,"",$G112*$E112)</f>
        <v/>
      </c>
      <c r="I112" s="39">
        <f>IF($A112&gt;NYears*12,"",$F112-$H112)</f>
        <v/>
      </c>
      <c r="J112" s="39">
        <f>IF($A112&gt;NYears*12,"",$H112*RateA)</f>
        <v/>
      </c>
      <c r="K112" s="39">
        <f>IF($A112&gt;NYears*12,"",IF($D112=1,$J112,$K111+$J112))</f>
        <v/>
      </c>
      <c r="L112" s="39">
        <f>IF($A112&gt;NYears*12,"",IF(MOD($D112,3)=0,SUM($J110:$J112),0))</f>
        <v/>
      </c>
      <c r="M112" s="39">
        <f>IF($A112&gt;NYears*12,"",IF(TaxFreq="Quarterly",$K112*12/$D112,$K112))</f>
        <v/>
      </c>
      <c r="N112" s="40">
        <f>IF($A112&gt;NYears*12,"",LOOKUP($M112,TaxLower,TaxRate))</f>
        <v/>
      </c>
      <c r="O112" s="39">
        <f>IF($A112&gt;NYears*12,"",IF(TaxFreq="Quarterly",IF(MOD($D112,3)=0,$L112*$N112,0),IF($D112=12,$K112*$N112,0)))</f>
        <v/>
      </c>
      <c r="P112" s="39">
        <f>IF($A112&gt;NYears*12,"",IF($D112=1,$O112,$P111+$O112))</f>
        <v/>
      </c>
      <c r="Q112" s="39">
        <f>IF($A112&gt;NYears*12,"",IF($D112=12,MIN(WdrPct*IF(WdrBase="Post-tax profit",$K112-$P112,$K112),WdrCap),0))</f>
        <v/>
      </c>
      <c r="R112" s="39">
        <f>IF($A112&gt;NYears*12,"",$F112+$J112-$O112-$Q112)</f>
        <v/>
      </c>
      <c r="S112" s="37">
        <f>IF($A112&gt;NYears*12,"",INT($R112/$E112))</f>
        <v/>
      </c>
    </row>
    <row r="113">
      <c r="A113" s="33">
        <f>109</f>
        <v/>
      </c>
      <c r="B113" s="34">
        <f>IF($A113&gt;NYears*12,"",EDATE(StartMonth,$A113-1))</f>
        <v/>
      </c>
      <c r="C113" s="33">
        <f>IF($A113&gt;NYears*12,"",INT(($A113-1)/12)+1)</f>
        <v/>
      </c>
      <c r="D113" s="33">
        <f>IF($A113&gt;NYears*12,"",MOD($A113-1,12)+1)</f>
        <v/>
      </c>
      <c r="E113" s="35">
        <f>IF($A113&gt;NYears*12,"",LotValue0*(1+LotGrowth)^($C113-1))</f>
        <v/>
      </c>
      <c r="F113" s="35">
        <f>IF($A113&gt;NYears*12,"",IF($A113=1,InitInvest,$R112))</f>
        <v/>
      </c>
      <c r="G113" s="33">
        <f>IF($A113&gt;NYears*12,"",INT($F113/$E113))</f>
        <v/>
      </c>
      <c r="H113" s="35">
        <f>IF($A113&gt;NYears*12,"",$G113*$E113)</f>
        <v/>
      </c>
      <c r="I113" s="35">
        <f>IF($A113&gt;NYears*12,"",$F113-$H113)</f>
        <v/>
      </c>
      <c r="J113" s="35">
        <f>IF($A113&gt;NYears*12,"",$H113*RateA)</f>
        <v/>
      </c>
      <c r="K113" s="35">
        <f>IF($A113&gt;NYears*12,"",IF($D113=1,$J113,$K112+$J113))</f>
        <v/>
      </c>
      <c r="L113" s="35">
        <f>IF($A113&gt;NYears*12,"",IF(MOD($D113,3)=0,SUM($J111:$J113),0))</f>
        <v/>
      </c>
      <c r="M113" s="35">
        <f>IF($A113&gt;NYears*12,"",IF(TaxFreq="Quarterly",$K113*12/$D113,$K113))</f>
        <v/>
      </c>
      <c r="N113" s="36">
        <f>IF($A113&gt;NYears*12,"",LOOKUP($M113,TaxLower,TaxRate))</f>
        <v/>
      </c>
      <c r="O113" s="35">
        <f>IF($A113&gt;NYears*12,"",IF(TaxFreq="Quarterly",IF(MOD($D113,3)=0,$L113*$N113,0),IF($D113=12,$K113*$N113,0)))</f>
        <v/>
      </c>
      <c r="P113" s="35">
        <f>IF($A113&gt;NYears*12,"",IF($D113=1,$O113,$P112+$O113))</f>
        <v/>
      </c>
      <c r="Q113" s="35">
        <f>IF($A113&gt;NYears*12,"",IF($D113=12,MIN(WdrPct*IF(WdrBase="Post-tax profit",$K113-$P113,$K113),WdrCap),0))</f>
        <v/>
      </c>
      <c r="R113" s="35">
        <f>IF($A113&gt;NYears*12,"",$F113+$J113-$O113-$Q113)</f>
        <v/>
      </c>
      <c r="S113" s="33">
        <f>IF($A113&gt;NYears*12,"",INT($R113/$E113))</f>
        <v/>
      </c>
    </row>
    <row r="114">
      <c r="A114" s="33">
        <f>110</f>
        <v/>
      </c>
      <c r="B114" s="34">
        <f>IF($A114&gt;NYears*12,"",EDATE(StartMonth,$A114-1))</f>
        <v/>
      </c>
      <c r="C114" s="33">
        <f>IF($A114&gt;NYears*12,"",INT(($A114-1)/12)+1)</f>
        <v/>
      </c>
      <c r="D114" s="33">
        <f>IF($A114&gt;NYears*12,"",MOD($A114-1,12)+1)</f>
        <v/>
      </c>
      <c r="E114" s="35">
        <f>IF($A114&gt;NYears*12,"",LotValue0*(1+LotGrowth)^($C114-1))</f>
        <v/>
      </c>
      <c r="F114" s="35">
        <f>IF($A114&gt;NYears*12,"",IF($A114=1,InitInvest,$R113))</f>
        <v/>
      </c>
      <c r="G114" s="33">
        <f>IF($A114&gt;NYears*12,"",INT($F114/$E114))</f>
        <v/>
      </c>
      <c r="H114" s="35">
        <f>IF($A114&gt;NYears*12,"",$G114*$E114)</f>
        <v/>
      </c>
      <c r="I114" s="35">
        <f>IF($A114&gt;NYears*12,"",$F114-$H114)</f>
        <v/>
      </c>
      <c r="J114" s="35">
        <f>IF($A114&gt;NYears*12,"",$H114*RateA)</f>
        <v/>
      </c>
      <c r="K114" s="35">
        <f>IF($A114&gt;NYears*12,"",IF($D114=1,$J114,$K113+$J114))</f>
        <v/>
      </c>
      <c r="L114" s="35">
        <f>IF($A114&gt;NYears*12,"",IF(MOD($D114,3)=0,SUM($J112:$J114),0))</f>
        <v/>
      </c>
      <c r="M114" s="35">
        <f>IF($A114&gt;NYears*12,"",IF(TaxFreq="Quarterly",$K114*12/$D114,$K114))</f>
        <v/>
      </c>
      <c r="N114" s="36">
        <f>IF($A114&gt;NYears*12,"",LOOKUP($M114,TaxLower,TaxRate))</f>
        <v/>
      </c>
      <c r="O114" s="35">
        <f>IF($A114&gt;NYears*12,"",IF(TaxFreq="Quarterly",IF(MOD($D114,3)=0,$L114*$N114,0),IF($D114=12,$K114*$N114,0)))</f>
        <v/>
      </c>
      <c r="P114" s="35">
        <f>IF($A114&gt;NYears*12,"",IF($D114=1,$O114,$P113+$O114))</f>
        <v/>
      </c>
      <c r="Q114" s="35">
        <f>IF($A114&gt;NYears*12,"",IF($D114=12,MIN(WdrPct*IF(WdrBase="Post-tax profit",$K114-$P114,$K114),WdrCap),0))</f>
        <v/>
      </c>
      <c r="R114" s="35">
        <f>IF($A114&gt;NYears*12,"",$F114+$J114-$O114-$Q114)</f>
        <v/>
      </c>
      <c r="S114" s="33">
        <f>IF($A114&gt;NYears*12,"",INT($R114/$E114))</f>
        <v/>
      </c>
    </row>
    <row r="115">
      <c r="A115" s="33">
        <f>111</f>
        <v/>
      </c>
      <c r="B115" s="34">
        <f>IF($A115&gt;NYears*12,"",EDATE(StartMonth,$A115-1))</f>
        <v/>
      </c>
      <c r="C115" s="33">
        <f>IF($A115&gt;NYears*12,"",INT(($A115-1)/12)+1)</f>
        <v/>
      </c>
      <c r="D115" s="33">
        <f>IF($A115&gt;NYears*12,"",MOD($A115-1,12)+1)</f>
        <v/>
      </c>
      <c r="E115" s="35">
        <f>IF($A115&gt;NYears*12,"",LotValue0*(1+LotGrowth)^($C115-1))</f>
        <v/>
      </c>
      <c r="F115" s="35">
        <f>IF($A115&gt;NYears*12,"",IF($A115=1,InitInvest,$R114))</f>
        <v/>
      </c>
      <c r="G115" s="33">
        <f>IF($A115&gt;NYears*12,"",INT($F115/$E115))</f>
        <v/>
      </c>
      <c r="H115" s="35">
        <f>IF($A115&gt;NYears*12,"",$G115*$E115)</f>
        <v/>
      </c>
      <c r="I115" s="35">
        <f>IF($A115&gt;NYears*12,"",$F115-$H115)</f>
        <v/>
      </c>
      <c r="J115" s="35">
        <f>IF($A115&gt;NYears*12,"",$H115*RateA)</f>
        <v/>
      </c>
      <c r="K115" s="35">
        <f>IF($A115&gt;NYears*12,"",IF($D115=1,$J115,$K114+$J115))</f>
        <v/>
      </c>
      <c r="L115" s="35">
        <f>IF($A115&gt;NYears*12,"",IF(MOD($D115,3)=0,SUM($J113:$J115),0))</f>
        <v/>
      </c>
      <c r="M115" s="35">
        <f>IF($A115&gt;NYears*12,"",IF(TaxFreq="Quarterly",$K115*12/$D115,$K115))</f>
        <v/>
      </c>
      <c r="N115" s="36">
        <f>IF($A115&gt;NYears*12,"",LOOKUP($M115,TaxLower,TaxRate))</f>
        <v/>
      </c>
      <c r="O115" s="35">
        <f>IF($A115&gt;NYears*12,"",IF(TaxFreq="Quarterly",IF(MOD($D115,3)=0,$L115*$N115,0),IF($D115=12,$K115*$N115,0)))</f>
        <v/>
      </c>
      <c r="P115" s="35">
        <f>IF($A115&gt;NYears*12,"",IF($D115=1,$O115,$P114+$O115))</f>
        <v/>
      </c>
      <c r="Q115" s="35">
        <f>IF($A115&gt;NYears*12,"",IF($D115=12,MIN(WdrPct*IF(WdrBase="Post-tax profit",$K115-$P115,$K115),WdrCap),0))</f>
        <v/>
      </c>
      <c r="R115" s="35">
        <f>IF($A115&gt;NYears*12,"",$F115+$J115-$O115-$Q115)</f>
        <v/>
      </c>
      <c r="S115" s="33">
        <f>IF($A115&gt;NYears*12,"",INT($R115/$E115))</f>
        <v/>
      </c>
    </row>
    <row r="116">
      <c r="A116" s="33">
        <f>112</f>
        <v/>
      </c>
      <c r="B116" s="34">
        <f>IF($A116&gt;NYears*12,"",EDATE(StartMonth,$A116-1))</f>
        <v/>
      </c>
      <c r="C116" s="33">
        <f>IF($A116&gt;NYears*12,"",INT(($A116-1)/12)+1)</f>
        <v/>
      </c>
      <c r="D116" s="33">
        <f>IF($A116&gt;NYears*12,"",MOD($A116-1,12)+1)</f>
        <v/>
      </c>
      <c r="E116" s="35">
        <f>IF($A116&gt;NYears*12,"",LotValue0*(1+LotGrowth)^($C116-1))</f>
        <v/>
      </c>
      <c r="F116" s="35">
        <f>IF($A116&gt;NYears*12,"",IF($A116=1,InitInvest,$R115))</f>
        <v/>
      </c>
      <c r="G116" s="33">
        <f>IF($A116&gt;NYears*12,"",INT($F116/$E116))</f>
        <v/>
      </c>
      <c r="H116" s="35">
        <f>IF($A116&gt;NYears*12,"",$G116*$E116)</f>
        <v/>
      </c>
      <c r="I116" s="35">
        <f>IF($A116&gt;NYears*12,"",$F116-$H116)</f>
        <v/>
      </c>
      <c r="J116" s="35">
        <f>IF($A116&gt;NYears*12,"",$H116*RateA)</f>
        <v/>
      </c>
      <c r="K116" s="35">
        <f>IF($A116&gt;NYears*12,"",IF($D116=1,$J116,$K115+$J116))</f>
        <v/>
      </c>
      <c r="L116" s="35">
        <f>IF($A116&gt;NYears*12,"",IF(MOD($D116,3)=0,SUM($J114:$J116),0))</f>
        <v/>
      </c>
      <c r="M116" s="35">
        <f>IF($A116&gt;NYears*12,"",IF(TaxFreq="Quarterly",$K116*12/$D116,$K116))</f>
        <v/>
      </c>
      <c r="N116" s="36">
        <f>IF($A116&gt;NYears*12,"",LOOKUP($M116,TaxLower,TaxRate))</f>
        <v/>
      </c>
      <c r="O116" s="35">
        <f>IF($A116&gt;NYears*12,"",IF(TaxFreq="Quarterly",IF(MOD($D116,3)=0,$L116*$N116,0),IF($D116=12,$K116*$N116,0)))</f>
        <v/>
      </c>
      <c r="P116" s="35">
        <f>IF($A116&gt;NYears*12,"",IF($D116=1,$O116,$P115+$O116))</f>
        <v/>
      </c>
      <c r="Q116" s="35">
        <f>IF($A116&gt;NYears*12,"",IF($D116=12,MIN(WdrPct*IF(WdrBase="Post-tax profit",$K116-$P116,$K116),WdrCap),0))</f>
        <v/>
      </c>
      <c r="R116" s="35">
        <f>IF($A116&gt;NYears*12,"",$F116+$J116-$O116-$Q116)</f>
        <v/>
      </c>
      <c r="S116" s="33">
        <f>IF($A116&gt;NYears*12,"",INT($R116/$E116))</f>
        <v/>
      </c>
    </row>
    <row r="117">
      <c r="A117" s="33">
        <f>113</f>
        <v/>
      </c>
      <c r="B117" s="34">
        <f>IF($A117&gt;NYears*12,"",EDATE(StartMonth,$A117-1))</f>
        <v/>
      </c>
      <c r="C117" s="33">
        <f>IF($A117&gt;NYears*12,"",INT(($A117-1)/12)+1)</f>
        <v/>
      </c>
      <c r="D117" s="33">
        <f>IF($A117&gt;NYears*12,"",MOD($A117-1,12)+1)</f>
        <v/>
      </c>
      <c r="E117" s="35">
        <f>IF($A117&gt;NYears*12,"",LotValue0*(1+LotGrowth)^($C117-1))</f>
        <v/>
      </c>
      <c r="F117" s="35">
        <f>IF($A117&gt;NYears*12,"",IF($A117=1,InitInvest,$R116))</f>
        <v/>
      </c>
      <c r="G117" s="33">
        <f>IF($A117&gt;NYears*12,"",INT($F117/$E117))</f>
        <v/>
      </c>
      <c r="H117" s="35">
        <f>IF($A117&gt;NYears*12,"",$G117*$E117)</f>
        <v/>
      </c>
      <c r="I117" s="35">
        <f>IF($A117&gt;NYears*12,"",$F117-$H117)</f>
        <v/>
      </c>
      <c r="J117" s="35">
        <f>IF($A117&gt;NYears*12,"",$H117*RateA)</f>
        <v/>
      </c>
      <c r="K117" s="35">
        <f>IF($A117&gt;NYears*12,"",IF($D117=1,$J117,$K116+$J117))</f>
        <v/>
      </c>
      <c r="L117" s="35">
        <f>IF($A117&gt;NYears*12,"",IF(MOD($D117,3)=0,SUM($J115:$J117),0))</f>
        <v/>
      </c>
      <c r="M117" s="35">
        <f>IF($A117&gt;NYears*12,"",IF(TaxFreq="Quarterly",$K117*12/$D117,$K117))</f>
        <v/>
      </c>
      <c r="N117" s="36">
        <f>IF($A117&gt;NYears*12,"",LOOKUP($M117,TaxLower,TaxRate))</f>
        <v/>
      </c>
      <c r="O117" s="35">
        <f>IF($A117&gt;NYears*12,"",IF(TaxFreq="Quarterly",IF(MOD($D117,3)=0,$L117*$N117,0),IF($D117=12,$K117*$N117,0)))</f>
        <v/>
      </c>
      <c r="P117" s="35">
        <f>IF($A117&gt;NYears*12,"",IF($D117=1,$O117,$P116+$O117))</f>
        <v/>
      </c>
      <c r="Q117" s="35">
        <f>IF($A117&gt;NYears*12,"",IF($D117=12,MIN(WdrPct*IF(WdrBase="Post-tax profit",$K117-$P117,$K117),WdrCap),0))</f>
        <v/>
      </c>
      <c r="R117" s="35">
        <f>IF($A117&gt;NYears*12,"",$F117+$J117-$O117-$Q117)</f>
        <v/>
      </c>
      <c r="S117" s="33">
        <f>IF($A117&gt;NYears*12,"",INT($R117/$E117))</f>
        <v/>
      </c>
    </row>
    <row r="118">
      <c r="A118" s="33">
        <f>114</f>
        <v/>
      </c>
      <c r="B118" s="34">
        <f>IF($A118&gt;NYears*12,"",EDATE(StartMonth,$A118-1))</f>
        <v/>
      </c>
      <c r="C118" s="33">
        <f>IF($A118&gt;NYears*12,"",INT(($A118-1)/12)+1)</f>
        <v/>
      </c>
      <c r="D118" s="33">
        <f>IF($A118&gt;NYears*12,"",MOD($A118-1,12)+1)</f>
        <v/>
      </c>
      <c r="E118" s="35">
        <f>IF($A118&gt;NYears*12,"",LotValue0*(1+LotGrowth)^($C118-1))</f>
        <v/>
      </c>
      <c r="F118" s="35">
        <f>IF($A118&gt;NYears*12,"",IF($A118=1,InitInvest,$R117))</f>
        <v/>
      </c>
      <c r="G118" s="33">
        <f>IF($A118&gt;NYears*12,"",INT($F118/$E118))</f>
        <v/>
      </c>
      <c r="H118" s="35">
        <f>IF($A118&gt;NYears*12,"",$G118*$E118)</f>
        <v/>
      </c>
      <c r="I118" s="35">
        <f>IF($A118&gt;NYears*12,"",$F118-$H118)</f>
        <v/>
      </c>
      <c r="J118" s="35">
        <f>IF($A118&gt;NYears*12,"",$H118*RateA)</f>
        <v/>
      </c>
      <c r="K118" s="35">
        <f>IF($A118&gt;NYears*12,"",IF($D118=1,$J118,$K117+$J118))</f>
        <v/>
      </c>
      <c r="L118" s="35">
        <f>IF($A118&gt;NYears*12,"",IF(MOD($D118,3)=0,SUM($J116:$J118),0))</f>
        <v/>
      </c>
      <c r="M118" s="35">
        <f>IF($A118&gt;NYears*12,"",IF(TaxFreq="Quarterly",$K118*12/$D118,$K118))</f>
        <v/>
      </c>
      <c r="N118" s="36">
        <f>IF($A118&gt;NYears*12,"",LOOKUP($M118,TaxLower,TaxRate))</f>
        <v/>
      </c>
      <c r="O118" s="35">
        <f>IF($A118&gt;NYears*12,"",IF(TaxFreq="Quarterly",IF(MOD($D118,3)=0,$L118*$N118,0),IF($D118=12,$K118*$N118,0)))</f>
        <v/>
      </c>
      <c r="P118" s="35">
        <f>IF($A118&gt;NYears*12,"",IF($D118=1,$O118,$P117+$O118))</f>
        <v/>
      </c>
      <c r="Q118" s="35">
        <f>IF($A118&gt;NYears*12,"",IF($D118=12,MIN(WdrPct*IF(WdrBase="Post-tax profit",$K118-$P118,$K118),WdrCap),0))</f>
        <v/>
      </c>
      <c r="R118" s="35">
        <f>IF($A118&gt;NYears*12,"",$F118+$J118-$O118-$Q118)</f>
        <v/>
      </c>
      <c r="S118" s="33">
        <f>IF($A118&gt;NYears*12,"",INT($R118/$E118))</f>
        <v/>
      </c>
    </row>
    <row r="119">
      <c r="A119" s="33">
        <f>115</f>
        <v/>
      </c>
      <c r="B119" s="34">
        <f>IF($A119&gt;NYears*12,"",EDATE(StartMonth,$A119-1))</f>
        <v/>
      </c>
      <c r="C119" s="33">
        <f>IF($A119&gt;NYears*12,"",INT(($A119-1)/12)+1)</f>
        <v/>
      </c>
      <c r="D119" s="33">
        <f>IF($A119&gt;NYears*12,"",MOD($A119-1,12)+1)</f>
        <v/>
      </c>
      <c r="E119" s="35">
        <f>IF($A119&gt;NYears*12,"",LotValue0*(1+LotGrowth)^($C119-1))</f>
        <v/>
      </c>
      <c r="F119" s="35">
        <f>IF($A119&gt;NYears*12,"",IF($A119=1,InitInvest,$R118))</f>
        <v/>
      </c>
      <c r="G119" s="33">
        <f>IF($A119&gt;NYears*12,"",INT($F119/$E119))</f>
        <v/>
      </c>
      <c r="H119" s="35">
        <f>IF($A119&gt;NYears*12,"",$G119*$E119)</f>
        <v/>
      </c>
      <c r="I119" s="35">
        <f>IF($A119&gt;NYears*12,"",$F119-$H119)</f>
        <v/>
      </c>
      <c r="J119" s="35">
        <f>IF($A119&gt;NYears*12,"",$H119*RateA)</f>
        <v/>
      </c>
      <c r="K119" s="35">
        <f>IF($A119&gt;NYears*12,"",IF($D119=1,$J119,$K118+$J119))</f>
        <v/>
      </c>
      <c r="L119" s="35">
        <f>IF($A119&gt;NYears*12,"",IF(MOD($D119,3)=0,SUM($J117:$J119),0))</f>
        <v/>
      </c>
      <c r="M119" s="35">
        <f>IF($A119&gt;NYears*12,"",IF(TaxFreq="Quarterly",$K119*12/$D119,$K119))</f>
        <v/>
      </c>
      <c r="N119" s="36">
        <f>IF($A119&gt;NYears*12,"",LOOKUP($M119,TaxLower,TaxRate))</f>
        <v/>
      </c>
      <c r="O119" s="35">
        <f>IF($A119&gt;NYears*12,"",IF(TaxFreq="Quarterly",IF(MOD($D119,3)=0,$L119*$N119,0),IF($D119=12,$K119*$N119,0)))</f>
        <v/>
      </c>
      <c r="P119" s="35">
        <f>IF($A119&gt;NYears*12,"",IF($D119=1,$O119,$P118+$O119))</f>
        <v/>
      </c>
      <c r="Q119" s="35">
        <f>IF($A119&gt;NYears*12,"",IF($D119=12,MIN(WdrPct*IF(WdrBase="Post-tax profit",$K119-$P119,$K119),WdrCap),0))</f>
        <v/>
      </c>
      <c r="R119" s="35">
        <f>IF($A119&gt;NYears*12,"",$F119+$J119-$O119-$Q119)</f>
        <v/>
      </c>
      <c r="S119" s="33">
        <f>IF($A119&gt;NYears*12,"",INT($R119/$E119))</f>
        <v/>
      </c>
    </row>
    <row r="120">
      <c r="A120" s="33">
        <f>116</f>
        <v/>
      </c>
      <c r="B120" s="34">
        <f>IF($A120&gt;NYears*12,"",EDATE(StartMonth,$A120-1))</f>
        <v/>
      </c>
      <c r="C120" s="33">
        <f>IF($A120&gt;NYears*12,"",INT(($A120-1)/12)+1)</f>
        <v/>
      </c>
      <c r="D120" s="33">
        <f>IF($A120&gt;NYears*12,"",MOD($A120-1,12)+1)</f>
        <v/>
      </c>
      <c r="E120" s="35">
        <f>IF($A120&gt;NYears*12,"",LotValue0*(1+LotGrowth)^($C120-1))</f>
        <v/>
      </c>
      <c r="F120" s="35">
        <f>IF($A120&gt;NYears*12,"",IF($A120=1,InitInvest,$R119))</f>
        <v/>
      </c>
      <c r="G120" s="33">
        <f>IF($A120&gt;NYears*12,"",INT($F120/$E120))</f>
        <v/>
      </c>
      <c r="H120" s="35">
        <f>IF($A120&gt;NYears*12,"",$G120*$E120)</f>
        <v/>
      </c>
      <c r="I120" s="35">
        <f>IF($A120&gt;NYears*12,"",$F120-$H120)</f>
        <v/>
      </c>
      <c r="J120" s="35">
        <f>IF($A120&gt;NYears*12,"",$H120*RateA)</f>
        <v/>
      </c>
      <c r="K120" s="35">
        <f>IF($A120&gt;NYears*12,"",IF($D120=1,$J120,$K119+$J120))</f>
        <v/>
      </c>
      <c r="L120" s="35">
        <f>IF($A120&gt;NYears*12,"",IF(MOD($D120,3)=0,SUM($J118:$J120),0))</f>
        <v/>
      </c>
      <c r="M120" s="35">
        <f>IF($A120&gt;NYears*12,"",IF(TaxFreq="Quarterly",$K120*12/$D120,$K120))</f>
        <v/>
      </c>
      <c r="N120" s="36">
        <f>IF($A120&gt;NYears*12,"",LOOKUP($M120,TaxLower,TaxRate))</f>
        <v/>
      </c>
      <c r="O120" s="35">
        <f>IF($A120&gt;NYears*12,"",IF(TaxFreq="Quarterly",IF(MOD($D120,3)=0,$L120*$N120,0),IF($D120=12,$K120*$N120,0)))</f>
        <v/>
      </c>
      <c r="P120" s="35">
        <f>IF($A120&gt;NYears*12,"",IF($D120=1,$O120,$P119+$O120))</f>
        <v/>
      </c>
      <c r="Q120" s="35">
        <f>IF($A120&gt;NYears*12,"",IF($D120=12,MIN(WdrPct*IF(WdrBase="Post-tax profit",$K120-$P120,$K120),WdrCap),0))</f>
        <v/>
      </c>
      <c r="R120" s="35">
        <f>IF($A120&gt;NYears*12,"",$F120+$J120-$O120-$Q120)</f>
        <v/>
      </c>
      <c r="S120" s="33">
        <f>IF($A120&gt;NYears*12,"",INT($R120/$E120))</f>
        <v/>
      </c>
    </row>
    <row r="121">
      <c r="A121" s="33">
        <f>117</f>
        <v/>
      </c>
      <c r="B121" s="34">
        <f>IF($A121&gt;NYears*12,"",EDATE(StartMonth,$A121-1))</f>
        <v/>
      </c>
      <c r="C121" s="33">
        <f>IF($A121&gt;NYears*12,"",INT(($A121-1)/12)+1)</f>
        <v/>
      </c>
      <c r="D121" s="33">
        <f>IF($A121&gt;NYears*12,"",MOD($A121-1,12)+1)</f>
        <v/>
      </c>
      <c r="E121" s="35">
        <f>IF($A121&gt;NYears*12,"",LotValue0*(1+LotGrowth)^($C121-1))</f>
        <v/>
      </c>
      <c r="F121" s="35">
        <f>IF($A121&gt;NYears*12,"",IF($A121=1,InitInvest,$R120))</f>
        <v/>
      </c>
      <c r="G121" s="33">
        <f>IF($A121&gt;NYears*12,"",INT($F121/$E121))</f>
        <v/>
      </c>
      <c r="H121" s="35">
        <f>IF($A121&gt;NYears*12,"",$G121*$E121)</f>
        <v/>
      </c>
      <c r="I121" s="35">
        <f>IF($A121&gt;NYears*12,"",$F121-$H121)</f>
        <v/>
      </c>
      <c r="J121" s="35">
        <f>IF($A121&gt;NYears*12,"",$H121*RateA)</f>
        <v/>
      </c>
      <c r="K121" s="35">
        <f>IF($A121&gt;NYears*12,"",IF($D121=1,$J121,$K120+$J121))</f>
        <v/>
      </c>
      <c r="L121" s="35">
        <f>IF($A121&gt;NYears*12,"",IF(MOD($D121,3)=0,SUM($J119:$J121),0))</f>
        <v/>
      </c>
      <c r="M121" s="35">
        <f>IF($A121&gt;NYears*12,"",IF(TaxFreq="Quarterly",$K121*12/$D121,$K121))</f>
        <v/>
      </c>
      <c r="N121" s="36">
        <f>IF($A121&gt;NYears*12,"",LOOKUP($M121,TaxLower,TaxRate))</f>
        <v/>
      </c>
      <c r="O121" s="35">
        <f>IF($A121&gt;NYears*12,"",IF(TaxFreq="Quarterly",IF(MOD($D121,3)=0,$L121*$N121,0),IF($D121=12,$K121*$N121,0)))</f>
        <v/>
      </c>
      <c r="P121" s="35">
        <f>IF($A121&gt;NYears*12,"",IF($D121=1,$O121,$P120+$O121))</f>
        <v/>
      </c>
      <c r="Q121" s="35">
        <f>IF($A121&gt;NYears*12,"",IF($D121=12,MIN(WdrPct*IF(WdrBase="Post-tax profit",$K121-$P121,$K121),WdrCap),0))</f>
        <v/>
      </c>
      <c r="R121" s="35">
        <f>IF($A121&gt;NYears*12,"",$F121+$J121-$O121-$Q121)</f>
        <v/>
      </c>
      <c r="S121" s="33">
        <f>IF($A121&gt;NYears*12,"",INT($R121/$E121))</f>
        <v/>
      </c>
    </row>
    <row r="122">
      <c r="A122" s="33">
        <f>118</f>
        <v/>
      </c>
      <c r="B122" s="34">
        <f>IF($A122&gt;NYears*12,"",EDATE(StartMonth,$A122-1))</f>
        <v/>
      </c>
      <c r="C122" s="33">
        <f>IF($A122&gt;NYears*12,"",INT(($A122-1)/12)+1)</f>
        <v/>
      </c>
      <c r="D122" s="33">
        <f>IF($A122&gt;NYears*12,"",MOD($A122-1,12)+1)</f>
        <v/>
      </c>
      <c r="E122" s="35">
        <f>IF($A122&gt;NYears*12,"",LotValue0*(1+LotGrowth)^($C122-1))</f>
        <v/>
      </c>
      <c r="F122" s="35">
        <f>IF($A122&gt;NYears*12,"",IF($A122=1,InitInvest,$R121))</f>
        <v/>
      </c>
      <c r="G122" s="33">
        <f>IF($A122&gt;NYears*12,"",INT($F122/$E122))</f>
        <v/>
      </c>
      <c r="H122" s="35">
        <f>IF($A122&gt;NYears*12,"",$G122*$E122)</f>
        <v/>
      </c>
      <c r="I122" s="35">
        <f>IF($A122&gt;NYears*12,"",$F122-$H122)</f>
        <v/>
      </c>
      <c r="J122" s="35">
        <f>IF($A122&gt;NYears*12,"",$H122*RateA)</f>
        <v/>
      </c>
      <c r="K122" s="35">
        <f>IF($A122&gt;NYears*12,"",IF($D122=1,$J122,$K121+$J122))</f>
        <v/>
      </c>
      <c r="L122" s="35">
        <f>IF($A122&gt;NYears*12,"",IF(MOD($D122,3)=0,SUM($J120:$J122),0))</f>
        <v/>
      </c>
      <c r="M122" s="35">
        <f>IF($A122&gt;NYears*12,"",IF(TaxFreq="Quarterly",$K122*12/$D122,$K122))</f>
        <v/>
      </c>
      <c r="N122" s="36">
        <f>IF($A122&gt;NYears*12,"",LOOKUP($M122,TaxLower,TaxRate))</f>
        <v/>
      </c>
      <c r="O122" s="35">
        <f>IF($A122&gt;NYears*12,"",IF(TaxFreq="Quarterly",IF(MOD($D122,3)=0,$L122*$N122,0),IF($D122=12,$K122*$N122,0)))</f>
        <v/>
      </c>
      <c r="P122" s="35">
        <f>IF($A122&gt;NYears*12,"",IF($D122=1,$O122,$P121+$O122))</f>
        <v/>
      </c>
      <c r="Q122" s="35">
        <f>IF($A122&gt;NYears*12,"",IF($D122=12,MIN(WdrPct*IF(WdrBase="Post-tax profit",$K122-$P122,$K122),WdrCap),0))</f>
        <v/>
      </c>
      <c r="R122" s="35">
        <f>IF($A122&gt;NYears*12,"",$F122+$J122-$O122-$Q122)</f>
        <v/>
      </c>
      <c r="S122" s="33">
        <f>IF($A122&gt;NYears*12,"",INT($R122/$E122))</f>
        <v/>
      </c>
    </row>
    <row r="123">
      <c r="A123" s="33">
        <f>119</f>
        <v/>
      </c>
      <c r="B123" s="34">
        <f>IF($A123&gt;NYears*12,"",EDATE(StartMonth,$A123-1))</f>
        <v/>
      </c>
      <c r="C123" s="33">
        <f>IF($A123&gt;NYears*12,"",INT(($A123-1)/12)+1)</f>
        <v/>
      </c>
      <c r="D123" s="33">
        <f>IF($A123&gt;NYears*12,"",MOD($A123-1,12)+1)</f>
        <v/>
      </c>
      <c r="E123" s="35">
        <f>IF($A123&gt;NYears*12,"",LotValue0*(1+LotGrowth)^($C123-1))</f>
        <v/>
      </c>
      <c r="F123" s="35">
        <f>IF($A123&gt;NYears*12,"",IF($A123=1,InitInvest,$R122))</f>
        <v/>
      </c>
      <c r="G123" s="33">
        <f>IF($A123&gt;NYears*12,"",INT($F123/$E123))</f>
        <v/>
      </c>
      <c r="H123" s="35">
        <f>IF($A123&gt;NYears*12,"",$G123*$E123)</f>
        <v/>
      </c>
      <c r="I123" s="35">
        <f>IF($A123&gt;NYears*12,"",$F123-$H123)</f>
        <v/>
      </c>
      <c r="J123" s="35">
        <f>IF($A123&gt;NYears*12,"",$H123*RateA)</f>
        <v/>
      </c>
      <c r="K123" s="35">
        <f>IF($A123&gt;NYears*12,"",IF($D123=1,$J123,$K122+$J123))</f>
        <v/>
      </c>
      <c r="L123" s="35">
        <f>IF($A123&gt;NYears*12,"",IF(MOD($D123,3)=0,SUM($J121:$J123),0))</f>
        <v/>
      </c>
      <c r="M123" s="35">
        <f>IF($A123&gt;NYears*12,"",IF(TaxFreq="Quarterly",$K123*12/$D123,$K123))</f>
        <v/>
      </c>
      <c r="N123" s="36">
        <f>IF($A123&gt;NYears*12,"",LOOKUP($M123,TaxLower,TaxRate))</f>
        <v/>
      </c>
      <c r="O123" s="35">
        <f>IF($A123&gt;NYears*12,"",IF(TaxFreq="Quarterly",IF(MOD($D123,3)=0,$L123*$N123,0),IF($D123=12,$K123*$N123,0)))</f>
        <v/>
      </c>
      <c r="P123" s="35">
        <f>IF($A123&gt;NYears*12,"",IF($D123=1,$O123,$P122+$O123))</f>
        <v/>
      </c>
      <c r="Q123" s="35">
        <f>IF($A123&gt;NYears*12,"",IF($D123=12,MIN(WdrPct*IF(WdrBase="Post-tax profit",$K123-$P123,$K123),WdrCap),0))</f>
        <v/>
      </c>
      <c r="R123" s="35">
        <f>IF($A123&gt;NYears*12,"",$F123+$J123-$O123-$Q123)</f>
        <v/>
      </c>
      <c r="S123" s="33">
        <f>IF($A123&gt;NYears*12,"",INT($R123/$E123))</f>
        <v/>
      </c>
    </row>
    <row r="124">
      <c r="A124" s="37">
        <f>120</f>
        <v/>
      </c>
      <c r="B124" s="38">
        <f>IF($A124&gt;NYears*12,"",EDATE(StartMonth,$A124-1))</f>
        <v/>
      </c>
      <c r="C124" s="37">
        <f>IF($A124&gt;NYears*12,"",INT(($A124-1)/12)+1)</f>
        <v/>
      </c>
      <c r="D124" s="37">
        <f>IF($A124&gt;NYears*12,"",MOD($A124-1,12)+1)</f>
        <v/>
      </c>
      <c r="E124" s="39">
        <f>IF($A124&gt;NYears*12,"",LotValue0*(1+LotGrowth)^($C124-1))</f>
        <v/>
      </c>
      <c r="F124" s="39">
        <f>IF($A124&gt;NYears*12,"",IF($A124=1,InitInvest,$R123))</f>
        <v/>
      </c>
      <c r="G124" s="37">
        <f>IF($A124&gt;NYears*12,"",INT($F124/$E124))</f>
        <v/>
      </c>
      <c r="H124" s="39">
        <f>IF($A124&gt;NYears*12,"",$G124*$E124)</f>
        <v/>
      </c>
      <c r="I124" s="39">
        <f>IF($A124&gt;NYears*12,"",$F124-$H124)</f>
        <v/>
      </c>
      <c r="J124" s="39">
        <f>IF($A124&gt;NYears*12,"",$H124*RateA)</f>
        <v/>
      </c>
      <c r="K124" s="39">
        <f>IF($A124&gt;NYears*12,"",IF($D124=1,$J124,$K123+$J124))</f>
        <v/>
      </c>
      <c r="L124" s="39">
        <f>IF($A124&gt;NYears*12,"",IF(MOD($D124,3)=0,SUM($J122:$J124),0))</f>
        <v/>
      </c>
      <c r="M124" s="39">
        <f>IF($A124&gt;NYears*12,"",IF(TaxFreq="Quarterly",$K124*12/$D124,$K124))</f>
        <v/>
      </c>
      <c r="N124" s="40">
        <f>IF($A124&gt;NYears*12,"",LOOKUP($M124,TaxLower,TaxRate))</f>
        <v/>
      </c>
      <c r="O124" s="39">
        <f>IF($A124&gt;NYears*12,"",IF(TaxFreq="Quarterly",IF(MOD($D124,3)=0,$L124*$N124,0),IF($D124=12,$K124*$N124,0)))</f>
        <v/>
      </c>
      <c r="P124" s="39">
        <f>IF($A124&gt;NYears*12,"",IF($D124=1,$O124,$P123+$O124))</f>
        <v/>
      </c>
      <c r="Q124" s="39">
        <f>IF($A124&gt;NYears*12,"",IF($D124=12,MIN(WdrPct*IF(WdrBase="Post-tax profit",$K124-$P124,$K124),WdrCap),0))</f>
        <v/>
      </c>
      <c r="R124" s="39">
        <f>IF($A124&gt;NYears*12,"",$F124+$J124-$O124-$Q124)</f>
        <v/>
      </c>
      <c r="S124" s="37">
        <f>IF($A124&gt;NYears*12,"",INT($R124/$E124))</f>
        <v/>
      </c>
    </row>
    <row r="125">
      <c r="A125" s="33">
        <f>121</f>
        <v/>
      </c>
      <c r="B125" s="34">
        <f>IF($A125&gt;NYears*12,"",EDATE(StartMonth,$A125-1))</f>
        <v/>
      </c>
      <c r="C125" s="33">
        <f>IF($A125&gt;NYears*12,"",INT(($A125-1)/12)+1)</f>
        <v/>
      </c>
      <c r="D125" s="33">
        <f>IF($A125&gt;NYears*12,"",MOD($A125-1,12)+1)</f>
        <v/>
      </c>
      <c r="E125" s="35">
        <f>IF($A125&gt;NYears*12,"",LotValue0*(1+LotGrowth)^($C125-1))</f>
        <v/>
      </c>
      <c r="F125" s="35">
        <f>IF($A125&gt;NYears*12,"",IF($A125=1,InitInvest,$R124))</f>
        <v/>
      </c>
      <c r="G125" s="33">
        <f>IF($A125&gt;NYears*12,"",INT($F125/$E125))</f>
        <v/>
      </c>
      <c r="H125" s="35">
        <f>IF($A125&gt;NYears*12,"",$G125*$E125)</f>
        <v/>
      </c>
      <c r="I125" s="35">
        <f>IF($A125&gt;NYears*12,"",$F125-$H125)</f>
        <v/>
      </c>
      <c r="J125" s="35">
        <f>IF($A125&gt;NYears*12,"",$H125*RateA)</f>
        <v/>
      </c>
      <c r="K125" s="35">
        <f>IF($A125&gt;NYears*12,"",IF($D125=1,$J125,$K124+$J125))</f>
        <v/>
      </c>
      <c r="L125" s="35">
        <f>IF($A125&gt;NYears*12,"",IF(MOD($D125,3)=0,SUM($J123:$J125),0))</f>
        <v/>
      </c>
      <c r="M125" s="35">
        <f>IF($A125&gt;NYears*12,"",IF(TaxFreq="Quarterly",$K125*12/$D125,$K125))</f>
        <v/>
      </c>
      <c r="N125" s="36">
        <f>IF($A125&gt;NYears*12,"",LOOKUP($M125,TaxLower,TaxRate))</f>
        <v/>
      </c>
      <c r="O125" s="35">
        <f>IF($A125&gt;NYears*12,"",IF(TaxFreq="Quarterly",IF(MOD($D125,3)=0,$L125*$N125,0),IF($D125=12,$K125*$N125,0)))</f>
        <v/>
      </c>
      <c r="P125" s="35">
        <f>IF($A125&gt;NYears*12,"",IF($D125=1,$O125,$P124+$O125))</f>
        <v/>
      </c>
      <c r="Q125" s="35">
        <f>IF($A125&gt;NYears*12,"",IF($D125=12,MIN(WdrPct*IF(WdrBase="Post-tax profit",$K125-$P125,$K125),WdrCap),0))</f>
        <v/>
      </c>
      <c r="R125" s="35">
        <f>IF($A125&gt;NYears*12,"",$F125+$J125-$O125-$Q125)</f>
        <v/>
      </c>
      <c r="S125" s="33">
        <f>IF($A125&gt;NYears*12,"",INT($R125/$E125))</f>
        <v/>
      </c>
    </row>
    <row r="126">
      <c r="A126" s="33">
        <f>122</f>
        <v/>
      </c>
      <c r="B126" s="34">
        <f>IF($A126&gt;NYears*12,"",EDATE(StartMonth,$A126-1))</f>
        <v/>
      </c>
      <c r="C126" s="33">
        <f>IF($A126&gt;NYears*12,"",INT(($A126-1)/12)+1)</f>
        <v/>
      </c>
      <c r="D126" s="33">
        <f>IF($A126&gt;NYears*12,"",MOD($A126-1,12)+1)</f>
        <v/>
      </c>
      <c r="E126" s="35">
        <f>IF($A126&gt;NYears*12,"",LotValue0*(1+LotGrowth)^($C126-1))</f>
        <v/>
      </c>
      <c r="F126" s="35">
        <f>IF($A126&gt;NYears*12,"",IF($A126=1,InitInvest,$R125))</f>
        <v/>
      </c>
      <c r="G126" s="33">
        <f>IF($A126&gt;NYears*12,"",INT($F126/$E126))</f>
        <v/>
      </c>
      <c r="H126" s="35">
        <f>IF($A126&gt;NYears*12,"",$G126*$E126)</f>
        <v/>
      </c>
      <c r="I126" s="35">
        <f>IF($A126&gt;NYears*12,"",$F126-$H126)</f>
        <v/>
      </c>
      <c r="J126" s="35">
        <f>IF($A126&gt;NYears*12,"",$H126*RateA)</f>
        <v/>
      </c>
      <c r="K126" s="35">
        <f>IF($A126&gt;NYears*12,"",IF($D126=1,$J126,$K125+$J126))</f>
        <v/>
      </c>
      <c r="L126" s="35">
        <f>IF($A126&gt;NYears*12,"",IF(MOD($D126,3)=0,SUM($J124:$J126),0))</f>
        <v/>
      </c>
      <c r="M126" s="35">
        <f>IF($A126&gt;NYears*12,"",IF(TaxFreq="Quarterly",$K126*12/$D126,$K126))</f>
        <v/>
      </c>
      <c r="N126" s="36">
        <f>IF($A126&gt;NYears*12,"",LOOKUP($M126,TaxLower,TaxRate))</f>
        <v/>
      </c>
      <c r="O126" s="35">
        <f>IF($A126&gt;NYears*12,"",IF(TaxFreq="Quarterly",IF(MOD($D126,3)=0,$L126*$N126,0),IF($D126=12,$K126*$N126,0)))</f>
        <v/>
      </c>
      <c r="P126" s="35">
        <f>IF($A126&gt;NYears*12,"",IF($D126=1,$O126,$P125+$O126))</f>
        <v/>
      </c>
      <c r="Q126" s="35">
        <f>IF($A126&gt;NYears*12,"",IF($D126=12,MIN(WdrPct*IF(WdrBase="Post-tax profit",$K126-$P126,$K126),WdrCap),0))</f>
        <v/>
      </c>
      <c r="R126" s="35">
        <f>IF($A126&gt;NYears*12,"",$F126+$J126-$O126-$Q126)</f>
        <v/>
      </c>
      <c r="S126" s="33">
        <f>IF($A126&gt;NYears*12,"",INT($R126/$E126))</f>
        <v/>
      </c>
    </row>
    <row r="127">
      <c r="A127" s="33">
        <f>123</f>
        <v/>
      </c>
      <c r="B127" s="34">
        <f>IF($A127&gt;NYears*12,"",EDATE(StartMonth,$A127-1))</f>
        <v/>
      </c>
      <c r="C127" s="33">
        <f>IF($A127&gt;NYears*12,"",INT(($A127-1)/12)+1)</f>
        <v/>
      </c>
      <c r="D127" s="33">
        <f>IF($A127&gt;NYears*12,"",MOD($A127-1,12)+1)</f>
        <v/>
      </c>
      <c r="E127" s="35">
        <f>IF($A127&gt;NYears*12,"",LotValue0*(1+LotGrowth)^($C127-1))</f>
        <v/>
      </c>
      <c r="F127" s="35">
        <f>IF($A127&gt;NYears*12,"",IF($A127=1,InitInvest,$R126))</f>
        <v/>
      </c>
      <c r="G127" s="33">
        <f>IF($A127&gt;NYears*12,"",INT($F127/$E127))</f>
        <v/>
      </c>
      <c r="H127" s="35">
        <f>IF($A127&gt;NYears*12,"",$G127*$E127)</f>
        <v/>
      </c>
      <c r="I127" s="35">
        <f>IF($A127&gt;NYears*12,"",$F127-$H127)</f>
        <v/>
      </c>
      <c r="J127" s="35">
        <f>IF($A127&gt;NYears*12,"",$H127*RateA)</f>
        <v/>
      </c>
      <c r="K127" s="35">
        <f>IF($A127&gt;NYears*12,"",IF($D127=1,$J127,$K126+$J127))</f>
        <v/>
      </c>
      <c r="L127" s="35">
        <f>IF($A127&gt;NYears*12,"",IF(MOD($D127,3)=0,SUM($J125:$J127),0))</f>
        <v/>
      </c>
      <c r="M127" s="35">
        <f>IF($A127&gt;NYears*12,"",IF(TaxFreq="Quarterly",$K127*12/$D127,$K127))</f>
        <v/>
      </c>
      <c r="N127" s="36">
        <f>IF($A127&gt;NYears*12,"",LOOKUP($M127,TaxLower,TaxRate))</f>
        <v/>
      </c>
      <c r="O127" s="35">
        <f>IF($A127&gt;NYears*12,"",IF(TaxFreq="Quarterly",IF(MOD($D127,3)=0,$L127*$N127,0),IF($D127=12,$K127*$N127,0)))</f>
        <v/>
      </c>
      <c r="P127" s="35">
        <f>IF($A127&gt;NYears*12,"",IF($D127=1,$O127,$P126+$O127))</f>
        <v/>
      </c>
      <c r="Q127" s="35">
        <f>IF($A127&gt;NYears*12,"",IF($D127=12,MIN(WdrPct*IF(WdrBase="Post-tax profit",$K127-$P127,$K127),WdrCap),0))</f>
        <v/>
      </c>
      <c r="R127" s="35">
        <f>IF($A127&gt;NYears*12,"",$F127+$J127-$O127-$Q127)</f>
        <v/>
      </c>
      <c r="S127" s="33">
        <f>IF($A127&gt;NYears*12,"",INT($R127/$E127))</f>
        <v/>
      </c>
    </row>
    <row r="128">
      <c r="A128" s="33">
        <f>124</f>
        <v/>
      </c>
      <c r="B128" s="34">
        <f>IF($A128&gt;NYears*12,"",EDATE(StartMonth,$A128-1))</f>
        <v/>
      </c>
      <c r="C128" s="33">
        <f>IF($A128&gt;NYears*12,"",INT(($A128-1)/12)+1)</f>
        <v/>
      </c>
      <c r="D128" s="33">
        <f>IF($A128&gt;NYears*12,"",MOD($A128-1,12)+1)</f>
        <v/>
      </c>
      <c r="E128" s="35">
        <f>IF($A128&gt;NYears*12,"",LotValue0*(1+LotGrowth)^($C128-1))</f>
        <v/>
      </c>
      <c r="F128" s="35">
        <f>IF($A128&gt;NYears*12,"",IF($A128=1,InitInvest,$R127))</f>
        <v/>
      </c>
      <c r="G128" s="33">
        <f>IF($A128&gt;NYears*12,"",INT($F128/$E128))</f>
        <v/>
      </c>
      <c r="H128" s="35">
        <f>IF($A128&gt;NYears*12,"",$G128*$E128)</f>
        <v/>
      </c>
      <c r="I128" s="35">
        <f>IF($A128&gt;NYears*12,"",$F128-$H128)</f>
        <v/>
      </c>
      <c r="J128" s="35">
        <f>IF($A128&gt;NYears*12,"",$H128*RateA)</f>
        <v/>
      </c>
      <c r="K128" s="35">
        <f>IF($A128&gt;NYears*12,"",IF($D128=1,$J128,$K127+$J128))</f>
        <v/>
      </c>
      <c r="L128" s="35">
        <f>IF($A128&gt;NYears*12,"",IF(MOD($D128,3)=0,SUM($J126:$J128),0))</f>
        <v/>
      </c>
      <c r="M128" s="35">
        <f>IF($A128&gt;NYears*12,"",IF(TaxFreq="Quarterly",$K128*12/$D128,$K128))</f>
        <v/>
      </c>
      <c r="N128" s="36">
        <f>IF($A128&gt;NYears*12,"",LOOKUP($M128,TaxLower,TaxRate))</f>
        <v/>
      </c>
      <c r="O128" s="35">
        <f>IF($A128&gt;NYears*12,"",IF(TaxFreq="Quarterly",IF(MOD($D128,3)=0,$L128*$N128,0),IF($D128=12,$K128*$N128,0)))</f>
        <v/>
      </c>
      <c r="P128" s="35">
        <f>IF($A128&gt;NYears*12,"",IF($D128=1,$O128,$P127+$O128))</f>
        <v/>
      </c>
      <c r="Q128" s="35">
        <f>IF($A128&gt;NYears*12,"",IF($D128=12,MIN(WdrPct*IF(WdrBase="Post-tax profit",$K128-$P128,$K128),WdrCap),0))</f>
        <v/>
      </c>
      <c r="R128" s="35">
        <f>IF($A128&gt;NYears*12,"",$F128+$J128-$O128-$Q128)</f>
        <v/>
      </c>
      <c r="S128" s="33">
        <f>IF($A128&gt;NYears*12,"",INT($R128/$E128))</f>
        <v/>
      </c>
    </row>
    <row r="129">
      <c r="A129" s="33">
        <f>125</f>
        <v/>
      </c>
      <c r="B129" s="34">
        <f>IF($A129&gt;NYears*12,"",EDATE(StartMonth,$A129-1))</f>
        <v/>
      </c>
      <c r="C129" s="33">
        <f>IF($A129&gt;NYears*12,"",INT(($A129-1)/12)+1)</f>
        <v/>
      </c>
      <c r="D129" s="33">
        <f>IF($A129&gt;NYears*12,"",MOD($A129-1,12)+1)</f>
        <v/>
      </c>
      <c r="E129" s="35">
        <f>IF($A129&gt;NYears*12,"",LotValue0*(1+LotGrowth)^($C129-1))</f>
        <v/>
      </c>
      <c r="F129" s="35">
        <f>IF($A129&gt;NYears*12,"",IF($A129=1,InitInvest,$R128))</f>
        <v/>
      </c>
      <c r="G129" s="33">
        <f>IF($A129&gt;NYears*12,"",INT($F129/$E129))</f>
        <v/>
      </c>
      <c r="H129" s="35">
        <f>IF($A129&gt;NYears*12,"",$G129*$E129)</f>
        <v/>
      </c>
      <c r="I129" s="35">
        <f>IF($A129&gt;NYears*12,"",$F129-$H129)</f>
        <v/>
      </c>
      <c r="J129" s="35">
        <f>IF($A129&gt;NYears*12,"",$H129*RateA)</f>
        <v/>
      </c>
      <c r="K129" s="35">
        <f>IF($A129&gt;NYears*12,"",IF($D129=1,$J129,$K128+$J129))</f>
        <v/>
      </c>
      <c r="L129" s="35">
        <f>IF($A129&gt;NYears*12,"",IF(MOD($D129,3)=0,SUM($J127:$J129),0))</f>
        <v/>
      </c>
      <c r="M129" s="35">
        <f>IF($A129&gt;NYears*12,"",IF(TaxFreq="Quarterly",$K129*12/$D129,$K129))</f>
        <v/>
      </c>
      <c r="N129" s="36">
        <f>IF($A129&gt;NYears*12,"",LOOKUP($M129,TaxLower,TaxRate))</f>
        <v/>
      </c>
      <c r="O129" s="35">
        <f>IF($A129&gt;NYears*12,"",IF(TaxFreq="Quarterly",IF(MOD($D129,3)=0,$L129*$N129,0),IF($D129=12,$K129*$N129,0)))</f>
        <v/>
      </c>
      <c r="P129" s="35">
        <f>IF($A129&gt;NYears*12,"",IF($D129=1,$O129,$P128+$O129))</f>
        <v/>
      </c>
      <c r="Q129" s="35">
        <f>IF($A129&gt;NYears*12,"",IF($D129=12,MIN(WdrPct*IF(WdrBase="Post-tax profit",$K129-$P129,$K129),WdrCap),0))</f>
        <v/>
      </c>
      <c r="R129" s="35">
        <f>IF($A129&gt;NYears*12,"",$F129+$J129-$O129-$Q129)</f>
        <v/>
      </c>
      <c r="S129" s="33">
        <f>IF($A129&gt;NYears*12,"",INT($R129/$E129))</f>
        <v/>
      </c>
    </row>
    <row r="130">
      <c r="A130" s="33">
        <f>126</f>
        <v/>
      </c>
      <c r="B130" s="34">
        <f>IF($A130&gt;NYears*12,"",EDATE(StartMonth,$A130-1))</f>
        <v/>
      </c>
      <c r="C130" s="33">
        <f>IF($A130&gt;NYears*12,"",INT(($A130-1)/12)+1)</f>
        <v/>
      </c>
      <c r="D130" s="33">
        <f>IF($A130&gt;NYears*12,"",MOD($A130-1,12)+1)</f>
        <v/>
      </c>
      <c r="E130" s="35">
        <f>IF($A130&gt;NYears*12,"",LotValue0*(1+LotGrowth)^($C130-1))</f>
        <v/>
      </c>
      <c r="F130" s="35">
        <f>IF($A130&gt;NYears*12,"",IF($A130=1,InitInvest,$R129))</f>
        <v/>
      </c>
      <c r="G130" s="33">
        <f>IF($A130&gt;NYears*12,"",INT($F130/$E130))</f>
        <v/>
      </c>
      <c r="H130" s="35">
        <f>IF($A130&gt;NYears*12,"",$G130*$E130)</f>
        <v/>
      </c>
      <c r="I130" s="35">
        <f>IF($A130&gt;NYears*12,"",$F130-$H130)</f>
        <v/>
      </c>
      <c r="J130" s="35">
        <f>IF($A130&gt;NYears*12,"",$H130*RateA)</f>
        <v/>
      </c>
      <c r="K130" s="35">
        <f>IF($A130&gt;NYears*12,"",IF($D130=1,$J130,$K129+$J130))</f>
        <v/>
      </c>
      <c r="L130" s="35">
        <f>IF($A130&gt;NYears*12,"",IF(MOD($D130,3)=0,SUM($J128:$J130),0))</f>
        <v/>
      </c>
      <c r="M130" s="35">
        <f>IF($A130&gt;NYears*12,"",IF(TaxFreq="Quarterly",$K130*12/$D130,$K130))</f>
        <v/>
      </c>
      <c r="N130" s="36">
        <f>IF($A130&gt;NYears*12,"",LOOKUP($M130,TaxLower,TaxRate))</f>
        <v/>
      </c>
      <c r="O130" s="35">
        <f>IF($A130&gt;NYears*12,"",IF(TaxFreq="Quarterly",IF(MOD($D130,3)=0,$L130*$N130,0),IF($D130=12,$K130*$N130,0)))</f>
        <v/>
      </c>
      <c r="P130" s="35">
        <f>IF($A130&gt;NYears*12,"",IF($D130=1,$O130,$P129+$O130))</f>
        <v/>
      </c>
      <c r="Q130" s="35">
        <f>IF($A130&gt;NYears*12,"",IF($D130=12,MIN(WdrPct*IF(WdrBase="Post-tax profit",$K130-$P130,$K130),WdrCap),0))</f>
        <v/>
      </c>
      <c r="R130" s="35">
        <f>IF($A130&gt;NYears*12,"",$F130+$J130-$O130-$Q130)</f>
        <v/>
      </c>
      <c r="S130" s="33">
        <f>IF($A130&gt;NYears*12,"",INT($R130/$E130))</f>
        <v/>
      </c>
    </row>
    <row r="131">
      <c r="A131" s="33">
        <f>127</f>
        <v/>
      </c>
      <c r="B131" s="34">
        <f>IF($A131&gt;NYears*12,"",EDATE(StartMonth,$A131-1))</f>
        <v/>
      </c>
      <c r="C131" s="33">
        <f>IF($A131&gt;NYears*12,"",INT(($A131-1)/12)+1)</f>
        <v/>
      </c>
      <c r="D131" s="33">
        <f>IF($A131&gt;NYears*12,"",MOD($A131-1,12)+1)</f>
        <v/>
      </c>
      <c r="E131" s="35">
        <f>IF($A131&gt;NYears*12,"",LotValue0*(1+LotGrowth)^($C131-1))</f>
        <v/>
      </c>
      <c r="F131" s="35">
        <f>IF($A131&gt;NYears*12,"",IF($A131=1,InitInvest,$R130))</f>
        <v/>
      </c>
      <c r="G131" s="33">
        <f>IF($A131&gt;NYears*12,"",INT($F131/$E131))</f>
        <v/>
      </c>
      <c r="H131" s="35">
        <f>IF($A131&gt;NYears*12,"",$G131*$E131)</f>
        <v/>
      </c>
      <c r="I131" s="35">
        <f>IF($A131&gt;NYears*12,"",$F131-$H131)</f>
        <v/>
      </c>
      <c r="J131" s="35">
        <f>IF($A131&gt;NYears*12,"",$H131*RateA)</f>
        <v/>
      </c>
      <c r="K131" s="35">
        <f>IF($A131&gt;NYears*12,"",IF($D131=1,$J131,$K130+$J131))</f>
        <v/>
      </c>
      <c r="L131" s="35">
        <f>IF($A131&gt;NYears*12,"",IF(MOD($D131,3)=0,SUM($J129:$J131),0))</f>
        <v/>
      </c>
      <c r="M131" s="35">
        <f>IF($A131&gt;NYears*12,"",IF(TaxFreq="Quarterly",$K131*12/$D131,$K131))</f>
        <v/>
      </c>
      <c r="N131" s="36">
        <f>IF($A131&gt;NYears*12,"",LOOKUP($M131,TaxLower,TaxRate))</f>
        <v/>
      </c>
      <c r="O131" s="35">
        <f>IF($A131&gt;NYears*12,"",IF(TaxFreq="Quarterly",IF(MOD($D131,3)=0,$L131*$N131,0),IF($D131=12,$K131*$N131,0)))</f>
        <v/>
      </c>
      <c r="P131" s="35">
        <f>IF($A131&gt;NYears*12,"",IF($D131=1,$O131,$P130+$O131))</f>
        <v/>
      </c>
      <c r="Q131" s="35">
        <f>IF($A131&gt;NYears*12,"",IF($D131=12,MIN(WdrPct*IF(WdrBase="Post-tax profit",$K131-$P131,$K131),WdrCap),0))</f>
        <v/>
      </c>
      <c r="R131" s="35">
        <f>IF($A131&gt;NYears*12,"",$F131+$J131-$O131-$Q131)</f>
        <v/>
      </c>
      <c r="S131" s="33">
        <f>IF($A131&gt;NYears*12,"",INT($R131/$E131))</f>
        <v/>
      </c>
    </row>
    <row r="132">
      <c r="A132" s="33">
        <f>128</f>
        <v/>
      </c>
      <c r="B132" s="34">
        <f>IF($A132&gt;NYears*12,"",EDATE(StartMonth,$A132-1))</f>
        <v/>
      </c>
      <c r="C132" s="33">
        <f>IF($A132&gt;NYears*12,"",INT(($A132-1)/12)+1)</f>
        <v/>
      </c>
      <c r="D132" s="33">
        <f>IF($A132&gt;NYears*12,"",MOD($A132-1,12)+1)</f>
        <v/>
      </c>
      <c r="E132" s="35">
        <f>IF($A132&gt;NYears*12,"",LotValue0*(1+LotGrowth)^($C132-1))</f>
        <v/>
      </c>
      <c r="F132" s="35">
        <f>IF($A132&gt;NYears*12,"",IF($A132=1,InitInvest,$R131))</f>
        <v/>
      </c>
      <c r="G132" s="33">
        <f>IF($A132&gt;NYears*12,"",INT($F132/$E132))</f>
        <v/>
      </c>
      <c r="H132" s="35">
        <f>IF($A132&gt;NYears*12,"",$G132*$E132)</f>
        <v/>
      </c>
      <c r="I132" s="35">
        <f>IF($A132&gt;NYears*12,"",$F132-$H132)</f>
        <v/>
      </c>
      <c r="J132" s="35">
        <f>IF($A132&gt;NYears*12,"",$H132*RateA)</f>
        <v/>
      </c>
      <c r="K132" s="35">
        <f>IF($A132&gt;NYears*12,"",IF($D132=1,$J132,$K131+$J132))</f>
        <v/>
      </c>
      <c r="L132" s="35">
        <f>IF($A132&gt;NYears*12,"",IF(MOD($D132,3)=0,SUM($J130:$J132),0))</f>
        <v/>
      </c>
      <c r="M132" s="35">
        <f>IF($A132&gt;NYears*12,"",IF(TaxFreq="Quarterly",$K132*12/$D132,$K132))</f>
        <v/>
      </c>
      <c r="N132" s="36">
        <f>IF($A132&gt;NYears*12,"",LOOKUP($M132,TaxLower,TaxRate))</f>
        <v/>
      </c>
      <c r="O132" s="35">
        <f>IF($A132&gt;NYears*12,"",IF(TaxFreq="Quarterly",IF(MOD($D132,3)=0,$L132*$N132,0),IF($D132=12,$K132*$N132,0)))</f>
        <v/>
      </c>
      <c r="P132" s="35">
        <f>IF($A132&gt;NYears*12,"",IF($D132=1,$O132,$P131+$O132))</f>
        <v/>
      </c>
      <c r="Q132" s="35">
        <f>IF($A132&gt;NYears*12,"",IF($D132=12,MIN(WdrPct*IF(WdrBase="Post-tax profit",$K132-$P132,$K132),WdrCap),0))</f>
        <v/>
      </c>
      <c r="R132" s="35">
        <f>IF($A132&gt;NYears*12,"",$F132+$J132-$O132-$Q132)</f>
        <v/>
      </c>
      <c r="S132" s="33">
        <f>IF($A132&gt;NYears*12,"",INT($R132/$E132))</f>
        <v/>
      </c>
    </row>
    <row r="133">
      <c r="A133" s="33">
        <f>129</f>
        <v/>
      </c>
      <c r="B133" s="34">
        <f>IF($A133&gt;NYears*12,"",EDATE(StartMonth,$A133-1))</f>
        <v/>
      </c>
      <c r="C133" s="33">
        <f>IF($A133&gt;NYears*12,"",INT(($A133-1)/12)+1)</f>
        <v/>
      </c>
      <c r="D133" s="33">
        <f>IF($A133&gt;NYears*12,"",MOD($A133-1,12)+1)</f>
        <v/>
      </c>
      <c r="E133" s="35">
        <f>IF($A133&gt;NYears*12,"",LotValue0*(1+LotGrowth)^($C133-1))</f>
        <v/>
      </c>
      <c r="F133" s="35">
        <f>IF($A133&gt;NYears*12,"",IF($A133=1,InitInvest,$R132))</f>
        <v/>
      </c>
      <c r="G133" s="33">
        <f>IF($A133&gt;NYears*12,"",INT($F133/$E133))</f>
        <v/>
      </c>
      <c r="H133" s="35">
        <f>IF($A133&gt;NYears*12,"",$G133*$E133)</f>
        <v/>
      </c>
      <c r="I133" s="35">
        <f>IF($A133&gt;NYears*12,"",$F133-$H133)</f>
        <v/>
      </c>
      <c r="J133" s="35">
        <f>IF($A133&gt;NYears*12,"",$H133*RateA)</f>
        <v/>
      </c>
      <c r="K133" s="35">
        <f>IF($A133&gt;NYears*12,"",IF($D133=1,$J133,$K132+$J133))</f>
        <v/>
      </c>
      <c r="L133" s="35">
        <f>IF($A133&gt;NYears*12,"",IF(MOD($D133,3)=0,SUM($J131:$J133),0))</f>
        <v/>
      </c>
      <c r="M133" s="35">
        <f>IF($A133&gt;NYears*12,"",IF(TaxFreq="Quarterly",$K133*12/$D133,$K133))</f>
        <v/>
      </c>
      <c r="N133" s="36">
        <f>IF($A133&gt;NYears*12,"",LOOKUP($M133,TaxLower,TaxRate))</f>
        <v/>
      </c>
      <c r="O133" s="35">
        <f>IF($A133&gt;NYears*12,"",IF(TaxFreq="Quarterly",IF(MOD($D133,3)=0,$L133*$N133,0),IF($D133=12,$K133*$N133,0)))</f>
        <v/>
      </c>
      <c r="P133" s="35">
        <f>IF($A133&gt;NYears*12,"",IF($D133=1,$O133,$P132+$O133))</f>
        <v/>
      </c>
      <c r="Q133" s="35">
        <f>IF($A133&gt;NYears*12,"",IF($D133=12,MIN(WdrPct*IF(WdrBase="Post-tax profit",$K133-$P133,$K133),WdrCap),0))</f>
        <v/>
      </c>
      <c r="R133" s="35">
        <f>IF($A133&gt;NYears*12,"",$F133+$J133-$O133-$Q133)</f>
        <v/>
      </c>
      <c r="S133" s="33">
        <f>IF($A133&gt;NYears*12,"",INT($R133/$E133))</f>
        <v/>
      </c>
    </row>
    <row r="134">
      <c r="A134" s="33">
        <f>130</f>
        <v/>
      </c>
      <c r="B134" s="34">
        <f>IF($A134&gt;NYears*12,"",EDATE(StartMonth,$A134-1))</f>
        <v/>
      </c>
      <c r="C134" s="33">
        <f>IF($A134&gt;NYears*12,"",INT(($A134-1)/12)+1)</f>
        <v/>
      </c>
      <c r="D134" s="33">
        <f>IF($A134&gt;NYears*12,"",MOD($A134-1,12)+1)</f>
        <v/>
      </c>
      <c r="E134" s="35">
        <f>IF($A134&gt;NYears*12,"",LotValue0*(1+LotGrowth)^($C134-1))</f>
        <v/>
      </c>
      <c r="F134" s="35">
        <f>IF($A134&gt;NYears*12,"",IF($A134=1,InitInvest,$R133))</f>
        <v/>
      </c>
      <c r="G134" s="33">
        <f>IF($A134&gt;NYears*12,"",INT($F134/$E134))</f>
        <v/>
      </c>
      <c r="H134" s="35">
        <f>IF($A134&gt;NYears*12,"",$G134*$E134)</f>
        <v/>
      </c>
      <c r="I134" s="35">
        <f>IF($A134&gt;NYears*12,"",$F134-$H134)</f>
        <v/>
      </c>
      <c r="J134" s="35">
        <f>IF($A134&gt;NYears*12,"",$H134*RateA)</f>
        <v/>
      </c>
      <c r="K134" s="35">
        <f>IF($A134&gt;NYears*12,"",IF($D134=1,$J134,$K133+$J134))</f>
        <v/>
      </c>
      <c r="L134" s="35">
        <f>IF($A134&gt;NYears*12,"",IF(MOD($D134,3)=0,SUM($J132:$J134),0))</f>
        <v/>
      </c>
      <c r="M134" s="35">
        <f>IF($A134&gt;NYears*12,"",IF(TaxFreq="Quarterly",$K134*12/$D134,$K134))</f>
        <v/>
      </c>
      <c r="N134" s="36">
        <f>IF($A134&gt;NYears*12,"",LOOKUP($M134,TaxLower,TaxRate))</f>
        <v/>
      </c>
      <c r="O134" s="35">
        <f>IF($A134&gt;NYears*12,"",IF(TaxFreq="Quarterly",IF(MOD($D134,3)=0,$L134*$N134,0),IF($D134=12,$K134*$N134,0)))</f>
        <v/>
      </c>
      <c r="P134" s="35">
        <f>IF($A134&gt;NYears*12,"",IF($D134=1,$O134,$P133+$O134))</f>
        <v/>
      </c>
      <c r="Q134" s="35">
        <f>IF($A134&gt;NYears*12,"",IF($D134=12,MIN(WdrPct*IF(WdrBase="Post-tax profit",$K134-$P134,$K134),WdrCap),0))</f>
        <v/>
      </c>
      <c r="R134" s="35">
        <f>IF($A134&gt;NYears*12,"",$F134+$J134-$O134-$Q134)</f>
        <v/>
      </c>
      <c r="S134" s="33">
        <f>IF($A134&gt;NYears*12,"",INT($R134/$E134))</f>
        <v/>
      </c>
    </row>
    <row r="135">
      <c r="A135" s="33">
        <f>131</f>
        <v/>
      </c>
      <c r="B135" s="34">
        <f>IF($A135&gt;NYears*12,"",EDATE(StartMonth,$A135-1))</f>
        <v/>
      </c>
      <c r="C135" s="33">
        <f>IF($A135&gt;NYears*12,"",INT(($A135-1)/12)+1)</f>
        <v/>
      </c>
      <c r="D135" s="33">
        <f>IF($A135&gt;NYears*12,"",MOD($A135-1,12)+1)</f>
        <v/>
      </c>
      <c r="E135" s="35">
        <f>IF($A135&gt;NYears*12,"",LotValue0*(1+LotGrowth)^($C135-1))</f>
        <v/>
      </c>
      <c r="F135" s="35">
        <f>IF($A135&gt;NYears*12,"",IF($A135=1,InitInvest,$R134))</f>
        <v/>
      </c>
      <c r="G135" s="33">
        <f>IF($A135&gt;NYears*12,"",INT($F135/$E135))</f>
        <v/>
      </c>
      <c r="H135" s="35">
        <f>IF($A135&gt;NYears*12,"",$G135*$E135)</f>
        <v/>
      </c>
      <c r="I135" s="35">
        <f>IF($A135&gt;NYears*12,"",$F135-$H135)</f>
        <v/>
      </c>
      <c r="J135" s="35">
        <f>IF($A135&gt;NYears*12,"",$H135*RateA)</f>
        <v/>
      </c>
      <c r="K135" s="35">
        <f>IF($A135&gt;NYears*12,"",IF($D135=1,$J135,$K134+$J135))</f>
        <v/>
      </c>
      <c r="L135" s="35">
        <f>IF($A135&gt;NYears*12,"",IF(MOD($D135,3)=0,SUM($J133:$J135),0))</f>
        <v/>
      </c>
      <c r="M135" s="35">
        <f>IF($A135&gt;NYears*12,"",IF(TaxFreq="Quarterly",$K135*12/$D135,$K135))</f>
        <v/>
      </c>
      <c r="N135" s="36">
        <f>IF($A135&gt;NYears*12,"",LOOKUP($M135,TaxLower,TaxRate))</f>
        <v/>
      </c>
      <c r="O135" s="35">
        <f>IF($A135&gt;NYears*12,"",IF(TaxFreq="Quarterly",IF(MOD($D135,3)=0,$L135*$N135,0),IF($D135=12,$K135*$N135,0)))</f>
        <v/>
      </c>
      <c r="P135" s="35">
        <f>IF($A135&gt;NYears*12,"",IF($D135=1,$O135,$P134+$O135))</f>
        <v/>
      </c>
      <c r="Q135" s="35">
        <f>IF($A135&gt;NYears*12,"",IF($D135=12,MIN(WdrPct*IF(WdrBase="Post-tax profit",$K135-$P135,$K135),WdrCap),0))</f>
        <v/>
      </c>
      <c r="R135" s="35">
        <f>IF($A135&gt;NYears*12,"",$F135+$J135-$O135-$Q135)</f>
        <v/>
      </c>
      <c r="S135" s="33">
        <f>IF($A135&gt;NYears*12,"",INT($R135/$E135))</f>
        <v/>
      </c>
    </row>
    <row r="136">
      <c r="A136" s="37">
        <f>132</f>
        <v/>
      </c>
      <c r="B136" s="38">
        <f>IF($A136&gt;NYears*12,"",EDATE(StartMonth,$A136-1))</f>
        <v/>
      </c>
      <c r="C136" s="37">
        <f>IF($A136&gt;NYears*12,"",INT(($A136-1)/12)+1)</f>
        <v/>
      </c>
      <c r="D136" s="37">
        <f>IF($A136&gt;NYears*12,"",MOD($A136-1,12)+1)</f>
        <v/>
      </c>
      <c r="E136" s="39">
        <f>IF($A136&gt;NYears*12,"",LotValue0*(1+LotGrowth)^($C136-1))</f>
        <v/>
      </c>
      <c r="F136" s="39">
        <f>IF($A136&gt;NYears*12,"",IF($A136=1,InitInvest,$R135))</f>
        <v/>
      </c>
      <c r="G136" s="37">
        <f>IF($A136&gt;NYears*12,"",INT($F136/$E136))</f>
        <v/>
      </c>
      <c r="H136" s="39">
        <f>IF($A136&gt;NYears*12,"",$G136*$E136)</f>
        <v/>
      </c>
      <c r="I136" s="39">
        <f>IF($A136&gt;NYears*12,"",$F136-$H136)</f>
        <v/>
      </c>
      <c r="J136" s="39">
        <f>IF($A136&gt;NYears*12,"",$H136*RateA)</f>
        <v/>
      </c>
      <c r="K136" s="39">
        <f>IF($A136&gt;NYears*12,"",IF($D136=1,$J136,$K135+$J136))</f>
        <v/>
      </c>
      <c r="L136" s="39">
        <f>IF($A136&gt;NYears*12,"",IF(MOD($D136,3)=0,SUM($J134:$J136),0))</f>
        <v/>
      </c>
      <c r="M136" s="39">
        <f>IF($A136&gt;NYears*12,"",IF(TaxFreq="Quarterly",$K136*12/$D136,$K136))</f>
        <v/>
      </c>
      <c r="N136" s="40">
        <f>IF($A136&gt;NYears*12,"",LOOKUP($M136,TaxLower,TaxRate))</f>
        <v/>
      </c>
      <c r="O136" s="39">
        <f>IF($A136&gt;NYears*12,"",IF(TaxFreq="Quarterly",IF(MOD($D136,3)=0,$L136*$N136,0),IF($D136=12,$K136*$N136,0)))</f>
        <v/>
      </c>
      <c r="P136" s="39">
        <f>IF($A136&gt;NYears*12,"",IF($D136=1,$O136,$P135+$O136))</f>
        <v/>
      </c>
      <c r="Q136" s="39">
        <f>IF($A136&gt;NYears*12,"",IF($D136=12,MIN(WdrPct*IF(WdrBase="Post-tax profit",$K136-$P136,$K136),WdrCap),0))</f>
        <v/>
      </c>
      <c r="R136" s="39">
        <f>IF($A136&gt;NYears*12,"",$F136+$J136-$O136-$Q136)</f>
        <v/>
      </c>
      <c r="S136" s="37">
        <f>IF($A136&gt;NYears*12,"",INT($R136/$E136))</f>
        <v/>
      </c>
    </row>
    <row r="137">
      <c r="A137" s="33">
        <f>133</f>
        <v/>
      </c>
      <c r="B137" s="34">
        <f>IF($A137&gt;NYears*12,"",EDATE(StartMonth,$A137-1))</f>
        <v/>
      </c>
      <c r="C137" s="33">
        <f>IF($A137&gt;NYears*12,"",INT(($A137-1)/12)+1)</f>
        <v/>
      </c>
      <c r="D137" s="33">
        <f>IF($A137&gt;NYears*12,"",MOD($A137-1,12)+1)</f>
        <v/>
      </c>
      <c r="E137" s="35">
        <f>IF($A137&gt;NYears*12,"",LotValue0*(1+LotGrowth)^($C137-1))</f>
        <v/>
      </c>
      <c r="F137" s="35">
        <f>IF($A137&gt;NYears*12,"",IF($A137=1,InitInvest,$R136))</f>
        <v/>
      </c>
      <c r="G137" s="33">
        <f>IF($A137&gt;NYears*12,"",INT($F137/$E137))</f>
        <v/>
      </c>
      <c r="H137" s="35">
        <f>IF($A137&gt;NYears*12,"",$G137*$E137)</f>
        <v/>
      </c>
      <c r="I137" s="35">
        <f>IF($A137&gt;NYears*12,"",$F137-$H137)</f>
        <v/>
      </c>
      <c r="J137" s="35">
        <f>IF($A137&gt;NYears*12,"",$H137*RateA)</f>
        <v/>
      </c>
      <c r="K137" s="35">
        <f>IF($A137&gt;NYears*12,"",IF($D137=1,$J137,$K136+$J137))</f>
        <v/>
      </c>
      <c r="L137" s="35">
        <f>IF($A137&gt;NYears*12,"",IF(MOD($D137,3)=0,SUM($J135:$J137),0))</f>
        <v/>
      </c>
      <c r="M137" s="35">
        <f>IF($A137&gt;NYears*12,"",IF(TaxFreq="Quarterly",$K137*12/$D137,$K137))</f>
        <v/>
      </c>
      <c r="N137" s="36">
        <f>IF($A137&gt;NYears*12,"",LOOKUP($M137,TaxLower,TaxRate))</f>
        <v/>
      </c>
      <c r="O137" s="35">
        <f>IF($A137&gt;NYears*12,"",IF(TaxFreq="Quarterly",IF(MOD($D137,3)=0,$L137*$N137,0),IF($D137=12,$K137*$N137,0)))</f>
        <v/>
      </c>
      <c r="P137" s="35">
        <f>IF($A137&gt;NYears*12,"",IF($D137=1,$O137,$P136+$O137))</f>
        <v/>
      </c>
      <c r="Q137" s="35">
        <f>IF($A137&gt;NYears*12,"",IF($D137=12,MIN(WdrPct*IF(WdrBase="Post-tax profit",$K137-$P137,$K137),WdrCap),0))</f>
        <v/>
      </c>
      <c r="R137" s="35">
        <f>IF($A137&gt;NYears*12,"",$F137+$J137-$O137-$Q137)</f>
        <v/>
      </c>
      <c r="S137" s="33">
        <f>IF($A137&gt;NYears*12,"",INT($R137/$E137))</f>
        <v/>
      </c>
    </row>
    <row r="138">
      <c r="A138" s="33">
        <f>134</f>
        <v/>
      </c>
      <c r="B138" s="34">
        <f>IF($A138&gt;NYears*12,"",EDATE(StartMonth,$A138-1))</f>
        <v/>
      </c>
      <c r="C138" s="33">
        <f>IF($A138&gt;NYears*12,"",INT(($A138-1)/12)+1)</f>
        <v/>
      </c>
      <c r="D138" s="33">
        <f>IF($A138&gt;NYears*12,"",MOD($A138-1,12)+1)</f>
        <v/>
      </c>
      <c r="E138" s="35">
        <f>IF($A138&gt;NYears*12,"",LotValue0*(1+LotGrowth)^($C138-1))</f>
        <v/>
      </c>
      <c r="F138" s="35">
        <f>IF($A138&gt;NYears*12,"",IF($A138=1,InitInvest,$R137))</f>
        <v/>
      </c>
      <c r="G138" s="33">
        <f>IF($A138&gt;NYears*12,"",INT($F138/$E138))</f>
        <v/>
      </c>
      <c r="H138" s="35">
        <f>IF($A138&gt;NYears*12,"",$G138*$E138)</f>
        <v/>
      </c>
      <c r="I138" s="35">
        <f>IF($A138&gt;NYears*12,"",$F138-$H138)</f>
        <v/>
      </c>
      <c r="J138" s="35">
        <f>IF($A138&gt;NYears*12,"",$H138*RateA)</f>
        <v/>
      </c>
      <c r="K138" s="35">
        <f>IF($A138&gt;NYears*12,"",IF($D138=1,$J138,$K137+$J138))</f>
        <v/>
      </c>
      <c r="L138" s="35">
        <f>IF($A138&gt;NYears*12,"",IF(MOD($D138,3)=0,SUM($J136:$J138),0))</f>
        <v/>
      </c>
      <c r="M138" s="35">
        <f>IF($A138&gt;NYears*12,"",IF(TaxFreq="Quarterly",$K138*12/$D138,$K138))</f>
        <v/>
      </c>
      <c r="N138" s="36">
        <f>IF($A138&gt;NYears*12,"",LOOKUP($M138,TaxLower,TaxRate))</f>
        <v/>
      </c>
      <c r="O138" s="35">
        <f>IF($A138&gt;NYears*12,"",IF(TaxFreq="Quarterly",IF(MOD($D138,3)=0,$L138*$N138,0),IF($D138=12,$K138*$N138,0)))</f>
        <v/>
      </c>
      <c r="P138" s="35">
        <f>IF($A138&gt;NYears*12,"",IF($D138=1,$O138,$P137+$O138))</f>
        <v/>
      </c>
      <c r="Q138" s="35">
        <f>IF($A138&gt;NYears*12,"",IF($D138=12,MIN(WdrPct*IF(WdrBase="Post-tax profit",$K138-$P138,$K138),WdrCap),0))</f>
        <v/>
      </c>
      <c r="R138" s="35">
        <f>IF($A138&gt;NYears*12,"",$F138+$J138-$O138-$Q138)</f>
        <v/>
      </c>
      <c r="S138" s="33">
        <f>IF($A138&gt;NYears*12,"",INT($R138/$E138))</f>
        <v/>
      </c>
    </row>
    <row r="139">
      <c r="A139" s="33">
        <f>135</f>
        <v/>
      </c>
      <c r="B139" s="34">
        <f>IF($A139&gt;NYears*12,"",EDATE(StartMonth,$A139-1))</f>
        <v/>
      </c>
      <c r="C139" s="33">
        <f>IF($A139&gt;NYears*12,"",INT(($A139-1)/12)+1)</f>
        <v/>
      </c>
      <c r="D139" s="33">
        <f>IF($A139&gt;NYears*12,"",MOD($A139-1,12)+1)</f>
        <v/>
      </c>
      <c r="E139" s="35">
        <f>IF($A139&gt;NYears*12,"",LotValue0*(1+LotGrowth)^($C139-1))</f>
        <v/>
      </c>
      <c r="F139" s="35">
        <f>IF($A139&gt;NYears*12,"",IF($A139=1,InitInvest,$R138))</f>
        <v/>
      </c>
      <c r="G139" s="33">
        <f>IF($A139&gt;NYears*12,"",INT($F139/$E139))</f>
        <v/>
      </c>
      <c r="H139" s="35">
        <f>IF($A139&gt;NYears*12,"",$G139*$E139)</f>
        <v/>
      </c>
      <c r="I139" s="35">
        <f>IF($A139&gt;NYears*12,"",$F139-$H139)</f>
        <v/>
      </c>
      <c r="J139" s="35">
        <f>IF($A139&gt;NYears*12,"",$H139*RateA)</f>
        <v/>
      </c>
      <c r="K139" s="35">
        <f>IF($A139&gt;NYears*12,"",IF($D139=1,$J139,$K138+$J139))</f>
        <v/>
      </c>
      <c r="L139" s="35">
        <f>IF($A139&gt;NYears*12,"",IF(MOD($D139,3)=0,SUM($J137:$J139),0))</f>
        <v/>
      </c>
      <c r="M139" s="35">
        <f>IF($A139&gt;NYears*12,"",IF(TaxFreq="Quarterly",$K139*12/$D139,$K139))</f>
        <v/>
      </c>
      <c r="N139" s="36">
        <f>IF($A139&gt;NYears*12,"",LOOKUP($M139,TaxLower,TaxRate))</f>
        <v/>
      </c>
      <c r="O139" s="35">
        <f>IF($A139&gt;NYears*12,"",IF(TaxFreq="Quarterly",IF(MOD($D139,3)=0,$L139*$N139,0),IF($D139=12,$K139*$N139,0)))</f>
        <v/>
      </c>
      <c r="P139" s="35">
        <f>IF($A139&gt;NYears*12,"",IF($D139=1,$O139,$P138+$O139))</f>
        <v/>
      </c>
      <c r="Q139" s="35">
        <f>IF($A139&gt;NYears*12,"",IF($D139=12,MIN(WdrPct*IF(WdrBase="Post-tax profit",$K139-$P139,$K139),WdrCap),0))</f>
        <v/>
      </c>
      <c r="R139" s="35">
        <f>IF($A139&gt;NYears*12,"",$F139+$J139-$O139-$Q139)</f>
        <v/>
      </c>
      <c r="S139" s="33">
        <f>IF($A139&gt;NYears*12,"",INT($R139/$E139))</f>
        <v/>
      </c>
    </row>
    <row r="140">
      <c r="A140" s="33">
        <f>136</f>
        <v/>
      </c>
      <c r="B140" s="34">
        <f>IF($A140&gt;NYears*12,"",EDATE(StartMonth,$A140-1))</f>
        <v/>
      </c>
      <c r="C140" s="33">
        <f>IF($A140&gt;NYears*12,"",INT(($A140-1)/12)+1)</f>
        <v/>
      </c>
      <c r="D140" s="33">
        <f>IF($A140&gt;NYears*12,"",MOD($A140-1,12)+1)</f>
        <v/>
      </c>
      <c r="E140" s="35">
        <f>IF($A140&gt;NYears*12,"",LotValue0*(1+LotGrowth)^($C140-1))</f>
        <v/>
      </c>
      <c r="F140" s="35">
        <f>IF($A140&gt;NYears*12,"",IF($A140=1,InitInvest,$R139))</f>
        <v/>
      </c>
      <c r="G140" s="33">
        <f>IF($A140&gt;NYears*12,"",INT($F140/$E140))</f>
        <v/>
      </c>
      <c r="H140" s="35">
        <f>IF($A140&gt;NYears*12,"",$G140*$E140)</f>
        <v/>
      </c>
      <c r="I140" s="35">
        <f>IF($A140&gt;NYears*12,"",$F140-$H140)</f>
        <v/>
      </c>
      <c r="J140" s="35">
        <f>IF($A140&gt;NYears*12,"",$H140*RateA)</f>
        <v/>
      </c>
      <c r="K140" s="35">
        <f>IF($A140&gt;NYears*12,"",IF($D140=1,$J140,$K139+$J140))</f>
        <v/>
      </c>
      <c r="L140" s="35">
        <f>IF($A140&gt;NYears*12,"",IF(MOD($D140,3)=0,SUM($J138:$J140),0))</f>
        <v/>
      </c>
      <c r="M140" s="35">
        <f>IF($A140&gt;NYears*12,"",IF(TaxFreq="Quarterly",$K140*12/$D140,$K140))</f>
        <v/>
      </c>
      <c r="N140" s="36">
        <f>IF($A140&gt;NYears*12,"",LOOKUP($M140,TaxLower,TaxRate))</f>
        <v/>
      </c>
      <c r="O140" s="35">
        <f>IF($A140&gt;NYears*12,"",IF(TaxFreq="Quarterly",IF(MOD($D140,3)=0,$L140*$N140,0),IF($D140=12,$K140*$N140,0)))</f>
        <v/>
      </c>
      <c r="P140" s="35">
        <f>IF($A140&gt;NYears*12,"",IF($D140=1,$O140,$P139+$O140))</f>
        <v/>
      </c>
      <c r="Q140" s="35">
        <f>IF($A140&gt;NYears*12,"",IF($D140=12,MIN(WdrPct*IF(WdrBase="Post-tax profit",$K140-$P140,$K140),WdrCap),0))</f>
        <v/>
      </c>
      <c r="R140" s="35">
        <f>IF($A140&gt;NYears*12,"",$F140+$J140-$O140-$Q140)</f>
        <v/>
      </c>
      <c r="S140" s="33">
        <f>IF($A140&gt;NYears*12,"",INT($R140/$E140))</f>
        <v/>
      </c>
    </row>
    <row r="141">
      <c r="A141" s="33">
        <f>137</f>
        <v/>
      </c>
      <c r="B141" s="34">
        <f>IF($A141&gt;NYears*12,"",EDATE(StartMonth,$A141-1))</f>
        <v/>
      </c>
      <c r="C141" s="33">
        <f>IF($A141&gt;NYears*12,"",INT(($A141-1)/12)+1)</f>
        <v/>
      </c>
      <c r="D141" s="33">
        <f>IF($A141&gt;NYears*12,"",MOD($A141-1,12)+1)</f>
        <v/>
      </c>
      <c r="E141" s="35">
        <f>IF($A141&gt;NYears*12,"",LotValue0*(1+LotGrowth)^($C141-1))</f>
        <v/>
      </c>
      <c r="F141" s="35">
        <f>IF($A141&gt;NYears*12,"",IF($A141=1,InitInvest,$R140))</f>
        <v/>
      </c>
      <c r="G141" s="33">
        <f>IF($A141&gt;NYears*12,"",INT($F141/$E141))</f>
        <v/>
      </c>
      <c r="H141" s="35">
        <f>IF($A141&gt;NYears*12,"",$G141*$E141)</f>
        <v/>
      </c>
      <c r="I141" s="35">
        <f>IF($A141&gt;NYears*12,"",$F141-$H141)</f>
        <v/>
      </c>
      <c r="J141" s="35">
        <f>IF($A141&gt;NYears*12,"",$H141*RateA)</f>
        <v/>
      </c>
      <c r="K141" s="35">
        <f>IF($A141&gt;NYears*12,"",IF($D141=1,$J141,$K140+$J141))</f>
        <v/>
      </c>
      <c r="L141" s="35">
        <f>IF($A141&gt;NYears*12,"",IF(MOD($D141,3)=0,SUM($J139:$J141),0))</f>
        <v/>
      </c>
      <c r="M141" s="35">
        <f>IF($A141&gt;NYears*12,"",IF(TaxFreq="Quarterly",$K141*12/$D141,$K141))</f>
        <v/>
      </c>
      <c r="N141" s="36">
        <f>IF($A141&gt;NYears*12,"",LOOKUP($M141,TaxLower,TaxRate))</f>
        <v/>
      </c>
      <c r="O141" s="35">
        <f>IF($A141&gt;NYears*12,"",IF(TaxFreq="Quarterly",IF(MOD($D141,3)=0,$L141*$N141,0),IF($D141=12,$K141*$N141,0)))</f>
        <v/>
      </c>
      <c r="P141" s="35">
        <f>IF($A141&gt;NYears*12,"",IF($D141=1,$O141,$P140+$O141))</f>
        <v/>
      </c>
      <c r="Q141" s="35">
        <f>IF($A141&gt;NYears*12,"",IF($D141=12,MIN(WdrPct*IF(WdrBase="Post-tax profit",$K141-$P141,$K141),WdrCap),0))</f>
        <v/>
      </c>
      <c r="R141" s="35">
        <f>IF($A141&gt;NYears*12,"",$F141+$J141-$O141-$Q141)</f>
        <v/>
      </c>
      <c r="S141" s="33">
        <f>IF($A141&gt;NYears*12,"",INT($R141/$E141))</f>
        <v/>
      </c>
    </row>
    <row r="142">
      <c r="A142" s="33">
        <f>138</f>
        <v/>
      </c>
      <c r="B142" s="34">
        <f>IF($A142&gt;NYears*12,"",EDATE(StartMonth,$A142-1))</f>
        <v/>
      </c>
      <c r="C142" s="33">
        <f>IF($A142&gt;NYears*12,"",INT(($A142-1)/12)+1)</f>
        <v/>
      </c>
      <c r="D142" s="33">
        <f>IF($A142&gt;NYears*12,"",MOD($A142-1,12)+1)</f>
        <v/>
      </c>
      <c r="E142" s="35">
        <f>IF($A142&gt;NYears*12,"",LotValue0*(1+LotGrowth)^($C142-1))</f>
        <v/>
      </c>
      <c r="F142" s="35">
        <f>IF($A142&gt;NYears*12,"",IF($A142=1,InitInvest,$R141))</f>
        <v/>
      </c>
      <c r="G142" s="33">
        <f>IF($A142&gt;NYears*12,"",INT($F142/$E142))</f>
        <v/>
      </c>
      <c r="H142" s="35">
        <f>IF($A142&gt;NYears*12,"",$G142*$E142)</f>
        <v/>
      </c>
      <c r="I142" s="35">
        <f>IF($A142&gt;NYears*12,"",$F142-$H142)</f>
        <v/>
      </c>
      <c r="J142" s="35">
        <f>IF($A142&gt;NYears*12,"",$H142*RateA)</f>
        <v/>
      </c>
      <c r="K142" s="35">
        <f>IF($A142&gt;NYears*12,"",IF($D142=1,$J142,$K141+$J142))</f>
        <v/>
      </c>
      <c r="L142" s="35">
        <f>IF($A142&gt;NYears*12,"",IF(MOD($D142,3)=0,SUM($J140:$J142),0))</f>
        <v/>
      </c>
      <c r="M142" s="35">
        <f>IF($A142&gt;NYears*12,"",IF(TaxFreq="Quarterly",$K142*12/$D142,$K142))</f>
        <v/>
      </c>
      <c r="N142" s="36">
        <f>IF($A142&gt;NYears*12,"",LOOKUP($M142,TaxLower,TaxRate))</f>
        <v/>
      </c>
      <c r="O142" s="35">
        <f>IF($A142&gt;NYears*12,"",IF(TaxFreq="Quarterly",IF(MOD($D142,3)=0,$L142*$N142,0),IF($D142=12,$K142*$N142,0)))</f>
        <v/>
      </c>
      <c r="P142" s="35">
        <f>IF($A142&gt;NYears*12,"",IF($D142=1,$O142,$P141+$O142))</f>
        <v/>
      </c>
      <c r="Q142" s="35">
        <f>IF($A142&gt;NYears*12,"",IF($D142=12,MIN(WdrPct*IF(WdrBase="Post-tax profit",$K142-$P142,$K142),WdrCap),0))</f>
        <v/>
      </c>
      <c r="R142" s="35">
        <f>IF($A142&gt;NYears*12,"",$F142+$J142-$O142-$Q142)</f>
        <v/>
      </c>
      <c r="S142" s="33">
        <f>IF($A142&gt;NYears*12,"",INT($R142/$E142))</f>
        <v/>
      </c>
    </row>
    <row r="143">
      <c r="A143" s="33">
        <f>139</f>
        <v/>
      </c>
      <c r="B143" s="34">
        <f>IF($A143&gt;NYears*12,"",EDATE(StartMonth,$A143-1))</f>
        <v/>
      </c>
      <c r="C143" s="33">
        <f>IF($A143&gt;NYears*12,"",INT(($A143-1)/12)+1)</f>
        <v/>
      </c>
      <c r="D143" s="33">
        <f>IF($A143&gt;NYears*12,"",MOD($A143-1,12)+1)</f>
        <v/>
      </c>
      <c r="E143" s="35">
        <f>IF($A143&gt;NYears*12,"",LotValue0*(1+LotGrowth)^($C143-1))</f>
        <v/>
      </c>
      <c r="F143" s="35">
        <f>IF($A143&gt;NYears*12,"",IF($A143=1,InitInvest,$R142))</f>
        <v/>
      </c>
      <c r="G143" s="33">
        <f>IF($A143&gt;NYears*12,"",INT($F143/$E143))</f>
        <v/>
      </c>
      <c r="H143" s="35">
        <f>IF($A143&gt;NYears*12,"",$G143*$E143)</f>
        <v/>
      </c>
      <c r="I143" s="35">
        <f>IF($A143&gt;NYears*12,"",$F143-$H143)</f>
        <v/>
      </c>
      <c r="J143" s="35">
        <f>IF($A143&gt;NYears*12,"",$H143*RateA)</f>
        <v/>
      </c>
      <c r="K143" s="35">
        <f>IF($A143&gt;NYears*12,"",IF($D143=1,$J143,$K142+$J143))</f>
        <v/>
      </c>
      <c r="L143" s="35">
        <f>IF($A143&gt;NYears*12,"",IF(MOD($D143,3)=0,SUM($J141:$J143),0))</f>
        <v/>
      </c>
      <c r="M143" s="35">
        <f>IF($A143&gt;NYears*12,"",IF(TaxFreq="Quarterly",$K143*12/$D143,$K143))</f>
        <v/>
      </c>
      <c r="N143" s="36">
        <f>IF($A143&gt;NYears*12,"",LOOKUP($M143,TaxLower,TaxRate))</f>
        <v/>
      </c>
      <c r="O143" s="35">
        <f>IF($A143&gt;NYears*12,"",IF(TaxFreq="Quarterly",IF(MOD($D143,3)=0,$L143*$N143,0),IF($D143=12,$K143*$N143,0)))</f>
        <v/>
      </c>
      <c r="P143" s="35">
        <f>IF($A143&gt;NYears*12,"",IF($D143=1,$O143,$P142+$O143))</f>
        <v/>
      </c>
      <c r="Q143" s="35">
        <f>IF($A143&gt;NYears*12,"",IF($D143=12,MIN(WdrPct*IF(WdrBase="Post-tax profit",$K143-$P143,$K143),WdrCap),0))</f>
        <v/>
      </c>
      <c r="R143" s="35">
        <f>IF($A143&gt;NYears*12,"",$F143+$J143-$O143-$Q143)</f>
        <v/>
      </c>
      <c r="S143" s="33">
        <f>IF($A143&gt;NYears*12,"",INT($R143/$E143))</f>
        <v/>
      </c>
    </row>
    <row r="144">
      <c r="A144" s="33">
        <f>140</f>
        <v/>
      </c>
      <c r="B144" s="34">
        <f>IF($A144&gt;NYears*12,"",EDATE(StartMonth,$A144-1))</f>
        <v/>
      </c>
      <c r="C144" s="33">
        <f>IF($A144&gt;NYears*12,"",INT(($A144-1)/12)+1)</f>
        <v/>
      </c>
      <c r="D144" s="33">
        <f>IF($A144&gt;NYears*12,"",MOD($A144-1,12)+1)</f>
        <v/>
      </c>
      <c r="E144" s="35">
        <f>IF($A144&gt;NYears*12,"",LotValue0*(1+LotGrowth)^($C144-1))</f>
        <v/>
      </c>
      <c r="F144" s="35">
        <f>IF($A144&gt;NYears*12,"",IF($A144=1,InitInvest,$R143))</f>
        <v/>
      </c>
      <c r="G144" s="33">
        <f>IF($A144&gt;NYears*12,"",INT($F144/$E144))</f>
        <v/>
      </c>
      <c r="H144" s="35">
        <f>IF($A144&gt;NYears*12,"",$G144*$E144)</f>
        <v/>
      </c>
      <c r="I144" s="35">
        <f>IF($A144&gt;NYears*12,"",$F144-$H144)</f>
        <v/>
      </c>
      <c r="J144" s="35">
        <f>IF($A144&gt;NYears*12,"",$H144*RateA)</f>
        <v/>
      </c>
      <c r="K144" s="35">
        <f>IF($A144&gt;NYears*12,"",IF($D144=1,$J144,$K143+$J144))</f>
        <v/>
      </c>
      <c r="L144" s="35">
        <f>IF($A144&gt;NYears*12,"",IF(MOD($D144,3)=0,SUM($J142:$J144),0))</f>
        <v/>
      </c>
      <c r="M144" s="35">
        <f>IF($A144&gt;NYears*12,"",IF(TaxFreq="Quarterly",$K144*12/$D144,$K144))</f>
        <v/>
      </c>
      <c r="N144" s="36">
        <f>IF($A144&gt;NYears*12,"",LOOKUP($M144,TaxLower,TaxRate))</f>
        <v/>
      </c>
      <c r="O144" s="35">
        <f>IF($A144&gt;NYears*12,"",IF(TaxFreq="Quarterly",IF(MOD($D144,3)=0,$L144*$N144,0),IF($D144=12,$K144*$N144,0)))</f>
        <v/>
      </c>
      <c r="P144" s="35">
        <f>IF($A144&gt;NYears*12,"",IF($D144=1,$O144,$P143+$O144))</f>
        <v/>
      </c>
      <c r="Q144" s="35">
        <f>IF($A144&gt;NYears*12,"",IF($D144=12,MIN(WdrPct*IF(WdrBase="Post-tax profit",$K144-$P144,$K144),WdrCap),0))</f>
        <v/>
      </c>
      <c r="R144" s="35">
        <f>IF($A144&gt;NYears*12,"",$F144+$J144-$O144-$Q144)</f>
        <v/>
      </c>
      <c r="S144" s="33">
        <f>IF($A144&gt;NYears*12,"",INT($R144/$E144))</f>
        <v/>
      </c>
    </row>
    <row r="145">
      <c r="A145" s="33">
        <f>141</f>
        <v/>
      </c>
      <c r="B145" s="34">
        <f>IF($A145&gt;NYears*12,"",EDATE(StartMonth,$A145-1))</f>
        <v/>
      </c>
      <c r="C145" s="33">
        <f>IF($A145&gt;NYears*12,"",INT(($A145-1)/12)+1)</f>
        <v/>
      </c>
      <c r="D145" s="33">
        <f>IF($A145&gt;NYears*12,"",MOD($A145-1,12)+1)</f>
        <v/>
      </c>
      <c r="E145" s="35">
        <f>IF($A145&gt;NYears*12,"",LotValue0*(1+LotGrowth)^($C145-1))</f>
        <v/>
      </c>
      <c r="F145" s="35">
        <f>IF($A145&gt;NYears*12,"",IF($A145=1,InitInvest,$R144))</f>
        <v/>
      </c>
      <c r="G145" s="33">
        <f>IF($A145&gt;NYears*12,"",INT($F145/$E145))</f>
        <v/>
      </c>
      <c r="H145" s="35">
        <f>IF($A145&gt;NYears*12,"",$G145*$E145)</f>
        <v/>
      </c>
      <c r="I145" s="35">
        <f>IF($A145&gt;NYears*12,"",$F145-$H145)</f>
        <v/>
      </c>
      <c r="J145" s="35">
        <f>IF($A145&gt;NYears*12,"",$H145*RateA)</f>
        <v/>
      </c>
      <c r="K145" s="35">
        <f>IF($A145&gt;NYears*12,"",IF($D145=1,$J145,$K144+$J145))</f>
        <v/>
      </c>
      <c r="L145" s="35">
        <f>IF($A145&gt;NYears*12,"",IF(MOD($D145,3)=0,SUM($J143:$J145),0))</f>
        <v/>
      </c>
      <c r="M145" s="35">
        <f>IF($A145&gt;NYears*12,"",IF(TaxFreq="Quarterly",$K145*12/$D145,$K145))</f>
        <v/>
      </c>
      <c r="N145" s="36">
        <f>IF($A145&gt;NYears*12,"",LOOKUP($M145,TaxLower,TaxRate))</f>
        <v/>
      </c>
      <c r="O145" s="35">
        <f>IF($A145&gt;NYears*12,"",IF(TaxFreq="Quarterly",IF(MOD($D145,3)=0,$L145*$N145,0),IF($D145=12,$K145*$N145,0)))</f>
        <v/>
      </c>
      <c r="P145" s="35">
        <f>IF($A145&gt;NYears*12,"",IF($D145=1,$O145,$P144+$O145))</f>
        <v/>
      </c>
      <c r="Q145" s="35">
        <f>IF($A145&gt;NYears*12,"",IF($D145=12,MIN(WdrPct*IF(WdrBase="Post-tax profit",$K145-$P145,$K145),WdrCap),0))</f>
        <v/>
      </c>
      <c r="R145" s="35">
        <f>IF($A145&gt;NYears*12,"",$F145+$J145-$O145-$Q145)</f>
        <v/>
      </c>
      <c r="S145" s="33">
        <f>IF($A145&gt;NYears*12,"",INT($R145/$E145))</f>
        <v/>
      </c>
    </row>
    <row r="146">
      <c r="A146" s="33">
        <f>142</f>
        <v/>
      </c>
      <c r="B146" s="34">
        <f>IF($A146&gt;NYears*12,"",EDATE(StartMonth,$A146-1))</f>
        <v/>
      </c>
      <c r="C146" s="33">
        <f>IF($A146&gt;NYears*12,"",INT(($A146-1)/12)+1)</f>
        <v/>
      </c>
      <c r="D146" s="33">
        <f>IF($A146&gt;NYears*12,"",MOD($A146-1,12)+1)</f>
        <v/>
      </c>
      <c r="E146" s="35">
        <f>IF($A146&gt;NYears*12,"",LotValue0*(1+LotGrowth)^($C146-1))</f>
        <v/>
      </c>
      <c r="F146" s="35">
        <f>IF($A146&gt;NYears*12,"",IF($A146=1,InitInvest,$R145))</f>
        <v/>
      </c>
      <c r="G146" s="33">
        <f>IF($A146&gt;NYears*12,"",INT($F146/$E146))</f>
        <v/>
      </c>
      <c r="H146" s="35">
        <f>IF($A146&gt;NYears*12,"",$G146*$E146)</f>
        <v/>
      </c>
      <c r="I146" s="35">
        <f>IF($A146&gt;NYears*12,"",$F146-$H146)</f>
        <v/>
      </c>
      <c r="J146" s="35">
        <f>IF($A146&gt;NYears*12,"",$H146*RateA)</f>
        <v/>
      </c>
      <c r="K146" s="35">
        <f>IF($A146&gt;NYears*12,"",IF($D146=1,$J146,$K145+$J146))</f>
        <v/>
      </c>
      <c r="L146" s="35">
        <f>IF($A146&gt;NYears*12,"",IF(MOD($D146,3)=0,SUM($J144:$J146),0))</f>
        <v/>
      </c>
      <c r="M146" s="35">
        <f>IF($A146&gt;NYears*12,"",IF(TaxFreq="Quarterly",$K146*12/$D146,$K146))</f>
        <v/>
      </c>
      <c r="N146" s="36">
        <f>IF($A146&gt;NYears*12,"",LOOKUP($M146,TaxLower,TaxRate))</f>
        <v/>
      </c>
      <c r="O146" s="35">
        <f>IF($A146&gt;NYears*12,"",IF(TaxFreq="Quarterly",IF(MOD($D146,3)=0,$L146*$N146,0),IF($D146=12,$K146*$N146,0)))</f>
        <v/>
      </c>
      <c r="P146" s="35">
        <f>IF($A146&gt;NYears*12,"",IF($D146=1,$O146,$P145+$O146))</f>
        <v/>
      </c>
      <c r="Q146" s="35">
        <f>IF($A146&gt;NYears*12,"",IF($D146=12,MIN(WdrPct*IF(WdrBase="Post-tax profit",$K146-$P146,$K146),WdrCap),0))</f>
        <v/>
      </c>
      <c r="R146" s="35">
        <f>IF($A146&gt;NYears*12,"",$F146+$J146-$O146-$Q146)</f>
        <v/>
      </c>
      <c r="S146" s="33">
        <f>IF($A146&gt;NYears*12,"",INT($R146/$E146))</f>
        <v/>
      </c>
    </row>
    <row r="147">
      <c r="A147" s="33">
        <f>143</f>
        <v/>
      </c>
      <c r="B147" s="34">
        <f>IF($A147&gt;NYears*12,"",EDATE(StartMonth,$A147-1))</f>
        <v/>
      </c>
      <c r="C147" s="33">
        <f>IF($A147&gt;NYears*12,"",INT(($A147-1)/12)+1)</f>
        <v/>
      </c>
      <c r="D147" s="33">
        <f>IF($A147&gt;NYears*12,"",MOD($A147-1,12)+1)</f>
        <v/>
      </c>
      <c r="E147" s="35">
        <f>IF($A147&gt;NYears*12,"",LotValue0*(1+LotGrowth)^($C147-1))</f>
        <v/>
      </c>
      <c r="F147" s="35">
        <f>IF($A147&gt;NYears*12,"",IF($A147=1,InitInvest,$R146))</f>
        <v/>
      </c>
      <c r="G147" s="33">
        <f>IF($A147&gt;NYears*12,"",INT($F147/$E147))</f>
        <v/>
      </c>
      <c r="H147" s="35">
        <f>IF($A147&gt;NYears*12,"",$G147*$E147)</f>
        <v/>
      </c>
      <c r="I147" s="35">
        <f>IF($A147&gt;NYears*12,"",$F147-$H147)</f>
        <v/>
      </c>
      <c r="J147" s="35">
        <f>IF($A147&gt;NYears*12,"",$H147*RateA)</f>
        <v/>
      </c>
      <c r="K147" s="35">
        <f>IF($A147&gt;NYears*12,"",IF($D147=1,$J147,$K146+$J147))</f>
        <v/>
      </c>
      <c r="L147" s="35">
        <f>IF($A147&gt;NYears*12,"",IF(MOD($D147,3)=0,SUM($J145:$J147),0))</f>
        <v/>
      </c>
      <c r="M147" s="35">
        <f>IF($A147&gt;NYears*12,"",IF(TaxFreq="Quarterly",$K147*12/$D147,$K147))</f>
        <v/>
      </c>
      <c r="N147" s="36">
        <f>IF($A147&gt;NYears*12,"",LOOKUP($M147,TaxLower,TaxRate))</f>
        <v/>
      </c>
      <c r="O147" s="35">
        <f>IF($A147&gt;NYears*12,"",IF(TaxFreq="Quarterly",IF(MOD($D147,3)=0,$L147*$N147,0),IF($D147=12,$K147*$N147,0)))</f>
        <v/>
      </c>
      <c r="P147" s="35">
        <f>IF($A147&gt;NYears*12,"",IF($D147=1,$O147,$P146+$O147))</f>
        <v/>
      </c>
      <c r="Q147" s="35">
        <f>IF($A147&gt;NYears*12,"",IF($D147=12,MIN(WdrPct*IF(WdrBase="Post-tax profit",$K147-$P147,$K147),WdrCap),0))</f>
        <v/>
      </c>
      <c r="R147" s="35">
        <f>IF($A147&gt;NYears*12,"",$F147+$J147-$O147-$Q147)</f>
        <v/>
      </c>
      <c r="S147" s="33">
        <f>IF($A147&gt;NYears*12,"",INT($R147/$E147))</f>
        <v/>
      </c>
    </row>
    <row r="148">
      <c r="A148" s="37">
        <f>144</f>
        <v/>
      </c>
      <c r="B148" s="38">
        <f>IF($A148&gt;NYears*12,"",EDATE(StartMonth,$A148-1))</f>
        <v/>
      </c>
      <c r="C148" s="37">
        <f>IF($A148&gt;NYears*12,"",INT(($A148-1)/12)+1)</f>
        <v/>
      </c>
      <c r="D148" s="37">
        <f>IF($A148&gt;NYears*12,"",MOD($A148-1,12)+1)</f>
        <v/>
      </c>
      <c r="E148" s="39">
        <f>IF($A148&gt;NYears*12,"",LotValue0*(1+LotGrowth)^($C148-1))</f>
        <v/>
      </c>
      <c r="F148" s="39">
        <f>IF($A148&gt;NYears*12,"",IF($A148=1,InitInvest,$R147))</f>
        <v/>
      </c>
      <c r="G148" s="37">
        <f>IF($A148&gt;NYears*12,"",INT($F148/$E148))</f>
        <v/>
      </c>
      <c r="H148" s="39">
        <f>IF($A148&gt;NYears*12,"",$G148*$E148)</f>
        <v/>
      </c>
      <c r="I148" s="39">
        <f>IF($A148&gt;NYears*12,"",$F148-$H148)</f>
        <v/>
      </c>
      <c r="J148" s="39">
        <f>IF($A148&gt;NYears*12,"",$H148*RateA)</f>
        <v/>
      </c>
      <c r="K148" s="39">
        <f>IF($A148&gt;NYears*12,"",IF($D148=1,$J148,$K147+$J148))</f>
        <v/>
      </c>
      <c r="L148" s="39">
        <f>IF($A148&gt;NYears*12,"",IF(MOD($D148,3)=0,SUM($J146:$J148),0))</f>
        <v/>
      </c>
      <c r="M148" s="39">
        <f>IF($A148&gt;NYears*12,"",IF(TaxFreq="Quarterly",$K148*12/$D148,$K148))</f>
        <v/>
      </c>
      <c r="N148" s="40">
        <f>IF($A148&gt;NYears*12,"",LOOKUP($M148,TaxLower,TaxRate))</f>
        <v/>
      </c>
      <c r="O148" s="39">
        <f>IF($A148&gt;NYears*12,"",IF(TaxFreq="Quarterly",IF(MOD($D148,3)=0,$L148*$N148,0),IF($D148=12,$K148*$N148,0)))</f>
        <v/>
      </c>
      <c r="P148" s="39">
        <f>IF($A148&gt;NYears*12,"",IF($D148=1,$O148,$P147+$O148))</f>
        <v/>
      </c>
      <c r="Q148" s="39">
        <f>IF($A148&gt;NYears*12,"",IF($D148=12,MIN(WdrPct*IF(WdrBase="Post-tax profit",$K148-$P148,$K148),WdrCap),0))</f>
        <v/>
      </c>
      <c r="R148" s="39">
        <f>IF($A148&gt;NYears*12,"",$F148+$J148-$O148-$Q148)</f>
        <v/>
      </c>
      <c r="S148" s="37">
        <f>IF($A148&gt;NYears*12,"",INT($R148/$E148))</f>
        <v/>
      </c>
    </row>
    <row r="149">
      <c r="A149" s="33">
        <f>145</f>
        <v/>
      </c>
      <c r="B149" s="34">
        <f>IF($A149&gt;NYears*12,"",EDATE(StartMonth,$A149-1))</f>
        <v/>
      </c>
      <c r="C149" s="33">
        <f>IF($A149&gt;NYears*12,"",INT(($A149-1)/12)+1)</f>
        <v/>
      </c>
      <c r="D149" s="33">
        <f>IF($A149&gt;NYears*12,"",MOD($A149-1,12)+1)</f>
        <v/>
      </c>
      <c r="E149" s="35">
        <f>IF($A149&gt;NYears*12,"",LotValue0*(1+LotGrowth)^($C149-1))</f>
        <v/>
      </c>
      <c r="F149" s="35">
        <f>IF($A149&gt;NYears*12,"",IF($A149=1,InitInvest,$R148))</f>
        <v/>
      </c>
      <c r="G149" s="33">
        <f>IF($A149&gt;NYears*12,"",INT($F149/$E149))</f>
        <v/>
      </c>
      <c r="H149" s="35">
        <f>IF($A149&gt;NYears*12,"",$G149*$E149)</f>
        <v/>
      </c>
      <c r="I149" s="35">
        <f>IF($A149&gt;NYears*12,"",$F149-$H149)</f>
        <v/>
      </c>
      <c r="J149" s="35">
        <f>IF($A149&gt;NYears*12,"",$H149*RateA)</f>
        <v/>
      </c>
      <c r="K149" s="35">
        <f>IF($A149&gt;NYears*12,"",IF($D149=1,$J149,$K148+$J149))</f>
        <v/>
      </c>
      <c r="L149" s="35">
        <f>IF($A149&gt;NYears*12,"",IF(MOD($D149,3)=0,SUM($J147:$J149),0))</f>
        <v/>
      </c>
      <c r="M149" s="35">
        <f>IF($A149&gt;NYears*12,"",IF(TaxFreq="Quarterly",$K149*12/$D149,$K149))</f>
        <v/>
      </c>
      <c r="N149" s="36">
        <f>IF($A149&gt;NYears*12,"",LOOKUP($M149,TaxLower,TaxRate))</f>
        <v/>
      </c>
      <c r="O149" s="35">
        <f>IF($A149&gt;NYears*12,"",IF(TaxFreq="Quarterly",IF(MOD($D149,3)=0,$L149*$N149,0),IF($D149=12,$K149*$N149,0)))</f>
        <v/>
      </c>
      <c r="P149" s="35">
        <f>IF($A149&gt;NYears*12,"",IF($D149=1,$O149,$P148+$O149))</f>
        <v/>
      </c>
      <c r="Q149" s="35">
        <f>IF($A149&gt;NYears*12,"",IF($D149=12,MIN(WdrPct*IF(WdrBase="Post-tax profit",$K149-$P149,$K149),WdrCap),0))</f>
        <v/>
      </c>
      <c r="R149" s="35">
        <f>IF($A149&gt;NYears*12,"",$F149+$J149-$O149-$Q149)</f>
        <v/>
      </c>
      <c r="S149" s="33">
        <f>IF($A149&gt;NYears*12,"",INT($R149/$E149))</f>
        <v/>
      </c>
    </row>
    <row r="150">
      <c r="A150" s="33">
        <f>146</f>
        <v/>
      </c>
      <c r="B150" s="34">
        <f>IF($A150&gt;NYears*12,"",EDATE(StartMonth,$A150-1))</f>
        <v/>
      </c>
      <c r="C150" s="33">
        <f>IF($A150&gt;NYears*12,"",INT(($A150-1)/12)+1)</f>
        <v/>
      </c>
      <c r="D150" s="33">
        <f>IF($A150&gt;NYears*12,"",MOD($A150-1,12)+1)</f>
        <v/>
      </c>
      <c r="E150" s="35">
        <f>IF($A150&gt;NYears*12,"",LotValue0*(1+LotGrowth)^($C150-1))</f>
        <v/>
      </c>
      <c r="F150" s="35">
        <f>IF($A150&gt;NYears*12,"",IF($A150=1,InitInvest,$R149))</f>
        <v/>
      </c>
      <c r="G150" s="33">
        <f>IF($A150&gt;NYears*12,"",INT($F150/$E150))</f>
        <v/>
      </c>
      <c r="H150" s="35">
        <f>IF($A150&gt;NYears*12,"",$G150*$E150)</f>
        <v/>
      </c>
      <c r="I150" s="35">
        <f>IF($A150&gt;NYears*12,"",$F150-$H150)</f>
        <v/>
      </c>
      <c r="J150" s="35">
        <f>IF($A150&gt;NYears*12,"",$H150*RateA)</f>
        <v/>
      </c>
      <c r="K150" s="35">
        <f>IF($A150&gt;NYears*12,"",IF($D150=1,$J150,$K149+$J150))</f>
        <v/>
      </c>
      <c r="L150" s="35">
        <f>IF($A150&gt;NYears*12,"",IF(MOD($D150,3)=0,SUM($J148:$J150),0))</f>
        <v/>
      </c>
      <c r="M150" s="35">
        <f>IF($A150&gt;NYears*12,"",IF(TaxFreq="Quarterly",$K150*12/$D150,$K150))</f>
        <v/>
      </c>
      <c r="N150" s="36">
        <f>IF($A150&gt;NYears*12,"",LOOKUP($M150,TaxLower,TaxRate))</f>
        <v/>
      </c>
      <c r="O150" s="35">
        <f>IF($A150&gt;NYears*12,"",IF(TaxFreq="Quarterly",IF(MOD($D150,3)=0,$L150*$N150,0),IF($D150=12,$K150*$N150,0)))</f>
        <v/>
      </c>
      <c r="P150" s="35">
        <f>IF($A150&gt;NYears*12,"",IF($D150=1,$O150,$P149+$O150))</f>
        <v/>
      </c>
      <c r="Q150" s="35">
        <f>IF($A150&gt;NYears*12,"",IF($D150=12,MIN(WdrPct*IF(WdrBase="Post-tax profit",$K150-$P150,$K150),WdrCap),0))</f>
        <v/>
      </c>
      <c r="R150" s="35">
        <f>IF($A150&gt;NYears*12,"",$F150+$J150-$O150-$Q150)</f>
        <v/>
      </c>
      <c r="S150" s="33">
        <f>IF($A150&gt;NYears*12,"",INT($R150/$E150))</f>
        <v/>
      </c>
    </row>
    <row r="151">
      <c r="A151" s="33">
        <f>147</f>
        <v/>
      </c>
      <c r="B151" s="34">
        <f>IF($A151&gt;NYears*12,"",EDATE(StartMonth,$A151-1))</f>
        <v/>
      </c>
      <c r="C151" s="33">
        <f>IF($A151&gt;NYears*12,"",INT(($A151-1)/12)+1)</f>
        <v/>
      </c>
      <c r="D151" s="33">
        <f>IF($A151&gt;NYears*12,"",MOD($A151-1,12)+1)</f>
        <v/>
      </c>
      <c r="E151" s="35">
        <f>IF($A151&gt;NYears*12,"",LotValue0*(1+LotGrowth)^($C151-1))</f>
        <v/>
      </c>
      <c r="F151" s="35">
        <f>IF($A151&gt;NYears*12,"",IF($A151=1,InitInvest,$R150))</f>
        <v/>
      </c>
      <c r="G151" s="33">
        <f>IF($A151&gt;NYears*12,"",INT($F151/$E151))</f>
        <v/>
      </c>
      <c r="H151" s="35">
        <f>IF($A151&gt;NYears*12,"",$G151*$E151)</f>
        <v/>
      </c>
      <c r="I151" s="35">
        <f>IF($A151&gt;NYears*12,"",$F151-$H151)</f>
        <v/>
      </c>
      <c r="J151" s="35">
        <f>IF($A151&gt;NYears*12,"",$H151*RateA)</f>
        <v/>
      </c>
      <c r="K151" s="35">
        <f>IF($A151&gt;NYears*12,"",IF($D151=1,$J151,$K150+$J151))</f>
        <v/>
      </c>
      <c r="L151" s="35">
        <f>IF($A151&gt;NYears*12,"",IF(MOD($D151,3)=0,SUM($J149:$J151),0))</f>
        <v/>
      </c>
      <c r="M151" s="35">
        <f>IF($A151&gt;NYears*12,"",IF(TaxFreq="Quarterly",$K151*12/$D151,$K151))</f>
        <v/>
      </c>
      <c r="N151" s="36">
        <f>IF($A151&gt;NYears*12,"",LOOKUP($M151,TaxLower,TaxRate))</f>
        <v/>
      </c>
      <c r="O151" s="35">
        <f>IF($A151&gt;NYears*12,"",IF(TaxFreq="Quarterly",IF(MOD($D151,3)=0,$L151*$N151,0),IF($D151=12,$K151*$N151,0)))</f>
        <v/>
      </c>
      <c r="P151" s="35">
        <f>IF($A151&gt;NYears*12,"",IF($D151=1,$O151,$P150+$O151))</f>
        <v/>
      </c>
      <c r="Q151" s="35">
        <f>IF($A151&gt;NYears*12,"",IF($D151=12,MIN(WdrPct*IF(WdrBase="Post-tax profit",$K151-$P151,$K151),WdrCap),0))</f>
        <v/>
      </c>
      <c r="R151" s="35">
        <f>IF($A151&gt;NYears*12,"",$F151+$J151-$O151-$Q151)</f>
        <v/>
      </c>
      <c r="S151" s="33">
        <f>IF($A151&gt;NYears*12,"",INT($R151/$E151))</f>
        <v/>
      </c>
    </row>
    <row r="152">
      <c r="A152" s="33">
        <f>148</f>
        <v/>
      </c>
      <c r="B152" s="34">
        <f>IF($A152&gt;NYears*12,"",EDATE(StartMonth,$A152-1))</f>
        <v/>
      </c>
      <c r="C152" s="33">
        <f>IF($A152&gt;NYears*12,"",INT(($A152-1)/12)+1)</f>
        <v/>
      </c>
      <c r="D152" s="33">
        <f>IF($A152&gt;NYears*12,"",MOD($A152-1,12)+1)</f>
        <v/>
      </c>
      <c r="E152" s="35">
        <f>IF($A152&gt;NYears*12,"",LotValue0*(1+LotGrowth)^($C152-1))</f>
        <v/>
      </c>
      <c r="F152" s="35">
        <f>IF($A152&gt;NYears*12,"",IF($A152=1,InitInvest,$R151))</f>
        <v/>
      </c>
      <c r="G152" s="33">
        <f>IF($A152&gt;NYears*12,"",INT($F152/$E152))</f>
        <v/>
      </c>
      <c r="H152" s="35">
        <f>IF($A152&gt;NYears*12,"",$G152*$E152)</f>
        <v/>
      </c>
      <c r="I152" s="35">
        <f>IF($A152&gt;NYears*12,"",$F152-$H152)</f>
        <v/>
      </c>
      <c r="J152" s="35">
        <f>IF($A152&gt;NYears*12,"",$H152*RateA)</f>
        <v/>
      </c>
      <c r="K152" s="35">
        <f>IF($A152&gt;NYears*12,"",IF($D152=1,$J152,$K151+$J152))</f>
        <v/>
      </c>
      <c r="L152" s="35">
        <f>IF($A152&gt;NYears*12,"",IF(MOD($D152,3)=0,SUM($J150:$J152),0))</f>
        <v/>
      </c>
      <c r="M152" s="35">
        <f>IF($A152&gt;NYears*12,"",IF(TaxFreq="Quarterly",$K152*12/$D152,$K152))</f>
        <v/>
      </c>
      <c r="N152" s="36">
        <f>IF($A152&gt;NYears*12,"",LOOKUP($M152,TaxLower,TaxRate))</f>
        <v/>
      </c>
      <c r="O152" s="35">
        <f>IF($A152&gt;NYears*12,"",IF(TaxFreq="Quarterly",IF(MOD($D152,3)=0,$L152*$N152,0),IF($D152=12,$K152*$N152,0)))</f>
        <v/>
      </c>
      <c r="P152" s="35">
        <f>IF($A152&gt;NYears*12,"",IF($D152=1,$O152,$P151+$O152))</f>
        <v/>
      </c>
      <c r="Q152" s="35">
        <f>IF($A152&gt;NYears*12,"",IF($D152=12,MIN(WdrPct*IF(WdrBase="Post-tax profit",$K152-$P152,$K152),WdrCap),0))</f>
        <v/>
      </c>
      <c r="R152" s="35">
        <f>IF($A152&gt;NYears*12,"",$F152+$J152-$O152-$Q152)</f>
        <v/>
      </c>
      <c r="S152" s="33">
        <f>IF($A152&gt;NYears*12,"",INT($R152/$E152))</f>
        <v/>
      </c>
    </row>
    <row r="153">
      <c r="A153" s="33">
        <f>149</f>
        <v/>
      </c>
      <c r="B153" s="34">
        <f>IF($A153&gt;NYears*12,"",EDATE(StartMonth,$A153-1))</f>
        <v/>
      </c>
      <c r="C153" s="33">
        <f>IF($A153&gt;NYears*12,"",INT(($A153-1)/12)+1)</f>
        <v/>
      </c>
      <c r="D153" s="33">
        <f>IF($A153&gt;NYears*12,"",MOD($A153-1,12)+1)</f>
        <v/>
      </c>
      <c r="E153" s="35">
        <f>IF($A153&gt;NYears*12,"",LotValue0*(1+LotGrowth)^($C153-1))</f>
        <v/>
      </c>
      <c r="F153" s="35">
        <f>IF($A153&gt;NYears*12,"",IF($A153=1,InitInvest,$R152))</f>
        <v/>
      </c>
      <c r="G153" s="33">
        <f>IF($A153&gt;NYears*12,"",INT($F153/$E153))</f>
        <v/>
      </c>
      <c r="H153" s="35">
        <f>IF($A153&gt;NYears*12,"",$G153*$E153)</f>
        <v/>
      </c>
      <c r="I153" s="35">
        <f>IF($A153&gt;NYears*12,"",$F153-$H153)</f>
        <v/>
      </c>
      <c r="J153" s="35">
        <f>IF($A153&gt;NYears*12,"",$H153*RateA)</f>
        <v/>
      </c>
      <c r="K153" s="35">
        <f>IF($A153&gt;NYears*12,"",IF($D153=1,$J153,$K152+$J153))</f>
        <v/>
      </c>
      <c r="L153" s="35">
        <f>IF($A153&gt;NYears*12,"",IF(MOD($D153,3)=0,SUM($J151:$J153),0))</f>
        <v/>
      </c>
      <c r="M153" s="35">
        <f>IF($A153&gt;NYears*12,"",IF(TaxFreq="Quarterly",$K153*12/$D153,$K153))</f>
        <v/>
      </c>
      <c r="N153" s="36">
        <f>IF($A153&gt;NYears*12,"",LOOKUP($M153,TaxLower,TaxRate))</f>
        <v/>
      </c>
      <c r="O153" s="35">
        <f>IF($A153&gt;NYears*12,"",IF(TaxFreq="Quarterly",IF(MOD($D153,3)=0,$L153*$N153,0),IF($D153=12,$K153*$N153,0)))</f>
        <v/>
      </c>
      <c r="P153" s="35">
        <f>IF($A153&gt;NYears*12,"",IF($D153=1,$O153,$P152+$O153))</f>
        <v/>
      </c>
      <c r="Q153" s="35">
        <f>IF($A153&gt;NYears*12,"",IF($D153=12,MIN(WdrPct*IF(WdrBase="Post-tax profit",$K153-$P153,$K153),WdrCap),0))</f>
        <v/>
      </c>
      <c r="R153" s="35">
        <f>IF($A153&gt;NYears*12,"",$F153+$J153-$O153-$Q153)</f>
        <v/>
      </c>
      <c r="S153" s="33">
        <f>IF($A153&gt;NYears*12,"",INT($R153/$E153))</f>
        <v/>
      </c>
    </row>
    <row r="154">
      <c r="A154" s="33">
        <f>150</f>
        <v/>
      </c>
      <c r="B154" s="34">
        <f>IF($A154&gt;NYears*12,"",EDATE(StartMonth,$A154-1))</f>
        <v/>
      </c>
      <c r="C154" s="33">
        <f>IF($A154&gt;NYears*12,"",INT(($A154-1)/12)+1)</f>
        <v/>
      </c>
      <c r="D154" s="33">
        <f>IF($A154&gt;NYears*12,"",MOD($A154-1,12)+1)</f>
        <v/>
      </c>
      <c r="E154" s="35">
        <f>IF($A154&gt;NYears*12,"",LotValue0*(1+LotGrowth)^($C154-1))</f>
        <v/>
      </c>
      <c r="F154" s="35">
        <f>IF($A154&gt;NYears*12,"",IF($A154=1,InitInvest,$R153))</f>
        <v/>
      </c>
      <c r="G154" s="33">
        <f>IF($A154&gt;NYears*12,"",INT($F154/$E154))</f>
        <v/>
      </c>
      <c r="H154" s="35">
        <f>IF($A154&gt;NYears*12,"",$G154*$E154)</f>
        <v/>
      </c>
      <c r="I154" s="35">
        <f>IF($A154&gt;NYears*12,"",$F154-$H154)</f>
        <v/>
      </c>
      <c r="J154" s="35">
        <f>IF($A154&gt;NYears*12,"",$H154*RateA)</f>
        <v/>
      </c>
      <c r="K154" s="35">
        <f>IF($A154&gt;NYears*12,"",IF($D154=1,$J154,$K153+$J154))</f>
        <v/>
      </c>
      <c r="L154" s="35">
        <f>IF($A154&gt;NYears*12,"",IF(MOD($D154,3)=0,SUM($J152:$J154),0))</f>
        <v/>
      </c>
      <c r="M154" s="35">
        <f>IF($A154&gt;NYears*12,"",IF(TaxFreq="Quarterly",$K154*12/$D154,$K154))</f>
        <v/>
      </c>
      <c r="N154" s="36">
        <f>IF($A154&gt;NYears*12,"",LOOKUP($M154,TaxLower,TaxRate))</f>
        <v/>
      </c>
      <c r="O154" s="35">
        <f>IF($A154&gt;NYears*12,"",IF(TaxFreq="Quarterly",IF(MOD($D154,3)=0,$L154*$N154,0),IF($D154=12,$K154*$N154,0)))</f>
        <v/>
      </c>
      <c r="P154" s="35">
        <f>IF($A154&gt;NYears*12,"",IF($D154=1,$O154,$P153+$O154))</f>
        <v/>
      </c>
      <c r="Q154" s="35">
        <f>IF($A154&gt;NYears*12,"",IF($D154=12,MIN(WdrPct*IF(WdrBase="Post-tax profit",$K154-$P154,$K154),WdrCap),0))</f>
        <v/>
      </c>
      <c r="R154" s="35">
        <f>IF($A154&gt;NYears*12,"",$F154+$J154-$O154-$Q154)</f>
        <v/>
      </c>
      <c r="S154" s="33">
        <f>IF($A154&gt;NYears*12,"",INT($R154/$E154))</f>
        <v/>
      </c>
    </row>
    <row r="155">
      <c r="A155" s="33">
        <f>151</f>
        <v/>
      </c>
      <c r="B155" s="34">
        <f>IF($A155&gt;NYears*12,"",EDATE(StartMonth,$A155-1))</f>
        <v/>
      </c>
      <c r="C155" s="33">
        <f>IF($A155&gt;NYears*12,"",INT(($A155-1)/12)+1)</f>
        <v/>
      </c>
      <c r="D155" s="33">
        <f>IF($A155&gt;NYears*12,"",MOD($A155-1,12)+1)</f>
        <v/>
      </c>
      <c r="E155" s="35">
        <f>IF($A155&gt;NYears*12,"",LotValue0*(1+LotGrowth)^($C155-1))</f>
        <v/>
      </c>
      <c r="F155" s="35">
        <f>IF($A155&gt;NYears*12,"",IF($A155=1,InitInvest,$R154))</f>
        <v/>
      </c>
      <c r="G155" s="33">
        <f>IF($A155&gt;NYears*12,"",INT($F155/$E155))</f>
        <v/>
      </c>
      <c r="H155" s="35">
        <f>IF($A155&gt;NYears*12,"",$G155*$E155)</f>
        <v/>
      </c>
      <c r="I155" s="35">
        <f>IF($A155&gt;NYears*12,"",$F155-$H155)</f>
        <v/>
      </c>
      <c r="J155" s="35">
        <f>IF($A155&gt;NYears*12,"",$H155*RateA)</f>
        <v/>
      </c>
      <c r="K155" s="35">
        <f>IF($A155&gt;NYears*12,"",IF($D155=1,$J155,$K154+$J155))</f>
        <v/>
      </c>
      <c r="L155" s="35">
        <f>IF($A155&gt;NYears*12,"",IF(MOD($D155,3)=0,SUM($J153:$J155),0))</f>
        <v/>
      </c>
      <c r="M155" s="35">
        <f>IF($A155&gt;NYears*12,"",IF(TaxFreq="Quarterly",$K155*12/$D155,$K155))</f>
        <v/>
      </c>
      <c r="N155" s="36">
        <f>IF($A155&gt;NYears*12,"",LOOKUP($M155,TaxLower,TaxRate))</f>
        <v/>
      </c>
      <c r="O155" s="35">
        <f>IF($A155&gt;NYears*12,"",IF(TaxFreq="Quarterly",IF(MOD($D155,3)=0,$L155*$N155,0),IF($D155=12,$K155*$N155,0)))</f>
        <v/>
      </c>
      <c r="P155" s="35">
        <f>IF($A155&gt;NYears*12,"",IF($D155=1,$O155,$P154+$O155))</f>
        <v/>
      </c>
      <c r="Q155" s="35">
        <f>IF($A155&gt;NYears*12,"",IF($D155=12,MIN(WdrPct*IF(WdrBase="Post-tax profit",$K155-$P155,$K155),WdrCap),0))</f>
        <v/>
      </c>
      <c r="R155" s="35">
        <f>IF($A155&gt;NYears*12,"",$F155+$J155-$O155-$Q155)</f>
        <v/>
      </c>
      <c r="S155" s="33">
        <f>IF($A155&gt;NYears*12,"",INT($R155/$E155))</f>
        <v/>
      </c>
    </row>
    <row r="156">
      <c r="A156" s="33">
        <f>152</f>
        <v/>
      </c>
      <c r="B156" s="34">
        <f>IF($A156&gt;NYears*12,"",EDATE(StartMonth,$A156-1))</f>
        <v/>
      </c>
      <c r="C156" s="33">
        <f>IF($A156&gt;NYears*12,"",INT(($A156-1)/12)+1)</f>
        <v/>
      </c>
      <c r="D156" s="33">
        <f>IF($A156&gt;NYears*12,"",MOD($A156-1,12)+1)</f>
        <v/>
      </c>
      <c r="E156" s="35">
        <f>IF($A156&gt;NYears*12,"",LotValue0*(1+LotGrowth)^($C156-1))</f>
        <v/>
      </c>
      <c r="F156" s="35">
        <f>IF($A156&gt;NYears*12,"",IF($A156=1,InitInvest,$R155))</f>
        <v/>
      </c>
      <c r="G156" s="33">
        <f>IF($A156&gt;NYears*12,"",INT($F156/$E156))</f>
        <v/>
      </c>
      <c r="H156" s="35">
        <f>IF($A156&gt;NYears*12,"",$G156*$E156)</f>
        <v/>
      </c>
      <c r="I156" s="35">
        <f>IF($A156&gt;NYears*12,"",$F156-$H156)</f>
        <v/>
      </c>
      <c r="J156" s="35">
        <f>IF($A156&gt;NYears*12,"",$H156*RateA)</f>
        <v/>
      </c>
      <c r="K156" s="35">
        <f>IF($A156&gt;NYears*12,"",IF($D156=1,$J156,$K155+$J156))</f>
        <v/>
      </c>
      <c r="L156" s="35">
        <f>IF($A156&gt;NYears*12,"",IF(MOD($D156,3)=0,SUM($J154:$J156),0))</f>
        <v/>
      </c>
      <c r="M156" s="35">
        <f>IF($A156&gt;NYears*12,"",IF(TaxFreq="Quarterly",$K156*12/$D156,$K156))</f>
        <v/>
      </c>
      <c r="N156" s="36">
        <f>IF($A156&gt;NYears*12,"",LOOKUP($M156,TaxLower,TaxRate))</f>
        <v/>
      </c>
      <c r="O156" s="35">
        <f>IF($A156&gt;NYears*12,"",IF(TaxFreq="Quarterly",IF(MOD($D156,3)=0,$L156*$N156,0),IF($D156=12,$K156*$N156,0)))</f>
        <v/>
      </c>
      <c r="P156" s="35">
        <f>IF($A156&gt;NYears*12,"",IF($D156=1,$O156,$P155+$O156))</f>
        <v/>
      </c>
      <c r="Q156" s="35">
        <f>IF($A156&gt;NYears*12,"",IF($D156=12,MIN(WdrPct*IF(WdrBase="Post-tax profit",$K156-$P156,$K156),WdrCap),0))</f>
        <v/>
      </c>
      <c r="R156" s="35">
        <f>IF($A156&gt;NYears*12,"",$F156+$J156-$O156-$Q156)</f>
        <v/>
      </c>
      <c r="S156" s="33">
        <f>IF($A156&gt;NYears*12,"",INT($R156/$E156))</f>
        <v/>
      </c>
    </row>
    <row r="157">
      <c r="A157" s="33">
        <f>153</f>
        <v/>
      </c>
      <c r="B157" s="34">
        <f>IF($A157&gt;NYears*12,"",EDATE(StartMonth,$A157-1))</f>
        <v/>
      </c>
      <c r="C157" s="33">
        <f>IF($A157&gt;NYears*12,"",INT(($A157-1)/12)+1)</f>
        <v/>
      </c>
      <c r="D157" s="33">
        <f>IF($A157&gt;NYears*12,"",MOD($A157-1,12)+1)</f>
        <v/>
      </c>
      <c r="E157" s="35">
        <f>IF($A157&gt;NYears*12,"",LotValue0*(1+LotGrowth)^($C157-1))</f>
        <v/>
      </c>
      <c r="F157" s="35">
        <f>IF($A157&gt;NYears*12,"",IF($A157=1,InitInvest,$R156))</f>
        <v/>
      </c>
      <c r="G157" s="33">
        <f>IF($A157&gt;NYears*12,"",INT($F157/$E157))</f>
        <v/>
      </c>
      <c r="H157" s="35">
        <f>IF($A157&gt;NYears*12,"",$G157*$E157)</f>
        <v/>
      </c>
      <c r="I157" s="35">
        <f>IF($A157&gt;NYears*12,"",$F157-$H157)</f>
        <v/>
      </c>
      <c r="J157" s="35">
        <f>IF($A157&gt;NYears*12,"",$H157*RateA)</f>
        <v/>
      </c>
      <c r="K157" s="35">
        <f>IF($A157&gt;NYears*12,"",IF($D157=1,$J157,$K156+$J157))</f>
        <v/>
      </c>
      <c r="L157" s="35">
        <f>IF($A157&gt;NYears*12,"",IF(MOD($D157,3)=0,SUM($J155:$J157),0))</f>
        <v/>
      </c>
      <c r="M157" s="35">
        <f>IF($A157&gt;NYears*12,"",IF(TaxFreq="Quarterly",$K157*12/$D157,$K157))</f>
        <v/>
      </c>
      <c r="N157" s="36">
        <f>IF($A157&gt;NYears*12,"",LOOKUP($M157,TaxLower,TaxRate))</f>
        <v/>
      </c>
      <c r="O157" s="35">
        <f>IF($A157&gt;NYears*12,"",IF(TaxFreq="Quarterly",IF(MOD($D157,3)=0,$L157*$N157,0),IF($D157=12,$K157*$N157,0)))</f>
        <v/>
      </c>
      <c r="P157" s="35">
        <f>IF($A157&gt;NYears*12,"",IF($D157=1,$O157,$P156+$O157))</f>
        <v/>
      </c>
      <c r="Q157" s="35">
        <f>IF($A157&gt;NYears*12,"",IF($D157=12,MIN(WdrPct*IF(WdrBase="Post-tax profit",$K157-$P157,$K157),WdrCap),0))</f>
        <v/>
      </c>
      <c r="R157" s="35">
        <f>IF($A157&gt;NYears*12,"",$F157+$J157-$O157-$Q157)</f>
        <v/>
      </c>
      <c r="S157" s="33">
        <f>IF($A157&gt;NYears*12,"",INT($R157/$E157))</f>
        <v/>
      </c>
    </row>
    <row r="158">
      <c r="A158" s="33">
        <f>154</f>
        <v/>
      </c>
      <c r="B158" s="34">
        <f>IF($A158&gt;NYears*12,"",EDATE(StartMonth,$A158-1))</f>
        <v/>
      </c>
      <c r="C158" s="33">
        <f>IF($A158&gt;NYears*12,"",INT(($A158-1)/12)+1)</f>
        <v/>
      </c>
      <c r="D158" s="33">
        <f>IF($A158&gt;NYears*12,"",MOD($A158-1,12)+1)</f>
        <v/>
      </c>
      <c r="E158" s="35">
        <f>IF($A158&gt;NYears*12,"",LotValue0*(1+LotGrowth)^($C158-1))</f>
        <v/>
      </c>
      <c r="F158" s="35">
        <f>IF($A158&gt;NYears*12,"",IF($A158=1,InitInvest,$R157))</f>
        <v/>
      </c>
      <c r="G158" s="33">
        <f>IF($A158&gt;NYears*12,"",INT($F158/$E158))</f>
        <v/>
      </c>
      <c r="H158" s="35">
        <f>IF($A158&gt;NYears*12,"",$G158*$E158)</f>
        <v/>
      </c>
      <c r="I158" s="35">
        <f>IF($A158&gt;NYears*12,"",$F158-$H158)</f>
        <v/>
      </c>
      <c r="J158" s="35">
        <f>IF($A158&gt;NYears*12,"",$H158*RateA)</f>
        <v/>
      </c>
      <c r="K158" s="35">
        <f>IF($A158&gt;NYears*12,"",IF($D158=1,$J158,$K157+$J158))</f>
        <v/>
      </c>
      <c r="L158" s="35">
        <f>IF($A158&gt;NYears*12,"",IF(MOD($D158,3)=0,SUM($J156:$J158),0))</f>
        <v/>
      </c>
      <c r="M158" s="35">
        <f>IF($A158&gt;NYears*12,"",IF(TaxFreq="Quarterly",$K158*12/$D158,$K158))</f>
        <v/>
      </c>
      <c r="N158" s="36">
        <f>IF($A158&gt;NYears*12,"",LOOKUP($M158,TaxLower,TaxRate))</f>
        <v/>
      </c>
      <c r="O158" s="35">
        <f>IF($A158&gt;NYears*12,"",IF(TaxFreq="Quarterly",IF(MOD($D158,3)=0,$L158*$N158,0),IF($D158=12,$K158*$N158,0)))</f>
        <v/>
      </c>
      <c r="P158" s="35">
        <f>IF($A158&gt;NYears*12,"",IF($D158=1,$O158,$P157+$O158))</f>
        <v/>
      </c>
      <c r="Q158" s="35">
        <f>IF($A158&gt;NYears*12,"",IF($D158=12,MIN(WdrPct*IF(WdrBase="Post-tax profit",$K158-$P158,$K158),WdrCap),0))</f>
        <v/>
      </c>
      <c r="R158" s="35">
        <f>IF($A158&gt;NYears*12,"",$F158+$J158-$O158-$Q158)</f>
        <v/>
      </c>
      <c r="S158" s="33">
        <f>IF($A158&gt;NYears*12,"",INT($R158/$E158))</f>
        <v/>
      </c>
    </row>
    <row r="159">
      <c r="A159" s="33">
        <f>155</f>
        <v/>
      </c>
      <c r="B159" s="34">
        <f>IF($A159&gt;NYears*12,"",EDATE(StartMonth,$A159-1))</f>
        <v/>
      </c>
      <c r="C159" s="33">
        <f>IF($A159&gt;NYears*12,"",INT(($A159-1)/12)+1)</f>
        <v/>
      </c>
      <c r="D159" s="33">
        <f>IF($A159&gt;NYears*12,"",MOD($A159-1,12)+1)</f>
        <v/>
      </c>
      <c r="E159" s="35">
        <f>IF($A159&gt;NYears*12,"",LotValue0*(1+LotGrowth)^($C159-1))</f>
        <v/>
      </c>
      <c r="F159" s="35">
        <f>IF($A159&gt;NYears*12,"",IF($A159=1,InitInvest,$R158))</f>
        <v/>
      </c>
      <c r="G159" s="33">
        <f>IF($A159&gt;NYears*12,"",INT($F159/$E159))</f>
        <v/>
      </c>
      <c r="H159" s="35">
        <f>IF($A159&gt;NYears*12,"",$G159*$E159)</f>
        <v/>
      </c>
      <c r="I159" s="35">
        <f>IF($A159&gt;NYears*12,"",$F159-$H159)</f>
        <v/>
      </c>
      <c r="J159" s="35">
        <f>IF($A159&gt;NYears*12,"",$H159*RateA)</f>
        <v/>
      </c>
      <c r="K159" s="35">
        <f>IF($A159&gt;NYears*12,"",IF($D159=1,$J159,$K158+$J159))</f>
        <v/>
      </c>
      <c r="L159" s="35">
        <f>IF($A159&gt;NYears*12,"",IF(MOD($D159,3)=0,SUM($J157:$J159),0))</f>
        <v/>
      </c>
      <c r="M159" s="35">
        <f>IF($A159&gt;NYears*12,"",IF(TaxFreq="Quarterly",$K159*12/$D159,$K159))</f>
        <v/>
      </c>
      <c r="N159" s="36">
        <f>IF($A159&gt;NYears*12,"",LOOKUP($M159,TaxLower,TaxRate))</f>
        <v/>
      </c>
      <c r="O159" s="35">
        <f>IF($A159&gt;NYears*12,"",IF(TaxFreq="Quarterly",IF(MOD($D159,3)=0,$L159*$N159,0),IF($D159=12,$K159*$N159,0)))</f>
        <v/>
      </c>
      <c r="P159" s="35">
        <f>IF($A159&gt;NYears*12,"",IF($D159=1,$O159,$P158+$O159))</f>
        <v/>
      </c>
      <c r="Q159" s="35">
        <f>IF($A159&gt;NYears*12,"",IF($D159=12,MIN(WdrPct*IF(WdrBase="Post-tax profit",$K159-$P159,$K159),WdrCap),0))</f>
        <v/>
      </c>
      <c r="R159" s="35">
        <f>IF($A159&gt;NYears*12,"",$F159+$J159-$O159-$Q159)</f>
        <v/>
      </c>
      <c r="S159" s="33">
        <f>IF($A159&gt;NYears*12,"",INT($R159/$E159))</f>
        <v/>
      </c>
    </row>
    <row r="160">
      <c r="A160" s="37">
        <f>156</f>
        <v/>
      </c>
      <c r="B160" s="38">
        <f>IF($A160&gt;NYears*12,"",EDATE(StartMonth,$A160-1))</f>
        <v/>
      </c>
      <c r="C160" s="37">
        <f>IF($A160&gt;NYears*12,"",INT(($A160-1)/12)+1)</f>
        <v/>
      </c>
      <c r="D160" s="37">
        <f>IF($A160&gt;NYears*12,"",MOD($A160-1,12)+1)</f>
        <v/>
      </c>
      <c r="E160" s="39">
        <f>IF($A160&gt;NYears*12,"",LotValue0*(1+LotGrowth)^($C160-1))</f>
        <v/>
      </c>
      <c r="F160" s="39">
        <f>IF($A160&gt;NYears*12,"",IF($A160=1,InitInvest,$R159))</f>
        <v/>
      </c>
      <c r="G160" s="37">
        <f>IF($A160&gt;NYears*12,"",INT($F160/$E160))</f>
        <v/>
      </c>
      <c r="H160" s="39">
        <f>IF($A160&gt;NYears*12,"",$G160*$E160)</f>
        <v/>
      </c>
      <c r="I160" s="39">
        <f>IF($A160&gt;NYears*12,"",$F160-$H160)</f>
        <v/>
      </c>
      <c r="J160" s="39">
        <f>IF($A160&gt;NYears*12,"",$H160*RateA)</f>
        <v/>
      </c>
      <c r="K160" s="39">
        <f>IF($A160&gt;NYears*12,"",IF($D160=1,$J160,$K159+$J160))</f>
        <v/>
      </c>
      <c r="L160" s="39">
        <f>IF($A160&gt;NYears*12,"",IF(MOD($D160,3)=0,SUM($J158:$J160),0))</f>
        <v/>
      </c>
      <c r="M160" s="39">
        <f>IF($A160&gt;NYears*12,"",IF(TaxFreq="Quarterly",$K160*12/$D160,$K160))</f>
        <v/>
      </c>
      <c r="N160" s="40">
        <f>IF($A160&gt;NYears*12,"",LOOKUP($M160,TaxLower,TaxRate))</f>
        <v/>
      </c>
      <c r="O160" s="39">
        <f>IF($A160&gt;NYears*12,"",IF(TaxFreq="Quarterly",IF(MOD($D160,3)=0,$L160*$N160,0),IF($D160=12,$K160*$N160,0)))</f>
        <v/>
      </c>
      <c r="P160" s="39">
        <f>IF($A160&gt;NYears*12,"",IF($D160=1,$O160,$P159+$O160))</f>
        <v/>
      </c>
      <c r="Q160" s="39">
        <f>IF($A160&gt;NYears*12,"",IF($D160=12,MIN(WdrPct*IF(WdrBase="Post-tax profit",$K160-$P160,$K160),WdrCap),0))</f>
        <v/>
      </c>
      <c r="R160" s="39">
        <f>IF($A160&gt;NYears*12,"",$F160+$J160-$O160-$Q160)</f>
        <v/>
      </c>
      <c r="S160" s="37">
        <f>IF($A160&gt;NYears*12,"",INT($R160/$E160))</f>
        <v/>
      </c>
    </row>
    <row r="161">
      <c r="A161" s="33">
        <f>157</f>
        <v/>
      </c>
      <c r="B161" s="34">
        <f>IF($A161&gt;NYears*12,"",EDATE(StartMonth,$A161-1))</f>
        <v/>
      </c>
      <c r="C161" s="33">
        <f>IF($A161&gt;NYears*12,"",INT(($A161-1)/12)+1)</f>
        <v/>
      </c>
      <c r="D161" s="33">
        <f>IF($A161&gt;NYears*12,"",MOD($A161-1,12)+1)</f>
        <v/>
      </c>
      <c r="E161" s="35">
        <f>IF($A161&gt;NYears*12,"",LotValue0*(1+LotGrowth)^($C161-1))</f>
        <v/>
      </c>
      <c r="F161" s="35">
        <f>IF($A161&gt;NYears*12,"",IF($A161=1,InitInvest,$R160))</f>
        <v/>
      </c>
      <c r="G161" s="33">
        <f>IF($A161&gt;NYears*12,"",INT($F161/$E161))</f>
        <v/>
      </c>
      <c r="H161" s="35">
        <f>IF($A161&gt;NYears*12,"",$G161*$E161)</f>
        <v/>
      </c>
      <c r="I161" s="35">
        <f>IF($A161&gt;NYears*12,"",$F161-$H161)</f>
        <v/>
      </c>
      <c r="J161" s="35">
        <f>IF($A161&gt;NYears*12,"",$H161*RateA)</f>
        <v/>
      </c>
      <c r="K161" s="35">
        <f>IF($A161&gt;NYears*12,"",IF($D161=1,$J161,$K160+$J161))</f>
        <v/>
      </c>
      <c r="L161" s="35">
        <f>IF($A161&gt;NYears*12,"",IF(MOD($D161,3)=0,SUM($J159:$J161),0))</f>
        <v/>
      </c>
      <c r="M161" s="35">
        <f>IF($A161&gt;NYears*12,"",IF(TaxFreq="Quarterly",$K161*12/$D161,$K161))</f>
        <v/>
      </c>
      <c r="N161" s="36">
        <f>IF($A161&gt;NYears*12,"",LOOKUP($M161,TaxLower,TaxRate))</f>
        <v/>
      </c>
      <c r="O161" s="35">
        <f>IF($A161&gt;NYears*12,"",IF(TaxFreq="Quarterly",IF(MOD($D161,3)=0,$L161*$N161,0),IF($D161=12,$K161*$N161,0)))</f>
        <v/>
      </c>
      <c r="P161" s="35">
        <f>IF($A161&gt;NYears*12,"",IF($D161=1,$O161,$P160+$O161))</f>
        <v/>
      </c>
      <c r="Q161" s="35">
        <f>IF($A161&gt;NYears*12,"",IF($D161=12,MIN(WdrPct*IF(WdrBase="Post-tax profit",$K161-$P161,$K161),WdrCap),0))</f>
        <v/>
      </c>
      <c r="R161" s="35">
        <f>IF($A161&gt;NYears*12,"",$F161+$J161-$O161-$Q161)</f>
        <v/>
      </c>
      <c r="S161" s="33">
        <f>IF($A161&gt;NYears*12,"",INT($R161/$E161))</f>
        <v/>
      </c>
    </row>
    <row r="162">
      <c r="A162" s="33">
        <f>158</f>
        <v/>
      </c>
      <c r="B162" s="34">
        <f>IF($A162&gt;NYears*12,"",EDATE(StartMonth,$A162-1))</f>
        <v/>
      </c>
      <c r="C162" s="33">
        <f>IF($A162&gt;NYears*12,"",INT(($A162-1)/12)+1)</f>
        <v/>
      </c>
      <c r="D162" s="33">
        <f>IF($A162&gt;NYears*12,"",MOD($A162-1,12)+1)</f>
        <v/>
      </c>
      <c r="E162" s="35">
        <f>IF($A162&gt;NYears*12,"",LotValue0*(1+LotGrowth)^($C162-1))</f>
        <v/>
      </c>
      <c r="F162" s="35">
        <f>IF($A162&gt;NYears*12,"",IF($A162=1,InitInvest,$R161))</f>
        <v/>
      </c>
      <c r="G162" s="33">
        <f>IF($A162&gt;NYears*12,"",INT($F162/$E162))</f>
        <v/>
      </c>
      <c r="H162" s="35">
        <f>IF($A162&gt;NYears*12,"",$G162*$E162)</f>
        <v/>
      </c>
      <c r="I162" s="35">
        <f>IF($A162&gt;NYears*12,"",$F162-$H162)</f>
        <v/>
      </c>
      <c r="J162" s="35">
        <f>IF($A162&gt;NYears*12,"",$H162*RateA)</f>
        <v/>
      </c>
      <c r="K162" s="35">
        <f>IF($A162&gt;NYears*12,"",IF($D162=1,$J162,$K161+$J162))</f>
        <v/>
      </c>
      <c r="L162" s="35">
        <f>IF($A162&gt;NYears*12,"",IF(MOD($D162,3)=0,SUM($J160:$J162),0))</f>
        <v/>
      </c>
      <c r="M162" s="35">
        <f>IF($A162&gt;NYears*12,"",IF(TaxFreq="Quarterly",$K162*12/$D162,$K162))</f>
        <v/>
      </c>
      <c r="N162" s="36">
        <f>IF($A162&gt;NYears*12,"",LOOKUP($M162,TaxLower,TaxRate))</f>
        <v/>
      </c>
      <c r="O162" s="35">
        <f>IF($A162&gt;NYears*12,"",IF(TaxFreq="Quarterly",IF(MOD($D162,3)=0,$L162*$N162,0),IF($D162=12,$K162*$N162,0)))</f>
        <v/>
      </c>
      <c r="P162" s="35">
        <f>IF($A162&gt;NYears*12,"",IF($D162=1,$O162,$P161+$O162))</f>
        <v/>
      </c>
      <c r="Q162" s="35">
        <f>IF($A162&gt;NYears*12,"",IF($D162=12,MIN(WdrPct*IF(WdrBase="Post-tax profit",$K162-$P162,$K162),WdrCap),0))</f>
        <v/>
      </c>
      <c r="R162" s="35">
        <f>IF($A162&gt;NYears*12,"",$F162+$J162-$O162-$Q162)</f>
        <v/>
      </c>
      <c r="S162" s="33">
        <f>IF($A162&gt;NYears*12,"",INT($R162/$E162))</f>
        <v/>
      </c>
    </row>
    <row r="163">
      <c r="A163" s="33">
        <f>159</f>
        <v/>
      </c>
      <c r="B163" s="34">
        <f>IF($A163&gt;NYears*12,"",EDATE(StartMonth,$A163-1))</f>
        <v/>
      </c>
      <c r="C163" s="33">
        <f>IF($A163&gt;NYears*12,"",INT(($A163-1)/12)+1)</f>
        <v/>
      </c>
      <c r="D163" s="33">
        <f>IF($A163&gt;NYears*12,"",MOD($A163-1,12)+1)</f>
        <v/>
      </c>
      <c r="E163" s="35">
        <f>IF($A163&gt;NYears*12,"",LotValue0*(1+LotGrowth)^($C163-1))</f>
        <v/>
      </c>
      <c r="F163" s="35">
        <f>IF($A163&gt;NYears*12,"",IF($A163=1,InitInvest,$R162))</f>
        <v/>
      </c>
      <c r="G163" s="33">
        <f>IF($A163&gt;NYears*12,"",INT($F163/$E163))</f>
        <v/>
      </c>
      <c r="H163" s="35">
        <f>IF($A163&gt;NYears*12,"",$G163*$E163)</f>
        <v/>
      </c>
      <c r="I163" s="35">
        <f>IF($A163&gt;NYears*12,"",$F163-$H163)</f>
        <v/>
      </c>
      <c r="J163" s="35">
        <f>IF($A163&gt;NYears*12,"",$H163*RateA)</f>
        <v/>
      </c>
      <c r="K163" s="35">
        <f>IF($A163&gt;NYears*12,"",IF($D163=1,$J163,$K162+$J163))</f>
        <v/>
      </c>
      <c r="L163" s="35">
        <f>IF($A163&gt;NYears*12,"",IF(MOD($D163,3)=0,SUM($J161:$J163),0))</f>
        <v/>
      </c>
      <c r="M163" s="35">
        <f>IF($A163&gt;NYears*12,"",IF(TaxFreq="Quarterly",$K163*12/$D163,$K163))</f>
        <v/>
      </c>
      <c r="N163" s="36">
        <f>IF($A163&gt;NYears*12,"",LOOKUP($M163,TaxLower,TaxRate))</f>
        <v/>
      </c>
      <c r="O163" s="35">
        <f>IF($A163&gt;NYears*12,"",IF(TaxFreq="Quarterly",IF(MOD($D163,3)=0,$L163*$N163,0),IF($D163=12,$K163*$N163,0)))</f>
        <v/>
      </c>
      <c r="P163" s="35">
        <f>IF($A163&gt;NYears*12,"",IF($D163=1,$O163,$P162+$O163))</f>
        <v/>
      </c>
      <c r="Q163" s="35">
        <f>IF($A163&gt;NYears*12,"",IF($D163=12,MIN(WdrPct*IF(WdrBase="Post-tax profit",$K163-$P163,$K163),WdrCap),0))</f>
        <v/>
      </c>
      <c r="R163" s="35">
        <f>IF($A163&gt;NYears*12,"",$F163+$J163-$O163-$Q163)</f>
        <v/>
      </c>
      <c r="S163" s="33">
        <f>IF($A163&gt;NYears*12,"",INT($R163/$E163))</f>
        <v/>
      </c>
    </row>
    <row r="164">
      <c r="A164" s="33">
        <f>160</f>
        <v/>
      </c>
      <c r="B164" s="34">
        <f>IF($A164&gt;NYears*12,"",EDATE(StartMonth,$A164-1))</f>
        <v/>
      </c>
      <c r="C164" s="33">
        <f>IF($A164&gt;NYears*12,"",INT(($A164-1)/12)+1)</f>
        <v/>
      </c>
      <c r="D164" s="33">
        <f>IF($A164&gt;NYears*12,"",MOD($A164-1,12)+1)</f>
        <v/>
      </c>
      <c r="E164" s="35">
        <f>IF($A164&gt;NYears*12,"",LotValue0*(1+LotGrowth)^($C164-1))</f>
        <v/>
      </c>
      <c r="F164" s="35">
        <f>IF($A164&gt;NYears*12,"",IF($A164=1,InitInvest,$R163))</f>
        <v/>
      </c>
      <c r="G164" s="33">
        <f>IF($A164&gt;NYears*12,"",INT($F164/$E164))</f>
        <v/>
      </c>
      <c r="H164" s="35">
        <f>IF($A164&gt;NYears*12,"",$G164*$E164)</f>
        <v/>
      </c>
      <c r="I164" s="35">
        <f>IF($A164&gt;NYears*12,"",$F164-$H164)</f>
        <v/>
      </c>
      <c r="J164" s="35">
        <f>IF($A164&gt;NYears*12,"",$H164*RateA)</f>
        <v/>
      </c>
      <c r="K164" s="35">
        <f>IF($A164&gt;NYears*12,"",IF($D164=1,$J164,$K163+$J164))</f>
        <v/>
      </c>
      <c r="L164" s="35">
        <f>IF($A164&gt;NYears*12,"",IF(MOD($D164,3)=0,SUM($J162:$J164),0))</f>
        <v/>
      </c>
      <c r="M164" s="35">
        <f>IF($A164&gt;NYears*12,"",IF(TaxFreq="Quarterly",$K164*12/$D164,$K164))</f>
        <v/>
      </c>
      <c r="N164" s="36">
        <f>IF($A164&gt;NYears*12,"",LOOKUP($M164,TaxLower,TaxRate))</f>
        <v/>
      </c>
      <c r="O164" s="35">
        <f>IF($A164&gt;NYears*12,"",IF(TaxFreq="Quarterly",IF(MOD($D164,3)=0,$L164*$N164,0),IF($D164=12,$K164*$N164,0)))</f>
        <v/>
      </c>
      <c r="P164" s="35">
        <f>IF($A164&gt;NYears*12,"",IF($D164=1,$O164,$P163+$O164))</f>
        <v/>
      </c>
      <c r="Q164" s="35">
        <f>IF($A164&gt;NYears*12,"",IF($D164=12,MIN(WdrPct*IF(WdrBase="Post-tax profit",$K164-$P164,$K164),WdrCap),0))</f>
        <v/>
      </c>
      <c r="R164" s="35">
        <f>IF($A164&gt;NYears*12,"",$F164+$J164-$O164-$Q164)</f>
        <v/>
      </c>
      <c r="S164" s="33">
        <f>IF($A164&gt;NYears*12,"",INT($R164/$E164))</f>
        <v/>
      </c>
    </row>
    <row r="165">
      <c r="A165" s="33">
        <f>161</f>
        <v/>
      </c>
      <c r="B165" s="34">
        <f>IF($A165&gt;NYears*12,"",EDATE(StartMonth,$A165-1))</f>
        <v/>
      </c>
      <c r="C165" s="33">
        <f>IF($A165&gt;NYears*12,"",INT(($A165-1)/12)+1)</f>
        <v/>
      </c>
      <c r="D165" s="33">
        <f>IF($A165&gt;NYears*12,"",MOD($A165-1,12)+1)</f>
        <v/>
      </c>
      <c r="E165" s="35">
        <f>IF($A165&gt;NYears*12,"",LotValue0*(1+LotGrowth)^($C165-1))</f>
        <v/>
      </c>
      <c r="F165" s="35">
        <f>IF($A165&gt;NYears*12,"",IF($A165=1,InitInvest,$R164))</f>
        <v/>
      </c>
      <c r="G165" s="33">
        <f>IF($A165&gt;NYears*12,"",INT($F165/$E165))</f>
        <v/>
      </c>
      <c r="H165" s="35">
        <f>IF($A165&gt;NYears*12,"",$G165*$E165)</f>
        <v/>
      </c>
      <c r="I165" s="35">
        <f>IF($A165&gt;NYears*12,"",$F165-$H165)</f>
        <v/>
      </c>
      <c r="J165" s="35">
        <f>IF($A165&gt;NYears*12,"",$H165*RateA)</f>
        <v/>
      </c>
      <c r="K165" s="35">
        <f>IF($A165&gt;NYears*12,"",IF($D165=1,$J165,$K164+$J165))</f>
        <v/>
      </c>
      <c r="L165" s="35">
        <f>IF($A165&gt;NYears*12,"",IF(MOD($D165,3)=0,SUM($J163:$J165),0))</f>
        <v/>
      </c>
      <c r="M165" s="35">
        <f>IF($A165&gt;NYears*12,"",IF(TaxFreq="Quarterly",$K165*12/$D165,$K165))</f>
        <v/>
      </c>
      <c r="N165" s="36">
        <f>IF($A165&gt;NYears*12,"",LOOKUP($M165,TaxLower,TaxRate))</f>
        <v/>
      </c>
      <c r="O165" s="35">
        <f>IF($A165&gt;NYears*12,"",IF(TaxFreq="Quarterly",IF(MOD($D165,3)=0,$L165*$N165,0),IF($D165=12,$K165*$N165,0)))</f>
        <v/>
      </c>
      <c r="P165" s="35">
        <f>IF($A165&gt;NYears*12,"",IF($D165=1,$O165,$P164+$O165))</f>
        <v/>
      </c>
      <c r="Q165" s="35">
        <f>IF($A165&gt;NYears*12,"",IF($D165=12,MIN(WdrPct*IF(WdrBase="Post-tax profit",$K165-$P165,$K165),WdrCap),0))</f>
        <v/>
      </c>
      <c r="R165" s="35">
        <f>IF($A165&gt;NYears*12,"",$F165+$J165-$O165-$Q165)</f>
        <v/>
      </c>
      <c r="S165" s="33">
        <f>IF($A165&gt;NYears*12,"",INT($R165/$E165))</f>
        <v/>
      </c>
    </row>
    <row r="166">
      <c r="A166" s="33">
        <f>162</f>
        <v/>
      </c>
      <c r="B166" s="34">
        <f>IF($A166&gt;NYears*12,"",EDATE(StartMonth,$A166-1))</f>
        <v/>
      </c>
      <c r="C166" s="33">
        <f>IF($A166&gt;NYears*12,"",INT(($A166-1)/12)+1)</f>
        <v/>
      </c>
      <c r="D166" s="33">
        <f>IF($A166&gt;NYears*12,"",MOD($A166-1,12)+1)</f>
        <v/>
      </c>
      <c r="E166" s="35">
        <f>IF($A166&gt;NYears*12,"",LotValue0*(1+LotGrowth)^($C166-1))</f>
        <v/>
      </c>
      <c r="F166" s="35">
        <f>IF($A166&gt;NYears*12,"",IF($A166=1,InitInvest,$R165))</f>
        <v/>
      </c>
      <c r="G166" s="33">
        <f>IF($A166&gt;NYears*12,"",INT($F166/$E166))</f>
        <v/>
      </c>
      <c r="H166" s="35">
        <f>IF($A166&gt;NYears*12,"",$G166*$E166)</f>
        <v/>
      </c>
      <c r="I166" s="35">
        <f>IF($A166&gt;NYears*12,"",$F166-$H166)</f>
        <v/>
      </c>
      <c r="J166" s="35">
        <f>IF($A166&gt;NYears*12,"",$H166*RateA)</f>
        <v/>
      </c>
      <c r="K166" s="35">
        <f>IF($A166&gt;NYears*12,"",IF($D166=1,$J166,$K165+$J166))</f>
        <v/>
      </c>
      <c r="L166" s="35">
        <f>IF($A166&gt;NYears*12,"",IF(MOD($D166,3)=0,SUM($J164:$J166),0))</f>
        <v/>
      </c>
      <c r="M166" s="35">
        <f>IF($A166&gt;NYears*12,"",IF(TaxFreq="Quarterly",$K166*12/$D166,$K166))</f>
        <v/>
      </c>
      <c r="N166" s="36">
        <f>IF($A166&gt;NYears*12,"",LOOKUP($M166,TaxLower,TaxRate))</f>
        <v/>
      </c>
      <c r="O166" s="35">
        <f>IF($A166&gt;NYears*12,"",IF(TaxFreq="Quarterly",IF(MOD($D166,3)=0,$L166*$N166,0),IF($D166=12,$K166*$N166,0)))</f>
        <v/>
      </c>
      <c r="P166" s="35">
        <f>IF($A166&gt;NYears*12,"",IF($D166=1,$O166,$P165+$O166))</f>
        <v/>
      </c>
      <c r="Q166" s="35">
        <f>IF($A166&gt;NYears*12,"",IF($D166=12,MIN(WdrPct*IF(WdrBase="Post-tax profit",$K166-$P166,$K166),WdrCap),0))</f>
        <v/>
      </c>
      <c r="R166" s="35">
        <f>IF($A166&gt;NYears*12,"",$F166+$J166-$O166-$Q166)</f>
        <v/>
      </c>
      <c r="S166" s="33">
        <f>IF($A166&gt;NYears*12,"",INT($R166/$E166))</f>
        <v/>
      </c>
    </row>
    <row r="167">
      <c r="A167" s="33">
        <f>163</f>
        <v/>
      </c>
      <c r="B167" s="34">
        <f>IF($A167&gt;NYears*12,"",EDATE(StartMonth,$A167-1))</f>
        <v/>
      </c>
      <c r="C167" s="33">
        <f>IF($A167&gt;NYears*12,"",INT(($A167-1)/12)+1)</f>
        <v/>
      </c>
      <c r="D167" s="33">
        <f>IF($A167&gt;NYears*12,"",MOD($A167-1,12)+1)</f>
        <v/>
      </c>
      <c r="E167" s="35">
        <f>IF($A167&gt;NYears*12,"",LotValue0*(1+LotGrowth)^($C167-1))</f>
        <v/>
      </c>
      <c r="F167" s="35">
        <f>IF($A167&gt;NYears*12,"",IF($A167=1,InitInvest,$R166))</f>
        <v/>
      </c>
      <c r="G167" s="33">
        <f>IF($A167&gt;NYears*12,"",INT($F167/$E167))</f>
        <v/>
      </c>
      <c r="H167" s="35">
        <f>IF($A167&gt;NYears*12,"",$G167*$E167)</f>
        <v/>
      </c>
      <c r="I167" s="35">
        <f>IF($A167&gt;NYears*12,"",$F167-$H167)</f>
        <v/>
      </c>
      <c r="J167" s="35">
        <f>IF($A167&gt;NYears*12,"",$H167*RateA)</f>
        <v/>
      </c>
      <c r="K167" s="35">
        <f>IF($A167&gt;NYears*12,"",IF($D167=1,$J167,$K166+$J167))</f>
        <v/>
      </c>
      <c r="L167" s="35">
        <f>IF($A167&gt;NYears*12,"",IF(MOD($D167,3)=0,SUM($J165:$J167),0))</f>
        <v/>
      </c>
      <c r="M167" s="35">
        <f>IF($A167&gt;NYears*12,"",IF(TaxFreq="Quarterly",$K167*12/$D167,$K167))</f>
        <v/>
      </c>
      <c r="N167" s="36">
        <f>IF($A167&gt;NYears*12,"",LOOKUP($M167,TaxLower,TaxRate))</f>
        <v/>
      </c>
      <c r="O167" s="35">
        <f>IF($A167&gt;NYears*12,"",IF(TaxFreq="Quarterly",IF(MOD($D167,3)=0,$L167*$N167,0),IF($D167=12,$K167*$N167,0)))</f>
        <v/>
      </c>
      <c r="P167" s="35">
        <f>IF($A167&gt;NYears*12,"",IF($D167=1,$O167,$P166+$O167))</f>
        <v/>
      </c>
      <c r="Q167" s="35">
        <f>IF($A167&gt;NYears*12,"",IF($D167=12,MIN(WdrPct*IF(WdrBase="Post-tax profit",$K167-$P167,$K167),WdrCap),0))</f>
        <v/>
      </c>
      <c r="R167" s="35">
        <f>IF($A167&gt;NYears*12,"",$F167+$J167-$O167-$Q167)</f>
        <v/>
      </c>
      <c r="S167" s="33">
        <f>IF($A167&gt;NYears*12,"",INT($R167/$E167))</f>
        <v/>
      </c>
    </row>
    <row r="168">
      <c r="A168" s="33">
        <f>164</f>
        <v/>
      </c>
      <c r="B168" s="34">
        <f>IF($A168&gt;NYears*12,"",EDATE(StartMonth,$A168-1))</f>
        <v/>
      </c>
      <c r="C168" s="33">
        <f>IF($A168&gt;NYears*12,"",INT(($A168-1)/12)+1)</f>
        <v/>
      </c>
      <c r="D168" s="33">
        <f>IF($A168&gt;NYears*12,"",MOD($A168-1,12)+1)</f>
        <v/>
      </c>
      <c r="E168" s="35">
        <f>IF($A168&gt;NYears*12,"",LotValue0*(1+LotGrowth)^($C168-1))</f>
        <v/>
      </c>
      <c r="F168" s="35">
        <f>IF($A168&gt;NYears*12,"",IF($A168=1,InitInvest,$R167))</f>
        <v/>
      </c>
      <c r="G168" s="33">
        <f>IF($A168&gt;NYears*12,"",INT($F168/$E168))</f>
        <v/>
      </c>
      <c r="H168" s="35">
        <f>IF($A168&gt;NYears*12,"",$G168*$E168)</f>
        <v/>
      </c>
      <c r="I168" s="35">
        <f>IF($A168&gt;NYears*12,"",$F168-$H168)</f>
        <v/>
      </c>
      <c r="J168" s="35">
        <f>IF($A168&gt;NYears*12,"",$H168*RateA)</f>
        <v/>
      </c>
      <c r="K168" s="35">
        <f>IF($A168&gt;NYears*12,"",IF($D168=1,$J168,$K167+$J168))</f>
        <v/>
      </c>
      <c r="L168" s="35">
        <f>IF($A168&gt;NYears*12,"",IF(MOD($D168,3)=0,SUM($J166:$J168),0))</f>
        <v/>
      </c>
      <c r="M168" s="35">
        <f>IF($A168&gt;NYears*12,"",IF(TaxFreq="Quarterly",$K168*12/$D168,$K168))</f>
        <v/>
      </c>
      <c r="N168" s="36">
        <f>IF($A168&gt;NYears*12,"",LOOKUP($M168,TaxLower,TaxRate))</f>
        <v/>
      </c>
      <c r="O168" s="35">
        <f>IF($A168&gt;NYears*12,"",IF(TaxFreq="Quarterly",IF(MOD($D168,3)=0,$L168*$N168,0),IF($D168=12,$K168*$N168,0)))</f>
        <v/>
      </c>
      <c r="P168" s="35">
        <f>IF($A168&gt;NYears*12,"",IF($D168=1,$O168,$P167+$O168))</f>
        <v/>
      </c>
      <c r="Q168" s="35">
        <f>IF($A168&gt;NYears*12,"",IF($D168=12,MIN(WdrPct*IF(WdrBase="Post-tax profit",$K168-$P168,$K168),WdrCap),0))</f>
        <v/>
      </c>
      <c r="R168" s="35">
        <f>IF($A168&gt;NYears*12,"",$F168+$J168-$O168-$Q168)</f>
        <v/>
      </c>
      <c r="S168" s="33">
        <f>IF($A168&gt;NYears*12,"",INT($R168/$E168))</f>
        <v/>
      </c>
    </row>
    <row r="169">
      <c r="A169" s="33">
        <f>165</f>
        <v/>
      </c>
      <c r="B169" s="34">
        <f>IF($A169&gt;NYears*12,"",EDATE(StartMonth,$A169-1))</f>
        <v/>
      </c>
      <c r="C169" s="33">
        <f>IF($A169&gt;NYears*12,"",INT(($A169-1)/12)+1)</f>
        <v/>
      </c>
      <c r="D169" s="33">
        <f>IF($A169&gt;NYears*12,"",MOD($A169-1,12)+1)</f>
        <v/>
      </c>
      <c r="E169" s="35">
        <f>IF($A169&gt;NYears*12,"",LotValue0*(1+LotGrowth)^($C169-1))</f>
        <v/>
      </c>
      <c r="F169" s="35">
        <f>IF($A169&gt;NYears*12,"",IF($A169=1,InitInvest,$R168))</f>
        <v/>
      </c>
      <c r="G169" s="33">
        <f>IF($A169&gt;NYears*12,"",INT($F169/$E169))</f>
        <v/>
      </c>
      <c r="H169" s="35">
        <f>IF($A169&gt;NYears*12,"",$G169*$E169)</f>
        <v/>
      </c>
      <c r="I169" s="35">
        <f>IF($A169&gt;NYears*12,"",$F169-$H169)</f>
        <v/>
      </c>
      <c r="J169" s="35">
        <f>IF($A169&gt;NYears*12,"",$H169*RateA)</f>
        <v/>
      </c>
      <c r="K169" s="35">
        <f>IF($A169&gt;NYears*12,"",IF($D169=1,$J169,$K168+$J169))</f>
        <v/>
      </c>
      <c r="L169" s="35">
        <f>IF($A169&gt;NYears*12,"",IF(MOD($D169,3)=0,SUM($J167:$J169),0))</f>
        <v/>
      </c>
      <c r="M169" s="35">
        <f>IF($A169&gt;NYears*12,"",IF(TaxFreq="Quarterly",$K169*12/$D169,$K169))</f>
        <v/>
      </c>
      <c r="N169" s="36">
        <f>IF($A169&gt;NYears*12,"",LOOKUP($M169,TaxLower,TaxRate))</f>
        <v/>
      </c>
      <c r="O169" s="35">
        <f>IF($A169&gt;NYears*12,"",IF(TaxFreq="Quarterly",IF(MOD($D169,3)=0,$L169*$N169,0),IF($D169=12,$K169*$N169,0)))</f>
        <v/>
      </c>
      <c r="P169" s="35">
        <f>IF($A169&gt;NYears*12,"",IF($D169=1,$O169,$P168+$O169))</f>
        <v/>
      </c>
      <c r="Q169" s="35">
        <f>IF($A169&gt;NYears*12,"",IF($D169=12,MIN(WdrPct*IF(WdrBase="Post-tax profit",$K169-$P169,$K169),WdrCap),0))</f>
        <v/>
      </c>
      <c r="R169" s="35">
        <f>IF($A169&gt;NYears*12,"",$F169+$J169-$O169-$Q169)</f>
        <v/>
      </c>
      <c r="S169" s="33">
        <f>IF($A169&gt;NYears*12,"",INT($R169/$E169))</f>
        <v/>
      </c>
    </row>
    <row r="170">
      <c r="A170" s="33">
        <f>166</f>
        <v/>
      </c>
      <c r="B170" s="34">
        <f>IF($A170&gt;NYears*12,"",EDATE(StartMonth,$A170-1))</f>
        <v/>
      </c>
      <c r="C170" s="33">
        <f>IF($A170&gt;NYears*12,"",INT(($A170-1)/12)+1)</f>
        <v/>
      </c>
      <c r="D170" s="33">
        <f>IF($A170&gt;NYears*12,"",MOD($A170-1,12)+1)</f>
        <v/>
      </c>
      <c r="E170" s="35">
        <f>IF($A170&gt;NYears*12,"",LotValue0*(1+LotGrowth)^($C170-1))</f>
        <v/>
      </c>
      <c r="F170" s="35">
        <f>IF($A170&gt;NYears*12,"",IF($A170=1,InitInvest,$R169))</f>
        <v/>
      </c>
      <c r="G170" s="33">
        <f>IF($A170&gt;NYears*12,"",INT($F170/$E170))</f>
        <v/>
      </c>
      <c r="H170" s="35">
        <f>IF($A170&gt;NYears*12,"",$G170*$E170)</f>
        <v/>
      </c>
      <c r="I170" s="35">
        <f>IF($A170&gt;NYears*12,"",$F170-$H170)</f>
        <v/>
      </c>
      <c r="J170" s="35">
        <f>IF($A170&gt;NYears*12,"",$H170*RateA)</f>
        <v/>
      </c>
      <c r="K170" s="35">
        <f>IF($A170&gt;NYears*12,"",IF($D170=1,$J170,$K169+$J170))</f>
        <v/>
      </c>
      <c r="L170" s="35">
        <f>IF($A170&gt;NYears*12,"",IF(MOD($D170,3)=0,SUM($J168:$J170),0))</f>
        <v/>
      </c>
      <c r="M170" s="35">
        <f>IF($A170&gt;NYears*12,"",IF(TaxFreq="Quarterly",$K170*12/$D170,$K170))</f>
        <v/>
      </c>
      <c r="N170" s="36">
        <f>IF($A170&gt;NYears*12,"",LOOKUP($M170,TaxLower,TaxRate))</f>
        <v/>
      </c>
      <c r="O170" s="35">
        <f>IF($A170&gt;NYears*12,"",IF(TaxFreq="Quarterly",IF(MOD($D170,3)=0,$L170*$N170,0),IF($D170=12,$K170*$N170,0)))</f>
        <v/>
      </c>
      <c r="P170" s="35">
        <f>IF($A170&gt;NYears*12,"",IF($D170=1,$O170,$P169+$O170))</f>
        <v/>
      </c>
      <c r="Q170" s="35">
        <f>IF($A170&gt;NYears*12,"",IF($D170=12,MIN(WdrPct*IF(WdrBase="Post-tax profit",$K170-$P170,$K170),WdrCap),0))</f>
        <v/>
      </c>
      <c r="R170" s="35">
        <f>IF($A170&gt;NYears*12,"",$F170+$J170-$O170-$Q170)</f>
        <v/>
      </c>
      <c r="S170" s="33">
        <f>IF($A170&gt;NYears*12,"",INT($R170/$E170))</f>
        <v/>
      </c>
    </row>
    <row r="171">
      <c r="A171" s="33">
        <f>167</f>
        <v/>
      </c>
      <c r="B171" s="34">
        <f>IF($A171&gt;NYears*12,"",EDATE(StartMonth,$A171-1))</f>
        <v/>
      </c>
      <c r="C171" s="33">
        <f>IF($A171&gt;NYears*12,"",INT(($A171-1)/12)+1)</f>
        <v/>
      </c>
      <c r="D171" s="33">
        <f>IF($A171&gt;NYears*12,"",MOD($A171-1,12)+1)</f>
        <v/>
      </c>
      <c r="E171" s="35">
        <f>IF($A171&gt;NYears*12,"",LotValue0*(1+LotGrowth)^($C171-1))</f>
        <v/>
      </c>
      <c r="F171" s="35">
        <f>IF($A171&gt;NYears*12,"",IF($A171=1,InitInvest,$R170))</f>
        <v/>
      </c>
      <c r="G171" s="33">
        <f>IF($A171&gt;NYears*12,"",INT($F171/$E171))</f>
        <v/>
      </c>
      <c r="H171" s="35">
        <f>IF($A171&gt;NYears*12,"",$G171*$E171)</f>
        <v/>
      </c>
      <c r="I171" s="35">
        <f>IF($A171&gt;NYears*12,"",$F171-$H171)</f>
        <v/>
      </c>
      <c r="J171" s="35">
        <f>IF($A171&gt;NYears*12,"",$H171*RateA)</f>
        <v/>
      </c>
      <c r="K171" s="35">
        <f>IF($A171&gt;NYears*12,"",IF($D171=1,$J171,$K170+$J171))</f>
        <v/>
      </c>
      <c r="L171" s="35">
        <f>IF($A171&gt;NYears*12,"",IF(MOD($D171,3)=0,SUM($J169:$J171),0))</f>
        <v/>
      </c>
      <c r="M171" s="35">
        <f>IF($A171&gt;NYears*12,"",IF(TaxFreq="Quarterly",$K171*12/$D171,$K171))</f>
        <v/>
      </c>
      <c r="N171" s="36">
        <f>IF($A171&gt;NYears*12,"",LOOKUP($M171,TaxLower,TaxRate))</f>
        <v/>
      </c>
      <c r="O171" s="35">
        <f>IF($A171&gt;NYears*12,"",IF(TaxFreq="Quarterly",IF(MOD($D171,3)=0,$L171*$N171,0),IF($D171=12,$K171*$N171,0)))</f>
        <v/>
      </c>
      <c r="P171" s="35">
        <f>IF($A171&gt;NYears*12,"",IF($D171=1,$O171,$P170+$O171))</f>
        <v/>
      </c>
      <c r="Q171" s="35">
        <f>IF($A171&gt;NYears*12,"",IF($D171=12,MIN(WdrPct*IF(WdrBase="Post-tax profit",$K171-$P171,$K171),WdrCap),0))</f>
        <v/>
      </c>
      <c r="R171" s="35">
        <f>IF($A171&gt;NYears*12,"",$F171+$J171-$O171-$Q171)</f>
        <v/>
      </c>
      <c r="S171" s="33">
        <f>IF($A171&gt;NYears*12,"",INT($R171/$E171))</f>
        <v/>
      </c>
    </row>
    <row r="172">
      <c r="A172" s="37">
        <f>168</f>
        <v/>
      </c>
      <c r="B172" s="38">
        <f>IF($A172&gt;NYears*12,"",EDATE(StartMonth,$A172-1))</f>
        <v/>
      </c>
      <c r="C172" s="37">
        <f>IF($A172&gt;NYears*12,"",INT(($A172-1)/12)+1)</f>
        <v/>
      </c>
      <c r="D172" s="37">
        <f>IF($A172&gt;NYears*12,"",MOD($A172-1,12)+1)</f>
        <v/>
      </c>
      <c r="E172" s="39">
        <f>IF($A172&gt;NYears*12,"",LotValue0*(1+LotGrowth)^($C172-1))</f>
        <v/>
      </c>
      <c r="F172" s="39">
        <f>IF($A172&gt;NYears*12,"",IF($A172=1,InitInvest,$R171))</f>
        <v/>
      </c>
      <c r="G172" s="37">
        <f>IF($A172&gt;NYears*12,"",INT($F172/$E172))</f>
        <v/>
      </c>
      <c r="H172" s="39">
        <f>IF($A172&gt;NYears*12,"",$G172*$E172)</f>
        <v/>
      </c>
      <c r="I172" s="39">
        <f>IF($A172&gt;NYears*12,"",$F172-$H172)</f>
        <v/>
      </c>
      <c r="J172" s="39">
        <f>IF($A172&gt;NYears*12,"",$H172*RateA)</f>
        <v/>
      </c>
      <c r="K172" s="39">
        <f>IF($A172&gt;NYears*12,"",IF($D172=1,$J172,$K171+$J172))</f>
        <v/>
      </c>
      <c r="L172" s="39">
        <f>IF($A172&gt;NYears*12,"",IF(MOD($D172,3)=0,SUM($J170:$J172),0))</f>
        <v/>
      </c>
      <c r="M172" s="39">
        <f>IF($A172&gt;NYears*12,"",IF(TaxFreq="Quarterly",$K172*12/$D172,$K172))</f>
        <v/>
      </c>
      <c r="N172" s="40">
        <f>IF($A172&gt;NYears*12,"",LOOKUP($M172,TaxLower,TaxRate))</f>
        <v/>
      </c>
      <c r="O172" s="39">
        <f>IF($A172&gt;NYears*12,"",IF(TaxFreq="Quarterly",IF(MOD($D172,3)=0,$L172*$N172,0),IF($D172=12,$K172*$N172,0)))</f>
        <v/>
      </c>
      <c r="P172" s="39">
        <f>IF($A172&gt;NYears*12,"",IF($D172=1,$O172,$P171+$O172))</f>
        <v/>
      </c>
      <c r="Q172" s="39">
        <f>IF($A172&gt;NYears*12,"",IF($D172=12,MIN(WdrPct*IF(WdrBase="Post-tax profit",$K172-$P172,$K172),WdrCap),0))</f>
        <v/>
      </c>
      <c r="R172" s="39">
        <f>IF($A172&gt;NYears*12,"",$F172+$J172-$O172-$Q172)</f>
        <v/>
      </c>
      <c r="S172" s="37">
        <f>IF($A172&gt;NYears*12,"",INT($R172/$E172))</f>
        <v/>
      </c>
    </row>
    <row r="173">
      <c r="A173" s="33">
        <f>169</f>
        <v/>
      </c>
      <c r="B173" s="34">
        <f>IF($A173&gt;NYears*12,"",EDATE(StartMonth,$A173-1))</f>
        <v/>
      </c>
      <c r="C173" s="33">
        <f>IF($A173&gt;NYears*12,"",INT(($A173-1)/12)+1)</f>
        <v/>
      </c>
      <c r="D173" s="33">
        <f>IF($A173&gt;NYears*12,"",MOD($A173-1,12)+1)</f>
        <v/>
      </c>
      <c r="E173" s="35">
        <f>IF($A173&gt;NYears*12,"",LotValue0*(1+LotGrowth)^($C173-1))</f>
        <v/>
      </c>
      <c r="F173" s="35">
        <f>IF($A173&gt;NYears*12,"",IF($A173=1,InitInvest,$R172))</f>
        <v/>
      </c>
      <c r="G173" s="33">
        <f>IF($A173&gt;NYears*12,"",INT($F173/$E173))</f>
        <v/>
      </c>
      <c r="H173" s="35">
        <f>IF($A173&gt;NYears*12,"",$G173*$E173)</f>
        <v/>
      </c>
      <c r="I173" s="35">
        <f>IF($A173&gt;NYears*12,"",$F173-$H173)</f>
        <v/>
      </c>
      <c r="J173" s="35">
        <f>IF($A173&gt;NYears*12,"",$H173*RateA)</f>
        <v/>
      </c>
      <c r="K173" s="35">
        <f>IF($A173&gt;NYears*12,"",IF($D173=1,$J173,$K172+$J173))</f>
        <v/>
      </c>
      <c r="L173" s="35">
        <f>IF($A173&gt;NYears*12,"",IF(MOD($D173,3)=0,SUM($J171:$J173),0))</f>
        <v/>
      </c>
      <c r="M173" s="35">
        <f>IF($A173&gt;NYears*12,"",IF(TaxFreq="Quarterly",$K173*12/$D173,$K173))</f>
        <v/>
      </c>
      <c r="N173" s="36">
        <f>IF($A173&gt;NYears*12,"",LOOKUP($M173,TaxLower,TaxRate))</f>
        <v/>
      </c>
      <c r="O173" s="35">
        <f>IF($A173&gt;NYears*12,"",IF(TaxFreq="Quarterly",IF(MOD($D173,3)=0,$L173*$N173,0),IF($D173=12,$K173*$N173,0)))</f>
        <v/>
      </c>
      <c r="P173" s="35">
        <f>IF($A173&gt;NYears*12,"",IF($D173=1,$O173,$P172+$O173))</f>
        <v/>
      </c>
      <c r="Q173" s="35">
        <f>IF($A173&gt;NYears*12,"",IF($D173=12,MIN(WdrPct*IF(WdrBase="Post-tax profit",$K173-$P173,$K173),WdrCap),0))</f>
        <v/>
      </c>
      <c r="R173" s="35">
        <f>IF($A173&gt;NYears*12,"",$F173+$J173-$O173-$Q173)</f>
        <v/>
      </c>
      <c r="S173" s="33">
        <f>IF($A173&gt;NYears*12,"",INT($R173/$E173))</f>
        <v/>
      </c>
    </row>
    <row r="174">
      <c r="A174" s="33">
        <f>170</f>
        <v/>
      </c>
      <c r="B174" s="34">
        <f>IF($A174&gt;NYears*12,"",EDATE(StartMonth,$A174-1))</f>
        <v/>
      </c>
      <c r="C174" s="33">
        <f>IF($A174&gt;NYears*12,"",INT(($A174-1)/12)+1)</f>
        <v/>
      </c>
      <c r="D174" s="33">
        <f>IF($A174&gt;NYears*12,"",MOD($A174-1,12)+1)</f>
        <v/>
      </c>
      <c r="E174" s="35">
        <f>IF($A174&gt;NYears*12,"",LotValue0*(1+LotGrowth)^($C174-1))</f>
        <v/>
      </c>
      <c r="F174" s="35">
        <f>IF($A174&gt;NYears*12,"",IF($A174=1,InitInvest,$R173))</f>
        <v/>
      </c>
      <c r="G174" s="33">
        <f>IF($A174&gt;NYears*12,"",INT($F174/$E174))</f>
        <v/>
      </c>
      <c r="H174" s="35">
        <f>IF($A174&gt;NYears*12,"",$G174*$E174)</f>
        <v/>
      </c>
      <c r="I174" s="35">
        <f>IF($A174&gt;NYears*12,"",$F174-$H174)</f>
        <v/>
      </c>
      <c r="J174" s="35">
        <f>IF($A174&gt;NYears*12,"",$H174*RateA)</f>
        <v/>
      </c>
      <c r="K174" s="35">
        <f>IF($A174&gt;NYears*12,"",IF($D174=1,$J174,$K173+$J174))</f>
        <v/>
      </c>
      <c r="L174" s="35">
        <f>IF($A174&gt;NYears*12,"",IF(MOD($D174,3)=0,SUM($J172:$J174),0))</f>
        <v/>
      </c>
      <c r="M174" s="35">
        <f>IF($A174&gt;NYears*12,"",IF(TaxFreq="Quarterly",$K174*12/$D174,$K174))</f>
        <v/>
      </c>
      <c r="N174" s="36">
        <f>IF($A174&gt;NYears*12,"",LOOKUP($M174,TaxLower,TaxRate))</f>
        <v/>
      </c>
      <c r="O174" s="35">
        <f>IF($A174&gt;NYears*12,"",IF(TaxFreq="Quarterly",IF(MOD($D174,3)=0,$L174*$N174,0),IF($D174=12,$K174*$N174,0)))</f>
        <v/>
      </c>
      <c r="P174" s="35">
        <f>IF($A174&gt;NYears*12,"",IF($D174=1,$O174,$P173+$O174))</f>
        <v/>
      </c>
      <c r="Q174" s="35">
        <f>IF($A174&gt;NYears*12,"",IF($D174=12,MIN(WdrPct*IF(WdrBase="Post-tax profit",$K174-$P174,$K174),WdrCap),0))</f>
        <v/>
      </c>
      <c r="R174" s="35">
        <f>IF($A174&gt;NYears*12,"",$F174+$J174-$O174-$Q174)</f>
        <v/>
      </c>
      <c r="S174" s="33">
        <f>IF($A174&gt;NYears*12,"",INT($R174/$E174))</f>
        <v/>
      </c>
    </row>
    <row r="175">
      <c r="A175" s="33">
        <f>171</f>
        <v/>
      </c>
      <c r="B175" s="34">
        <f>IF($A175&gt;NYears*12,"",EDATE(StartMonth,$A175-1))</f>
        <v/>
      </c>
      <c r="C175" s="33">
        <f>IF($A175&gt;NYears*12,"",INT(($A175-1)/12)+1)</f>
        <v/>
      </c>
      <c r="D175" s="33">
        <f>IF($A175&gt;NYears*12,"",MOD($A175-1,12)+1)</f>
        <v/>
      </c>
      <c r="E175" s="35">
        <f>IF($A175&gt;NYears*12,"",LotValue0*(1+LotGrowth)^($C175-1))</f>
        <v/>
      </c>
      <c r="F175" s="35">
        <f>IF($A175&gt;NYears*12,"",IF($A175=1,InitInvest,$R174))</f>
        <v/>
      </c>
      <c r="G175" s="33">
        <f>IF($A175&gt;NYears*12,"",INT($F175/$E175))</f>
        <v/>
      </c>
      <c r="H175" s="35">
        <f>IF($A175&gt;NYears*12,"",$G175*$E175)</f>
        <v/>
      </c>
      <c r="I175" s="35">
        <f>IF($A175&gt;NYears*12,"",$F175-$H175)</f>
        <v/>
      </c>
      <c r="J175" s="35">
        <f>IF($A175&gt;NYears*12,"",$H175*RateA)</f>
        <v/>
      </c>
      <c r="K175" s="35">
        <f>IF($A175&gt;NYears*12,"",IF($D175=1,$J175,$K174+$J175))</f>
        <v/>
      </c>
      <c r="L175" s="35">
        <f>IF($A175&gt;NYears*12,"",IF(MOD($D175,3)=0,SUM($J173:$J175),0))</f>
        <v/>
      </c>
      <c r="M175" s="35">
        <f>IF($A175&gt;NYears*12,"",IF(TaxFreq="Quarterly",$K175*12/$D175,$K175))</f>
        <v/>
      </c>
      <c r="N175" s="36">
        <f>IF($A175&gt;NYears*12,"",LOOKUP($M175,TaxLower,TaxRate))</f>
        <v/>
      </c>
      <c r="O175" s="35">
        <f>IF($A175&gt;NYears*12,"",IF(TaxFreq="Quarterly",IF(MOD($D175,3)=0,$L175*$N175,0),IF($D175=12,$K175*$N175,0)))</f>
        <v/>
      </c>
      <c r="P175" s="35">
        <f>IF($A175&gt;NYears*12,"",IF($D175=1,$O175,$P174+$O175))</f>
        <v/>
      </c>
      <c r="Q175" s="35">
        <f>IF($A175&gt;NYears*12,"",IF($D175=12,MIN(WdrPct*IF(WdrBase="Post-tax profit",$K175-$P175,$K175),WdrCap),0))</f>
        <v/>
      </c>
      <c r="R175" s="35">
        <f>IF($A175&gt;NYears*12,"",$F175+$J175-$O175-$Q175)</f>
        <v/>
      </c>
      <c r="S175" s="33">
        <f>IF($A175&gt;NYears*12,"",INT($R175/$E175))</f>
        <v/>
      </c>
    </row>
    <row r="176">
      <c r="A176" s="33">
        <f>172</f>
        <v/>
      </c>
      <c r="B176" s="34">
        <f>IF($A176&gt;NYears*12,"",EDATE(StartMonth,$A176-1))</f>
        <v/>
      </c>
      <c r="C176" s="33">
        <f>IF($A176&gt;NYears*12,"",INT(($A176-1)/12)+1)</f>
        <v/>
      </c>
      <c r="D176" s="33">
        <f>IF($A176&gt;NYears*12,"",MOD($A176-1,12)+1)</f>
        <v/>
      </c>
      <c r="E176" s="35">
        <f>IF($A176&gt;NYears*12,"",LotValue0*(1+LotGrowth)^($C176-1))</f>
        <v/>
      </c>
      <c r="F176" s="35">
        <f>IF($A176&gt;NYears*12,"",IF($A176=1,InitInvest,$R175))</f>
        <v/>
      </c>
      <c r="G176" s="33">
        <f>IF($A176&gt;NYears*12,"",INT($F176/$E176))</f>
        <v/>
      </c>
      <c r="H176" s="35">
        <f>IF($A176&gt;NYears*12,"",$G176*$E176)</f>
        <v/>
      </c>
      <c r="I176" s="35">
        <f>IF($A176&gt;NYears*12,"",$F176-$H176)</f>
        <v/>
      </c>
      <c r="J176" s="35">
        <f>IF($A176&gt;NYears*12,"",$H176*RateA)</f>
        <v/>
      </c>
      <c r="K176" s="35">
        <f>IF($A176&gt;NYears*12,"",IF($D176=1,$J176,$K175+$J176))</f>
        <v/>
      </c>
      <c r="L176" s="35">
        <f>IF($A176&gt;NYears*12,"",IF(MOD($D176,3)=0,SUM($J174:$J176),0))</f>
        <v/>
      </c>
      <c r="M176" s="35">
        <f>IF($A176&gt;NYears*12,"",IF(TaxFreq="Quarterly",$K176*12/$D176,$K176))</f>
        <v/>
      </c>
      <c r="N176" s="36">
        <f>IF($A176&gt;NYears*12,"",LOOKUP($M176,TaxLower,TaxRate))</f>
        <v/>
      </c>
      <c r="O176" s="35">
        <f>IF($A176&gt;NYears*12,"",IF(TaxFreq="Quarterly",IF(MOD($D176,3)=0,$L176*$N176,0),IF($D176=12,$K176*$N176,0)))</f>
        <v/>
      </c>
      <c r="P176" s="35">
        <f>IF($A176&gt;NYears*12,"",IF($D176=1,$O176,$P175+$O176))</f>
        <v/>
      </c>
      <c r="Q176" s="35">
        <f>IF($A176&gt;NYears*12,"",IF($D176=12,MIN(WdrPct*IF(WdrBase="Post-tax profit",$K176-$P176,$K176),WdrCap),0))</f>
        <v/>
      </c>
      <c r="R176" s="35">
        <f>IF($A176&gt;NYears*12,"",$F176+$J176-$O176-$Q176)</f>
        <v/>
      </c>
      <c r="S176" s="33">
        <f>IF($A176&gt;NYears*12,"",INT($R176/$E176))</f>
        <v/>
      </c>
    </row>
    <row r="177">
      <c r="A177" s="33">
        <f>173</f>
        <v/>
      </c>
      <c r="B177" s="34">
        <f>IF($A177&gt;NYears*12,"",EDATE(StartMonth,$A177-1))</f>
        <v/>
      </c>
      <c r="C177" s="33">
        <f>IF($A177&gt;NYears*12,"",INT(($A177-1)/12)+1)</f>
        <v/>
      </c>
      <c r="D177" s="33">
        <f>IF($A177&gt;NYears*12,"",MOD($A177-1,12)+1)</f>
        <v/>
      </c>
      <c r="E177" s="35">
        <f>IF($A177&gt;NYears*12,"",LotValue0*(1+LotGrowth)^($C177-1))</f>
        <v/>
      </c>
      <c r="F177" s="35">
        <f>IF($A177&gt;NYears*12,"",IF($A177=1,InitInvest,$R176))</f>
        <v/>
      </c>
      <c r="G177" s="33">
        <f>IF($A177&gt;NYears*12,"",INT($F177/$E177))</f>
        <v/>
      </c>
      <c r="H177" s="35">
        <f>IF($A177&gt;NYears*12,"",$G177*$E177)</f>
        <v/>
      </c>
      <c r="I177" s="35">
        <f>IF($A177&gt;NYears*12,"",$F177-$H177)</f>
        <v/>
      </c>
      <c r="J177" s="35">
        <f>IF($A177&gt;NYears*12,"",$H177*RateA)</f>
        <v/>
      </c>
      <c r="K177" s="35">
        <f>IF($A177&gt;NYears*12,"",IF($D177=1,$J177,$K176+$J177))</f>
        <v/>
      </c>
      <c r="L177" s="35">
        <f>IF($A177&gt;NYears*12,"",IF(MOD($D177,3)=0,SUM($J175:$J177),0))</f>
        <v/>
      </c>
      <c r="M177" s="35">
        <f>IF($A177&gt;NYears*12,"",IF(TaxFreq="Quarterly",$K177*12/$D177,$K177))</f>
        <v/>
      </c>
      <c r="N177" s="36">
        <f>IF($A177&gt;NYears*12,"",LOOKUP($M177,TaxLower,TaxRate))</f>
        <v/>
      </c>
      <c r="O177" s="35">
        <f>IF($A177&gt;NYears*12,"",IF(TaxFreq="Quarterly",IF(MOD($D177,3)=0,$L177*$N177,0),IF($D177=12,$K177*$N177,0)))</f>
        <v/>
      </c>
      <c r="P177" s="35">
        <f>IF($A177&gt;NYears*12,"",IF($D177=1,$O177,$P176+$O177))</f>
        <v/>
      </c>
      <c r="Q177" s="35">
        <f>IF($A177&gt;NYears*12,"",IF($D177=12,MIN(WdrPct*IF(WdrBase="Post-tax profit",$K177-$P177,$K177),WdrCap),0))</f>
        <v/>
      </c>
      <c r="R177" s="35">
        <f>IF($A177&gt;NYears*12,"",$F177+$J177-$O177-$Q177)</f>
        <v/>
      </c>
      <c r="S177" s="33">
        <f>IF($A177&gt;NYears*12,"",INT($R177/$E177))</f>
        <v/>
      </c>
    </row>
    <row r="178">
      <c r="A178" s="33">
        <f>174</f>
        <v/>
      </c>
      <c r="B178" s="34">
        <f>IF($A178&gt;NYears*12,"",EDATE(StartMonth,$A178-1))</f>
        <v/>
      </c>
      <c r="C178" s="33">
        <f>IF($A178&gt;NYears*12,"",INT(($A178-1)/12)+1)</f>
        <v/>
      </c>
      <c r="D178" s="33">
        <f>IF($A178&gt;NYears*12,"",MOD($A178-1,12)+1)</f>
        <v/>
      </c>
      <c r="E178" s="35">
        <f>IF($A178&gt;NYears*12,"",LotValue0*(1+LotGrowth)^($C178-1))</f>
        <v/>
      </c>
      <c r="F178" s="35">
        <f>IF($A178&gt;NYears*12,"",IF($A178=1,InitInvest,$R177))</f>
        <v/>
      </c>
      <c r="G178" s="33">
        <f>IF($A178&gt;NYears*12,"",INT($F178/$E178))</f>
        <v/>
      </c>
      <c r="H178" s="35">
        <f>IF($A178&gt;NYears*12,"",$G178*$E178)</f>
        <v/>
      </c>
      <c r="I178" s="35">
        <f>IF($A178&gt;NYears*12,"",$F178-$H178)</f>
        <v/>
      </c>
      <c r="J178" s="35">
        <f>IF($A178&gt;NYears*12,"",$H178*RateA)</f>
        <v/>
      </c>
      <c r="K178" s="35">
        <f>IF($A178&gt;NYears*12,"",IF($D178=1,$J178,$K177+$J178))</f>
        <v/>
      </c>
      <c r="L178" s="35">
        <f>IF($A178&gt;NYears*12,"",IF(MOD($D178,3)=0,SUM($J176:$J178),0))</f>
        <v/>
      </c>
      <c r="M178" s="35">
        <f>IF($A178&gt;NYears*12,"",IF(TaxFreq="Quarterly",$K178*12/$D178,$K178))</f>
        <v/>
      </c>
      <c r="N178" s="36">
        <f>IF($A178&gt;NYears*12,"",LOOKUP($M178,TaxLower,TaxRate))</f>
        <v/>
      </c>
      <c r="O178" s="35">
        <f>IF($A178&gt;NYears*12,"",IF(TaxFreq="Quarterly",IF(MOD($D178,3)=0,$L178*$N178,0),IF($D178=12,$K178*$N178,0)))</f>
        <v/>
      </c>
      <c r="P178" s="35">
        <f>IF($A178&gt;NYears*12,"",IF($D178=1,$O178,$P177+$O178))</f>
        <v/>
      </c>
      <c r="Q178" s="35">
        <f>IF($A178&gt;NYears*12,"",IF($D178=12,MIN(WdrPct*IF(WdrBase="Post-tax profit",$K178-$P178,$K178),WdrCap),0))</f>
        <v/>
      </c>
      <c r="R178" s="35">
        <f>IF($A178&gt;NYears*12,"",$F178+$J178-$O178-$Q178)</f>
        <v/>
      </c>
      <c r="S178" s="33">
        <f>IF($A178&gt;NYears*12,"",INT($R178/$E178))</f>
        <v/>
      </c>
    </row>
    <row r="179">
      <c r="A179" s="33">
        <f>175</f>
        <v/>
      </c>
      <c r="B179" s="34">
        <f>IF($A179&gt;NYears*12,"",EDATE(StartMonth,$A179-1))</f>
        <v/>
      </c>
      <c r="C179" s="33">
        <f>IF($A179&gt;NYears*12,"",INT(($A179-1)/12)+1)</f>
        <v/>
      </c>
      <c r="D179" s="33">
        <f>IF($A179&gt;NYears*12,"",MOD($A179-1,12)+1)</f>
        <v/>
      </c>
      <c r="E179" s="35">
        <f>IF($A179&gt;NYears*12,"",LotValue0*(1+LotGrowth)^($C179-1))</f>
        <v/>
      </c>
      <c r="F179" s="35">
        <f>IF($A179&gt;NYears*12,"",IF($A179=1,InitInvest,$R178))</f>
        <v/>
      </c>
      <c r="G179" s="33">
        <f>IF($A179&gt;NYears*12,"",INT($F179/$E179))</f>
        <v/>
      </c>
      <c r="H179" s="35">
        <f>IF($A179&gt;NYears*12,"",$G179*$E179)</f>
        <v/>
      </c>
      <c r="I179" s="35">
        <f>IF($A179&gt;NYears*12,"",$F179-$H179)</f>
        <v/>
      </c>
      <c r="J179" s="35">
        <f>IF($A179&gt;NYears*12,"",$H179*RateA)</f>
        <v/>
      </c>
      <c r="K179" s="35">
        <f>IF($A179&gt;NYears*12,"",IF($D179=1,$J179,$K178+$J179))</f>
        <v/>
      </c>
      <c r="L179" s="35">
        <f>IF($A179&gt;NYears*12,"",IF(MOD($D179,3)=0,SUM($J177:$J179),0))</f>
        <v/>
      </c>
      <c r="M179" s="35">
        <f>IF($A179&gt;NYears*12,"",IF(TaxFreq="Quarterly",$K179*12/$D179,$K179))</f>
        <v/>
      </c>
      <c r="N179" s="36">
        <f>IF($A179&gt;NYears*12,"",LOOKUP($M179,TaxLower,TaxRate))</f>
        <v/>
      </c>
      <c r="O179" s="35">
        <f>IF($A179&gt;NYears*12,"",IF(TaxFreq="Quarterly",IF(MOD($D179,3)=0,$L179*$N179,0),IF($D179=12,$K179*$N179,0)))</f>
        <v/>
      </c>
      <c r="P179" s="35">
        <f>IF($A179&gt;NYears*12,"",IF($D179=1,$O179,$P178+$O179))</f>
        <v/>
      </c>
      <c r="Q179" s="35">
        <f>IF($A179&gt;NYears*12,"",IF($D179=12,MIN(WdrPct*IF(WdrBase="Post-tax profit",$K179-$P179,$K179),WdrCap),0))</f>
        <v/>
      </c>
      <c r="R179" s="35">
        <f>IF($A179&gt;NYears*12,"",$F179+$J179-$O179-$Q179)</f>
        <v/>
      </c>
      <c r="S179" s="33">
        <f>IF($A179&gt;NYears*12,"",INT($R179/$E179))</f>
        <v/>
      </c>
    </row>
    <row r="180">
      <c r="A180" s="33">
        <f>176</f>
        <v/>
      </c>
      <c r="B180" s="34">
        <f>IF($A180&gt;NYears*12,"",EDATE(StartMonth,$A180-1))</f>
        <v/>
      </c>
      <c r="C180" s="33">
        <f>IF($A180&gt;NYears*12,"",INT(($A180-1)/12)+1)</f>
        <v/>
      </c>
      <c r="D180" s="33">
        <f>IF($A180&gt;NYears*12,"",MOD($A180-1,12)+1)</f>
        <v/>
      </c>
      <c r="E180" s="35">
        <f>IF($A180&gt;NYears*12,"",LotValue0*(1+LotGrowth)^($C180-1))</f>
        <v/>
      </c>
      <c r="F180" s="35">
        <f>IF($A180&gt;NYears*12,"",IF($A180=1,InitInvest,$R179))</f>
        <v/>
      </c>
      <c r="G180" s="33">
        <f>IF($A180&gt;NYears*12,"",INT($F180/$E180))</f>
        <v/>
      </c>
      <c r="H180" s="35">
        <f>IF($A180&gt;NYears*12,"",$G180*$E180)</f>
        <v/>
      </c>
      <c r="I180" s="35">
        <f>IF($A180&gt;NYears*12,"",$F180-$H180)</f>
        <v/>
      </c>
      <c r="J180" s="35">
        <f>IF($A180&gt;NYears*12,"",$H180*RateA)</f>
        <v/>
      </c>
      <c r="K180" s="35">
        <f>IF($A180&gt;NYears*12,"",IF($D180=1,$J180,$K179+$J180))</f>
        <v/>
      </c>
      <c r="L180" s="35">
        <f>IF($A180&gt;NYears*12,"",IF(MOD($D180,3)=0,SUM($J178:$J180),0))</f>
        <v/>
      </c>
      <c r="M180" s="35">
        <f>IF($A180&gt;NYears*12,"",IF(TaxFreq="Quarterly",$K180*12/$D180,$K180))</f>
        <v/>
      </c>
      <c r="N180" s="36">
        <f>IF($A180&gt;NYears*12,"",LOOKUP($M180,TaxLower,TaxRate))</f>
        <v/>
      </c>
      <c r="O180" s="35">
        <f>IF($A180&gt;NYears*12,"",IF(TaxFreq="Quarterly",IF(MOD($D180,3)=0,$L180*$N180,0),IF($D180=12,$K180*$N180,0)))</f>
        <v/>
      </c>
      <c r="P180" s="35">
        <f>IF($A180&gt;NYears*12,"",IF($D180=1,$O180,$P179+$O180))</f>
        <v/>
      </c>
      <c r="Q180" s="35">
        <f>IF($A180&gt;NYears*12,"",IF($D180=12,MIN(WdrPct*IF(WdrBase="Post-tax profit",$K180-$P180,$K180),WdrCap),0))</f>
        <v/>
      </c>
      <c r="R180" s="35">
        <f>IF($A180&gt;NYears*12,"",$F180+$J180-$O180-$Q180)</f>
        <v/>
      </c>
      <c r="S180" s="33">
        <f>IF($A180&gt;NYears*12,"",INT($R180/$E180))</f>
        <v/>
      </c>
    </row>
    <row r="181">
      <c r="A181" s="33">
        <f>177</f>
        <v/>
      </c>
      <c r="B181" s="34">
        <f>IF($A181&gt;NYears*12,"",EDATE(StartMonth,$A181-1))</f>
        <v/>
      </c>
      <c r="C181" s="33">
        <f>IF($A181&gt;NYears*12,"",INT(($A181-1)/12)+1)</f>
        <v/>
      </c>
      <c r="D181" s="33">
        <f>IF($A181&gt;NYears*12,"",MOD($A181-1,12)+1)</f>
        <v/>
      </c>
      <c r="E181" s="35">
        <f>IF($A181&gt;NYears*12,"",LotValue0*(1+LotGrowth)^($C181-1))</f>
        <v/>
      </c>
      <c r="F181" s="35">
        <f>IF($A181&gt;NYears*12,"",IF($A181=1,InitInvest,$R180))</f>
        <v/>
      </c>
      <c r="G181" s="33">
        <f>IF($A181&gt;NYears*12,"",INT($F181/$E181))</f>
        <v/>
      </c>
      <c r="H181" s="35">
        <f>IF($A181&gt;NYears*12,"",$G181*$E181)</f>
        <v/>
      </c>
      <c r="I181" s="35">
        <f>IF($A181&gt;NYears*12,"",$F181-$H181)</f>
        <v/>
      </c>
      <c r="J181" s="35">
        <f>IF($A181&gt;NYears*12,"",$H181*RateA)</f>
        <v/>
      </c>
      <c r="K181" s="35">
        <f>IF($A181&gt;NYears*12,"",IF($D181=1,$J181,$K180+$J181))</f>
        <v/>
      </c>
      <c r="L181" s="35">
        <f>IF($A181&gt;NYears*12,"",IF(MOD($D181,3)=0,SUM($J179:$J181),0))</f>
        <v/>
      </c>
      <c r="M181" s="35">
        <f>IF($A181&gt;NYears*12,"",IF(TaxFreq="Quarterly",$K181*12/$D181,$K181))</f>
        <v/>
      </c>
      <c r="N181" s="36">
        <f>IF($A181&gt;NYears*12,"",LOOKUP($M181,TaxLower,TaxRate))</f>
        <v/>
      </c>
      <c r="O181" s="35">
        <f>IF($A181&gt;NYears*12,"",IF(TaxFreq="Quarterly",IF(MOD($D181,3)=0,$L181*$N181,0),IF($D181=12,$K181*$N181,0)))</f>
        <v/>
      </c>
      <c r="P181" s="35">
        <f>IF($A181&gt;NYears*12,"",IF($D181=1,$O181,$P180+$O181))</f>
        <v/>
      </c>
      <c r="Q181" s="35">
        <f>IF($A181&gt;NYears*12,"",IF($D181=12,MIN(WdrPct*IF(WdrBase="Post-tax profit",$K181-$P181,$K181),WdrCap),0))</f>
        <v/>
      </c>
      <c r="R181" s="35">
        <f>IF($A181&gt;NYears*12,"",$F181+$J181-$O181-$Q181)</f>
        <v/>
      </c>
      <c r="S181" s="33">
        <f>IF($A181&gt;NYears*12,"",INT($R181/$E181))</f>
        <v/>
      </c>
    </row>
    <row r="182">
      <c r="A182" s="33">
        <f>178</f>
        <v/>
      </c>
      <c r="B182" s="34">
        <f>IF($A182&gt;NYears*12,"",EDATE(StartMonth,$A182-1))</f>
        <v/>
      </c>
      <c r="C182" s="33">
        <f>IF($A182&gt;NYears*12,"",INT(($A182-1)/12)+1)</f>
        <v/>
      </c>
      <c r="D182" s="33">
        <f>IF($A182&gt;NYears*12,"",MOD($A182-1,12)+1)</f>
        <v/>
      </c>
      <c r="E182" s="35">
        <f>IF($A182&gt;NYears*12,"",LotValue0*(1+LotGrowth)^($C182-1))</f>
        <v/>
      </c>
      <c r="F182" s="35">
        <f>IF($A182&gt;NYears*12,"",IF($A182=1,InitInvest,$R181))</f>
        <v/>
      </c>
      <c r="G182" s="33">
        <f>IF($A182&gt;NYears*12,"",INT($F182/$E182))</f>
        <v/>
      </c>
      <c r="H182" s="35">
        <f>IF($A182&gt;NYears*12,"",$G182*$E182)</f>
        <v/>
      </c>
      <c r="I182" s="35">
        <f>IF($A182&gt;NYears*12,"",$F182-$H182)</f>
        <v/>
      </c>
      <c r="J182" s="35">
        <f>IF($A182&gt;NYears*12,"",$H182*RateA)</f>
        <v/>
      </c>
      <c r="K182" s="35">
        <f>IF($A182&gt;NYears*12,"",IF($D182=1,$J182,$K181+$J182))</f>
        <v/>
      </c>
      <c r="L182" s="35">
        <f>IF($A182&gt;NYears*12,"",IF(MOD($D182,3)=0,SUM($J180:$J182),0))</f>
        <v/>
      </c>
      <c r="M182" s="35">
        <f>IF($A182&gt;NYears*12,"",IF(TaxFreq="Quarterly",$K182*12/$D182,$K182))</f>
        <v/>
      </c>
      <c r="N182" s="36">
        <f>IF($A182&gt;NYears*12,"",LOOKUP($M182,TaxLower,TaxRate))</f>
        <v/>
      </c>
      <c r="O182" s="35">
        <f>IF($A182&gt;NYears*12,"",IF(TaxFreq="Quarterly",IF(MOD($D182,3)=0,$L182*$N182,0),IF($D182=12,$K182*$N182,0)))</f>
        <v/>
      </c>
      <c r="P182" s="35">
        <f>IF($A182&gt;NYears*12,"",IF($D182=1,$O182,$P181+$O182))</f>
        <v/>
      </c>
      <c r="Q182" s="35">
        <f>IF($A182&gt;NYears*12,"",IF($D182=12,MIN(WdrPct*IF(WdrBase="Post-tax profit",$K182-$P182,$K182),WdrCap),0))</f>
        <v/>
      </c>
      <c r="R182" s="35">
        <f>IF($A182&gt;NYears*12,"",$F182+$J182-$O182-$Q182)</f>
        <v/>
      </c>
      <c r="S182" s="33">
        <f>IF($A182&gt;NYears*12,"",INT($R182/$E182))</f>
        <v/>
      </c>
    </row>
    <row r="183">
      <c r="A183" s="33">
        <f>179</f>
        <v/>
      </c>
      <c r="B183" s="34">
        <f>IF($A183&gt;NYears*12,"",EDATE(StartMonth,$A183-1))</f>
        <v/>
      </c>
      <c r="C183" s="33">
        <f>IF($A183&gt;NYears*12,"",INT(($A183-1)/12)+1)</f>
        <v/>
      </c>
      <c r="D183" s="33">
        <f>IF($A183&gt;NYears*12,"",MOD($A183-1,12)+1)</f>
        <v/>
      </c>
      <c r="E183" s="35">
        <f>IF($A183&gt;NYears*12,"",LotValue0*(1+LotGrowth)^($C183-1))</f>
        <v/>
      </c>
      <c r="F183" s="35">
        <f>IF($A183&gt;NYears*12,"",IF($A183=1,InitInvest,$R182))</f>
        <v/>
      </c>
      <c r="G183" s="33">
        <f>IF($A183&gt;NYears*12,"",INT($F183/$E183))</f>
        <v/>
      </c>
      <c r="H183" s="35">
        <f>IF($A183&gt;NYears*12,"",$G183*$E183)</f>
        <v/>
      </c>
      <c r="I183" s="35">
        <f>IF($A183&gt;NYears*12,"",$F183-$H183)</f>
        <v/>
      </c>
      <c r="J183" s="35">
        <f>IF($A183&gt;NYears*12,"",$H183*RateA)</f>
        <v/>
      </c>
      <c r="K183" s="35">
        <f>IF($A183&gt;NYears*12,"",IF($D183=1,$J183,$K182+$J183))</f>
        <v/>
      </c>
      <c r="L183" s="35">
        <f>IF($A183&gt;NYears*12,"",IF(MOD($D183,3)=0,SUM($J181:$J183),0))</f>
        <v/>
      </c>
      <c r="M183" s="35">
        <f>IF($A183&gt;NYears*12,"",IF(TaxFreq="Quarterly",$K183*12/$D183,$K183))</f>
        <v/>
      </c>
      <c r="N183" s="36">
        <f>IF($A183&gt;NYears*12,"",LOOKUP($M183,TaxLower,TaxRate))</f>
        <v/>
      </c>
      <c r="O183" s="35">
        <f>IF($A183&gt;NYears*12,"",IF(TaxFreq="Quarterly",IF(MOD($D183,3)=0,$L183*$N183,0),IF($D183=12,$K183*$N183,0)))</f>
        <v/>
      </c>
      <c r="P183" s="35">
        <f>IF($A183&gt;NYears*12,"",IF($D183=1,$O183,$P182+$O183))</f>
        <v/>
      </c>
      <c r="Q183" s="35">
        <f>IF($A183&gt;NYears*12,"",IF($D183=12,MIN(WdrPct*IF(WdrBase="Post-tax profit",$K183-$P183,$K183),WdrCap),0))</f>
        <v/>
      </c>
      <c r="R183" s="35">
        <f>IF($A183&gt;NYears*12,"",$F183+$J183-$O183-$Q183)</f>
        <v/>
      </c>
      <c r="S183" s="33">
        <f>IF($A183&gt;NYears*12,"",INT($R183/$E183))</f>
        <v/>
      </c>
    </row>
    <row r="184">
      <c r="A184" s="37">
        <f>180</f>
        <v/>
      </c>
      <c r="B184" s="38">
        <f>IF($A184&gt;NYears*12,"",EDATE(StartMonth,$A184-1))</f>
        <v/>
      </c>
      <c r="C184" s="37">
        <f>IF($A184&gt;NYears*12,"",INT(($A184-1)/12)+1)</f>
        <v/>
      </c>
      <c r="D184" s="37">
        <f>IF($A184&gt;NYears*12,"",MOD($A184-1,12)+1)</f>
        <v/>
      </c>
      <c r="E184" s="39">
        <f>IF($A184&gt;NYears*12,"",LotValue0*(1+LotGrowth)^($C184-1))</f>
        <v/>
      </c>
      <c r="F184" s="39">
        <f>IF($A184&gt;NYears*12,"",IF($A184=1,InitInvest,$R183))</f>
        <v/>
      </c>
      <c r="G184" s="37">
        <f>IF($A184&gt;NYears*12,"",INT($F184/$E184))</f>
        <v/>
      </c>
      <c r="H184" s="39">
        <f>IF($A184&gt;NYears*12,"",$G184*$E184)</f>
        <v/>
      </c>
      <c r="I184" s="39">
        <f>IF($A184&gt;NYears*12,"",$F184-$H184)</f>
        <v/>
      </c>
      <c r="J184" s="39">
        <f>IF($A184&gt;NYears*12,"",$H184*RateA)</f>
        <v/>
      </c>
      <c r="K184" s="39">
        <f>IF($A184&gt;NYears*12,"",IF($D184=1,$J184,$K183+$J184))</f>
        <v/>
      </c>
      <c r="L184" s="39">
        <f>IF($A184&gt;NYears*12,"",IF(MOD($D184,3)=0,SUM($J182:$J184),0))</f>
        <v/>
      </c>
      <c r="M184" s="39">
        <f>IF($A184&gt;NYears*12,"",IF(TaxFreq="Quarterly",$K184*12/$D184,$K184))</f>
        <v/>
      </c>
      <c r="N184" s="40">
        <f>IF($A184&gt;NYears*12,"",LOOKUP($M184,TaxLower,TaxRate))</f>
        <v/>
      </c>
      <c r="O184" s="39">
        <f>IF($A184&gt;NYears*12,"",IF(TaxFreq="Quarterly",IF(MOD($D184,3)=0,$L184*$N184,0),IF($D184=12,$K184*$N184,0)))</f>
        <v/>
      </c>
      <c r="P184" s="39">
        <f>IF($A184&gt;NYears*12,"",IF($D184=1,$O184,$P183+$O184))</f>
        <v/>
      </c>
      <c r="Q184" s="39">
        <f>IF($A184&gt;NYears*12,"",IF($D184=12,MIN(WdrPct*IF(WdrBase="Post-tax profit",$K184-$P184,$K184),WdrCap),0))</f>
        <v/>
      </c>
      <c r="R184" s="39">
        <f>IF($A184&gt;NYears*12,"",$F184+$J184-$O184-$Q184)</f>
        <v/>
      </c>
      <c r="S184" s="37">
        <f>IF($A184&gt;NYears*12,"",INT($R184/$E184))</f>
        <v/>
      </c>
    </row>
    <row r="185">
      <c r="A185" s="33">
        <f>181</f>
        <v/>
      </c>
      <c r="B185" s="34">
        <f>IF($A185&gt;NYears*12,"",EDATE(StartMonth,$A185-1))</f>
        <v/>
      </c>
      <c r="C185" s="33">
        <f>IF($A185&gt;NYears*12,"",INT(($A185-1)/12)+1)</f>
        <v/>
      </c>
      <c r="D185" s="33">
        <f>IF($A185&gt;NYears*12,"",MOD($A185-1,12)+1)</f>
        <v/>
      </c>
      <c r="E185" s="35">
        <f>IF($A185&gt;NYears*12,"",LotValue0*(1+LotGrowth)^($C185-1))</f>
        <v/>
      </c>
      <c r="F185" s="35">
        <f>IF($A185&gt;NYears*12,"",IF($A185=1,InitInvest,$R184))</f>
        <v/>
      </c>
      <c r="G185" s="33">
        <f>IF($A185&gt;NYears*12,"",INT($F185/$E185))</f>
        <v/>
      </c>
      <c r="H185" s="35">
        <f>IF($A185&gt;NYears*12,"",$G185*$E185)</f>
        <v/>
      </c>
      <c r="I185" s="35">
        <f>IF($A185&gt;NYears*12,"",$F185-$H185)</f>
        <v/>
      </c>
      <c r="J185" s="35">
        <f>IF($A185&gt;NYears*12,"",$H185*RateA)</f>
        <v/>
      </c>
      <c r="K185" s="35">
        <f>IF($A185&gt;NYears*12,"",IF($D185=1,$J185,$K184+$J185))</f>
        <v/>
      </c>
      <c r="L185" s="35">
        <f>IF($A185&gt;NYears*12,"",IF(MOD($D185,3)=0,SUM($J183:$J185),0))</f>
        <v/>
      </c>
      <c r="M185" s="35">
        <f>IF($A185&gt;NYears*12,"",IF(TaxFreq="Quarterly",$K185*12/$D185,$K185))</f>
        <v/>
      </c>
      <c r="N185" s="36">
        <f>IF($A185&gt;NYears*12,"",LOOKUP($M185,TaxLower,TaxRate))</f>
        <v/>
      </c>
      <c r="O185" s="35">
        <f>IF($A185&gt;NYears*12,"",IF(TaxFreq="Quarterly",IF(MOD($D185,3)=0,$L185*$N185,0),IF($D185=12,$K185*$N185,0)))</f>
        <v/>
      </c>
      <c r="P185" s="35">
        <f>IF($A185&gt;NYears*12,"",IF($D185=1,$O185,$P184+$O185))</f>
        <v/>
      </c>
      <c r="Q185" s="35">
        <f>IF($A185&gt;NYears*12,"",IF($D185=12,MIN(WdrPct*IF(WdrBase="Post-tax profit",$K185-$P185,$K185),WdrCap),0))</f>
        <v/>
      </c>
      <c r="R185" s="35">
        <f>IF($A185&gt;NYears*12,"",$F185+$J185-$O185-$Q185)</f>
        <v/>
      </c>
      <c r="S185" s="33">
        <f>IF($A185&gt;NYears*12,"",INT($R185/$E185))</f>
        <v/>
      </c>
    </row>
    <row r="186">
      <c r="A186" s="33">
        <f>182</f>
        <v/>
      </c>
      <c r="B186" s="34">
        <f>IF($A186&gt;NYears*12,"",EDATE(StartMonth,$A186-1))</f>
        <v/>
      </c>
      <c r="C186" s="33">
        <f>IF($A186&gt;NYears*12,"",INT(($A186-1)/12)+1)</f>
        <v/>
      </c>
      <c r="D186" s="33">
        <f>IF($A186&gt;NYears*12,"",MOD($A186-1,12)+1)</f>
        <v/>
      </c>
      <c r="E186" s="35">
        <f>IF($A186&gt;NYears*12,"",LotValue0*(1+LotGrowth)^($C186-1))</f>
        <v/>
      </c>
      <c r="F186" s="35">
        <f>IF($A186&gt;NYears*12,"",IF($A186=1,InitInvest,$R185))</f>
        <v/>
      </c>
      <c r="G186" s="33">
        <f>IF($A186&gt;NYears*12,"",INT($F186/$E186))</f>
        <v/>
      </c>
      <c r="H186" s="35">
        <f>IF($A186&gt;NYears*12,"",$G186*$E186)</f>
        <v/>
      </c>
      <c r="I186" s="35">
        <f>IF($A186&gt;NYears*12,"",$F186-$H186)</f>
        <v/>
      </c>
      <c r="J186" s="35">
        <f>IF($A186&gt;NYears*12,"",$H186*RateA)</f>
        <v/>
      </c>
      <c r="K186" s="35">
        <f>IF($A186&gt;NYears*12,"",IF($D186=1,$J186,$K185+$J186))</f>
        <v/>
      </c>
      <c r="L186" s="35">
        <f>IF($A186&gt;NYears*12,"",IF(MOD($D186,3)=0,SUM($J184:$J186),0))</f>
        <v/>
      </c>
      <c r="M186" s="35">
        <f>IF($A186&gt;NYears*12,"",IF(TaxFreq="Quarterly",$K186*12/$D186,$K186))</f>
        <v/>
      </c>
      <c r="N186" s="36">
        <f>IF($A186&gt;NYears*12,"",LOOKUP($M186,TaxLower,TaxRate))</f>
        <v/>
      </c>
      <c r="O186" s="35">
        <f>IF($A186&gt;NYears*12,"",IF(TaxFreq="Quarterly",IF(MOD($D186,3)=0,$L186*$N186,0),IF($D186=12,$K186*$N186,0)))</f>
        <v/>
      </c>
      <c r="P186" s="35">
        <f>IF($A186&gt;NYears*12,"",IF($D186=1,$O186,$P185+$O186))</f>
        <v/>
      </c>
      <c r="Q186" s="35">
        <f>IF($A186&gt;NYears*12,"",IF($D186=12,MIN(WdrPct*IF(WdrBase="Post-tax profit",$K186-$P186,$K186),WdrCap),0))</f>
        <v/>
      </c>
      <c r="R186" s="35">
        <f>IF($A186&gt;NYears*12,"",$F186+$J186-$O186-$Q186)</f>
        <v/>
      </c>
      <c r="S186" s="33">
        <f>IF($A186&gt;NYears*12,"",INT($R186/$E186))</f>
        <v/>
      </c>
    </row>
    <row r="187">
      <c r="A187" s="33">
        <f>183</f>
        <v/>
      </c>
      <c r="B187" s="34">
        <f>IF($A187&gt;NYears*12,"",EDATE(StartMonth,$A187-1))</f>
        <v/>
      </c>
      <c r="C187" s="33">
        <f>IF($A187&gt;NYears*12,"",INT(($A187-1)/12)+1)</f>
        <v/>
      </c>
      <c r="D187" s="33">
        <f>IF($A187&gt;NYears*12,"",MOD($A187-1,12)+1)</f>
        <v/>
      </c>
      <c r="E187" s="35">
        <f>IF($A187&gt;NYears*12,"",LotValue0*(1+LotGrowth)^($C187-1))</f>
        <v/>
      </c>
      <c r="F187" s="35">
        <f>IF($A187&gt;NYears*12,"",IF($A187=1,InitInvest,$R186))</f>
        <v/>
      </c>
      <c r="G187" s="33">
        <f>IF($A187&gt;NYears*12,"",INT($F187/$E187))</f>
        <v/>
      </c>
      <c r="H187" s="35">
        <f>IF($A187&gt;NYears*12,"",$G187*$E187)</f>
        <v/>
      </c>
      <c r="I187" s="35">
        <f>IF($A187&gt;NYears*12,"",$F187-$H187)</f>
        <v/>
      </c>
      <c r="J187" s="35">
        <f>IF($A187&gt;NYears*12,"",$H187*RateA)</f>
        <v/>
      </c>
      <c r="K187" s="35">
        <f>IF($A187&gt;NYears*12,"",IF($D187=1,$J187,$K186+$J187))</f>
        <v/>
      </c>
      <c r="L187" s="35">
        <f>IF($A187&gt;NYears*12,"",IF(MOD($D187,3)=0,SUM($J185:$J187),0))</f>
        <v/>
      </c>
      <c r="M187" s="35">
        <f>IF($A187&gt;NYears*12,"",IF(TaxFreq="Quarterly",$K187*12/$D187,$K187))</f>
        <v/>
      </c>
      <c r="N187" s="36">
        <f>IF($A187&gt;NYears*12,"",LOOKUP($M187,TaxLower,TaxRate))</f>
        <v/>
      </c>
      <c r="O187" s="35">
        <f>IF($A187&gt;NYears*12,"",IF(TaxFreq="Quarterly",IF(MOD($D187,3)=0,$L187*$N187,0),IF($D187=12,$K187*$N187,0)))</f>
        <v/>
      </c>
      <c r="P187" s="35">
        <f>IF($A187&gt;NYears*12,"",IF($D187=1,$O187,$P186+$O187))</f>
        <v/>
      </c>
      <c r="Q187" s="35">
        <f>IF($A187&gt;NYears*12,"",IF($D187=12,MIN(WdrPct*IF(WdrBase="Post-tax profit",$K187-$P187,$K187),WdrCap),0))</f>
        <v/>
      </c>
      <c r="R187" s="35">
        <f>IF($A187&gt;NYears*12,"",$F187+$J187-$O187-$Q187)</f>
        <v/>
      </c>
      <c r="S187" s="33">
        <f>IF($A187&gt;NYears*12,"",INT($R187/$E187))</f>
        <v/>
      </c>
    </row>
    <row r="188">
      <c r="A188" s="33">
        <f>184</f>
        <v/>
      </c>
      <c r="B188" s="34">
        <f>IF($A188&gt;NYears*12,"",EDATE(StartMonth,$A188-1))</f>
        <v/>
      </c>
      <c r="C188" s="33">
        <f>IF($A188&gt;NYears*12,"",INT(($A188-1)/12)+1)</f>
        <v/>
      </c>
      <c r="D188" s="33">
        <f>IF($A188&gt;NYears*12,"",MOD($A188-1,12)+1)</f>
        <v/>
      </c>
      <c r="E188" s="35">
        <f>IF($A188&gt;NYears*12,"",LotValue0*(1+LotGrowth)^($C188-1))</f>
        <v/>
      </c>
      <c r="F188" s="35">
        <f>IF($A188&gt;NYears*12,"",IF($A188=1,InitInvest,$R187))</f>
        <v/>
      </c>
      <c r="G188" s="33">
        <f>IF($A188&gt;NYears*12,"",INT($F188/$E188))</f>
        <v/>
      </c>
      <c r="H188" s="35">
        <f>IF($A188&gt;NYears*12,"",$G188*$E188)</f>
        <v/>
      </c>
      <c r="I188" s="35">
        <f>IF($A188&gt;NYears*12,"",$F188-$H188)</f>
        <v/>
      </c>
      <c r="J188" s="35">
        <f>IF($A188&gt;NYears*12,"",$H188*RateA)</f>
        <v/>
      </c>
      <c r="K188" s="35">
        <f>IF($A188&gt;NYears*12,"",IF($D188=1,$J188,$K187+$J188))</f>
        <v/>
      </c>
      <c r="L188" s="35">
        <f>IF($A188&gt;NYears*12,"",IF(MOD($D188,3)=0,SUM($J186:$J188),0))</f>
        <v/>
      </c>
      <c r="M188" s="35">
        <f>IF($A188&gt;NYears*12,"",IF(TaxFreq="Quarterly",$K188*12/$D188,$K188))</f>
        <v/>
      </c>
      <c r="N188" s="36">
        <f>IF($A188&gt;NYears*12,"",LOOKUP($M188,TaxLower,TaxRate))</f>
        <v/>
      </c>
      <c r="O188" s="35">
        <f>IF($A188&gt;NYears*12,"",IF(TaxFreq="Quarterly",IF(MOD($D188,3)=0,$L188*$N188,0),IF($D188=12,$K188*$N188,0)))</f>
        <v/>
      </c>
      <c r="P188" s="35">
        <f>IF($A188&gt;NYears*12,"",IF($D188=1,$O188,$P187+$O188))</f>
        <v/>
      </c>
      <c r="Q188" s="35">
        <f>IF($A188&gt;NYears*12,"",IF($D188=12,MIN(WdrPct*IF(WdrBase="Post-tax profit",$K188-$P188,$K188),WdrCap),0))</f>
        <v/>
      </c>
      <c r="R188" s="35">
        <f>IF($A188&gt;NYears*12,"",$F188+$J188-$O188-$Q188)</f>
        <v/>
      </c>
      <c r="S188" s="33">
        <f>IF($A188&gt;NYears*12,"",INT($R188/$E188))</f>
        <v/>
      </c>
    </row>
    <row r="189">
      <c r="A189" s="33">
        <f>185</f>
        <v/>
      </c>
      <c r="B189" s="34">
        <f>IF($A189&gt;NYears*12,"",EDATE(StartMonth,$A189-1))</f>
        <v/>
      </c>
      <c r="C189" s="33">
        <f>IF($A189&gt;NYears*12,"",INT(($A189-1)/12)+1)</f>
        <v/>
      </c>
      <c r="D189" s="33">
        <f>IF($A189&gt;NYears*12,"",MOD($A189-1,12)+1)</f>
        <v/>
      </c>
      <c r="E189" s="35">
        <f>IF($A189&gt;NYears*12,"",LotValue0*(1+LotGrowth)^($C189-1))</f>
        <v/>
      </c>
      <c r="F189" s="35">
        <f>IF($A189&gt;NYears*12,"",IF($A189=1,InitInvest,$R188))</f>
        <v/>
      </c>
      <c r="G189" s="33">
        <f>IF($A189&gt;NYears*12,"",INT($F189/$E189))</f>
        <v/>
      </c>
      <c r="H189" s="35">
        <f>IF($A189&gt;NYears*12,"",$G189*$E189)</f>
        <v/>
      </c>
      <c r="I189" s="35">
        <f>IF($A189&gt;NYears*12,"",$F189-$H189)</f>
        <v/>
      </c>
      <c r="J189" s="35">
        <f>IF($A189&gt;NYears*12,"",$H189*RateA)</f>
        <v/>
      </c>
      <c r="K189" s="35">
        <f>IF($A189&gt;NYears*12,"",IF($D189=1,$J189,$K188+$J189))</f>
        <v/>
      </c>
      <c r="L189" s="35">
        <f>IF($A189&gt;NYears*12,"",IF(MOD($D189,3)=0,SUM($J187:$J189),0))</f>
        <v/>
      </c>
      <c r="M189" s="35">
        <f>IF($A189&gt;NYears*12,"",IF(TaxFreq="Quarterly",$K189*12/$D189,$K189))</f>
        <v/>
      </c>
      <c r="N189" s="36">
        <f>IF($A189&gt;NYears*12,"",LOOKUP($M189,TaxLower,TaxRate))</f>
        <v/>
      </c>
      <c r="O189" s="35">
        <f>IF($A189&gt;NYears*12,"",IF(TaxFreq="Quarterly",IF(MOD($D189,3)=0,$L189*$N189,0),IF($D189=12,$K189*$N189,0)))</f>
        <v/>
      </c>
      <c r="P189" s="35">
        <f>IF($A189&gt;NYears*12,"",IF($D189=1,$O189,$P188+$O189))</f>
        <v/>
      </c>
      <c r="Q189" s="35">
        <f>IF($A189&gt;NYears*12,"",IF($D189=12,MIN(WdrPct*IF(WdrBase="Post-tax profit",$K189-$P189,$K189),WdrCap),0))</f>
        <v/>
      </c>
      <c r="R189" s="35">
        <f>IF($A189&gt;NYears*12,"",$F189+$J189-$O189-$Q189)</f>
        <v/>
      </c>
      <c r="S189" s="33">
        <f>IF($A189&gt;NYears*12,"",INT($R189/$E189))</f>
        <v/>
      </c>
    </row>
    <row r="190">
      <c r="A190" s="33">
        <f>186</f>
        <v/>
      </c>
      <c r="B190" s="34">
        <f>IF($A190&gt;NYears*12,"",EDATE(StartMonth,$A190-1))</f>
        <v/>
      </c>
      <c r="C190" s="33">
        <f>IF($A190&gt;NYears*12,"",INT(($A190-1)/12)+1)</f>
        <v/>
      </c>
      <c r="D190" s="33">
        <f>IF($A190&gt;NYears*12,"",MOD($A190-1,12)+1)</f>
        <v/>
      </c>
      <c r="E190" s="35">
        <f>IF($A190&gt;NYears*12,"",LotValue0*(1+LotGrowth)^($C190-1))</f>
        <v/>
      </c>
      <c r="F190" s="35">
        <f>IF($A190&gt;NYears*12,"",IF($A190=1,InitInvest,$R189))</f>
        <v/>
      </c>
      <c r="G190" s="33">
        <f>IF($A190&gt;NYears*12,"",INT($F190/$E190))</f>
        <v/>
      </c>
      <c r="H190" s="35">
        <f>IF($A190&gt;NYears*12,"",$G190*$E190)</f>
        <v/>
      </c>
      <c r="I190" s="35">
        <f>IF($A190&gt;NYears*12,"",$F190-$H190)</f>
        <v/>
      </c>
      <c r="J190" s="35">
        <f>IF($A190&gt;NYears*12,"",$H190*RateA)</f>
        <v/>
      </c>
      <c r="K190" s="35">
        <f>IF($A190&gt;NYears*12,"",IF($D190=1,$J190,$K189+$J190))</f>
        <v/>
      </c>
      <c r="L190" s="35">
        <f>IF($A190&gt;NYears*12,"",IF(MOD($D190,3)=0,SUM($J188:$J190),0))</f>
        <v/>
      </c>
      <c r="M190" s="35">
        <f>IF($A190&gt;NYears*12,"",IF(TaxFreq="Quarterly",$K190*12/$D190,$K190))</f>
        <v/>
      </c>
      <c r="N190" s="36">
        <f>IF($A190&gt;NYears*12,"",LOOKUP($M190,TaxLower,TaxRate))</f>
        <v/>
      </c>
      <c r="O190" s="35">
        <f>IF($A190&gt;NYears*12,"",IF(TaxFreq="Quarterly",IF(MOD($D190,3)=0,$L190*$N190,0),IF($D190=12,$K190*$N190,0)))</f>
        <v/>
      </c>
      <c r="P190" s="35">
        <f>IF($A190&gt;NYears*12,"",IF($D190=1,$O190,$P189+$O190))</f>
        <v/>
      </c>
      <c r="Q190" s="35">
        <f>IF($A190&gt;NYears*12,"",IF($D190=12,MIN(WdrPct*IF(WdrBase="Post-tax profit",$K190-$P190,$K190),WdrCap),0))</f>
        <v/>
      </c>
      <c r="R190" s="35">
        <f>IF($A190&gt;NYears*12,"",$F190+$J190-$O190-$Q190)</f>
        <v/>
      </c>
      <c r="S190" s="33">
        <f>IF($A190&gt;NYears*12,"",INT($R190/$E190))</f>
        <v/>
      </c>
    </row>
    <row r="191">
      <c r="A191" s="33">
        <f>187</f>
        <v/>
      </c>
      <c r="B191" s="34">
        <f>IF($A191&gt;NYears*12,"",EDATE(StartMonth,$A191-1))</f>
        <v/>
      </c>
      <c r="C191" s="33">
        <f>IF($A191&gt;NYears*12,"",INT(($A191-1)/12)+1)</f>
        <v/>
      </c>
      <c r="D191" s="33">
        <f>IF($A191&gt;NYears*12,"",MOD($A191-1,12)+1)</f>
        <v/>
      </c>
      <c r="E191" s="35">
        <f>IF($A191&gt;NYears*12,"",LotValue0*(1+LotGrowth)^($C191-1))</f>
        <v/>
      </c>
      <c r="F191" s="35">
        <f>IF($A191&gt;NYears*12,"",IF($A191=1,InitInvest,$R190))</f>
        <v/>
      </c>
      <c r="G191" s="33">
        <f>IF($A191&gt;NYears*12,"",INT($F191/$E191))</f>
        <v/>
      </c>
      <c r="H191" s="35">
        <f>IF($A191&gt;NYears*12,"",$G191*$E191)</f>
        <v/>
      </c>
      <c r="I191" s="35">
        <f>IF($A191&gt;NYears*12,"",$F191-$H191)</f>
        <v/>
      </c>
      <c r="J191" s="35">
        <f>IF($A191&gt;NYears*12,"",$H191*RateA)</f>
        <v/>
      </c>
      <c r="K191" s="35">
        <f>IF($A191&gt;NYears*12,"",IF($D191=1,$J191,$K190+$J191))</f>
        <v/>
      </c>
      <c r="L191" s="35">
        <f>IF($A191&gt;NYears*12,"",IF(MOD($D191,3)=0,SUM($J189:$J191),0))</f>
        <v/>
      </c>
      <c r="M191" s="35">
        <f>IF($A191&gt;NYears*12,"",IF(TaxFreq="Quarterly",$K191*12/$D191,$K191))</f>
        <v/>
      </c>
      <c r="N191" s="36">
        <f>IF($A191&gt;NYears*12,"",LOOKUP($M191,TaxLower,TaxRate))</f>
        <v/>
      </c>
      <c r="O191" s="35">
        <f>IF($A191&gt;NYears*12,"",IF(TaxFreq="Quarterly",IF(MOD($D191,3)=0,$L191*$N191,0),IF($D191=12,$K191*$N191,0)))</f>
        <v/>
      </c>
      <c r="P191" s="35">
        <f>IF($A191&gt;NYears*12,"",IF($D191=1,$O191,$P190+$O191))</f>
        <v/>
      </c>
      <c r="Q191" s="35">
        <f>IF($A191&gt;NYears*12,"",IF($D191=12,MIN(WdrPct*IF(WdrBase="Post-tax profit",$K191-$P191,$K191),WdrCap),0))</f>
        <v/>
      </c>
      <c r="R191" s="35">
        <f>IF($A191&gt;NYears*12,"",$F191+$J191-$O191-$Q191)</f>
        <v/>
      </c>
      <c r="S191" s="33">
        <f>IF($A191&gt;NYears*12,"",INT($R191/$E191))</f>
        <v/>
      </c>
    </row>
    <row r="192">
      <c r="A192" s="33">
        <f>188</f>
        <v/>
      </c>
      <c r="B192" s="34">
        <f>IF($A192&gt;NYears*12,"",EDATE(StartMonth,$A192-1))</f>
        <v/>
      </c>
      <c r="C192" s="33">
        <f>IF($A192&gt;NYears*12,"",INT(($A192-1)/12)+1)</f>
        <v/>
      </c>
      <c r="D192" s="33">
        <f>IF($A192&gt;NYears*12,"",MOD($A192-1,12)+1)</f>
        <v/>
      </c>
      <c r="E192" s="35">
        <f>IF($A192&gt;NYears*12,"",LotValue0*(1+LotGrowth)^($C192-1))</f>
        <v/>
      </c>
      <c r="F192" s="35">
        <f>IF($A192&gt;NYears*12,"",IF($A192=1,InitInvest,$R191))</f>
        <v/>
      </c>
      <c r="G192" s="33">
        <f>IF($A192&gt;NYears*12,"",INT($F192/$E192))</f>
        <v/>
      </c>
      <c r="H192" s="35">
        <f>IF($A192&gt;NYears*12,"",$G192*$E192)</f>
        <v/>
      </c>
      <c r="I192" s="35">
        <f>IF($A192&gt;NYears*12,"",$F192-$H192)</f>
        <v/>
      </c>
      <c r="J192" s="35">
        <f>IF($A192&gt;NYears*12,"",$H192*RateA)</f>
        <v/>
      </c>
      <c r="K192" s="35">
        <f>IF($A192&gt;NYears*12,"",IF($D192=1,$J192,$K191+$J192))</f>
        <v/>
      </c>
      <c r="L192" s="35">
        <f>IF($A192&gt;NYears*12,"",IF(MOD($D192,3)=0,SUM($J190:$J192),0))</f>
        <v/>
      </c>
      <c r="M192" s="35">
        <f>IF($A192&gt;NYears*12,"",IF(TaxFreq="Quarterly",$K192*12/$D192,$K192))</f>
        <v/>
      </c>
      <c r="N192" s="36">
        <f>IF($A192&gt;NYears*12,"",LOOKUP($M192,TaxLower,TaxRate))</f>
        <v/>
      </c>
      <c r="O192" s="35">
        <f>IF($A192&gt;NYears*12,"",IF(TaxFreq="Quarterly",IF(MOD($D192,3)=0,$L192*$N192,0),IF($D192=12,$K192*$N192,0)))</f>
        <v/>
      </c>
      <c r="P192" s="35">
        <f>IF($A192&gt;NYears*12,"",IF($D192=1,$O192,$P191+$O192))</f>
        <v/>
      </c>
      <c r="Q192" s="35">
        <f>IF($A192&gt;NYears*12,"",IF($D192=12,MIN(WdrPct*IF(WdrBase="Post-tax profit",$K192-$P192,$K192),WdrCap),0))</f>
        <v/>
      </c>
      <c r="R192" s="35">
        <f>IF($A192&gt;NYears*12,"",$F192+$J192-$O192-$Q192)</f>
        <v/>
      </c>
      <c r="S192" s="33">
        <f>IF($A192&gt;NYears*12,"",INT($R192/$E192))</f>
        <v/>
      </c>
    </row>
    <row r="193">
      <c r="A193" s="33">
        <f>189</f>
        <v/>
      </c>
      <c r="B193" s="34">
        <f>IF($A193&gt;NYears*12,"",EDATE(StartMonth,$A193-1))</f>
        <v/>
      </c>
      <c r="C193" s="33">
        <f>IF($A193&gt;NYears*12,"",INT(($A193-1)/12)+1)</f>
        <v/>
      </c>
      <c r="D193" s="33">
        <f>IF($A193&gt;NYears*12,"",MOD($A193-1,12)+1)</f>
        <v/>
      </c>
      <c r="E193" s="35">
        <f>IF($A193&gt;NYears*12,"",LotValue0*(1+LotGrowth)^($C193-1))</f>
        <v/>
      </c>
      <c r="F193" s="35">
        <f>IF($A193&gt;NYears*12,"",IF($A193=1,InitInvest,$R192))</f>
        <v/>
      </c>
      <c r="G193" s="33">
        <f>IF($A193&gt;NYears*12,"",INT($F193/$E193))</f>
        <v/>
      </c>
      <c r="H193" s="35">
        <f>IF($A193&gt;NYears*12,"",$G193*$E193)</f>
        <v/>
      </c>
      <c r="I193" s="35">
        <f>IF($A193&gt;NYears*12,"",$F193-$H193)</f>
        <v/>
      </c>
      <c r="J193" s="35">
        <f>IF($A193&gt;NYears*12,"",$H193*RateA)</f>
        <v/>
      </c>
      <c r="K193" s="35">
        <f>IF($A193&gt;NYears*12,"",IF($D193=1,$J193,$K192+$J193))</f>
        <v/>
      </c>
      <c r="L193" s="35">
        <f>IF($A193&gt;NYears*12,"",IF(MOD($D193,3)=0,SUM($J191:$J193),0))</f>
        <v/>
      </c>
      <c r="M193" s="35">
        <f>IF($A193&gt;NYears*12,"",IF(TaxFreq="Quarterly",$K193*12/$D193,$K193))</f>
        <v/>
      </c>
      <c r="N193" s="36">
        <f>IF($A193&gt;NYears*12,"",LOOKUP($M193,TaxLower,TaxRate))</f>
        <v/>
      </c>
      <c r="O193" s="35">
        <f>IF($A193&gt;NYears*12,"",IF(TaxFreq="Quarterly",IF(MOD($D193,3)=0,$L193*$N193,0),IF($D193=12,$K193*$N193,0)))</f>
        <v/>
      </c>
      <c r="P193" s="35">
        <f>IF($A193&gt;NYears*12,"",IF($D193=1,$O193,$P192+$O193))</f>
        <v/>
      </c>
      <c r="Q193" s="35">
        <f>IF($A193&gt;NYears*12,"",IF($D193=12,MIN(WdrPct*IF(WdrBase="Post-tax profit",$K193-$P193,$K193),WdrCap),0))</f>
        <v/>
      </c>
      <c r="R193" s="35">
        <f>IF($A193&gt;NYears*12,"",$F193+$J193-$O193-$Q193)</f>
        <v/>
      </c>
      <c r="S193" s="33">
        <f>IF($A193&gt;NYears*12,"",INT($R193/$E193))</f>
        <v/>
      </c>
    </row>
    <row r="194">
      <c r="A194" s="33">
        <f>190</f>
        <v/>
      </c>
      <c r="B194" s="34">
        <f>IF($A194&gt;NYears*12,"",EDATE(StartMonth,$A194-1))</f>
        <v/>
      </c>
      <c r="C194" s="33">
        <f>IF($A194&gt;NYears*12,"",INT(($A194-1)/12)+1)</f>
        <v/>
      </c>
      <c r="D194" s="33">
        <f>IF($A194&gt;NYears*12,"",MOD($A194-1,12)+1)</f>
        <v/>
      </c>
      <c r="E194" s="35">
        <f>IF($A194&gt;NYears*12,"",LotValue0*(1+LotGrowth)^($C194-1))</f>
        <v/>
      </c>
      <c r="F194" s="35">
        <f>IF($A194&gt;NYears*12,"",IF($A194=1,InitInvest,$R193))</f>
        <v/>
      </c>
      <c r="G194" s="33">
        <f>IF($A194&gt;NYears*12,"",INT($F194/$E194))</f>
        <v/>
      </c>
      <c r="H194" s="35">
        <f>IF($A194&gt;NYears*12,"",$G194*$E194)</f>
        <v/>
      </c>
      <c r="I194" s="35">
        <f>IF($A194&gt;NYears*12,"",$F194-$H194)</f>
        <v/>
      </c>
      <c r="J194" s="35">
        <f>IF($A194&gt;NYears*12,"",$H194*RateA)</f>
        <v/>
      </c>
      <c r="K194" s="35">
        <f>IF($A194&gt;NYears*12,"",IF($D194=1,$J194,$K193+$J194))</f>
        <v/>
      </c>
      <c r="L194" s="35">
        <f>IF($A194&gt;NYears*12,"",IF(MOD($D194,3)=0,SUM($J192:$J194),0))</f>
        <v/>
      </c>
      <c r="M194" s="35">
        <f>IF($A194&gt;NYears*12,"",IF(TaxFreq="Quarterly",$K194*12/$D194,$K194))</f>
        <v/>
      </c>
      <c r="N194" s="36">
        <f>IF($A194&gt;NYears*12,"",LOOKUP($M194,TaxLower,TaxRate))</f>
        <v/>
      </c>
      <c r="O194" s="35">
        <f>IF($A194&gt;NYears*12,"",IF(TaxFreq="Quarterly",IF(MOD($D194,3)=0,$L194*$N194,0),IF($D194=12,$K194*$N194,0)))</f>
        <v/>
      </c>
      <c r="P194" s="35">
        <f>IF($A194&gt;NYears*12,"",IF($D194=1,$O194,$P193+$O194))</f>
        <v/>
      </c>
      <c r="Q194" s="35">
        <f>IF($A194&gt;NYears*12,"",IF($D194=12,MIN(WdrPct*IF(WdrBase="Post-tax profit",$K194-$P194,$K194),WdrCap),0))</f>
        <v/>
      </c>
      <c r="R194" s="35">
        <f>IF($A194&gt;NYears*12,"",$F194+$J194-$O194-$Q194)</f>
        <v/>
      </c>
      <c r="S194" s="33">
        <f>IF($A194&gt;NYears*12,"",INT($R194/$E194))</f>
        <v/>
      </c>
    </row>
    <row r="195">
      <c r="A195" s="33">
        <f>191</f>
        <v/>
      </c>
      <c r="B195" s="34">
        <f>IF($A195&gt;NYears*12,"",EDATE(StartMonth,$A195-1))</f>
        <v/>
      </c>
      <c r="C195" s="33">
        <f>IF($A195&gt;NYears*12,"",INT(($A195-1)/12)+1)</f>
        <v/>
      </c>
      <c r="D195" s="33">
        <f>IF($A195&gt;NYears*12,"",MOD($A195-1,12)+1)</f>
        <v/>
      </c>
      <c r="E195" s="35">
        <f>IF($A195&gt;NYears*12,"",LotValue0*(1+LotGrowth)^($C195-1))</f>
        <v/>
      </c>
      <c r="F195" s="35">
        <f>IF($A195&gt;NYears*12,"",IF($A195=1,InitInvest,$R194))</f>
        <v/>
      </c>
      <c r="G195" s="33">
        <f>IF($A195&gt;NYears*12,"",INT($F195/$E195))</f>
        <v/>
      </c>
      <c r="H195" s="35">
        <f>IF($A195&gt;NYears*12,"",$G195*$E195)</f>
        <v/>
      </c>
      <c r="I195" s="35">
        <f>IF($A195&gt;NYears*12,"",$F195-$H195)</f>
        <v/>
      </c>
      <c r="J195" s="35">
        <f>IF($A195&gt;NYears*12,"",$H195*RateA)</f>
        <v/>
      </c>
      <c r="K195" s="35">
        <f>IF($A195&gt;NYears*12,"",IF($D195=1,$J195,$K194+$J195))</f>
        <v/>
      </c>
      <c r="L195" s="35">
        <f>IF($A195&gt;NYears*12,"",IF(MOD($D195,3)=0,SUM($J193:$J195),0))</f>
        <v/>
      </c>
      <c r="M195" s="35">
        <f>IF($A195&gt;NYears*12,"",IF(TaxFreq="Quarterly",$K195*12/$D195,$K195))</f>
        <v/>
      </c>
      <c r="N195" s="36">
        <f>IF($A195&gt;NYears*12,"",LOOKUP($M195,TaxLower,TaxRate))</f>
        <v/>
      </c>
      <c r="O195" s="35">
        <f>IF($A195&gt;NYears*12,"",IF(TaxFreq="Quarterly",IF(MOD($D195,3)=0,$L195*$N195,0),IF($D195=12,$K195*$N195,0)))</f>
        <v/>
      </c>
      <c r="P195" s="35">
        <f>IF($A195&gt;NYears*12,"",IF($D195=1,$O195,$P194+$O195))</f>
        <v/>
      </c>
      <c r="Q195" s="35">
        <f>IF($A195&gt;NYears*12,"",IF($D195=12,MIN(WdrPct*IF(WdrBase="Post-tax profit",$K195-$P195,$K195),WdrCap),0))</f>
        <v/>
      </c>
      <c r="R195" s="35">
        <f>IF($A195&gt;NYears*12,"",$F195+$J195-$O195-$Q195)</f>
        <v/>
      </c>
      <c r="S195" s="33">
        <f>IF($A195&gt;NYears*12,"",INT($R195/$E195))</f>
        <v/>
      </c>
    </row>
    <row r="196">
      <c r="A196" s="37">
        <f>192</f>
        <v/>
      </c>
      <c r="B196" s="38">
        <f>IF($A196&gt;NYears*12,"",EDATE(StartMonth,$A196-1))</f>
        <v/>
      </c>
      <c r="C196" s="37">
        <f>IF($A196&gt;NYears*12,"",INT(($A196-1)/12)+1)</f>
        <v/>
      </c>
      <c r="D196" s="37">
        <f>IF($A196&gt;NYears*12,"",MOD($A196-1,12)+1)</f>
        <v/>
      </c>
      <c r="E196" s="39">
        <f>IF($A196&gt;NYears*12,"",LotValue0*(1+LotGrowth)^($C196-1))</f>
        <v/>
      </c>
      <c r="F196" s="39">
        <f>IF($A196&gt;NYears*12,"",IF($A196=1,InitInvest,$R195))</f>
        <v/>
      </c>
      <c r="G196" s="37">
        <f>IF($A196&gt;NYears*12,"",INT($F196/$E196))</f>
        <v/>
      </c>
      <c r="H196" s="39">
        <f>IF($A196&gt;NYears*12,"",$G196*$E196)</f>
        <v/>
      </c>
      <c r="I196" s="39">
        <f>IF($A196&gt;NYears*12,"",$F196-$H196)</f>
        <v/>
      </c>
      <c r="J196" s="39">
        <f>IF($A196&gt;NYears*12,"",$H196*RateA)</f>
        <v/>
      </c>
      <c r="K196" s="39">
        <f>IF($A196&gt;NYears*12,"",IF($D196=1,$J196,$K195+$J196))</f>
        <v/>
      </c>
      <c r="L196" s="39">
        <f>IF($A196&gt;NYears*12,"",IF(MOD($D196,3)=0,SUM($J194:$J196),0))</f>
        <v/>
      </c>
      <c r="M196" s="39">
        <f>IF($A196&gt;NYears*12,"",IF(TaxFreq="Quarterly",$K196*12/$D196,$K196))</f>
        <v/>
      </c>
      <c r="N196" s="40">
        <f>IF($A196&gt;NYears*12,"",LOOKUP($M196,TaxLower,TaxRate))</f>
        <v/>
      </c>
      <c r="O196" s="39">
        <f>IF($A196&gt;NYears*12,"",IF(TaxFreq="Quarterly",IF(MOD($D196,3)=0,$L196*$N196,0),IF($D196=12,$K196*$N196,0)))</f>
        <v/>
      </c>
      <c r="P196" s="39">
        <f>IF($A196&gt;NYears*12,"",IF($D196=1,$O196,$P195+$O196))</f>
        <v/>
      </c>
      <c r="Q196" s="39">
        <f>IF($A196&gt;NYears*12,"",IF($D196=12,MIN(WdrPct*IF(WdrBase="Post-tax profit",$K196-$P196,$K196),WdrCap),0))</f>
        <v/>
      </c>
      <c r="R196" s="39">
        <f>IF($A196&gt;NYears*12,"",$F196+$J196-$O196-$Q196)</f>
        <v/>
      </c>
      <c r="S196" s="37">
        <f>IF($A196&gt;NYears*12,"",INT($R196/$E196))</f>
        <v/>
      </c>
    </row>
    <row r="197">
      <c r="A197" s="33">
        <f>193</f>
        <v/>
      </c>
      <c r="B197" s="34">
        <f>IF($A197&gt;NYears*12,"",EDATE(StartMonth,$A197-1))</f>
        <v/>
      </c>
      <c r="C197" s="33">
        <f>IF($A197&gt;NYears*12,"",INT(($A197-1)/12)+1)</f>
        <v/>
      </c>
      <c r="D197" s="33">
        <f>IF($A197&gt;NYears*12,"",MOD($A197-1,12)+1)</f>
        <v/>
      </c>
      <c r="E197" s="35">
        <f>IF($A197&gt;NYears*12,"",LotValue0*(1+LotGrowth)^($C197-1))</f>
        <v/>
      </c>
      <c r="F197" s="35">
        <f>IF($A197&gt;NYears*12,"",IF($A197=1,InitInvest,$R196))</f>
        <v/>
      </c>
      <c r="G197" s="33">
        <f>IF($A197&gt;NYears*12,"",INT($F197/$E197))</f>
        <v/>
      </c>
      <c r="H197" s="35">
        <f>IF($A197&gt;NYears*12,"",$G197*$E197)</f>
        <v/>
      </c>
      <c r="I197" s="35">
        <f>IF($A197&gt;NYears*12,"",$F197-$H197)</f>
        <v/>
      </c>
      <c r="J197" s="35">
        <f>IF($A197&gt;NYears*12,"",$H197*RateA)</f>
        <v/>
      </c>
      <c r="K197" s="35">
        <f>IF($A197&gt;NYears*12,"",IF($D197=1,$J197,$K196+$J197))</f>
        <v/>
      </c>
      <c r="L197" s="35">
        <f>IF($A197&gt;NYears*12,"",IF(MOD($D197,3)=0,SUM($J195:$J197),0))</f>
        <v/>
      </c>
      <c r="M197" s="35">
        <f>IF($A197&gt;NYears*12,"",IF(TaxFreq="Quarterly",$K197*12/$D197,$K197))</f>
        <v/>
      </c>
      <c r="N197" s="36">
        <f>IF($A197&gt;NYears*12,"",LOOKUP($M197,TaxLower,TaxRate))</f>
        <v/>
      </c>
      <c r="O197" s="35">
        <f>IF($A197&gt;NYears*12,"",IF(TaxFreq="Quarterly",IF(MOD($D197,3)=0,$L197*$N197,0),IF($D197=12,$K197*$N197,0)))</f>
        <v/>
      </c>
      <c r="P197" s="35">
        <f>IF($A197&gt;NYears*12,"",IF($D197=1,$O197,$P196+$O197))</f>
        <v/>
      </c>
      <c r="Q197" s="35">
        <f>IF($A197&gt;NYears*12,"",IF($D197=12,MIN(WdrPct*IF(WdrBase="Post-tax profit",$K197-$P197,$K197),WdrCap),0))</f>
        <v/>
      </c>
      <c r="R197" s="35">
        <f>IF($A197&gt;NYears*12,"",$F197+$J197-$O197-$Q197)</f>
        <v/>
      </c>
      <c r="S197" s="33">
        <f>IF($A197&gt;NYears*12,"",INT($R197/$E197))</f>
        <v/>
      </c>
    </row>
    <row r="198">
      <c r="A198" s="33">
        <f>194</f>
        <v/>
      </c>
      <c r="B198" s="34">
        <f>IF($A198&gt;NYears*12,"",EDATE(StartMonth,$A198-1))</f>
        <v/>
      </c>
      <c r="C198" s="33">
        <f>IF($A198&gt;NYears*12,"",INT(($A198-1)/12)+1)</f>
        <v/>
      </c>
      <c r="D198" s="33">
        <f>IF($A198&gt;NYears*12,"",MOD($A198-1,12)+1)</f>
        <v/>
      </c>
      <c r="E198" s="35">
        <f>IF($A198&gt;NYears*12,"",LotValue0*(1+LotGrowth)^($C198-1))</f>
        <v/>
      </c>
      <c r="F198" s="35">
        <f>IF($A198&gt;NYears*12,"",IF($A198=1,InitInvest,$R197))</f>
        <v/>
      </c>
      <c r="G198" s="33">
        <f>IF($A198&gt;NYears*12,"",INT($F198/$E198))</f>
        <v/>
      </c>
      <c r="H198" s="35">
        <f>IF($A198&gt;NYears*12,"",$G198*$E198)</f>
        <v/>
      </c>
      <c r="I198" s="35">
        <f>IF($A198&gt;NYears*12,"",$F198-$H198)</f>
        <v/>
      </c>
      <c r="J198" s="35">
        <f>IF($A198&gt;NYears*12,"",$H198*RateA)</f>
        <v/>
      </c>
      <c r="K198" s="35">
        <f>IF($A198&gt;NYears*12,"",IF($D198=1,$J198,$K197+$J198))</f>
        <v/>
      </c>
      <c r="L198" s="35">
        <f>IF($A198&gt;NYears*12,"",IF(MOD($D198,3)=0,SUM($J196:$J198),0))</f>
        <v/>
      </c>
      <c r="M198" s="35">
        <f>IF($A198&gt;NYears*12,"",IF(TaxFreq="Quarterly",$K198*12/$D198,$K198))</f>
        <v/>
      </c>
      <c r="N198" s="36">
        <f>IF($A198&gt;NYears*12,"",LOOKUP($M198,TaxLower,TaxRate))</f>
        <v/>
      </c>
      <c r="O198" s="35">
        <f>IF($A198&gt;NYears*12,"",IF(TaxFreq="Quarterly",IF(MOD($D198,3)=0,$L198*$N198,0),IF($D198=12,$K198*$N198,0)))</f>
        <v/>
      </c>
      <c r="P198" s="35">
        <f>IF($A198&gt;NYears*12,"",IF($D198=1,$O198,$P197+$O198))</f>
        <v/>
      </c>
      <c r="Q198" s="35">
        <f>IF($A198&gt;NYears*12,"",IF($D198=12,MIN(WdrPct*IF(WdrBase="Post-tax profit",$K198-$P198,$K198),WdrCap),0))</f>
        <v/>
      </c>
      <c r="R198" s="35">
        <f>IF($A198&gt;NYears*12,"",$F198+$J198-$O198-$Q198)</f>
        <v/>
      </c>
      <c r="S198" s="33">
        <f>IF($A198&gt;NYears*12,"",INT($R198/$E198))</f>
        <v/>
      </c>
    </row>
    <row r="199">
      <c r="A199" s="33">
        <f>195</f>
        <v/>
      </c>
      <c r="B199" s="34">
        <f>IF($A199&gt;NYears*12,"",EDATE(StartMonth,$A199-1))</f>
        <v/>
      </c>
      <c r="C199" s="33">
        <f>IF($A199&gt;NYears*12,"",INT(($A199-1)/12)+1)</f>
        <v/>
      </c>
      <c r="D199" s="33">
        <f>IF($A199&gt;NYears*12,"",MOD($A199-1,12)+1)</f>
        <v/>
      </c>
      <c r="E199" s="35">
        <f>IF($A199&gt;NYears*12,"",LotValue0*(1+LotGrowth)^($C199-1))</f>
        <v/>
      </c>
      <c r="F199" s="35">
        <f>IF($A199&gt;NYears*12,"",IF($A199=1,InitInvest,$R198))</f>
        <v/>
      </c>
      <c r="G199" s="33">
        <f>IF($A199&gt;NYears*12,"",INT($F199/$E199))</f>
        <v/>
      </c>
      <c r="H199" s="35">
        <f>IF($A199&gt;NYears*12,"",$G199*$E199)</f>
        <v/>
      </c>
      <c r="I199" s="35">
        <f>IF($A199&gt;NYears*12,"",$F199-$H199)</f>
        <v/>
      </c>
      <c r="J199" s="35">
        <f>IF($A199&gt;NYears*12,"",$H199*RateA)</f>
        <v/>
      </c>
      <c r="K199" s="35">
        <f>IF($A199&gt;NYears*12,"",IF($D199=1,$J199,$K198+$J199))</f>
        <v/>
      </c>
      <c r="L199" s="35">
        <f>IF($A199&gt;NYears*12,"",IF(MOD($D199,3)=0,SUM($J197:$J199),0))</f>
        <v/>
      </c>
      <c r="M199" s="35">
        <f>IF($A199&gt;NYears*12,"",IF(TaxFreq="Quarterly",$K199*12/$D199,$K199))</f>
        <v/>
      </c>
      <c r="N199" s="36">
        <f>IF($A199&gt;NYears*12,"",LOOKUP($M199,TaxLower,TaxRate))</f>
        <v/>
      </c>
      <c r="O199" s="35">
        <f>IF($A199&gt;NYears*12,"",IF(TaxFreq="Quarterly",IF(MOD($D199,3)=0,$L199*$N199,0),IF($D199=12,$K199*$N199,0)))</f>
        <v/>
      </c>
      <c r="P199" s="35">
        <f>IF($A199&gt;NYears*12,"",IF($D199=1,$O199,$P198+$O199))</f>
        <v/>
      </c>
      <c r="Q199" s="35">
        <f>IF($A199&gt;NYears*12,"",IF($D199=12,MIN(WdrPct*IF(WdrBase="Post-tax profit",$K199-$P199,$K199),WdrCap),0))</f>
        <v/>
      </c>
      <c r="R199" s="35">
        <f>IF($A199&gt;NYears*12,"",$F199+$J199-$O199-$Q199)</f>
        <v/>
      </c>
      <c r="S199" s="33">
        <f>IF($A199&gt;NYears*12,"",INT($R199/$E199))</f>
        <v/>
      </c>
    </row>
    <row r="200">
      <c r="A200" s="33">
        <f>196</f>
        <v/>
      </c>
      <c r="B200" s="34">
        <f>IF($A200&gt;NYears*12,"",EDATE(StartMonth,$A200-1))</f>
        <v/>
      </c>
      <c r="C200" s="33">
        <f>IF($A200&gt;NYears*12,"",INT(($A200-1)/12)+1)</f>
        <v/>
      </c>
      <c r="D200" s="33">
        <f>IF($A200&gt;NYears*12,"",MOD($A200-1,12)+1)</f>
        <v/>
      </c>
      <c r="E200" s="35">
        <f>IF($A200&gt;NYears*12,"",LotValue0*(1+LotGrowth)^($C200-1))</f>
        <v/>
      </c>
      <c r="F200" s="35">
        <f>IF($A200&gt;NYears*12,"",IF($A200=1,InitInvest,$R199))</f>
        <v/>
      </c>
      <c r="G200" s="33">
        <f>IF($A200&gt;NYears*12,"",INT($F200/$E200))</f>
        <v/>
      </c>
      <c r="H200" s="35">
        <f>IF($A200&gt;NYears*12,"",$G200*$E200)</f>
        <v/>
      </c>
      <c r="I200" s="35">
        <f>IF($A200&gt;NYears*12,"",$F200-$H200)</f>
        <v/>
      </c>
      <c r="J200" s="35">
        <f>IF($A200&gt;NYears*12,"",$H200*RateA)</f>
        <v/>
      </c>
      <c r="K200" s="35">
        <f>IF($A200&gt;NYears*12,"",IF($D200=1,$J200,$K199+$J200))</f>
        <v/>
      </c>
      <c r="L200" s="35">
        <f>IF($A200&gt;NYears*12,"",IF(MOD($D200,3)=0,SUM($J198:$J200),0))</f>
        <v/>
      </c>
      <c r="M200" s="35">
        <f>IF($A200&gt;NYears*12,"",IF(TaxFreq="Quarterly",$K200*12/$D200,$K200))</f>
        <v/>
      </c>
      <c r="N200" s="36">
        <f>IF($A200&gt;NYears*12,"",LOOKUP($M200,TaxLower,TaxRate))</f>
        <v/>
      </c>
      <c r="O200" s="35">
        <f>IF($A200&gt;NYears*12,"",IF(TaxFreq="Quarterly",IF(MOD($D200,3)=0,$L200*$N200,0),IF($D200=12,$K200*$N200,0)))</f>
        <v/>
      </c>
      <c r="P200" s="35">
        <f>IF($A200&gt;NYears*12,"",IF($D200=1,$O200,$P199+$O200))</f>
        <v/>
      </c>
      <c r="Q200" s="35">
        <f>IF($A200&gt;NYears*12,"",IF($D200=12,MIN(WdrPct*IF(WdrBase="Post-tax profit",$K200-$P200,$K200),WdrCap),0))</f>
        <v/>
      </c>
      <c r="R200" s="35">
        <f>IF($A200&gt;NYears*12,"",$F200+$J200-$O200-$Q200)</f>
        <v/>
      </c>
      <c r="S200" s="33">
        <f>IF($A200&gt;NYears*12,"",INT($R200/$E200))</f>
        <v/>
      </c>
    </row>
    <row r="201">
      <c r="A201" s="33">
        <f>197</f>
        <v/>
      </c>
      <c r="B201" s="34">
        <f>IF($A201&gt;NYears*12,"",EDATE(StartMonth,$A201-1))</f>
        <v/>
      </c>
      <c r="C201" s="33">
        <f>IF($A201&gt;NYears*12,"",INT(($A201-1)/12)+1)</f>
        <v/>
      </c>
      <c r="D201" s="33">
        <f>IF($A201&gt;NYears*12,"",MOD($A201-1,12)+1)</f>
        <v/>
      </c>
      <c r="E201" s="35">
        <f>IF($A201&gt;NYears*12,"",LotValue0*(1+LotGrowth)^($C201-1))</f>
        <v/>
      </c>
      <c r="F201" s="35">
        <f>IF($A201&gt;NYears*12,"",IF($A201=1,InitInvest,$R200))</f>
        <v/>
      </c>
      <c r="G201" s="33">
        <f>IF($A201&gt;NYears*12,"",INT($F201/$E201))</f>
        <v/>
      </c>
      <c r="H201" s="35">
        <f>IF($A201&gt;NYears*12,"",$G201*$E201)</f>
        <v/>
      </c>
      <c r="I201" s="35">
        <f>IF($A201&gt;NYears*12,"",$F201-$H201)</f>
        <v/>
      </c>
      <c r="J201" s="35">
        <f>IF($A201&gt;NYears*12,"",$H201*RateA)</f>
        <v/>
      </c>
      <c r="K201" s="35">
        <f>IF($A201&gt;NYears*12,"",IF($D201=1,$J201,$K200+$J201))</f>
        <v/>
      </c>
      <c r="L201" s="35">
        <f>IF($A201&gt;NYears*12,"",IF(MOD($D201,3)=0,SUM($J199:$J201),0))</f>
        <v/>
      </c>
      <c r="M201" s="35">
        <f>IF($A201&gt;NYears*12,"",IF(TaxFreq="Quarterly",$K201*12/$D201,$K201))</f>
        <v/>
      </c>
      <c r="N201" s="36">
        <f>IF($A201&gt;NYears*12,"",LOOKUP($M201,TaxLower,TaxRate))</f>
        <v/>
      </c>
      <c r="O201" s="35">
        <f>IF($A201&gt;NYears*12,"",IF(TaxFreq="Quarterly",IF(MOD($D201,3)=0,$L201*$N201,0),IF($D201=12,$K201*$N201,0)))</f>
        <v/>
      </c>
      <c r="P201" s="35">
        <f>IF($A201&gt;NYears*12,"",IF($D201=1,$O201,$P200+$O201))</f>
        <v/>
      </c>
      <c r="Q201" s="35">
        <f>IF($A201&gt;NYears*12,"",IF($D201=12,MIN(WdrPct*IF(WdrBase="Post-tax profit",$K201-$P201,$K201),WdrCap),0))</f>
        <v/>
      </c>
      <c r="R201" s="35">
        <f>IF($A201&gt;NYears*12,"",$F201+$J201-$O201-$Q201)</f>
        <v/>
      </c>
      <c r="S201" s="33">
        <f>IF($A201&gt;NYears*12,"",INT($R201/$E201))</f>
        <v/>
      </c>
    </row>
    <row r="202">
      <c r="A202" s="33">
        <f>198</f>
        <v/>
      </c>
      <c r="B202" s="34">
        <f>IF($A202&gt;NYears*12,"",EDATE(StartMonth,$A202-1))</f>
        <v/>
      </c>
      <c r="C202" s="33">
        <f>IF($A202&gt;NYears*12,"",INT(($A202-1)/12)+1)</f>
        <v/>
      </c>
      <c r="D202" s="33">
        <f>IF($A202&gt;NYears*12,"",MOD($A202-1,12)+1)</f>
        <v/>
      </c>
      <c r="E202" s="35">
        <f>IF($A202&gt;NYears*12,"",LotValue0*(1+LotGrowth)^($C202-1))</f>
        <v/>
      </c>
      <c r="F202" s="35">
        <f>IF($A202&gt;NYears*12,"",IF($A202=1,InitInvest,$R201))</f>
        <v/>
      </c>
      <c r="G202" s="33">
        <f>IF($A202&gt;NYears*12,"",INT($F202/$E202))</f>
        <v/>
      </c>
      <c r="H202" s="35">
        <f>IF($A202&gt;NYears*12,"",$G202*$E202)</f>
        <v/>
      </c>
      <c r="I202" s="35">
        <f>IF($A202&gt;NYears*12,"",$F202-$H202)</f>
        <v/>
      </c>
      <c r="J202" s="35">
        <f>IF($A202&gt;NYears*12,"",$H202*RateA)</f>
        <v/>
      </c>
      <c r="K202" s="35">
        <f>IF($A202&gt;NYears*12,"",IF($D202=1,$J202,$K201+$J202))</f>
        <v/>
      </c>
      <c r="L202" s="35">
        <f>IF($A202&gt;NYears*12,"",IF(MOD($D202,3)=0,SUM($J200:$J202),0))</f>
        <v/>
      </c>
      <c r="M202" s="35">
        <f>IF($A202&gt;NYears*12,"",IF(TaxFreq="Quarterly",$K202*12/$D202,$K202))</f>
        <v/>
      </c>
      <c r="N202" s="36">
        <f>IF($A202&gt;NYears*12,"",LOOKUP($M202,TaxLower,TaxRate))</f>
        <v/>
      </c>
      <c r="O202" s="35">
        <f>IF($A202&gt;NYears*12,"",IF(TaxFreq="Quarterly",IF(MOD($D202,3)=0,$L202*$N202,0),IF($D202=12,$K202*$N202,0)))</f>
        <v/>
      </c>
      <c r="P202" s="35">
        <f>IF($A202&gt;NYears*12,"",IF($D202=1,$O202,$P201+$O202))</f>
        <v/>
      </c>
      <c r="Q202" s="35">
        <f>IF($A202&gt;NYears*12,"",IF($D202=12,MIN(WdrPct*IF(WdrBase="Post-tax profit",$K202-$P202,$K202),WdrCap),0))</f>
        <v/>
      </c>
      <c r="R202" s="35">
        <f>IF($A202&gt;NYears*12,"",$F202+$J202-$O202-$Q202)</f>
        <v/>
      </c>
      <c r="S202" s="33">
        <f>IF($A202&gt;NYears*12,"",INT($R202/$E202))</f>
        <v/>
      </c>
    </row>
    <row r="203">
      <c r="A203" s="33">
        <f>199</f>
        <v/>
      </c>
      <c r="B203" s="34">
        <f>IF($A203&gt;NYears*12,"",EDATE(StartMonth,$A203-1))</f>
        <v/>
      </c>
      <c r="C203" s="33">
        <f>IF($A203&gt;NYears*12,"",INT(($A203-1)/12)+1)</f>
        <v/>
      </c>
      <c r="D203" s="33">
        <f>IF($A203&gt;NYears*12,"",MOD($A203-1,12)+1)</f>
        <v/>
      </c>
      <c r="E203" s="35">
        <f>IF($A203&gt;NYears*12,"",LotValue0*(1+LotGrowth)^($C203-1))</f>
        <v/>
      </c>
      <c r="F203" s="35">
        <f>IF($A203&gt;NYears*12,"",IF($A203=1,InitInvest,$R202))</f>
        <v/>
      </c>
      <c r="G203" s="33">
        <f>IF($A203&gt;NYears*12,"",INT($F203/$E203))</f>
        <v/>
      </c>
      <c r="H203" s="35">
        <f>IF($A203&gt;NYears*12,"",$G203*$E203)</f>
        <v/>
      </c>
      <c r="I203" s="35">
        <f>IF($A203&gt;NYears*12,"",$F203-$H203)</f>
        <v/>
      </c>
      <c r="J203" s="35">
        <f>IF($A203&gt;NYears*12,"",$H203*RateA)</f>
        <v/>
      </c>
      <c r="K203" s="35">
        <f>IF($A203&gt;NYears*12,"",IF($D203=1,$J203,$K202+$J203))</f>
        <v/>
      </c>
      <c r="L203" s="35">
        <f>IF($A203&gt;NYears*12,"",IF(MOD($D203,3)=0,SUM($J201:$J203),0))</f>
        <v/>
      </c>
      <c r="M203" s="35">
        <f>IF($A203&gt;NYears*12,"",IF(TaxFreq="Quarterly",$K203*12/$D203,$K203))</f>
        <v/>
      </c>
      <c r="N203" s="36">
        <f>IF($A203&gt;NYears*12,"",LOOKUP($M203,TaxLower,TaxRate))</f>
        <v/>
      </c>
      <c r="O203" s="35">
        <f>IF($A203&gt;NYears*12,"",IF(TaxFreq="Quarterly",IF(MOD($D203,3)=0,$L203*$N203,0),IF($D203=12,$K203*$N203,0)))</f>
        <v/>
      </c>
      <c r="P203" s="35">
        <f>IF($A203&gt;NYears*12,"",IF($D203=1,$O203,$P202+$O203))</f>
        <v/>
      </c>
      <c r="Q203" s="35">
        <f>IF($A203&gt;NYears*12,"",IF($D203=12,MIN(WdrPct*IF(WdrBase="Post-tax profit",$K203-$P203,$K203),WdrCap),0))</f>
        <v/>
      </c>
      <c r="R203" s="35">
        <f>IF($A203&gt;NYears*12,"",$F203+$J203-$O203-$Q203)</f>
        <v/>
      </c>
      <c r="S203" s="33">
        <f>IF($A203&gt;NYears*12,"",INT($R203/$E203))</f>
        <v/>
      </c>
    </row>
    <row r="204">
      <c r="A204" s="33">
        <f>200</f>
        <v/>
      </c>
      <c r="B204" s="34">
        <f>IF($A204&gt;NYears*12,"",EDATE(StartMonth,$A204-1))</f>
        <v/>
      </c>
      <c r="C204" s="33">
        <f>IF($A204&gt;NYears*12,"",INT(($A204-1)/12)+1)</f>
        <v/>
      </c>
      <c r="D204" s="33">
        <f>IF($A204&gt;NYears*12,"",MOD($A204-1,12)+1)</f>
        <v/>
      </c>
      <c r="E204" s="35">
        <f>IF($A204&gt;NYears*12,"",LotValue0*(1+LotGrowth)^($C204-1))</f>
        <v/>
      </c>
      <c r="F204" s="35">
        <f>IF($A204&gt;NYears*12,"",IF($A204=1,InitInvest,$R203))</f>
        <v/>
      </c>
      <c r="G204" s="33">
        <f>IF($A204&gt;NYears*12,"",INT($F204/$E204))</f>
        <v/>
      </c>
      <c r="H204" s="35">
        <f>IF($A204&gt;NYears*12,"",$G204*$E204)</f>
        <v/>
      </c>
      <c r="I204" s="35">
        <f>IF($A204&gt;NYears*12,"",$F204-$H204)</f>
        <v/>
      </c>
      <c r="J204" s="35">
        <f>IF($A204&gt;NYears*12,"",$H204*RateA)</f>
        <v/>
      </c>
      <c r="K204" s="35">
        <f>IF($A204&gt;NYears*12,"",IF($D204=1,$J204,$K203+$J204))</f>
        <v/>
      </c>
      <c r="L204" s="35">
        <f>IF($A204&gt;NYears*12,"",IF(MOD($D204,3)=0,SUM($J202:$J204),0))</f>
        <v/>
      </c>
      <c r="M204" s="35">
        <f>IF($A204&gt;NYears*12,"",IF(TaxFreq="Quarterly",$K204*12/$D204,$K204))</f>
        <v/>
      </c>
      <c r="N204" s="36">
        <f>IF($A204&gt;NYears*12,"",LOOKUP($M204,TaxLower,TaxRate))</f>
        <v/>
      </c>
      <c r="O204" s="35">
        <f>IF($A204&gt;NYears*12,"",IF(TaxFreq="Quarterly",IF(MOD($D204,3)=0,$L204*$N204,0),IF($D204=12,$K204*$N204,0)))</f>
        <v/>
      </c>
      <c r="P204" s="35">
        <f>IF($A204&gt;NYears*12,"",IF($D204=1,$O204,$P203+$O204))</f>
        <v/>
      </c>
      <c r="Q204" s="35">
        <f>IF($A204&gt;NYears*12,"",IF($D204=12,MIN(WdrPct*IF(WdrBase="Post-tax profit",$K204-$P204,$K204),WdrCap),0))</f>
        <v/>
      </c>
      <c r="R204" s="35">
        <f>IF($A204&gt;NYears*12,"",$F204+$J204-$O204-$Q204)</f>
        <v/>
      </c>
      <c r="S204" s="33">
        <f>IF($A204&gt;NYears*12,"",INT($R204/$E204))</f>
        <v/>
      </c>
    </row>
    <row r="205">
      <c r="A205" s="33">
        <f>201</f>
        <v/>
      </c>
      <c r="B205" s="34">
        <f>IF($A205&gt;NYears*12,"",EDATE(StartMonth,$A205-1))</f>
        <v/>
      </c>
      <c r="C205" s="33">
        <f>IF($A205&gt;NYears*12,"",INT(($A205-1)/12)+1)</f>
        <v/>
      </c>
      <c r="D205" s="33">
        <f>IF($A205&gt;NYears*12,"",MOD($A205-1,12)+1)</f>
        <v/>
      </c>
      <c r="E205" s="35">
        <f>IF($A205&gt;NYears*12,"",LotValue0*(1+LotGrowth)^($C205-1))</f>
        <v/>
      </c>
      <c r="F205" s="35">
        <f>IF($A205&gt;NYears*12,"",IF($A205=1,InitInvest,$R204))</f>
        <v/>
      </c>
      <c r="G205" s="33">
        <f>IF($A205&gt;NYears*12,"",INT($F205/$E205))</f>
        <v/>
      </c>
      <c r="H205" s="35">
        <f>IF($A205&gt;NYears*12,"",$G205*$E205)</f>
        <v/>
      </c>
      <c r="I205" s="35">
        <f>IF($A205&gt;NYears*12,"",$F205-$H205)</f>
        <v/>
      </c>
      <c r="J205" s="35">
        <f>IF($A205&gt;NYears*12,"",$H205*RateA)</f>
        <v/>
      </c>
      <c r="K205" s="35">
        <f>IF($A205&gt;NYears*12,"",IF($D205=1,$J205,$K204+$J205))</f>
        <v/>
      </c>
      <c r="L205" s="35">
        <f>IF($A205&gt;NYears*12,"",IF(MOD($D205,3)=0,SUM($J203:$J205),0))</f>
        <v/>
      </c>
      <c r="M205" s="35">
        <f>IF($A205&gt;NYears*12,"",IF(TaxFreq="Quarterly",$K205*12/$D205,$K205))</f>
        <v/>
      </c>
      <c r="N205" s="36">
        <f>IF($A205&gt;NYears*12,"",LOOKUP($M205,TaxLower,TaxRate))</f>
        <v/>
      </c>
      <c r="O205" s="35">
        <f>IF($A205&gt;NYears*12,"",IF(TaxFreq="Quarterly",IF(MOD($D205,3)=0,$L205*$N205,0),IF($D205=12,$K205*$N205,0)))</f>
        <v/>
      </c>
      <c r="P205" s="35">
        <f>IF($A205&gt;NYears*12,"",IF($D205=1,$O205,$P204+$O205))</f>
        <v/>
      </c>
      <c r="Q205" s="35">
        <f>IF($A205&gt;NYears*12,"",IF($D205=12,MIN(WdrPct*IF(WdrBase="Post-tax profit",$K205-$P205,$K205),WdrCap),0))</f>
        <v/>
      </c>
      <c r="R205" s="35">
        <f>IF($A205&gt;NYears*12,"",$F205+$J205-$O205-$Q205)</f>
        <v/>
      </c>
      <c r="S205" s="33">
        <f>IF($A205&gt;NYears*12,"",INT($R205/$E205))</f>
        <v/>
      </c>
    </row>
    <row r="206">
      <c r="A206" s="33">
        <f>202</f>
        <v/>
      </c>
      <c r="B206" s="34">
        <f>IF($A206&gt;NYears*12,"",EDATE(StartMonth,$A206-1))</f>
        <v/>
      </c>
      <c r="C206" s="33">
        <f>IF($A206&gt;NYears*12,"",INT(($A206-1)/12)+1)</f>
        <v/>
      </c>
      <c r="D206" s="33">
        <f>IF($A206&gt;NYears*12,"",MOD($A206-1,12)+1)</f>
        <v/>
      </c>
      <c r="E206" s="35">
        <f>IF($A206&gt;NYears*12,"",LotValue0*(1+LotGrowth)^($C206-1))</f>
        <v/>
      </c>
      <c r="F206" s="35">
        <f>IF($A206&gt;NYears*12,"",IF($A206=1,InitInvest,$R205))</f>
        <v/>
      </c>
      <c r="G206" s="33">
        <f>IF($A206&gt;NYears*12,"",INT($F206/$E206))</f>
        <v/>
      </c>
      <c r="H206" s="35">
        <f>IF($A206&gt;NYears*12,"",$G206*$E206)</f>
        <v/>
      </c>
      <c r="I206" s="35">
        <f>IF($A206&gt;NYears*12,"",$F206-$H206)</f>
        <v/>
      </c>
      <c r="J206" s="35">
        <f>IF($A206&gt;NYears*12,"",$H206*RateA)</f>
        <v/>
      </c>
      <c r="K206" s="35">
        <f>IF($A206&gt;NYears*12,"",IF($D206=1,$J206,$K205+$J206))</f>
        <v/>
      </c>
      <c r="L206" s="35">
        <f>IF($A206&gt;NYears*12,"",IF(MOD($D206,3)=0,SUM($J204:$J206),0))</f>
        <v/>
      </c>
      <c r="M206" s="35">
        <f>IF($A206&gt;NYears*12,"",IF(TaxFreq="Quarterly",$K206*12/$D206,$K206))</f>
        <v/>
      </c>
      <c r="N206" s="36">
        <f>IF($A206&gt;NYears*12,"",LOOKUP($M206,TaxLower,TaxRate))</f>
        <v/>
      </c>
      <c r="O206" s="35">
        <f>IF($A206&gt;NYears*12,"",IF(TaxFreq="Quarterly",IF(MOD($D206,3)=0,$L206*$N206,0),IF($D206=12,$K206*$N206,0)))</f>
        <v/>
      </c>
      <c r="P206" s="35">
        <f>IF($A206&gt;NYears*12,"",IF($D206=1,$O206,$P205+$O206))</f>
        <v/>
      </c>
      <c r="Q206" s="35">
        <f>IF($A206&gt;NYears*12,"",IF($D206=12,MIN(WdrPct*IF(WdrBase="Post-tax profit",$K206-$P206,$K206),WdrCap),0))</f>
        <v/>
      </c>
      <c r="R206" s="35">
        <f>IF($A206&gt;NYears*12,"",$F206+$J206-$O206-$Q206)</f>
        <v/>
      </c>
      <c r="S206" s="33">
        <f>IF($A206&gt;NYears*12,"",INT($R206/$E206))</f>
        <v/>
      </c>
    </row>
    <row r="207">
      <c r="A207" s="33">
        <f>203</f>
        <v/>
      </c>
      <c r="B207" s="34">
        <f>IF($A207&gt;NYears*12,"",EDATE(StartMonth,$A207-1))</f>
        <v/>
      </c>
      <c r="C207" s="33">
        <f>IF($A207&gt;NYears*12,"",INT(($A207-1)/12)+1)</f>
        <v/>
      </c>
      <c r="D207" s="33">
        <f>IF($A207&gt;NYears*12,"",MOD($A207-1,12)+1)</f>
        <v/>
      </c>
      <c r="E207" s="35">
        <f>IF($A207&gt;NYears*12,"",LotValue0*(1+LotGrowth)^($C207-1))</f>
        <v/>
      </c>
      <c r="F207" s="35">
        <f>IF($A207&gt;NYears*12,"",IF($A207=1,InitInvest,$R206))</f>
        <v/>
      </c>
      <c r="G207" s="33">
        <f>IF($A207&gt;NYears*12,"",INT($F207/$E207))</f>
        <v/>
      </c>
      <c r="H207" s="35">
        <f>IF($A207&gt;NYears*12,"",$G207*$E207)</f>
        <v/>
      </c>
      <c r="I207" s="35">
        <f>IF($A207&gt;NYears*12,"",$F207-$H207)</f>
        <v/>
      </c>
      <c r="J207" s="35">
        <f>IF($A207&gt;NYears*12,"",$H207*RateA)</f>
        <v/>
      </c>
      <c r="K207" s="35">
        <f>IF($A207&gt;NYears*12,"",IF($D207=1,$J207,$K206+$J207))</f>
        <v/>
      </c>
      <c r="L207" s="35">
        <f>IF($A207&gt;NYears*12,"",IF(MOD($D207,3)=0,SUM($J205:$J207),0))</f>
        <v/>
      </c>
      <c r="M207" s="35">
        <f>IF($A207&gt;NYears*12,"",IF(TaxFreq="Quarterly",$K207*12/$D207,$K207))</f>
        <v/>
      </c>
      <c r="N207" s="36">
        <f>IF($A207&gt;NYears*12,"",LOOKUP($M207,TaxLower,TaxRate))</f>
        <v/>
      </c>
      <c r="O207" s="35">
        <f>IF($A207&gt;NYears*12,"",IF(TaxFreq="Quarterly",IF(MOD($D207,3)=0,$L207*$N207,0),IF($D207=12,$K207*$N207,0)))</f>
        <v/>
      </c>
      <c r="P207" s="35">
        <f>IF($A207&gt;NYears*12,"",IF($D207=1,$O207,$P206+$O207))</f>
        <v/>
      </c>
      <c r="Q207" s="35">
        <f>IF($A207&gt;NYears*12,"",IF($D207=12,MIN(WdrPct*IF(WdrBase="Post-tax profit",$K207-$P207,$K207),WdrCap),0))</f>
        <v/>
      </c>
      <c r="R207" s="35">
        <f>IF($A207&gt;NYears*12,"",$F207+$J207-$O207-$Q207)</f>
        <v/>
      </c>
      <c r="S207" s="33">
        <f>IF($A207&gt;NYears*12,"",INT($R207/$E207))</f>
        <v/>
      </c>
    </row>
    <row r="208">
      <c r="A208" s="37">
        <f>204</f>
        <v/>
      </c>
      <c r="B208" s="38">
        <f>IF($A208&gt;NYears*12,"",EDATE(StartMonth,$A208-1))</f>
        <v/>
      </c>
      <c r="C208" s="37">
        <f>IF($A208&gt;NYears*12,"",INT(($A208-1)/12)+1)</f>
        <v/>
      </c>
      <c r="D208" s="37">
        <f>IF($A208&gt;NYears*12,"",MOD($A208-1,12)+1)</f>
        <v/>
      </c>
      <c r="E208" s="39">
        <f>IF($A208&gt;NYears*12,"",LotValue0*(1+LotGrowth)^($C208-1))</f>
        <v/>
      </c>
      <c r="F208" s="39">
        <f>IF($A208&gt;NYears*12,"",IF($A208=1,InitInvest,$R207))</f>
        <v/>
      </c>
      <c r="G208" s="37">
        <f>IF($A208&gt;NYears*12,"",INT($F208/$E208))</f>
        <v/>
      </c>
      <c r="H208" s="39">
        <f>IF($A208&gt;NYears*12,"",$G208*$E208)</f>
        <v/>
      </c>
      <c r="I208" s="39">
        <f>IF($A208&gt;NYears*12,"",$F208-$H208)</f>
        <v/>
      </c>
      <c r="J208" s="39">
        <f>IF($A208&gt;NYears*12,"",$H208*RateA)</f>
        <v/>
      </c>
      <c r="K208" s="39">
        <f>IF($A208&gt;NYears*12,"",IF($D208=1,$J208,$K207+$J208))</f>
        <v/>
      </c>
      <c r="L208" s="39">
        <f>IF($A208&gt;NYears*12,"",IF(MOD($D208,3)=0,SUM($J206:$J208),0))</f>
        <v/>
      </c>
      <c r="M208" s="39">
        <f>IF($A208&gt;NYears*12,"",IF(TaxFreq="Quarterly",$K208*12/$D208,$K208))</f>
        <v/>
      </c>
      <c r="N208" s="40">
        <f>IF($A208&gt;NYears*12,"",LOOKUP($M208,TaxLower,TaxRate))</f>
        <v/>
      </c>
      <c r="O208" s="39">
        <f>IF($A208&gt;NYears*12,"",IF(TaxFreq="Quarterly",IF(MOD($D208,3)=0,$L208*$N208,0),IF($D208=12,$K208*$N208,0)))</f>
        <v/>
      </c>
      <c r="P208" s="39">
        <f>IF($A208&gt;NYears*12,"",IF($D208=1,$O208,$P207+$O208))</f>
        <v/>
      </c>
      <c r="Q208" s="39">
        <f>IF($A208&gt;NYears*12,"",IF($D208=12,MIN(WdrPct*IF(WdrBase="Post-tax profit",$K208-$P208,$K208),WdrCap),0))</f>
        <v/>
      </c>
      <c r="R208" s="39">
        <f>IF($A208&gt;NYears*12,"",$F208+$J208-$O208-$Q208)</f>
        <v/>
      </c>
      <c r="S208" s="37">
        <f>IF($A208&gt;NYears*12,"",INT($R208/$E208))</f>
        <v/>
      </c>
    </row>
    <row r="209">
      <c r="A209" s="33">
        <f>205</f>
        <v/>
      </c>
      <c r="B209" s="34">
        <f>IF($A209&gt;NYears*12,"",EDATE(StartMonth,$A209-1))</f>
        <v/>
      </c>
      <c r="C209" s="33">
        <f>IF($A209&gt;NYears*12,"",INT(($A209-1)/12)+1)</f>
        <v/>
      </c>
      <c r="D209" s="33">
        <f>IF($A209&gt;NYears*12,"",MOD($A209-1,12)+1)</f>
        <v/>
      </c>
      <c r="E209" s="35">
        <f>IF($A209&gt;NYears*12,"",LotValue0*(1+LotGrowth)^($C209-1))</f>
        <v/>
      </c>
      <c r="F209" s="35">
        <f>IF($A209&gt;NYears*12,"",IF($A209=1,InitInvest,$R208))</f>
        <v/>
      </c>
      <c r="G209" s="33">
        <f>IF($A209&gt;NYears*12,"",INT($F209/$E209))</f>
        <v/>
      </c>
      <c r="H209" s="35">
        <f>IF($A209&gt;NYears*12,"",$G209*$E209)</f>
        <v/>
      </c>
      <c r="I209" s="35">
        <f>IF($A209&gt;NYears*12,"",$F209-$H209)</f>
        <v/>
      </c>
      <c r="J209" s="35">
        <f>IF($A209&gt;NYears*12,"",$H209*RateA)</f>
        <v/>
      </c>
      <c r="K209" s="35">
        <f>IF($A209&gt;NYears*12,"",IF($D209=1,$J209,$K208+$J209))</f>
        <v/>
      </c>
      <c r="L209" s="35">
        <f>IF($A209&gt;NYears*12,"",IF(MOD($D209,3)=0,SUM($J207:$J209),0))</f>
        <v/>
      </c>
      <c r="M209" s="35">
        <f>IF($A209&gt;NYears*12,"",IF(TaxFreq="Quarterly",$K209*12/$D209,$K209))</f>
        <v/>
      </c>
      <c r="N209" s="36">
        <f>IF($A209&gt;NYears*12,"",LOOKUP($M209,TaxLower,TaxRate))</f>
        <v/>
      </c>
      <c r="O209" s="35">
        <f>IF($A209&gt;NYears*12,"",IF(TaxFreq="Quarterly",IF(MOD($D209,3)=0,$L209*$N209,0),IF($D209=12,$K209*$N209,0)))</f>
        <v/>
      </c>
      <c r="P209" s="35">
        <f>IF($A209&gt;NYears*12,"",IF($D209=1,$O209,$P208+$O209))</f>
        <v/>
      </c>
      <c r="Q209" s="35">
        <f>IF($A209&gt;NYears*12,"",IF($D209=12,MIN(WdrPct*IF(WdrBase="Post-tax profit",$K209-$P209,$K209),WdrCap),0))</f>
        <v/>
      </c>
      <c r="R209" s="35">
        <f>IF($A209&gt;NYears*12,"",$F209+$J209-$O209-$Q209)</f>
        <v/>
      </c>
      <c r="S209" s="33">
        <f>IF($A209&gt;NYears*12,"",INT($R209/$E209))</f>
        <v/>
      </c>
    </row>
    <row r="210">
      <c r="A210" s="33">
        <f>206</f>
        <v/>
      </c>
      <c r="B210" s="34">
        <f>IF($A210&gt;NYears*12,"",EDATE(StartMonth,$A210-1))</f>
        <v/>
      </c>
      <c r="C210" s="33">
        <f>IF($A210&gt;NYears*12,"",INT(($A210-1)/12)+1)</f>
        <v/>
      </c>
      <c r="D210" s="33">
        <f>IF($A210&gt;NYears*12,"",MOD($A210-1,12)+1)</f>
        <v/>
      </c>
      <c r="E210" s="35">
        <f>IF($A210&gt;NYears*12,"",LotValue0*(1+LotGrowth)^($C210-1))</f>
        <v/>
      </c>
      <c r="F210" s="35">
        <f>IF($A210&gt;NYears*12,"",IF($A210=1,InitInvest,$R209))</f>
        <v/>
      </c>
      <c r="G210" s="33">
        <f>IF($A210&gt;NYears*12,"",INT($F210/$E210))</f>
        <v/>
      </c>
      <c r="H210" s="35">
        <f>IF($A210&gt;NYears*12,"",$G210*$E210)</f>
        <v/>
      </c>
      <c r="I210" s="35">
        <f>IF($A210&gt;NYears*12,"",$F210-$H210)</f>
        <v/>
      </c>
      <c r="J210" s="35">
        <f>IF($A210&gt;NYears*12,"",$H210*RateA)</f>
        <v/>
      </c>
      <c r="K210" s="35">
        <f>IF($A210&gt;NYears*12,"",IF($D210=1,$J210,$K209+$J210))</f>
        <v/>
      </c>
      <c r="L210" s="35">
        <f>IF($A210&gt;NYears*12,"",IF(MOD($D210,3)=0,SUM($J208:$J210),0))</f>
        <v/>
      </c>
      <c r="M210" s="35">
        <f>IF($A210&gt;NYears*12,"",IF(TaxFreq="Quarterly",$K210*12/$D210,$K210))</f>
        <v/>
      </c>
      <c r="N210" s="36">
        <f>IF($A210&gt;NYears*12,"",LOOKUP($M210,TaxLower,TaxRate))</f>
        <v/>
      </c>
      <c r="O210" s="35">
        <f>IF($A210&gt;NYears*12,"",IF(TaxFreq="Quarterly",IF(MOD($D210,3)=0,$L210*$N210,0),IF($D210=12,$K210*$N210,0)))</f>
        <v/>
      </c>
      <c r="P210" s="35">
        <f>IF($A210&gt;NYears*12,"",IF($D210=1,$O210,$P209+$O210))</f>
        <v/>
      </c>
      <c r="Q210" s="35">
        <f>IF($A210&gt;NYears*12,"",IF($D210=12,MIN(WdrPct*IF(WdrBase="Post-tax profit",$K210-$P210,$K210),WdrCap),0))</f>
        <v/>
      </c>
      <c r="R210" s="35">
        <f>IF($A210&gt;NYears*12,"",$F210+$J210-$O210-$Q210)</f>
        <v/>
      </c>
      <c r="S210" s="33">
        <f>IF($A210&gt;NYears*12,"",INT($R210/$E210))</f>
        <v/>
      </c>
    </row>
    <row r="211">
      <c r="A211" s="33">
        <f>207</f>
        <v/>
      </c>
      <c r="B211" s="34">
        <f>IF($A211&gt;NYears*12,"",EDATE(StartMonth,$A211-1))</f>
        <v/>
      </c>
      <c r="C211" s="33">
        <f>IF($A211&gt;NYears*12,"",INT(($A211-1)/12)+1)</f>
        <v/>
      </c>
      <c r="D211" s="33">
        <f>IF($A211&gt;NYears*12,"",MOD($A211-1,12)+1)</f>
        <v/>
      </c>
      <c r="E211" s="35">
        <f>IF($A211&gt;NYears*12,"",LotValue0*(1+LotGrowth)^($C211-1))</f>
        <v/>
      </c>
      <c r="F211" s="35">
        <f>IF($A211&gt;NYears*12,"",IF($A211=1,InitInvest,$R210))</f>
        <v/>
      </c>
      <c r="G211" s="33">
        <f>IF($A211&gt;NYears*12,"",INT($F211/$E211))</f>
        <v/>
      </c>
      <c r="H211" s="35">
        <f>IF($A211&gt;NYears*12,"",$G211*$E211)</f>
        <v/>
      </c>
      <c r="I211" s="35">
        <f>IF($A211&gt;NYears*12,"",$F211-$H211)</f>
        <v/>
      </c>
      <c r="J211" s="35">
        <f>IF($A211&gt;NYears*12,"",$H211*RateA)</f>
        <v/>
      </c>
      <c r="K211" s="35">
        <f>IF($A211&gt;NYears*12,"",IF($D211=1,$J211,$K210+$J211))</f>
        <v/>
      </c>
      <c r="L211" s="35">
        <f>IF($A211&gt;NYears*12,"",IF(MOD($D211,3)=0,SUM($J209:$J211),0))</f>
        <v/>
      </c>
      <c r="M211" s="35">
        <f>IF($A211&gt;NYears*12,"",IF(TaxFreq="Quarterly",$K211*12/$D211,$K211))</f>
        <v/>
      </c>
      <c r="N211" s="36">
        <f>IF($A211&gt;NYears*12,"",LOOKUP($M211,TaxLower,TaxRate))</f>
        <v/>
      </c>
      <c r="O211" s="35">
        <f>IF($A211&gt;NYears*12,"",IF(TaxFreq="Quarterly",IF(MOD($D211,3)=0,$L211*$N211,0),IF($D211=12,$K211*$N211,0)))</f>
        <v/>
      </c>
      <c r="P211" s="35">
        <f>IF($A211&gt;NYears*12,"",IF($D211=1,$O211,$P210+$O211))</f>
        <v/>
      </c>
      <c r="Q211" s="35">
        <f>IF($A211&gt;NYears*12,"",IF($D211=12,MIN(WdrPct*IF(WdrBase="Post-tax profit",$K211-$P211,$K211),WdrCap),0))</f>
        <v/>
      </c>
      <c r="R211" s="35">
        <f>IF($A211&gt;NYears*12,"",$F211+$J211-$O211-$Q211)</f>
        <v/>
      </c>
      <c r="S211" s="33">
        <f>IF($A211&gt;NYears*12,"",INT($R211/$E211))</f>
        <v/>
      </c>
    </row>
    <row r="212">
      <c r="A212" s="33">
        <f>208</f>
        <v/>
      </c>
      <c r="B212" s="34">
        <f>IF($A212&gt;NYears*12,"",EDATE(StartMonth,$A212-1))</f>
        <v/>
      </c>
      <c r="C212" s="33">
        <f>IF($A212&gt;NYears*12,"",INT(($A212-1)/12)+1)</f>
        <v/>
      </c>
      <c r="D212" s="33">
        <f>IF($A212&gt;NYears*12,"",MOD($A212-1,12)+1)</f>
        <v/>
      </c>
      <c r="E212" s="35">
        <f>IF($A212&gt;NYears*12,"",LotValue0*(1+LotGrowth)^($C212-1))</f>
        <v/>
      </c>
      <c r="F212" s="35">
        <f>IF($A212&gt;NYears*12,"",IF($A212=1,InitInvest,$R211))</f>
        <v/>
      </c>
      <c r="G212" s="33">
        <f>IF($A212&gt;NYears*12,"",INT($F212/$E212))</f>
        <v/>
      </c>
      <c r="H212" s="35">
        <f>IF($A212&gt;NYears*12,"",$G212*$E212)</f>
        <v/>
      </c>
      <c r="I212" s="35">
        <f>IF($A212&gt;NYears*12,"",$F212-$H212)</f>
        <v/>
      </c>
      <c r="J212" s="35">
        <f>IF($A212&gt;NYears*12,"",$H212*RateA)</f>
        <v/>
      </c>
      <c r="K212" s="35">
        <f>IF($A212&gt;NYears*12,"",IF($D212=1,$J212,$K211+$J212))</f>
        <v/>
      </c>
      <c r="L212" s="35">
        <f>IF($A212&gt;NYears*12,"",IF(MOD($D212,3)=0,SUM($J210:$J212),0))</f>
        <v/>
      </c>
      <c r="M212" s="35">
        <f>IF($A212&gt;NYears*12,"",IF(TaxFreq="Quarterly",$K212*12/$D212,$K212))</f>
        <v/>
      </c>
      <c r="N212" s="36">
        <f>IF($A212&gt;NYears*12,"",LOOKUP($M212,TaxLower,TaxRate))</f>
        <v/>
      </c>
      <c r="O212" s="35">
        <f>IF($A212&gt;NYears*12,"",IF(TaxFreq="Quarterly",IF(MOD($D212,3)=0,$L212*$N212,0),IF($D212=12,$K212*$N212,0)))</f>
        <v/>
      </c>
      <c r="P212" s="35">
        <f>IF($A212&gt;NYears*12,"",IF($D212=1,$O212,$P211+$O212))</f>
        <v/>
      </c>
      <c r="Q212" s="35">
        <f>IF($A212&gt;NYears*12,"",IF($D212=12,MIN(WdrPct*IF(WdrBase="Post-tax profit",$K212-$P212,$K212),WdrCap),0))</f>
        <v/>
      </c>
      <c r="R212" s="35">
        <f>IF($A212&gt;NYears*12,"",$F212+$J212-$O212-$Q212)</f>
        <v/>
      </c>
      <c r="S212" s="33">
        <f>IF($A212&gt;NYears*12,"",INT($R212/$E212))</f>
        <v/>
      </c>
    </row>
    <row r="213">
      <c r="A213" s="33">
        <f>209</f>
        <v/>
      </c>
      <c r="B213" s="34">
        <f>IF($A213&gt;NYears*12,"",EDATE(StartMonth,$A213-1))</f>
        <v/>
      </c>
      <c r="C213" s="33">
        <f>IF($A213&gt;NYears*12,"",INT(($A213-1)/12)+1)</f>
        <v/>
      </c>
      <c r="D213" s="33">
        <f>IF($A213&gt;NYears*12,"",MOD($A213-1,12)+1)</f>
        <v/>
      </c>
      <c r="E213" s="35">
        <f>IF($A213&gt;NYears*12,"",LotValue0*(1+LotGrowth)^($C213-1))</f>
        <v/>
      </c>
      <c r="F213" s="35">
        <f>IF($A213&gt;NYears*12,"",IF($A213=1,InitInvest,$R212))</f>
        <v/>
      </c>
      <c r="G213" s="33">
        <f>IF($A213&gt;NYears*12,"",INT($F213/$E213))</f>
        <v/>
      </c>
      <c r="H213" s="35">
        <f>IF($A213&gt;NYears*12,"",$G213*$E213)</f>
        <v/>
      </c>
      <c r="I213" s="35">
        <f>IF($A213&gt;NYears*12,"",$F213-$H213)</f>
        <v/>
      </c>
      <c r="J213" s="35">
        <f>IF($A213&gt;NYears*12,"",$H213*RateA)</f>
        <v/>
      </c>
      <c r="K213" s="35">
        <f>IF($A213&gt;NYears*12,"",IF($D213=1,$J213,$K212+$J213))</f>
        <v/>
      </c>
      <c r="L213" s="35">
        <f>IF($A213&gt;NYears*12,"",IF(MOD($D213,3)=0,SUM($J211:$J213),0))</f>
        <v/>
      </c>
      <c r="M213" s="35">
        <f>IF($A213&gt;NYears*12,"",IF(TaxFreq="Quarterly",$K213*12/$D213,$K213))</f>
        <v/>
      </c>
      <c r="N213" s="36">
        <f>IF($A213&gt;NYears*12,"",LOOKUP($M213,TaxLower,TaxRate))</f>
        <v/>
      </c>
      <c r="O213" s="35">
        <f>IF($A213&gt;NYears*12,"",IF(TaxFreq="Quarterly",IF(MOD($D213,3)=0,$L213*$N213,0),IF($D213=12,$K213*$N213,0)))</f>
        <v/>
      </c>
      <c r="P213" s="35">
        <f>IF($A213&gt;NYears*12,"",IF($D213=1,$O213,$P212+$O213))</f>
        <v/>
      </c>
      <c r="Q213" s="35">
        <f>IF($A213&gt;NYears*12,"",IF($D213=12,MIN(WdrPct*IF(WdrBase="Post-tax profit",$K213-$P213,$K213),WdrCap),0))</f>
        <v/>
      </c>
      <c r="R213" s="35">
        <f>IF($A213&gt;NYears*12,"",$F213+$J213-$O213-$Q213)</f>
        <v/>
      </c>
      <c r="S213" s="33">
        <f>IF($A213&gt;NYears*12,"",INT($R213/$E213))</f>
        <v/>
      </c>
    </row>
    <row r="214">
      <c r="A214" s="33">
        <f>210</f>
        <v/>
      </c>
      <c r="B214" s="34">
        <f>IF($A214&gt;NYears*12,"",EDATE(StartMonth,$A214-1))</f>
        <v/>
      </c>
      <c r="C214" s="33">
        <f>IF($A214&gt;NYears*12,"",INT(($A214-1)/12)+1)</f>
        <v/>
      </c>
      <c r="D214" s="33">
        <f>IF($A214&gt;NYears*12,"",MOD($A214-1,12)+1)</f>
        <v/>
      </c>
      <c r="E214" s="35">
        <f>IF($A214&gt;NYears*12,"",LotValue0*(1+LotGrowth)^($C214-1))</f>
        <v/>
      </c>
      <c r="F214" s="35">
        <f>IF($A214&gt;NYears*12,"",IF($A214=1,InitInvest,$R213))</f>
        <v/>
      </c>
      <c r="G214" s="33">
        <f>IF($A214&gt;NYears*12,"",INT($F214/$E214))</f>
        <v/>
      </c>
      <c r="H214" s="35">
        <f>IF($A214&gt;NYears*12,"",$G214*$E214)</f>
        <v/>
      </c>
      <c r="I214" s="35">
        <f>IF($A214&gt;NYears*12,"",$F214-$H214)</f>
        <v/>
      </c>
      <c r="J214" s="35">
        <f>IF($A214&gt;NYears*12,"",$H214*RateA)</f>
        <v/>
      </c>
      <c r="K214" s="35">
        <f>IF($A214&gt;NYears*12,"",IF($D214=1,$J214,$K213+$J214))</f>
        <v/>
      </c>
      <c r="L214" s="35">
        <f>IF($A214&gt;NYears*12,"",IF(MOD($D214,3)=0,SUM($J212:$J214),0))</f>
        <v/>
      </c>
      <c r="M214" s="35">
        <f>IF($A214&gt;NYears*12,"",IF(TaxFreq="Quarterly",$K214*12/$D214,$K214))</f>
        <v/>
      </c>
      <c r="N214" s="36">
        <f>IF($A214&gt;NYears*12,"",LOOKUP($M214,TaxLower,TaxRate))</f>
        <v/>
      </c>
      <c r="O214" s="35">
        <f>IF($A214&gt;NYears*12,"",IF(TaxFreq="Quarterly",IF(MOD($D214,3)=0,$L214*$N214,0),IF($D214=12,$K214*$N214,0)))</f>
        <v/>
      </c>
      <c r="P214" s="35">
        <f>IF($A214&gt;NYears*12,"",IF($D214=1,$O214,$P213+$O214))</f>
        <v/>
      </c>
      <c r="Q214" s="35">
        <f>IF($A214&gt;NYears*12,"",IF($D214=12,MIN(WdrPct*IF(WdrBase="Post-tax profit",$K214-$P214,$K214),WdrCap),0))</f>
        <v/>
      </c>
      <c r="R214" s="35">
        <f>IF($A214&gt;NYears*12,"",$F214+$J214-$O214-$Q214)</f>
        <v/>
      </c>
      <c r="S214" s="33">
        <f>IF($A214&gt;NYears*12,"",INT($R214/$E214))</f>
        <v/>
      </c>
    </row>
    <row r="215">
      <c r="A215" s="33">
        <f>211</f>
        <v/>
      </c>
      <c r="B215" s="34">
        <f>IF($A215&gt;NYears*12,"",EDATE(StartMonth,$A215-1))</f>
        <v/>
      </c>
      <c r="C215" s="33">
        <f>IF($A215&gt;NYears*12,"",INT(($A215-1)/12)+1)</f>
        <v/>
      </c>
      <c r="D215" s="33">
        <f>IF($A215&gt;NYears*12,"",MOD($A215-1,12)+1)</f>
        <v/>
      </c>
      <c r="E215" s="35">
        <f>IF($A215&gt;NYears*12,"",LotValue0*(1+LotGrowth)^($C215-1))</f>
        <v/>
      </c>
      <c r="F215" s="35">
        <f>IF($A215&gt;NYears*12,"",IF($A215=1,InitInvest,$R214))</f>
        <v/>
      </c>
      <c r="G215" s="33">
        <f>IF($A215&gt;NYears*12,"",INT($F215/$E215))</f>
        <v/>
      </c>
      <c r="H215" s="35">
        <f>IF($A215&gt;NYears*12,"",$G215*$E215)</f>
        <v/>
      </c>
      <c r="I215" s="35">
        <f>IF($A215&gt;NYears*12,"",$F215-$H215)</f>
        <v/>
      </c>
      <c r="J215" s="35">
        <f>IF($A215&gt;NYears*12,"",$H215*RateA)</f>
        <v/>
      </c>
      <c r="K215" s="35">
        <f>IF($A215&gt;NYears*12,"",IF($D215=1,$J215,$K214+$J215))</f>
        <v/>
      </c>
      <c r="L215" s="35">
        <f>IF($A215&gt;NYears*12,"",IF(MOD($D215,3)=0,SUM($J213:$J215),0))</f>
        <v/>
      </c>
      <c r="M215" s="35">
        <f>IF($A215&gt;NYears*12,"",IF(TaxFreq="Quarterly",$K215*12/$D215,$K215))</f>
        <v/>
      </c>
      <c r="N215" s="36">
        <f>IF($A215&gt;NYears*12,"",LOOKUP($M215,TaxLower,TaxRate))</f>
        <v/>
      </c>
      <c r="O215" s="35">
        <f>IF($A215&gt;NYears*12,"",IF(TaxFreq="Quarterly",IF(MOD($D215,3)=0,$L215*$N215,0),IF($D215=12,$K215*$N215,0)))</f>
        <v/>
      </c>
      <c r="P215" s="35">
        <f>IF($A215&gt;NYears*12,"",IF($D215=1,$O215,$P214+$O215))</f>
        <v/>
      </c>
      <c r="Q215" s="35">
        <f>IF($A215&gt;NYears*12,"",IF($D215=12,MIN(WdrPct*IF(WdrBase="Post-tax profit",$K215-$P215,$K215),WdrCap),0))</f>
        <v/>
      </c>
      <c r="R215" s="35">
        <f>IF($A215&gt;NYears*12,"",$F215+$J215-$O215-$Q215)</f>
        <v/>
      </c>
      <c r="S215" s="33">
        <f>IF($A215&gt;NYears*12,"",INT($R215/$E215))</f>
        <v/>
      </c>
    </row>
    <row r="216">
      <c r="A216" s="33">
        <f>212</f>
        <v/>
      </c>
      <c r="B216" s="34">
        <f>IF($A216&gt;NYears*12,"",EDATE(StartMonth,$A216-1))</f>
        <v/>
      </c>
      <c r="C216" s="33">
        <f>IF($A216&gt;NYears*12,"",INT(($A216-1)/12)+1)</f>
        <v/>
      </c>
      <c r="D216" s="33">
        <f>IF($A216&gt;NYears*12,"",MOD($A216-1,12)+1)</f>
        <v/>
      </c>
      <c r="E216" s="35">
        <f>IF($A216&gt;NYears*12,"",LotValue0*(1+LotGrowth)^($C216-1))</f>
        <v/>
      </c>
      <c r="F216" s="35">
        <f>IF($A216&gt;NYears*12,"",IF($A216=1,InitInvest,$R215))</f>
        <v/>
      </c>
      <c r="G216" s="33">
        <f>IF($A216&gt;NYears*12,"",INT($F216/$E216))</f>
        <v/>
      </c>
      <c r="H216" s="35">
        <f>IF($A216&gt;NYears*12,"",$G216*$E216)</f>
        <v/>
      </c>
      <c r="I216" s="35">
        <f>IF($A216&gt;NYears*12,"",$F216-$H216)</f>
        <v/>
      </c>
      <c r="J216" s="35">
        <f>IF($A216&gt;NYears*12,"",$H216*RateA)</f>
        <v/>
      </c>
      <c r="K216" s="35">
        <f>IF($A216&gt;NYears*12,"",IF($D216=1,$J216,$K215+$J216))</f>
        <v/>
      </c>
      <c r="L216" s="35">
        <f>IF($A216&gt;NYears*12,"",IF(MOD($D216,3)=0,SUM($J214:$J216),0))</f>
        <v/>
      </c>
      <c r="M216" s="35">
        <f>IF($A216&gt;NYears*12,"",IF(TaxFreq="Quarterly",$K216*12/$D216,$K216))</f>
        <v/>
      </c>
      <c r="N216" s="36">
        <f>IF($A216&gt;NYears*12,"",LOOKUP($M216,TaxLower,TaxRate))</f>
        <v/>
      </c>
      <c r="O216" s="35">
        <f>IF($A216&gt;NYears*12,"",IF(TaxFreq="Quarterly",IF(MOD($D216,3)=0,$L216*$N216,0),IF($D216=12,$K216*$N216,0)))</f>
        <v/>
      </c>
      <c r="P216" s="35">
        <f>IF($A216&gt;NYears*12,"",IF($D216=1,$O216,$P215+$O216))</f>
        <v/>
      </c>
      <c r="Q216" s="35">
        <f>IF($A216&gt;NYears*12,"",IF($D216=12,MIN(WdrPct*IF(WdrBase="Post-tax profit",$K216-$P216,$K216),WdrCap),0))</f>
        <v/>
      </c>
      <c r="R216" s="35">
        <f>IF($A216&gt;NYears*12,"",$F216+$J216-$O216-$Q216)</f>
        <v/>
      </c>
      <c r="S216" s="33">
        <f>IF($A216&gt;NYears*12,"",INT($R216/$E216))</f>
        <v/>
      </c>
    </row>
    <row r="217">
      <c r="A217" s="33">
        <f>213</f>
        <v/>
      </c>
      <c r="B217" s="34">
        <f>IF($A217&gt;NYears*12,"",EDATE(StartMonth,$A217-1))</f>
        <v/>
      </c>
      <c r="C217" s="33">
        <f>IF($A217&gt;NYears*12,"",INT(($A217-1)/12)+1)</f>
        <v/>
      </c>
      <c r="D217" s="33">
        <f>IF($A217&gt;NYears*12,"",MOD($A217-1,12)+1)</f>
        <v/>
      </c>
      <c r="E217" s="35">
        <f>IF($A217&gt;NYears*12,"",LotValue0*(1+LotGrowth)^($C217-1))</f>
        <v/>
      </c>
      <c r="F217" s="35">
        <f>IF($A217&gt;NYears*12,"",IF($A217=1,InitInvest,$R216))</f>
        <v/>
      </c>
      <c r="G217" s="33">
        <f>IF($A217&gt;NYears*12,"",INT($F217/$E217))</f>
        <v/>
      </c>
      <c r="H217" s="35">
        <f>IF($A217&gt;NYears*12,"",$G217*$E217)</f>
        <v/>
      </c>
      <c r="I217" s="35">
        <f>IF($A217&gt;NYears*12,"",$F217-$H217)</f>
        <v/>
      </c>
      <c r="J217" s="35">
        <f>IF($A217&gt;NYears*12,"",$H217*RateA)</f>
        <v/>
      </c>
      <c r="K217" s="35">
        <f>IF($A217&gt;NYears*12,"",IF($D217=1,$J217,$K216+$J217))</f>
        <v/>
      </c>
      <c r="L217" s="35">
        <f>IF($A217&gt;NYears*12,"",IF(MOD($D217,3)=0,SUM($J215:$J217),0))</f>
        <v/>
      </c>
      <c r="M217" s="35">
        <f>IF($A217&gt;NYears*12,"",IF(TaxFreq="Quarterly",$K217*12/$D217,$K217))</f>
        <v/>
      </c>
      <c r="N217" s="36">
        <f>IF($A217&gt;NYears*12,"",LOOKUP($M217,TaxLower,TaxRate))</f>
        <v/>
      </c>
      <c r="O217" s="35">
        <f>IF($A217&gt;NYears*12,"",IF(TaxFreq="Quarterly",IF(MOD($D217,3)=0,$L217*$N217,0),IF($D217=12,$K217*$N217,0)))</f>
        <v/>
      </c>
      <c r="P217" s="35">
        <f>IF($A217&gt;NYears*12,"",IF($D217=1,$O217,$P216+$O217))</f>
        <v/>
      </c>
      <c r="Q217" s="35">
        <f>IF($A217&gt;NYears*12,"",IF($D217=12,MIN(WdrPct*IF(WdrBase="Post-tax profit",$K217-$P217,$K217),WdrCap),0))</f>
        <v/>
      </c>
      <c r="R217" s="35">
        <f>IF($A217&gt;NYears*12,"",$F217+$J217-$O217-$Q217)</f>
        <v/>
      </c>
      <c r="S217" s="33">
        <f>IF($A217&gt;NYears*12,"",INT($R217/$E217))</f>
        <v/>
      </c>
    </row>
    <row r="218">
      <c r="A218" s="33">
        <f>214</f>
        <v/>
      </c>
      <c r="B218" s="34">
        <f>IF($A218&gt;NYears*12,"",EDATE(StartMonth,$A218-1))</f>
        <v/>
      </c>
      <c r="C218" s="33">
        <f>IF($A218&gt;NYears*12,"",INT(($A218-1)/12)+1)</f>
        <v/>
      </c>
      <c r="D218" s="33">
        <f>IF($A218&gt;NYears*12,"",MOD($A218-1,12)+1)</f>
        <v/>
      </c>
      <c r="E218" s="35">
        <f>IF($A218&gt;NYears*12,"",LotValue0*(1+LotGrowth)^($C218-1))</f>
        <v/>
      </c>
      <c r="F218" s="35">
        <f>IF($A218&gt;NYears*12,"",IF($A218=1,InitInvest,$R217))</f>
        <v/>
      </c>
      <c r="G218" s="33">
        <f>IF($A218&gt;NYears*12,"",INT($F218/$E218))</f>
        <v/>
      </c>
      <c r="H218" s="35">
        <f>IF($A218&gt;NYears*12,"",$G218*$E218)</f>
        <v/>
      </c>
      <c r="I218" s="35">
        <f>IF($A218&gt;NYears*12,"",$F218-$H218)</f>
        <v/>
      </c>
      <c r="J218" s="35">
        <f>IF($A218&gt;NYears*12,"",$H218*RateA)</f>
        <v/>
      </c>
      <c r="K218" s="35">
        <f>IF($A218&gt;NYears*12,"",IF($D218=1,$J218,$K217+$J218))</f>
        <v/>
      </c>
      <c r="L218" s="35">
        <f>IF($A218&gt;NYears*12,"",IF(MOD($D218,3)=0,SUM($J216:$J218),0))</f>
        <v/>
      </c>
      <c r="M218" s="35">
        <f>IF($A218&gt;NYears*12,"",IF(TaxFreq="Quarterly",$K218*12/$D218,$K218))</f>
        <v/>
      </c>
      <c r="N218" s="36">
        <f>IF($A218&gt;NYears*12,"",LOOKUP($M218,TaxLower,TaxRate))</f>
        <v/>
      </c>
      <c r="O218" s="35">
        <f>IF($A218&gt;NYears*12,"",IF(TaxFreq="Quarterly",IF(MOD($D218,3)=0,$L218*$N218,0),IF($D218=12,$K218*$N218,0)))</f>
        <v/>
      </c>
      <c r="P218" s="35">
        <f>IF($A218&gt;NYears*12,"",IF($D218=1,$O218,$P217+$O218))</f>
        <v/>
      </c>
      <c r="Q218" s="35">
        <f>IF($A218&gt;NYears*12,"",IF($D218=12,MIN(WdrPct*IF(WdrBase="Post-tax profit",$K218-$P218,$K218),WdrCap),0))</f>
        <v/>
      </c>
      <c r="R218" s="35">
        <f>IF($A218&gt;NYears*12,"",$F218+$J218-$O218-$Q218)</f>
        <v/>
      </c>
      <c r="S218" s="33">
        <f>IF($A218&gt;NYears*12,"",INT($R218/$E218))</f>
        <v/>
      </c>
    </row>
    <row r="219">
      <c r="A219" s="33">
        <f>215</f>
        <v/>
      </c>
      <c r="B219" s="34">
        <f>IF($A219&gt;NYears*12,"",EDATE(StartMonth,$A219-1))</f>
        <v/>
      </c>
      <c r="C219" s="33">
        <f>IF($A219&gt;NYears*12,"",INT(($A219-1)/12)+1)</f>
        <v/>
      </c>
      <c r="D219" s="33">
        <f>IF($A219&gt;NYears*12,"",MOD($A219-1,12)+1)</f>
        <v/>
      </c>
      <c r="E219" s="35">
        <f>IF($A219&gt;NYears*12,"",LotValue0*(1+LotGrowth)^($C219-1))</f>
        <v/>
      </c>
      <c r="F219" s="35">
        <f>IF($A219&gt;NYears*12,"",IF($A219=1,InitInvest,$R218))</f>
        <v/>
      </c>
      <c r="G219" s="33">
        <f>IF($A219&gt;NYears*12,"",INT($F219/$E219))</f>
        <v/>
      </c>
      <c r="H219" s="35">
        <f>IF($A219&gt;NYears*12,"",$G219*$E219)</f>
        <v/>
      </c>
      <c r="I219" s="35">
        <f>IF($A219&gt;NYears*12,"",$F219-$H219)</f>
        <v/>
      </c>
      <c r="J219" s="35">
        <f>IF($A219&gt;NYears*12,"",$H219*RateA)</f>
        <v/>
      </c>
      <c r="K219" s="35">
        <f>IF($A219&gt;NYears*12,"",IF($D219=1,$J219,$K218+$J219))</f>
        <v/>
      </c>
      <c r="L219" s="35">
        <f>IF($A219&gt;NYears*12,"",IF(MOD($D219,3)=0,SUM($J217:$J219),0))</f>
        <v/>
      </c>
      <c r="M219" s="35">
        <f>IF($A219&gt;NYears*12,"",IF(TaxFreq="Quarterly",$K219*12/$D219,$K219))</f>
        <v/>
      </c>
      <c r="N219" s="36">
        <f>IF($A219&gt;NYears*12,"",LOOKUP($M219,TaxLower,TaxRate))</f>
        <v/>
      </c>
      <c r="O219" s="35">
        <f>IF($A219&gt;NYears*12,"",IF(TaxFreq="Quarterly",IF(MOD($D219,3)=0,$L219*$N219,0),IF($D219=12,$K219*$N219,0)))</f>
        <v/>
      </c>
      <c r="P219" s="35">
        <f>IF($A219&gt;NYears*12,"",IF($D219=1,$O219,$P218+$O219))</f>
        <v/>
      </c>
      <c r="Q219" s="35">
        <f>IF($A219&gt;NYears*12,"",IF($D219=12,MIN(WdrPct*IF(WdrBase="Post-tax profit",$K219-$P219,$K219),WdrCap),0))</f>
        <v/>
      </c>
      <c r="R219" s="35">
        <f>IF($A219&gt;NYears*12,"",$F219+$J219-$O219-$Q219)</f>
        <v/>
      </c>
      <c r="S219" s="33">
        <f>IF($A219&gt;NYears*12,"",INT($R219/$E219))</f>
        <v/>
      </c>
    </row>
    <row r="220">
      <c r="A220" s="37">
        <f>216</f>
        <v/>
      </c>
      <c r="B220" s="38">
        <f>IF($A220&gt;NYears*12,"",EDATE(StartMonth,$A220-1))</f>
        <v/>
      </c>
      <c r="C220" s="37">
        <f>IF($A220&gt;NYears*12,"",INT(($A220-1)/12)+1)</f>
        <v/>
      </c>
      <c r="D220" s="37">
        <f>IF($A220&gt;NYears*12,"",MOD($A220-1,12)+1)</f>
        <v/>
      </c>
      <c r="E220" s="39">
        <f>IF($A220&gt;NYears*12,"",LotValue0*(1+LotGrowth)^($C220-1))</f>
        <v/>
      </c>
      <c r="F220" s="39">
        <f>IF($A220&gt;NYears*12,"",IF($A220=1,InitInvest,$R219))</f>
        <v/>
      </c>
      <c r="G220" s="37">
        <f>IF($A220&gt;NYears*12,"",INT($F220/$E220))</f>
        <v/>
      </c>
      <c r="H220" s="39">
        <f>IF($A220&gt;NYears*12,"",$G220*$E220)</f>
        <v/>
      </c>
      <c r="I220" s="39">
        <f>IF($A220&gt;NYears*12,"",$F220-$H220)</f>
        <v/>
      </c>
      <c r="J220" s="39">
        <f>IF($A220&gt;NYears*12,"",$H220*RateA)</f>
        <v/>
      </c>
      <c r="K220" s="39">
        <f>IF($A220&gt;NYears*12,"",IF($D220=1,$J220,$K219+$J220))</f>
        <v/>
      </c>
      <c r="L220" s="39">
        <f>IF($A220&gt;NYears*12,"",IF(MOD($D220,3)=0,SUM($J218:$J220),0))</f>
        <v/>
      </c>
      <c r="M220" s="39">
        <f>IF($A220&gt;NYears*12,"",IF(TaxFreq="Quarterly",$K220*12/$D220,$K220))</f>
        <v/>
      </c>
      <c r="N220" s="40">
        <f>IF($A220&gt;NYears*12,"",LOOKUP($M220,TaxLower,TaxRate))</f>
        <v/>
      </c>
      <c r="O220" s="39">
        <f>IF($A220&gt;NYears*12,"",IF(TaxFreq="Quarterly",IF(MOD($D220,3)=0,$L220*$N220,0),IF($D220=12,$K220*$N220,0)))</f>
        <v/>
      </c>
      <c r="P220" s="39">
        <f>IF($A220&gt;NYears*12,"",IF($D220=1,$O220,$P219+$O220))</f>
        <v/>
      </c>
      <c r="Q220" s="39">
        <f>IF($A220&gt;NYears*12,"",IF($D220=12,MIN(WdrPct*IF(WdrBase="Post-tax profit",$K220-$P220,$K220),WdrCap),0))</f>
        <v/>
      </c>
      <c r="R220" s="39">
        <f>IF($A220&gt;NYears*12,"",$F220+$J220-$O220-$Q220)</f>
        <v/>
      </c>
      <c r="S220" s="37">
        <f>IF($A220&gt;NYears*12,"",INT($R220/$E220))</f>
        <v/>
      </c>
    </row>
    <row r="221">
      <c r="A221" s="33">
        <f>217</f>
        <v/>
      </c>
      <c r="B221" s="34">
        <f>IF($A221&gt;NYears*12,"",EDATE(StartMonth,$A221-1))</f>
        <v/>
      </c>
      <c r="C221" s="33">
        <f>IF($A221&gt;NYears*12,"",INT(($A221-1)/12)+1)</f>
        <v/>
      </c>
      <c r="D221" s="33">
        <f>IF($A221&gt;NYears*12,"",MOD($A221-1,12)+1)</f>
        <v/>
      </c>
      <c r="E221" s="35">
        <f>IF($A221&gt;NYears*12,"",LotValue0*(1+LotGrowth)^($C221-1))</f>
        <v/>
      </c>
      <c r="F221" s="35">
        <f>IF($A221&gt;NYears*12,"",IF($A221=1,InitInvest,$R220))</f>
        <v/>
      </c>
      <c r="G221" s="33">
        <f>IF($A221&gt;NYears*12,"",INT($F221/$E221))</f>
        <v/>
      </c>
      <c r="H221" s="35">
        <f>IF($A221&gt;NYears*12,"",$G221*$E221)</f>
        <v/>
      </c>
      <c r="I221" s="35">
        <f>IF($A221&gt;NYears*12,"",$F221-$H221)</f>
        <v/>
      </c>
      <c r="J221" s="35">
        <f>IF($A221&gt;NYears*12,"",$H221*RateA)</f>
        <v/>
      </c>
      <c r="K221" s="35">
        <f>IF($A221&gt;NYears*12,"",IF($D221=1,$J221,$K220+$J221))</f>
        <v/>
      </c>
      <c r="L221" s="35">
        <f>IF($A221&gt;NYears*12,"",IF(MOD($D221,3)=0,SUM($J219:$J221),0))</f>
        <v/>
      </c>
      <c r="M221" s="35">
        <f>IF($A221&gt;NYears*12,"",IF(TaxFreq="Quarterly",$K221*12/$D221,$K221))</f>
        <v/>
      </c>
      <c r="N221" s="36">
        <f>IF($A221&gt;NYears*12,"",LOOKUP($M221,TaxLower,TaxRate))</f>
        <v/>
      </c>
      <c r="O221" s="35">
        <f>IF($A221&gt;NYears*12,"",IF(TaxFreq="Quarterly",IF(MOD($D221,3)=0,$L221*$N221,0),IF($D221=12,$K221*$N221,0)))</f>
        <v/>
      </c>
      <c r="P221" s="35">
        <f>IF($A221&gt;NYears*12,"",IF($D221=1,$O221,$P220+$O221))</f>
        <v/>
      </c>
      <c r="Q221" s="35">
        <f>IF($A221&gt;NYears*12,"",IF($D221=12,MIN(WdrPct*IF(WdrBase="Post-tax profit",$K221-$P221,$K221),WdrCap),0))</f>
        <v/>
      </c>
      <c r="R221" s="35">
        <f>IF($A221&gt;NYears*12,"",$F221+$J221-$O221-$Q221)</f>
        <v/>
      </c>
      <c r="S221" s="33">
        <f>IF($A221&gt;NYears*12,"",INT($R221/$E221))</f>
        <v/>
      </c>
    </row>
    <row r="222">
      <c r="A222" s="33">
        <f>218</f>
        <v/>
      </c>
      <c r="B222" s="34">
        <f>IF($A222&gt;NYears*12,"",EDATE(StartMonth,$A222-1))</f>
        <v/>
      </c>
      <c r="C222" s="33">
        <f>IF($A222&gt;NYears*12,"",INT(($A222-1)/12)+1)</f>
        <v/>
      </c>
      <c r="D222" s="33">
        <f>IF($A222&gt;NYears*12,"",MOD($A222-1,12)+1)</f>
        <v/>
      </c>
      <c r="E222" s="35">
        <f>IF($A222&gt;NYears*12,"",LotValue0*(1+LotGrowth)^($C222-1))</f>
        <v/>
      </c>
      <c r="F222" s="35">
        <f>IF($A222&gt;NYears*12,"",IF($A222=1,InitInvest,$R221))</f>
        <v/>
      </c>
      <c r="G222" s="33">
        <f>IF($A222&gt;NYears*12,"",INT($F222/$E222))</f>
        <v/>
      </c>
      <c r="H222" s="35">
        <f>IF($A222&gt;NYears*12,"",$G222*$E222)</f>
        <v/>
      </c>
      <c r="I222" s="35">
        <f>IF($A222&gt;NYears*12,"",$F222-$H222)</f>
        <v/>
      </c>
      <c r="J222" s="35">
        <f>IF($A222&gt;NYears*12,"",$H222*RateA)</f>
        <v/>
      </c>
      <c r="K222" s="35">
        <f>IF($A222&gt;NYears*12,"",IF($D222=1,$J222,$K221+$J222))</f>
        <v/>
      </c>
      <c r="L222" s="35">
        <f>IF($A222&gt;NYears*12,"",IF(MOD($D222,3)=0,SUM($J220:$J222),0))</f>
        <v/>
      </c>
      <c r="M222" s="35">
        <f>IF($A222&gt;NYears*12,"",IF(TaxFreq="Quarterly",$K222*12/$D222,$K222))</f>
        <v/>
      </c>
      <c r="N222" s="36">
        <f>IF($A222&gt;NYears*12,"",LOOKUP($M222,TaxLower,TaxRate))</f>
        <v/>
      </c>
      <c r="O222" s="35">
        <f>IF($A222&gt;NYears*12,"",IF(TaxFreq="Quarterly",IF(MOD($D222,3)=0,$L222*$N222,0),IF($D222=12,$K222*$N222,0)))</f>
        <v/>
      </c>
      <c r="P222" s="35">
        <f>IF($A222&gt;NYears*12,"",IF($D222=1,$O222,$P221+$O222))</f>
        <v/>
      </c>
      <c r="Q222" s="35">
        <f>IF($A222&gt;NYears*12,"",IF($D222=12,MIN(WdrPct*IF(WdrBase="Post-tax profit",$K222-$P222,$K222),WdrCap),0))</f>
        <v/>
      </c>
      <c r="R222" s="35">
        <f>IF($A222&gt;NYears*12,"",$F222+$J222-$O222-$Q222)</f>
        <v/>
      </c>
      <c r="S222" s="33">
        <f>IF($A222&gt;NYears*12,"",INT($R222/$E222))</f>
        <v/>
      </c>
    </row>
    <row r="223">
      <c r="A223" s="33">
        <f>219</f>
        <v/>
      </c>
      <c r="B223" s="34">
        <f>IF($A223&gt;NYears*12,"",EDATE(StartMonth,$A223-1))</f>
        <v/>
      </c>
      <c r="C223" s="33">
        <f>IF($A223&gt;NYears*12,"",INT(($A223-1)/12)+1)</f>
        <v/>
      </c>
      <c r="D223" s="33">
        <f>IF($A223&gt;NYears*12,"",MOD($A223-1,12)+1)</f>
        <v/>
      </c>
      <c r="E223" s="35">
        <f>IF($A223&gt;NYears*12,"",LotValue0*(1+LotGrowth)^($C223-1))</f>
        <v/>
      </c>
      <c r="F223" s="35">
        <f>IF($A223&gt;NYears*12,"",IF($A223=1,InitInvest,$R222))</f>
        <v/>
      </c>
      <c r="G223" s="33">
        <f>IF($A223&gt;NYears*12,"",INT($F223/$E223))</f>
        <v/>
      </c>
      <c r="H223" s="35">
        <f>IF($A223&gt;NYears*12,"",$G223*$E223)</f>
        <v/>
      </c>
      <c r="I223" s="35">
        <f>IF($A223&gt;NYears*12,"",$F223-$H223)</f>
        <v/>
      </c>
      <c r="J223" s="35">
        <f>IF($A223&gt;NYears*12,"",$H223*RateA)</f>
        <v/>
      </c>
      <c r="K223" s="35">
        <f>IF($A223&gt;NYears*12,"",IF($D223=1,$J223,$K222+$J223))</f>
        <v/>
      </c>
      <c r="L223" s="35">
        <f>IF($A223&gt;NYears*12,"",IF(MOD($D223,3)=0,SUM($J221:$J223),0))</f>
        <v/>
      </c>
      <c r="M223" s="35">
        <f>IF($A223&gt;NYears*12,"",IF(TaxFreq="Quarterly",$K223*12/$D223,$K223))</f>
        <v/>
      </c>
      <c r="N223" s="36">
        <f>IF($A223&gt;NYears*12,"",LOOKUP($M223,TaxLower,TaxRate))</f>
        <v/>
      </c>
      <c r="O223" s="35">
        <f>IF($A223&gt;NYears*12,"",IF(TaxFreq="Quarterly",IF(MOD($D223,3)=0,$L223*$N223,0),IF($D223=12,$K223*$N223,0)))</f>
        <v/>
      </c>
      <c r="P223" s="35">
        <f>IF($A223&gt;NYears*12,"",IF($D223=1,$O223,$P222+$O223))</f>
        <v/>
      </c>
      <c r="Q223" s="35">
        <f>IF($A223&gt;NYears*12,"",IF($D223=12,MIN(WdrPct*IF(WdrBase="Post-tax profit",$K223-$P223,$K223),WdrCap),0))</f>
        <v/>
      </c>
      <c r="R223" s="35">
        <f>IF($A223&gt;NYears*12,"",$F223+$J223-$O223-$Q223)</f>
        <v/>
      </c>
      <c r="S223" s="33">
        <f>IF($A223&gt;NYears*12,"",INT($R223/$E223))</f>
        <v/>
      </c>
    </row>
    <row r="224">
      <c r="A224" s="33">
        <f>220</f>
        <v/>
      </c>
      <c r="B224" s="34">
        <f>IF($A224&gt;NYears*12,"",EDATE(StartMonth,$A224-1))</f>
        <v/>
      </c>
      <c r="C224" s="33">
        <f>IF($A224&gt;NYears*12,"",INT(($A224-1)/12)+1)</f>
        <v/>
      </c>
      <c r="D224" s="33">
        <f>IF($A224&gt;NYears*12,"",MOD($A224-1,12)+1)</f>
        <v/>
      </c>
      <c r="E224" s="35">
        <f>IF($A224&gt;NYears*12,"",LotValue0*(1+LotGrowth)^($C224-1))</f>
        <v/>
      </c>
      <c r="F224" s="35">
        <f>IF($A224&gt;NYears*12,"",IF($A224=1,InitInvest,$R223))</f>
        <v/>
      </c>
      <c r="G224" s="33">
        <f>IF($A224&gt;NYears*12,"",INT($F224/$E224))</f>
        <v/>
      </c>
      <c r="H224" s="35">
        <f>IF($A224&gt;NYears*12,"",$G224*$E224)</f>
        <v/>
      </c>
      <c r="I224" s="35">
        <f>IF($A224&gt;NYears*12,"",$F224-$H224)</f>
        <v/>
      </c>
      <c r="J224" s="35">
        <f>IF($A224&gt;NYears*12,"",$H224*RateA)</f>
        <v/>
      </c>
      <c r="K224" s="35">
        <f>IF($A224&gt;NYears*12,"",IF($D224=1,$J224,$K223+$J224))</f>
        <v/>
      </c>
      <c r="L224" s="35">
        <f>IF($A224&gt;NYears*12,"",IF(MOD($D224,3)=0,SUM($J222:$J224),0))</f>
        <v/>
      </c>
      <c r="M224" s="35">
        <f>IF($A224&gt;NYears*12,"",IF(TaxFreq="Quarterly",$K224*12/$D224,$K224))</f>
        <v/>
      </c>
      <c r="N224" s="36">
        <f>IF($A224&gt;NYears*12,"",LOOKUP($M224,TaxLower,TaxRate))</f>
        <v/>
      </c>
      <c r="O224" s="35">
        <f>IF($A224&gt;NYears*12,"",IF(TaxFreq="Quarterly",IF(MOD($D224,3)=0,$L224*$N224,0),IF($D224=12,$K224*$N224,0)))</f>
        <v/>
      </c>
      <c r="P224" s="35">
        <f>IF($A224&gt;NYears*12,"",IF($D224=1,$O224,$P223+$O224))</f>
        <v/>
      </c>
      <c r="Q224" s="35">
        <f>IF($A224&gt;NYears*12,"",IF($D224=12,MIN(WdrPct*IF(WdrBase="Post-tax profit",$K224-$P224,$K224),WdrCap),0))</f>
        <v/>
      </c>
      <c r="R224" s="35">
        <f>IF($A224&gt;NYears*12,"",$F224+$J224-$O224-$Q224)</f>
        <v/>
      </c>
      <c r="S224" s="33">
        <f>IF($A224&gt;NYears*12,"",INT($R224/$E224))</f>
        <v/>
      </c>
    </row>
    <row r="225">
      <c r="A225" s="33">
        <f>221</f>
        <v/>
      </c>
      <c r="B225" s="34">
        <f>IF($A225&gt;NYears*12,"",EDATE(StartMonth,$A225-1))</f>
        <v/>
      </c>
      <c r="C225" s="33">
        <f>IF($A225&gt;NYears*12,"",INT(($A225-1)/12)+1)</f>
        <v/>
      </c>
      <c r="D225" s="33">
        <f>IF($A225&gt;NYears*12,"",MOD($A225-1,12)+1)</f>
        <v/>
      </c>
      <c r="E225" s="35">
        <f>IF($A225&gt;NYears*12,"",LotValue0*(1+LotGrowth)^($C225-1))</f>
        <v/>
      </c>
      <c r="F225" s="35">
        <f>IF($A225&gt;NYears*12,"",IF($A225=1,InitInvest,$R224))</f>
        <v/>
      </c>
      <c r="G225" s="33">
        <f>IF($A225&gt;NYears*12,"",INT($F225/$E225))</f>
        <v/>
      </c>
      <c r="H225" s="35">
        <f>IF($A225&gt;NYears*12,"",$G225*$E225)</f>
        <v/>
      </c>
      <c r="I225" s="35">
        <f>IF($A225&gt;NYears*12,"",$F225-$H225)</f>
        <v/>
      </c>
      <c r="J225" s="35">
        <f>IF($A225&gt;NYears*12,"",$H225*RateA)</f>
        <v/>
      </c>
      <c r="K225" s="35">
        <f>IF($A225&gt;NYears*12,"",IF($D225=1,$J225,$K224+$J225))</f>
        <v/>
      </c>
      <c r="L225" s="35">
        <f>IF($A225&gt;NYears*12,"",IF(MOD($D225,3)=0,SUM($J223:$J225),0))</f>
        <v/>
      </c>
      <c r="M225" s="35">
        <f>IF($A225&gt;NYears*12,"",IF(TaxFreq="Quarterly",$K225*12/$D225,$K225))</f>
        <v/>
      </c>
      <c r="N225" s="36">
        <f>IF($A225&gt;NYears*12,"",LOOKUP($M225,TaxLower,TaxRate))</f>
        <v/>
      </c>
      <c r="O225" s="35">
        <f>IF($A225&gt;NYears*12,"",IF(TaxFreq="Quarterly",IF(MOD($D225,3)=0,$L225*$N225,0),IF($D225=12,$K225*$N225,0)))</f>
        <v/>
      </c>
      <c r="P225" s="35">
        <f>IF($A225&gt;NYears*12,"",IF($D225=1,$O225,$P224+$O225))</f>
        <v/>
      </c>
      <c r="Q225" s="35">
        <f>IF($A225&gt;NYears*12,"",IF($D225=12,MIN(WdrPct*IF(WdrBase="Post-tax profit",$K225-$P225,$K225),WdrCap),0))</f>
        <v/>
      </c>
      <c r="R225" s="35">
        <f>IF($A225&gt;NYears*12,"",$F225+$J225-$O225-$Q225)</f>
        <v/>
      </c>
      <c r="S225" s="33">
        <f>IF($A225&gt;NYears*12,"",INT($R225/$E225))</f>
        <v/>
      </c>
    </row>
    <row r="226">
      <c r="A226" s="33">
        <f>222</f>
        <v/>
      </c>
      <c r="B226" s="34">
        <f>IF($A226&gt;NYears*12,"",EDATE(StartMonth,$A226-1))</f>
        <v/>
      </c>
      <c r="C226" s="33">
        <f>IF($A226&gt;NYears*12,"",INT(($A226-1)/12)+1)</f>
        <v/>
      </c>
      <c r="D226" s="33">
        <f>IF($A226&gt;NYears*12,"",MOD($A226-1,12)+1)</f>
        <v/>
      </c>
      <c r="E226" s="35">
        <f>IF($A226&gt;NYears*12,"",LotValue0*(1+LotGrowth)^($C226-1))</f>
        <v/>
      </c>
      <c r="F226" s="35">
        <f>IF($A226&gt;NYears*12,"",IF($A226=1,InitInvest,$R225))</f>
        <v/>
      </c>
      <c r="G226" s="33">
        <f>IF($A226&gt;NYears*12,"",INT($F226/$E226))</f>
        <v/>
      </c>
      <c r="H226" s="35">
        <f>IF($A226&gt;NYears*12,"",$G226*$E226)</f>
        <v/>
      </c>
      <c r="I226" s="35">
        <f>IF($A226&gt;NYears*12,"",$F226-$H226)</f>
        <v/>
      </c>
      <c r="J226" s="35">
        <f>IF($A226&gt;NYears*12,"",$H226*RateA)</f>
        <v/>
      </c>
      <c r="K226" s="35">
        <f>IF($A226&gt;NYears*12,"",IF($D226=1,$J226,$K225+$J226))</f>
        <v/>
      </c>
      <c r="L226" s="35">
        <f>IF($A226&gt;NYears*12,"",IF(MOD($D226,3)=0,SUM($J224:$J226),0))</f>
        <v/>
      </c>
      <c r="M226" s="35">
        <f>IF($A226&gt;NYears*12,"",IF(TaxFreq="Quarterly",$K226*12/$D226,$K226))</f>
        <v/>
      </c>
      <c r="N226" s="36">
        <f>IF($A226&gt;NYears*12,"",LOOKUP($M226,TaxLower,TaxRate))</f>
        <v/>
      </c>
      <c r="O226" s="35">
        <f>IF($A226&gt;NYears*12,"",IF(TaxFreq="Quarterly",IF(MOD($D226,3)=0,$L226*$N226,0),IF($D226=12,$K226*$N226,0)))</f>
        <v/>
      </c>
      <c r="P226" s="35">
        <f>IF($A226&gt;NYears*12,"",IF($D226=1,$O226,$P225+$O226))</f>
        <v/>
      </c>
      <c r="Q226" s="35">
        <f>IF($A226&gt;NYears*12,"",IF($D226=12,MIN(WdrPct*IF(WdrBase="Post-tax profit",$K226-$P226,$K226),WdrCap),0))</f>
        <v/>
      </c>
      <c r="R226" s="35">
        <f>IF($A226&gt;NYears*12,"",$F226+$J226-$O226-$Q226)</f>
        <v/>
      </c>
      <c r="S226" s="33">
        <f>IF($A226&gt;NYears*12,"",INT($R226/$E226))</f>
        <v/>
      </c>
    </row>
    <row r="227">
      <c r="A227" s="33">
        <f>223</f>
        <v/>
      </c>
      <c r="B227" s="34">
        <f>IF($A227&gt;NYears*12,"",EDATE(StartMonth,$A227-1))</f>
        <v/>
      </c>
      <c r="C227" s="33">
        <f>IF($A227&gt;NYears*12,"",INT(($A227-1)/12)+1)</f>
        <v/>
      </c>
      <c r="D227" s="33">
        <f>IF($A227&gt;NYears*12,"",MOD($A227-1,12)+1)</f>
        <v/>
      </c>
      <c r="E227" s="35">
        <f>IF($A227&gt;NYears*12,"",LotValue0*(1+LotGrowth)^($C227-1))</f>
        <v/>
      </c>
      <c r="F227" s="35">
        <f>IF($A227&gt;NYears*12,"",IF($A227=1,InitInvest,$R226))</f>
        <v/>
      </c>
      <c r="G227" s="33">
        <f>IF($A227&gt;NYears*12,"",INT($F227/$E227))</f>
        <v/>
      </c>
      <c r="H227" s="35">
        <f>IF($A227&gt;NYears*12,"",$G227*$E227)</f>
        <v/>
      </c>
      <c r="I227" s="35">
        <f>IF($A227&gt;NYears*12,"",$F227-$H227)</f>
        <v/>
      </c>
      <c r="J227" s="35">
        <f>IF($A227&gt;NYears*12,"",$H227*RateA)</f>
        <v/>
      </c>
      <c r="K227" s="35">
        <f>IF($A227&gt;NYears*12,"",IF($D227=1,$J227,$K226+$J227))</f>
        <v/>
      </c>
      <c r="L227" s="35">
        <f>IF($A227&gt;NYears*12,"",IF(MOD($D227,3)=0,SUM($J225:$J227),0))</f>
        <v/>
      </c>
      <c r="M227" s="35">
        <f>IF($A227&gt;NYears*12,"",IF(TaxFreq="Quarterly",$K227*12/$D227,$K227))</f>
        <v/>
      </c>
      <c r="N227" s="36">
        <f>IF($A227&gt;NYears*12,"",LOOKUP($M227,TaxLower,TaxRate))</f>
        <v/>
      </c>
      <c r="O227" s="35">
        <f>IF($A227&gt;NYears*12,"",IF(TaxFreq="Quarterly",IF(MOD($D227,3)=0,$L227*$N227,0),IF($D227=12,$K227*$N227,0)))</f>
        <v/>
      </c>
      <c r="P227" s="35">
        <f>IF($A227&gt;NYears*12,"",IF($D227=1,$O227,$P226+$O227))</f>
        <v/>
      </c>
      <c r="Q227" s="35">
        <f>IF($A227&gt;NYears*12,"",IF($D227=12,MIN(WdrPct*IF(WdrBase="Post-tax profit",$K227-$P227,$K227),WdrCap),0))</f>
        <v/>
      </c>
      <c r="R227" s="35">
        <f>IF($A227&gt;NYears*12,"",$F227+$J227-$O227-$Q227)</f>
        <v/>
      </c>
      <c r="S227" s="33">
        <f>IF($A227&gt;NYears*12,"",INT($R227/$E227))</f>
        <v/>
      </c>
    </row>
    <row r="228">
      <c r="A228" s="33">
        <f>224</f>
        <v/>
      </c>
      <c r="B228" s="34">
        <f>IF($A228&gt;NYears*12,"",EDATE(StartMonth,$A228-1))</f>
        <v/>
      </c>
      <c r="C228" s="33">
        <f>IF($A228&gt;NYears*12,"",INT(($A228-1)/12)+1)</f>
        <v/>
      </c>
      <c r="D228" s="33">
        <f>IF($A228&gt;NYears*12,"",MOD($A228-1,12)+1)</f>
        <v/>
      </c>
      <c r="E228" s="35">
        <f>IF($A228&gt;NYears*12,"",LotValue0*(1+LotGrowth)^($C228-1))</f>
        <v/>
      </c>
      <c r="F228" s="35">
        <f>IF($A228&gt;NYears*12,"",IF($A228=1,InitInvest,$R227))</f>
        <v/>
      </c>
      <c r="G228" s="33">
        <f>IF($A228&gt;NYears*12,"",INT($F228/$E228))</f>
        <v/>
      </c>
      <c r="H228" s="35">
        <f>IF($A228&gt;NYears*12,"",$G228*$E228)</f>
        <v/>
      </c>
      <c r="I228" s="35">
        <f>IF($A228&gt;NYears*12,"",$F228-$H228)</f>
        <v/>
      </c>
      <c r="J228" s="35">
        <f>IF($A228&gt;NYears*12,"",$H228*RateA)</f>
        <v/>
      </c>
      <c r="K228" s="35">
        <f>IF($A228&gt;NYears*12,"",IF($D228=1,$J228,$K227+$J228))</f>
        <v/>
      </c>
      <c r="L228" s="35">
        <f>IF($A228&gt;NYears*12,"",IF(MOD($D228,3)=0,SUM($J226:$J228),0))</f>
        <v/>
      </c>
      <c r="M228" s="35">
        <f>IF($A228&gt;NYears*12,"",IF(TaxFreq="Quarterly",$K228*12/$D228,$K228))</f>
        <v/>
      </c>
      <c r="N228" s="36">
        <f>IF($A228&gt;NYears*12,"",LOOKUP($M228,TaxLower,TaxRate))</f>
        <v/>
      </c>
      <c r="O228" s="35">
        <f>IF($A228&gt;NYears*12,"",IF(TaxFreq="Quarterly",IF(MOD($D228,3)=0,$L228*$N228,0),IF($D228=12,$K228*$N228,0)))</f>
        <v/>
      </c>
      <c r="P228" s="35">
        <f>IF($A228&gt;NYears*12,"",IF($D228=1,$O228,$P227+$O228))</f>
        <v/>
      </c>
      <c r="Q228" s="35">
        <f>IF($A228&gt;NYears*12,"",IF($D228=12,MIN(WdrPct*IF(WdrBase="Post-tax profit",$K228-$P228,$K228),WdrCap),0))</f>
        <v/>
      </c>
      <c r="R228" s="35">
        <f>IF($A228&gt;NYears*12,"",$F228+$J228-$O228-$Q228)</f>
        <v/>
      </c>
      <c r="S228" s="33">
        <f>IF($A228&gt;NYears*12,"",INT($R228/$E228))</f>
        <v/>
      </c>
    </row>
    <row r="229">
      <c r="A229" s="33">
        <f>225</f>
        <v/>
      </c>
      <c r="B229" s="34">
        <f>IF($A229&gt;NYears*12,"",EDATE(StartMonth,$A229-1))</f>
        <v/>
      </c>
      <c r="C229" s="33">
        <f>IF($A229&gt;NYears*12,"",INT(($A229-1)/12)+1)</f>
        <v/>
      </c>
      <c r="D229" s="33">
        <f>IF($A229&gt;NYears*12,"",MOD($A229-1,12)+1)</f>
        <v/>
      </c>
      <c r="E229" s="35">
        <f>IF($A229&gt;NYears*12,"",LotValue0*(1+LotGrowth)^($C229-1))</f>
        <v/>
      </c>
      <c r="F229" s="35">
        <f>IF($A229&gt;NYears*12,"",IF($A229=1,InitInvest,$R228))</f>
        <v/>
      </c>
      <c r="G229" s="33">
        <f>IF($A229&gt;NYears*12,"",INT($F229/$E229))</f>
        <v/>
      </c>
      <c r="H229" s="35">
        <f>IF($A229&gt;NYears*12,"",$G229*$E229)</f>
        <v/>
      </c>
      <c r="I229" s="35">
        <f>IF($A229&gt;NYears*12,"",$F229-$H229)</f>
        <v/>
      </c>
      <c r="J229" s="35">
        <f>IF($A229&gt;NYears*12,"",$H229*RateA)</f>
        <v/>
      </c>
      <c r="K229" s="35">
        <f>IF($A229&gt;NYears*12,"",IF($D229=1,$J229,$K228+$J229))</f>
        <v/>
      </c>
      <c r="L229" s="35">
        <f>IF($A229&gt;NYears*12,"",IF(MOD($D229,3)=0,SUM($J227:$J229),0))</f>
        <v/>
      </c>
      <c r="M229" s="35">
        <f>IF($A229&gt;NYears*12,"",IF(TaxFreq="Quarterly",$K229*12/$D229,$K229))</f>
        <v/>
      </c>
      <c r="N229" s="36">
        <f>IF($A229&gt;NYears*12,"",LOOKUP($M229,TaxLower,TaxRate))</f>
        <v/>
      </c>
      <c r="O229" s="35">
        <f>IF($A229&gt;NYears*12,"",IF(TaxFreq="Quarterly",IF(MOD($D229,3)=0,$L229*$N229,0),IF($D229=12,$K229*$N229,0)))</f>
        <v/>
      </c>
      <c r="P229" s="35">
        <f>IF($A229&gt;NYears*12,"",IF($D229=1,$O229,$P228+$O229))</f>
        <v/>
      </c>
      <c r="Q229" s="35">
        <f>IF($A229&gt;NYears*12,"",IF($D229=12,MIN(WdrPct*IF(WdrBase="Post-tax profit",$K229-$P229,$K229),WdrCap),0))</f>
        <v/>
      </c>
      <c r="R229" s="35">
        <f>IF($A229&gt;NYears*12,"",$F229+$J229-$O229-$Q229)</f>
        <v/>
      </c>
      <c r="S229" s="33">
        <f>IF($A229&gt;NYears*12,"",INT($R229/$E229))</f>
        <v/>
      </c>
    </row>
    <row r="230">
      <c r="A230" s="33">
        <f>226</f>
        <v/>
      </c>
      <c r="B230" s="34">
        <f>IF($A230&gt;NYears*12,"",EDATE(StartMonth,$A230-1))</f>
        <v/>
      </c>
      <c r="C230" s="33">
        <f>IF($A230&gt;NYears*12,"",INT(($A230-1)/12)+1)</f>
        <v/>
      </c>
      <c r="D230" s="33">
        <f>IF($A230&gt;NYears*12,"",MOD($A230-1,12)+1)</f>
        <v/>
      </c>
      <c r="E230" s="35">
        <f>IF($A230&gt;NYears*12,"",LotValue0*(1+LotGrowth)^($C230-1))</f>
        <v/>
      </c>
      <c r="F230" s="35">
        <f>IF($A230&gt;NYears*12,"",IF($A230=1,InitInvest,$R229))</f>
        <v/>
      </c>
      <c r="G230" s="33">
        <f>IF($A230&gt;NYears*12,"",INT($F230/$E230))</f>
        <v/>
      </c>
      <c r="H230" s="35">
        <f>IF($A230&gt;NYears*12,"",$G230*$E230)</f>
        <v/>
      </c>
      <c r="I230" s="35">
        <f>IF($A230&gt;NYears*12,"",$F230-$H230)</f>
        <v/>
      </c>
      <c r="J230" s="35">
        <f>IF($A230&gt;NYears*12,"",$H230*RateA)</f>
        <v/>
      </c>
      <c r="K230" s="35">
        <f>IF($A230&gt;NYears*12,"",IF($D230=1,$J230,$K229+$J230))</f>
        <v/>
      </c>
      <c r="L230" s="35">
        <f>IF($A230&gt;NYears*12,"",IF(MOD($D230,3)=0,SUM($J228:$J230),0))</f>
        <v/>
      </c>
      <c r="M230" s="35">
        <f>IF($A230&gt;NYears*12,"",IF(TaxFreq="Quarterly",$K230*12/$D230,$K230))</f>
        <v/>
      </c>
      <c r="N230" s="36">
        <f>IF($A230&gt;NYears*12,"",LOOKUP($M230,TaxLower,TaxRate))</f>
        <v/>
      </c>
      <c r="O230" s="35">
        <f>IF($A230&gt;NYears*12,"",IF(TaxFreq="Quarterly",IF(MOD($D230,3)=0,$L230*$N230,0),IF($D230=12,$K230*$N230,0)))</f>
        <v/>
      </c>
      <c r="P230" s="35">
        <f>IF($A230&gt;NYears*12,"",IF($D230=1,$O230,$P229+$O230))</f>
        <v/>
      </c>
      <c r="Q230" s="35">
        <f>IF($A230&gt;NYears*12,"",IF($D230=12,MIN(WdrPct*IF(WdrBase="Post-tax profit",$K230-$P230,$K230),WdrCap),0))</f>
        <v/>
      </c>
      <c r="R230" s="35">
        <f>IF($A230&gt;NYears*12,"",$F230+$J230-$O230-$Q230)</f>
        <v/>
      </c>
      <c r="S230" s="33">
        <f>IF($A230&gt;NYears*12,"",INT($R230/$E230))</f>
        <v/>
      </c>
    </row>
    <row r="231">
      <c r="A231" s="33">
        <f>227</f>
        <v/>
      </c>
      <c r="B231" s="34">
        <f>IF($A231&gt;NYears*12,"",EDATE(StartMonth,$A231-1))</f>
        <v/>
      </c>
      <c r="C231" s="33">
        <f>IF($A231&gt;NYears*12,"",INT(($A231-1)/12)+1)</f>
        <v/>
      </c>
      <c r="D231" s="33">
        <f>IF($A231&gt;NYears*12,"",MOD($A231-1,12)+1)</f>
        <v/>
      </c>
      <c r="E231" s="35">
        <f>IF($A231&gt;NYears*12,"",LotValue0*(1+LotGrowth)^($C231-1))</f>
        <v/>
      </c>
      <c r="F231" s="35">
        <f>IF($A231&gt;NYears*12,"",IF($A231=1,InitInvest,$R230))</f>
        <v/>
      </c>
      <c r="G231" s="33">
        <f>IF($A231&gt;NYears*12,"",INT($F231/$E231))</f>
        <v/>
      </c>
      <c r="H231" s="35">
        <f>IF($A231&gt;NYears*12,"",$G231*$E231)</f>
        <v/>
      </c>
      <c r="I231" s="35">
        <f>IF($A231&gt;NYears*12,"",$F231-$H231)</f>
        <v/>
      </c>
      <c r="J231" s="35">
        <f>IF($A231&gt;NYears*12,"",$H231*RateA)</f>
        <v/>
      </c>
      <c r="K231" s="35">
        <f>IF($A231&gt;NYears*12,"",IF($D231=1,$J231,$K230+$J231))</f>
        <v/>
      </c>
      <c r="L231" s="35">
        <f>IF($A231&gt;NYears*12,"",IF(MOD($D231,3)=0,SUM($J229:$J231),0))</f>
        <v/>
      </c>
      <c r="M231" s="35">
        <f>IF($A231&gt;NYears*12,"",IF(TaxFreq="Quarterly",$K231*12/$D231,$K231))</f>
        <v/>
      </c>
      <c r="N231" s="36">
        <f>IF($A231&gt;NYears*12,"",LOOKUP($M231,TaxLower,TaxRate))</f>
        <v/>
      </c>
      <c r="O231" s="35">
        <f>IF($A231&gt;NYears*12,"",IF(TaxFreq="Quarterly",IF(MOD($D231,3)=0,$L231*$N231,0),IF($D231=12,$K231*$N231,0)))</f>
        <v/>
      </c>
      <c r="P231" s="35">
        <f>IF($A231&gt;NYears*12,"",IF($D231=1,$O231,$P230+$O231))</f>
        <v/>
      </c>
      <c r="Q231" s="35">
        <f>IF($A231&gt;NYears*12,"",IF($D231=12,MIN(WdrPct*IF(WdrBase="Post-tax profit",$K231-$P231,$K231),WdrCap),0))</f>
        <v/>
      </c>
      <c r="R231" s="35">
        <f>IF($A231&gt;NYears*12,"",$F231+$J231-$O231-$Q231)</f>
        <v/>
      </c>
      <c r="S231" s="33">
        <f>IF($A231&gt;NYears*12,"",INT($R231/$E231))</f>
        <v/>
      </c>
    </row>
    <row r="232">
      <c r="A232" s="37">
        <f>228</f>
        <v/>
      </c>
      <c r="B232" s="38">
        <f>IF($A232&gt;NYears*12,"",EDATE(StartMonth,$A232-1))</f>
        <v/>
      </c>
      <c r="C232" s="37">
        <f>IF($A232&gt;NYears*12,"",INT(($A232-1)/12)+1)</f>
        <v/>
      </c>
      <c r="D232" s="37">
        <f>IF($A232&gt;NYears*12,"",MOD($A232-1,12)+1)</f>
        <v/>
      </c>
      <c r="E232" s="39">
        <f>IF($A232&gt;NYears*12,"",LotValue0*(1+LotGrowth)^($C232-1))</f>
        <v/>
      </c>
      <c r="F232" s="39">
        <f>IF($A232&gt;NYears*12,"",IF($A232=1,InitInvest,$R231))</f>
        <v/>
      </c>
      <c r="G232" s="37">
        <f>IF($A232&gt;NYears*12,"",INT($F232/$E232))</f>
        <v/>
      </c>
      <c r="H232" s="39">
        <f>IF($A232&gt;NYears*12,"",$G232*$E232)</f>
        <v/>
      </c>
      <c r="I232" s="39">
        <f>IF($A232&gt;NYears*12,"",$F232-$H232)</f>
        <v/>
      </c>
      <c r="J232" s="39">
        <f>IF($A232&gt;NYears*12,"",$H232*RateA)</f>
        <v/>
      </c>
      <c r="K232" s="39">
        <f>IF($A232&gt;NYears*12,"",IF($D232=1,$J232,$K231+$J232))</f>
        <v/>
      </c>
      <c r="L232" s="39">
        <f>IF($A232&gt;NYears*12,"",IF(MOD($D232,3)=0,SUM($J230:$J232),0))</f>
        <v/>
      </c>
      <c r="M232" s="39">
        <f>IF($A232&gt;NYears*12,"",IF(TaxFreq="Quarterly",$K232*12/$D232,$K232))</f>
        <v/>
      </c>
      <c r="N232" s="40">
        <f>IF($A232&gt;NYears*12,"",LOOKUP($M232,TaxLower,TaxRate))</f>
        <v/>
      </c>
      <c r="O232" s="39">
        <f>IF($A232&gt;NYears*12,"",IF(TaxFreq="Quarterly",IF(MOD($D232,3)=0,$L232*$N232,0),IF($D232=12,$K232*$N232,0)))</f>
        <v/>
      </c>
      <c r="P232" s="39">
        <f>IF($A232&gt;NYears*12,"",IF($D232=1,$O232,$P231+$O232))</f>
        <v/>
      </c>
      <c r="Q232" s="39">
        <f>IF($A232&gt;NYears*12,"",IF($D232=12,MIN(WdrPct*IF(WdrBase="Post-tax profit",$K232-$P232,$K232),WdrCap),0))</f>
        <v/>
      </c>
      <c r="R232" s="39">
        <f>IF($A232&gt;NYears*12,"",$F232+$J232-$O232-$Q232)</f>
        <v/>
      </c>
      <c r="S232" s="37">
        <f>IF($A232&gt;NYears*12,"",INT($R232/$E232))</f>
        <v/>
      </c>
    </row>
    <row r="233">
      <c r="A233" s="33">
        <f>229</f>
        <v/>
      </c>
      <c r="B233" s="34">
        <f>IF($A233&gt;NYears*12,"",EDATE(StartMonth,$A233-1))</f>
        <v/>
      </c>
      <c r="C233" s="33">
        <f>IF($A233&gt;NYears*12,"",INT(($A233-1)/12)+1)</f>
        <v/>
      </c>
      <c r="D233" s="33">
        <f>IF($A233&gt;NYears*12,"",MOD($A233-1,12)+1)</f>
        <v/>
      </c>
      <c r="E233" s="35">
        <f>IF($A233&gt;NYears*12,"",LotValue0*(1+LotGrowth)^($C233-1))</f>
        <v/>
      </c>
      <c r="F233" s="35">
        <f>IF($A233&gt;NYears*12,"",IF($A233=1,InitInvest,$R232))</f>
        <v/>
      </c>
      <c r="G233" s="33">
        <f>IF($A233&gt;NYears*12,"",INT($F233/$E233))</f>
        <v/>
      </c>
      <c r="H233" s="35">
        <f>IF($A233&gt;NYears*12,"",$G233*$E233)</f>
        <v/>
      </c>
      <c r="I233" s="35">
        <f>IF($A233&gt;NYears*12,"",$F233-$H233)</f>
        <v/>
      </c>
      <c r="J233" s="35">
        <f>IF($A233&gt;NYears*12,"",$H233*RateA)</f>
        <v/>
      </c>
      <c r="K233" s="35">
        <f>IF($A233&gt;NYears*12,"",IF($D233=1,$J233,$K232+$J233))</f>
        <v/>
      </c>
      <c r="L233" s="35">
        <f>IF($A233&gt;NYears*12,"",IF(MOD($D233,3)=0,SUM($J231:$J233),0))</f>
        <v/>
      </c>
      <c r="M233" s="35">
        <f>IF($A233&gt;NYears*12,"",IF(TaxFreq="Quarterly",$K233*12/$D233,$K233))</f>
        <v/>
      </c>
      <c r="N233" s="36">
        <f>IF($A233&gt;NYears*12,"",LOOKUP($M233,TaxLower,TaxRate))</f>
        <v/>
      </c>
      <c r="O233" s="35">
        <f>IF($A233&gt;NYears*12,"",IF(TaxFreq="Quarterly",IF(MOD($D233,3)=0,$L233*$N233,0),IF($D233=12,$K233*$N233,0)))</f>
        <v/>
      </c>
      <c r="P233" s="35">
        <f>IF($A233&gt;NYears*12,"",IF($D233=1,$O233,$P232+$O233))</f>
        <v/>
      </c>
      <c r="Q233" s="35">
        <f>IF($A233&gt;NYears*12,"",IF($D233=12,MIN(WdrPct*IF(WdrBase="Post-tax profit",$K233-$P233,$K233),WdrCap),0))</f>
        <v/>
      </c>
      <c r="R233" s="35">
        <f>IF($A233&gt;NYears*12,"",$F233+$J233-$O233-$Q233)</f>
        <v/>
      </c>
      <c r="S233" s="33">
        <f>IF($A233&gt;NYears*12,"",INT($R233/$E233))</f>
        <v/>
      </c>
    </row>
    <row r="234">
      <c r="A234" s="33">
        <f>230</f>
        <v/>
      </c>
      <c r="B234" s="34">
        <f>IF($A234&gt;NYears*12,"",EDATE(StartMonth,$A234-1))</f>
        <v/>
      </c>
      <c r="C234" s="33">
        <f>IF($A234&gt;NYears*12,"",INT(($A234-1)/12)+1)</f>
        <v/>
      </c>
      <c r="D234" s="33">
        <f>IF($A234&gt;NYears*12,"",MOD($A234-1,12)+1)</f>
        <v/>
      </c>
      <c r="E234" s="35">
        <f>IF($A234&gt;NYears*12,"",LotValue0*(1+LotGrowth)^($C234-1))</f>
        <v/>
      </c>
      <c r="F234" s="35">
        <f>IF($A234&gt;NYears*12,"",IF($A234=1,InitInvest,$R233))</f>
        <v/>
      </c>
      <c r="G234" s="33">
        <f>IF($A234&gt;NYears*12,"",INT($F234/$E234))</f>
        <v/>
      </c>
      <c r="H234" s="35">
        <f>IF($A234&gt;NYears*12,"",$G234*$E234)</f>
        <v/>
      </c>
      <c r="I234" s="35">
        <f>IF($A234&gt;NYears*12,"",$F234-$H234)</f>
        <v/>
      </c>
      <c r="J234" s="35">
        <f>IF($A234&gt;NYears*12,"",$H234*RateA)</f>
        <v/>
      </c>
      <c r="K234" s="35">
        <f>IF($A234&gt;NYears*12,"",IF($D234=1,$J234,$K233+$J234))</f>
        <v/>
      </c>
      <c r="L234" s="35">
        <f>IF($A234&gt;NYears*12,"",IF(MOD($D234,3)=0,SUM($J232:$J234),0))</f>
        <v/>
      </c>
      <c r="M234" s="35">
        <f>IF($A234&gt;NYears*12,"",IF(TaxFreq="Quarterly",$K234*12/$D234,$K234))</f>
        <v/>
      </c>
      <c r="N234" s="36">
        <f>IF($A234&gt;NYears*12,"",LOOKUP($M234,TaxLower,TaxRate))</f>
        <v/>
      </c>
      <c r="O234" s="35">
        <f>IF($A234&gt;NYears*12,"",IF(TaxFreq="Quarterly",IF(MOD($D234,3)=0,$L234*$N234,0),IF($D234=12,$K234*$N234,0)))</f>
        <v/>
      </c>
      <c r="P234" s="35">
        <f>IF($A234&gt;NYears*12,"",IF($D234=1,$O234,$P233+$O234))</f>
        <v/>
      </c>
      <c r="Q234" s="35">
        <f>IF($A234&gt;NYears*12,"",IF($D234=12,MIN(WdrPct*IF(WdrBase="Post-tax profit",$K234-$P234,$K234),WdrCap),0))</f>
        <v/>
      </c>
      <c r="R234" s="35">
        <f>IF($A234&gt;NYears*12,"",$F234+$J234-$O234-$Q234)</f>
        <v/>
      </c>
      <c r="S234" s="33">
        <f>IF($A234&gt;NYears*12,"",INT($R234/$E234))</f>
        <v/>
      </c>
    </row>
    <row r="235">
      <c r="A235" s="33">
        <f>231</f>
        <v/>
      </c>
      <c r="B235" s="34">
        <f>IF($A235&gt;NYears*12,"",EDATE(StartMonth,$A235-1))</f>
        <v/>
      </c>
      <c r="C235" s="33">
        <f>IF($A235&gt;NYears*12,"",INT(($A235-1)/12)+1)</f>
        <v/>
      </c>
      <c r="D235" s="33">
        <f>IF($A235&gt;NYears*12,"",MOD($A235-1,12)+1)</f>
        <v/>
      </c>
      <c r="E235" s="35">
        <f>IF($A235&gt;NYears*12,"",LotValue0*(1+LotGrowth)^($C235-1))</f>
        <v/>
      </c>
      <c r="F235" s="35">
        <f>IF($A235&gt;NYears*12,"",IF($A235=1,InitInvest,$R234))</f>
        <v/>
      </c>
      <c r="G235" s="33">
        <f>IF($A235&gt;NYears*12,"",INT($F235/$E235))</f>
        <v/>
      </c>
      <c r="H235" s="35">
        <f>IF($A235&gt;NYears*12,"",$G235*$E235)</f>
        <v/>
      </c>
      <c r="I235" s="35">
        <f>IF($A235&gt;NYears*12,"",$F235-$H235)</f>
        <v/>
      </c>
      <c r="J235" s="35">
        <f>IF($A235&gt;NYears*12,"",$H235*RateA)</f>
        <v/>
      </c>
      <c r="K235" s="35">
        <f>IF($A235&gt;NYears*12,"",IF($D235=1,$J235,$K234+$J235))</f>
        <v/>
      </c>
      <c r="L235" s="35">
        <f>IF($A235&gt;NYears*12,"",IF(MOD($D235,3)=0,SUM($J233:$J235),0))</f>
        <v/>
      </c>
      <c r="M235" s="35">
        <f>IF($A235&gt;NYears*12,"",IF(TaxFreq="Quarterly",$K235*12/$D235,$K235))</f>
        <v/>
      </c>
      <c r="N235" s="36">
        <f>IF($A235&gt;NYears*12,"",LOOKUP($M235,TaxLower,TaxRate))</f>
        <v/>
      </c>
      <c r="O235" s="35">
        <f>IF($A235&gt;NYears*12,"",IF(TaxFreq="Quarterly",IF(MOD($D235,3)=0,$L235*$N235,0),IF($D235=12,$K235*$N235,0)))</f>
        <v/>
      </c>
      <c r="P235" s="35">
        <f>IF($A235&gt;NYears*12,"",IF($D235=1,$O235,$P234+$O235))</f>
        <v/>
      </c>
      <c r="Q235" s="35">
        <f>IF($A235&gt;NYears*12,"",IF($D235=12,MIN(WdrPct*IF(WdrBase="Post-tax profit",$K235-$P235,$K235),WdrCap),0))</f>
        <v/>
      </c>
      <c r="R235" s="35">
        <f>IF($A235&gt;NYears*12,"",$F235+$J235-$O235-$Q235)</f>
        <v/>
      </c>
      <c r="S235" s="33">
        <f>IF($A235&gt;NYears*12,"",INT($R235/$E235))</f>
        <v/>
      </c>
    </row>
    <row r="236">
      <c r="A236" s="33">
        <f>232</f>
        <v/>
      </c>
      <c r="B236" s="34">
        <f>IF($A236&gt;NYears*12,"",EDATE(StartMonth,$A236-1))</f>
        <v/>
      </c>
      <c r="C236" s="33">
        <f>IF($A236&gt;NYears*12,"",INT(($A236-1)/12)+1)</f>
        <v/>
      </c>
      <c r="D236" s="33">
        <f>IF($A236&gt;NYears*12,"",MOD($A236-1,12)+1)</f>
        <v/>
      </c>
      <c r="E236" s="35">
        <f>IF($A236&gt;NYears*12,"",LotValue0*(1+LotGrowth)^($C236-1))</f>
        <v/>
      </c>
      <c r="F236" s="35">
        <f>IF($A236&gt;NYears*12,"",IF($A236=1,InitInvest,$R235))</f>
        <v/>
      </c>
      <c r="G236" s="33">
        <f>IF($A236&gt;NYears*12,"",INT($F236/$E236))</f>
        <v/>
      </c>
      <c r="H236" s="35">
        <f>IF($A236&gt;NYears*12,"",$G236*$E236)</f>
        <v/>
      </c>
      <c r="I236" s="35">
        <f>IF($A236&gt;NYears*12,"",$F236-$H236)</f>
        <v/>
      </c>
      <c r="J236" s="35">
        <f>IF($A236&gt;NYears*12,"",$H236*RateA)</f>
        <v/>
      </c>
      <c r="K236" s="35">
        <f>IF($A236&gt;NYears*12,"",IF($D236=1,$J236,$K235+$J236))</f>
        <v/>
      </c>
      <c r="L236" s="35">
        <f>IF($A236&gt;NYears*12,"",IF(MOD($D236,3)=0,SUM($J234:$J236),0))</f>
        <v/>
      </c>
      <c r="M236" s="35">
        <f>IF($A236&gt;NYears*12,"",IF(TaxFreq="Quarterly",$K236*12/$D236,$K236))</f>
        <v/>
      </c>
      <c r="N236" s="36">
        <f>IF($A236&gt;NYears*12,"",LOOKUP($M236,TaxLower,TaxRate))</f>
        <v/>
      </c>
      <c r="O236" s="35">
        <f>IF($A236&gt;NYears*12,"",IF(TaxFreq="Quarterly",IF(MOD($D236,3)=0,$L236*$N236,0),IF($D236=12,$K236*$N236,0)))</f>
        <v/>
      </c>
      <c r="P236" s="35">
        <f>IF($A236&gt;NYears*12,"",IF($D236=1,$O236,$P235+$O236))</f>
        <v/>
      </c>
      <c r="Q236" s="35">
        <f>IF($A236&gt;NYears*12,"",IF($D236=12,MIN(WdrPct*IF(WdrBase="Post-tax profit",$K236-$P236,$K236),WdrCap),0))</f>
        <v/>
      </c>
      <c r="R236" s="35">
        <f>IF($A236&gt;NYears*12,"",$F236+$J236-$O236-$Q236)</f>
        <v/>
      </c>
      <c r="S236" s="33">
        <f>IF($A236&gt;NYears*12,"",INT($R236/$E236))</f>
        <v/>
      </c>
    </row>
    <row r="237">
      <c r="A237" s="33">
        <f>233</f>
        <v/>
      </c>
      <c r="B237" s="34">
        <f>IF($A237&gt;NYears*12,"",EDATE(StartMonth,$A237-1))</f>
        <v/>
      </c>
      <c r="C237" s="33">
        <f>IF($A237&gt;NYears*12,"",INT(($A237-1)/12)+1)</f>
        <v/>
      </c>
      <c r="D237" s="33">
        <f>IF($A237&gt;NYears*12,"",MOD($A237-1,12)+1)</f>
        <v/>
      </c>
      <c r="E237" s="35">
        <f>IF($A237&gt;NYears*12,"",LotValue0*(1+LotGrowth)^($C237-1))</f>
        <v/>
      </c>
      <c r="F237" s="35">
        <f>IF($A237&gt;NYears*12,"",IF($A237=1,InitInvest,$R236))</f>
        <v/>
      </c>
      <c r="G237" s="33">
        <f>IF($A237&gt;NYears*12,"",INT($F237/$E237))</f>
        <v/>
      </c>
      <c r="H237" s="35">
        <f>IF($A237&gt;NYears*12,"",$G237*$E237)</f>
        <v/>
      </c>
      <c r="I237" s="35">
        <f>IF($A237&gt;NYears*12,"",$F237-$H237)</f>
        <v/>
      </c>
      <c r="J237" s="35">
        <f>IF($A237&gt;NYears*12,"",$H237*RateA)</f>
        <v/>
      </c>
      <c r="K237" s="35">
        <f>IF($A237&gt;NYears*12,"",IF($D237=1,$J237,$K236+$J237))</f>
        <v/>
      </c>
      <c r="L237" s="35">
        <f>IF($A237&gt;NYears*12,"",IF(MOD($D237,3)=0,SUM($J235:$J237),0))</f>
        <v/>
      </c>
      <c r="M237" s="35">
        <f>IF($A237&gt;NYears*12,"",IF(TaxFreq="Quarterly",$K237*12/$D237,$K237))</f>
        <v/>
      </c>
      <c r="N237" s="36">
        <f>IF($A237&gt;NYears*12,"",LOOKUP($M237,TaxLower,TaxRate))</f>
        <v/>
      </c>
      <c r="O237" s="35">
        <f>IF($A237&gt;NYears*12,"",IF(TaxFreq="Quarterly",IF(MOD($D237,3)=0,$L237*$N237,0),IF($D237=12,$K237*$N237,0)))</f>
        <v/>
      </c>
      <c r="P237" s="35">
        <f>IF($A237&gt;NYears*12,"",IF($D237=1,$O237,$P236+$O237))</f>
        <v/>
      </c>
      <c r="Q237" s="35">
        <f>IF($A237&gt;NYears*12,"",IF($D237=12,MIN(WdrPct*IF(WdrBase="Post-tax profit",$K237-$P237,$K237),WdrCap),0))</f>
        <v/>
      </c>
      <c r="R237" s="35">
        <f>IF($A237&gt;NYears*12,"",$F237+$J237-$O237-$Q237)</f>
        <v/>
      </c>
      <c r="S237" s="33">
        <f>IF($A237&gt;NYears*12,"",INT($R237/$E237))</f>
        <v/>
      </c>
    </row>
    <row r="238">
      <c r="A238" s="33">
        <f>234</f>
        <v/>
      </c>
      <c r="B238" s="34">
        <f>IF($A238&gt;NYears*12,"",EDATE(StartMonth,$A238-1))</f>
        <v/>
      </c>
      <c r="C238" s="33">
        <f>IF($A238&gt;NYears*12,"",INT(($A238-1)/12)+1)</f>
        <v/>
      </c>
      <c r="D238" s="33">
        <f>IF($A238&gt;NYears*12,"",MOD($A238-1,12)+1)</f>
        <v/>
      </c>
      <c r="E238" s="35">
        <f>IF($A238&gt;NYears*12,"",LotValue0*(1+LotGrowth)^($C238-1))</f>
        <v/>
      </c>
      <c r="F238" s="35">
        <f>IF($A238&gt;NYears*12,"",IF($A238=1,InitInvest,$R237))</f>
        <v/>
      </c>
      <c r="G238" s="33">
        <f>IF($A238&gt;NYears*12,"",INT($F238/$E238))</f>
        <v/>
      </c>
      <c r="H238" s="35">
        <f>IF($A238&gt;NYears*12,"",$G238*$E238)</f>
        <v/>
      </c>
      <c r="I238" s="35">
        <f>IF($A238&gt;NYears*12,"",$F238-$H238)</f>
        <v/>
      </c>
      <c r="J238" s="35">
        <f>IF($A238&gt;NYears*12,"",$H238*RateA)</f>
        <v/>
      </c>
      <c r="K238" s="35">
        <f>IF($A238&gt;NYears*12,"",IF($D238=1,$J238,$K237+$J238))</f>
        <v/>
      </c>
      <c r="L238" s="35">
        <f>IF($A238&gt;NYears*12,"",IF(MOD($D238,3)=0,SUM($J236:$J238),0))</f>
        <v/>
      </c>
      <c r="M238" s="35">
        <f>IF($A238&gt;NYears*12,"",IF(TaxFreq="Quarterly",$K238*12/$D238,$K238))</f>
        <v/>
      </c>
      <c r="N238" s="36">
        <f>IF($A238&gt;NYears*12,"",LOOKUP($M238,TaxLower,TaxRate))</f>
        <v/>
      </c>
      <c r="O238" s="35">
        <f>IF($A238&gt;NYears*12,"",IF(TaxFreq="Quarterly",IF(MOD($D238,3)=0,$L238*$N238,0),IF($D238=12,$K238*$N238,0)))</f>
        <v/>
      </c>
      <c r="P238" s="35">
        <f>IF($A238&gt;NYears*12,"",IF($D238=1,$O238,$P237+$O238))</f>
        <v/>
      </c>
      <c r="Q238" s="35">
        <f>IF($A238&gt;NYears*12,"",IF($D238=12,MIN(WdrPct*IF(WdrBase="Post-tax profit",$K238-$P238,$K238),WdrCap),0))</f>
        <v/>
      </c>
      <c r="R238" s="35">
        <f>IF($A238&gt;NYears*12,"",$F238+$J238-$O238-$Q238)</f>
        <v/>
      </c>
      <c r="S238" s="33">
        <f>IF($A238&gt;NYears*12,"",INT($R238/$E238))</f>
        <v/>
      </c>
    </row>
    <row r="239">
      <c r="A239" s="33">
        <f>235</f>
        <v/>
      </c>
      <c r="B239" s="34">
        <f>IF($A239&gt;NYears*12,"",EDATE(StartMonth,$A239-1))</f>
        <v/>
      </c>
      <c r="C239" s="33">
        <f>IF($A239&gt;NYears*12,"",INT(($A239-1)/12)+1)</f>
        <v/>
      </c>
      <c r="D239" s="33">
        <f>IF($A239&gt;NYears*12,"",MOD($A239-1,12)+1)</f>
        <v/>
      </c>
      <c r="E239" s="35">
        <f>IF($A239&gt;NYears*12,"",LotValue0*(1+LotGrowth)^($C239-1))</f>
        <v/>
      </c>
      <c r="F239" s="35">
        <f>IF($A239&gt;NYears*12,"",IF($A239=1,InitInvest,$R238))</f>
        <v/>
      </c>
      <c r="G239" s="33">
        <f>IF($A239&gt;NYears*12,"",INT($F239/$E239))</f>
        <v/>
      </c>
      <c r="H239" s="35">
        <f>IF($A239&gt;NYears*12,"",$G239*$E239)</f>
        <v/>
      </c>
      <c r="I239" s="35">
        <f>IF($A239&gt;NYears*12,"",$F239-$H239)</f>
        <v/>
      </c>
      <c r="J239" s="35">
        <f>IF($A239&gt;NYears*12,"",$H239*RateA)</f>
        <v/>
      </c>
      <c r="K239" s="35">
        <f>IF($A239&gt;NYears*12,"",IF($D239=1,$J239,$K238+$J239))</f>
        <v/>
      </c>
      <c r="L239" s="35">
        <f>IF($A239&gt;NYears*12,"",IF(MOD($D239,3)=0,SUM($J237:$J239),0))</f>
        <v/>
      </c>
      <c r="M239" s="35">
        <f>IF($A239&gt;NYears*12,"",IF(TaxFreq="Quarterly",$K239*12/$D239,$K239))</f>
        <v/>
      </c>
      <c r="N239" s="36">
        <f>IF($A239&gt;NYears*12,"",LOOKUP($M239,TaxLower,TaxRate))</f>
        <v/>
      </c>
      <c r="O239" s="35">
        <f>IF($A239&gt;NYears*12,"",IF(TaxFreq="Quarterly",IF(MOD($D239,3)=0,$L239*$N239,0),IF($D239=12,$K239*$N239,0)))</f>
        <v/>
      </c>
      <c r="P239" s="35">
        <f>IF($A239&gt;NYears*12,"",IF($D239=1,$O239,$P238+$O239))</f>
        <v/>
      </c>
      <c r="Q239" s="35">
        <f>IF($A239&gt;NYears*12,"",IF($D239=12,MIN(WdrPct*IF(WdrBase="Post-tax profit",$K239-$P239,$K239),WdrCap),0))</f>
        <v/>
      </c>
      <c r="R239" s="35">
        <f>IF($A239&gt;NYears*12,"",$F239+$J239-$O239-$Q239)</f>
        <v/>
      </c>
      <c r="S239" s="33">
        <f>IF($A239&gt;NYears*12,"",INT($R239/$E239))</f>
        <v/>
      </c>
    </row>
    <row r="240">
      <c r="A240" s="33">
        <f>236</f>
        <v/>
      </c>
      <c r="B240" s="34">
        <f>IF($A240&gt;NYears*12,"",EDATE(StartMonth,$A240-1))</f>
        <v/>
      </c>
      <c r="C240" s="33">
        <f>IF($A240&gt;NYears*12,"",INT(($A240-1)/12)+1)</f>
        <v/>
      </c>
      <c r="D240" s="33">
        <f>IF($A240&gt;NYears*12,"",MOD($A240-1,12)+1)</f>
        <v/>
      </c>
      <c r="E240" s="35">
        <f>IF($A240&gt;NYears*12,"",LotValue0*(1+LotGrowth)^($C240-1))</f>
        <v/>
      </c>
      <c r="F240" s="35">
        <f>IF($A240&gt;NYears*12,"",IF($A240=1,InitInvest,$R239))</f>
        <v/>
      </c>
      <c r="G240" s="33">
        <f>IF($A240&gt;NYears*12,"",INT($F240/$E240))</f>
        <v/>
      </c>
      <c r="H240" s="35">
        <f>IF($A240&gt;NYears*12,"",$G240*$E240)</f>
        <v/>
      </c>
      <c r="I240" s="35">
        <f>IF($A240&gt;NYears*12,"",$F240-$H240)</f>
        <v/>
      </c>
      <c r="J240" s="35">
        <f>IF($A240&gt;NYears*12,"",$H240*RateA)</f>
        <v/>
      </c>
      <c r="K240" s="35">
        <f>IF($A240&gt;NYears*12,"",IF($D240=1,$J240,$K239+$J240))</f>
        <v/>
      </c>
      <c r="L240" s="35">
        <f>IF($A240&gt;NYears*12,"",IF(MOD($D240,3)=0,SUM($J238:$J240),0))</f>
        <v/>
      </c>
      <c r="M240" s="35">
        <f>IF($A240&gt;NYears*12,"",IF(TaxFreq="Quarterly",$K240*12/$D240,$K240))</f>
        <v/>
      </c>
      <c r="N240" s="36">
        <f>IF($A240&gt;NYears*12,"",LOOKUP($M240,TaxLower,TaxRate))</f>
        <v/>
      </c>
      <c r="O240" s="35">
        <f>IF($A240&gt;NYears*12,"",IF(TaxFreq="Quarterly",IF(MOD($D240,3)=0,$L240*$N240,0),IF($D240=12,$K240*$N240,0)))</f>
        <v/>
      </c>
      <c r="P240" s="35">
        <f>IF($A240&gt;NYears*12,"",IF($D240=1,$O240,$P239+$O240))</f>
        <v/>
      </c>
      <c r="Q240" s="35">
        <f>IF($A240&gt;NYears*12,"",IF($D240=12,MIN(WdrPct*IF(WdrBase="Post-tax profit",$K240-$P240,$K240),WdrCap),0))</f>
        <v/>
      </c>
      <c r="R240" s="35">
        <f>IF($A240&gt;NYears*12,"",$F240+$J240-$O240-$Q240)</f>
        <v/>
      </c>
      <c r="S240" s="33">
        <f>IF($A240&gt;NYears*12,"",INT($R240/$E240))</f>
        <v/>
      </c>
    </row>
    <row r="241">
      <c r="A241" s="33">
        <f>237</f>
        <v/>
      </c>
      <c r="B241" s="34">
        <f>IF($A241&gt;NYears*12,"",EDATE(StartMonth,$A241-1))</f>
        <v/>
      </c>
      <c r="C241" s="33">
        <f>IF($A241&gt;NYears*12,"",INT(($A241-1)/12)+1)</f>
        <v/>
      </c>
      <c r="D241" s="33">
        <f>IF($A241&gt;NYears*12,"",MOD($A241-1,12)+1)</f>
        <v/>
      </c>
      <c r="E241" s="35">
        <f>IF($A241&gt;NYears*12,"",LotValue0*(1+LotGrowth)^($C241-1))</f>
        <v/>
      </c>
      <c r="F241" s="35">
        <f>IF($A241&gt;NYears*12,"",IF($A241=1,InitInvest,$R240))</f>
        <v/>
      </c>
      <c r="G241" s="33">
        <f>IF($A241&gt;NYears*12,"",INT($F241/$E241))</f>
        <v/>
      </c>
      <c r="H241" s="35">
        <f>IF($A241&gt;NYears*12,"",$G241*$E241)</f>
        <v/>
      </c>
      <c r="I241" s="35">
        <f>IF($A241&gt;NYears*12,"",$F241-$H241)</f>
        <v/>
      </c>
      <c r="J241" s="35">
        <f>IF($A241&gt;NYears*12,"",$H241*RateA)</f>
        <v/>
      </c>
      <c r="K241" s="35">
        <f>IF($A241&gt;NYears*12,"",IF($D241=1,$J241,$K240+$J241))</f>
        <v/>
      </c>
      <c r="L241" s="35">
        <f>IF($A241&gt;NYears*12,"",IF(MOD($D241,3)=0,SUM($J239:$J241),0))</f>
        <v/>
      </c>
      <c r="M241" s="35">
        <f>IF($A241&gt;NYears*12,"",IF(TaxFreq="Quarterly",$K241*12/$D241,$K241))</f>
        <v/>
      </c>
      <c r="N241" s="36">
        <f>IF($A241&gt;NYears*12,"",LOOKUP($M241,TaxLower,TaxRate))</f>
        <v/>
      </c>
      <c r="O241" s="35">
        <f>IF($A241&gt;NYears*12,"",IF(TaxFreq="Quarterly",IF(MOD($D241,3)=0,$L241*$N241,0),IF($D241=12,$K241*$N241,0)))</f>
        <v/>
      </c>
      <c r="P241" s="35">
        <f>IF($A241&gt;NYears*12,"",IF($D241=1,$O241,$P240+$O241))</f>
        <v/>
      </c>
      <c r="Q241" s="35">
        <f>IF($A241&gt;NYears*12,"",IF($D241=12,MIN(WdrPct*IF(WdrBase="Post-tax profit",$K241-$P241,$K241),WdrCap),0))</f>
        <v/>
      </c>
      <c r="R241" s="35">
        <f>IF($A241&gt;NYears*12,"",$F241+$J241-$O241-$Q241)</f>
        <v/>
      </c>
      <c r="S241" s="33">
        <f>IF($A241&gt;NYears*12,"",INT($R241/$E241))</f>
        <v/>
      </c>
    </row>
    <row r="242">
      <c r="A242" s="33">
        <f>238</f>
        <v/>
      </c>
      <c r="B242" s="34">
        <f>IF($A242&gt;NYears*12,"",EDATE(StartMonth,$A242-1))</f>
        <v/>
      </c>
      <c r="C242" s="33">
        <f>IF($A242&gt;NYears*12,"",INT(($A242-1)/12)+1)</f>
        <v/>
      </c>
      <c r="D242" s="33">
        <f>IF($A242&gt;NYears*12,"",MOD($A242-1,12)+1)</f>
        <v/>
      </c>
      <c r="E242" s="35">
        <f>IF($A242&gt;NYears*12,"",LotValue0*(1+LotGrowth)^($C242-1))</f>
        <v/>
      </c>
      <c r="F242" s="35">
        <f>IF($A242&gt;NYears*12,"",IF($A242=1,InitInvest,$R241))</f>
        <v/>
      </c>
      <c r="G242" s="33">
        <f>IF($A242&gt;NYears*12,"",INT($F242/$E242))</f>
        <v/>
      </c>
      <c r="H242" s="35">
        <f>IF($A242&gt;NYears*12,"",$G242*$E242)</f>
        <v/>
      </c>
      <c r="I242" s="35">
        <f>IF($A242&gt;NYears*12,"",$F242-$H242)</f>
        <v/>
      </c>
      <c r="J242" s="35">
        <f>IF($A242&gt;NYears*12,"",$H242*RateA)</f>
        <v/>
      </c>
      <c r="K242" s="35">
        <f>IF($A242&gt;NYears*12,"",IF($D242=1,$J242,$K241+$J242))</f>
        <v/>
      </c>
      <c r="L242" s="35">
        <f>IF($A242&gt;NYears*12,"",IF(MOD($D242,3)=0,SUM($J240:$J242),0))</f>
        <v/>
      </c>
      <c r="M242" s="35">
        <f>IF($A242&gt;NYears*12,"",IF(TaxFreq="Quarterly",$K242*12/$D242,$K242))</f>
        <v/>
      </c>
      <c r="N242" s="36">
        <f>IF($A242&gt;NYears*12,"",LOOKUP($M242,TaxLower,TaxRate))</f>
        <v/>
      </c>
      <c r="O242" s="35">
        <f>IF($A242&gt;NYears*12,"",IF(TaxFreq="Quarterly",IF(MOD($D242,3)=0,$L242*$N242,0),IF($D242=12,$K242*$N242,0)))</f>
        <v/>
      </c>
      <c r="P242" s="35">
        <f>IF($A242&gt;NYears*12,"",IF($D242=1,$O242,$P241+$O242))</f>
        <v/>
      </c>
      <c r="Q242" s="35">
        <f>IF($A242&gt;NYears*12,"",IF($D242=12,MIN(WdrPct*IF(WdrBase="Post-tax profit",$K242-$P242,$K242),WdrCap),0))</f>
        <v/>
      </c>
      <c r="R242" s="35">
        <f>IF($A242&gt;NYears*12,"",$F242+$J242-$O242-$Q242)</f>
        <v/>
      </c>
      <c r="S242" s="33">
        <f>IF($A242&gt;NYears*12,"",INT($R242/$E242))</f>
        <v/>
      </c>
    </row>
    <row r="243">
      <c r="A243" s="33">
        <f>239</f>
        <v/>
      </c>
      <c r="B243" s="34">
        <f>IF($A243&gt;NYears*12,"",EDATE(StartMonth,$A243-1))</f>
        <v/>
      </c>
      <c r="C243" s="33">
        <f>IF($A243&gt;NYears*12,"",INT(($A243-1)/12)+1)</f>
        <v/>
      </c>
      <c r="D243" s="33">
        <f>IF($A243&gt;NYears*12,"",MOD($A243-1,12)+1)</f>
        <v/>
      </c>
      <c r="E243" s="35">
        <f>IF($A243&gt;NYears*12,"",LotValue0*(1+LotGrowth)^($C243-1))</f>
        <v/>
      </c>
      <c r="F243" s="35">
        <f>IF($A243&gt;NYears*12,"",IF($A243=1,InitInvest,$R242))</f>
        <v/>
      </c>
      <c r="G243" s="33">
        <f>IF($A243&gt;NYears*12,"",INT($F243/$E243))</f>
        <v/>
      </c>
      <c r="H243" s="35">
        <f>IF($A243&gt;NYears*12,"",$G243*$E243)</f>
        <v/>
      </c>
      <c r="I243" s="35">
        <f>IF($A243&gt;NYears*12,"",$F243-$H243)</f>
        <v/>
      </c>
      <c r="J243" s="35">
        <f>IF($A243&gt;NYears*12,"",$H243*RateA)</f>
        <v/>
      </c>
      <c r="K243" s="35">
        <f>IF($A243&gt;NYears*12,"",IF($D243=1,$J243,$K242+$J243))</f>
        <v/>
      </c>
      <c r="L243" s="35">
        <f>IF($A243&gt;NYears*12,"",IF(MOD($D243,3)=0,SUM($J241:$J243),0))</f>
        <v/>
      </c>
      <c r="M243" s="35">
        <f>IF($A243&gt;NYears*12,"",IF(TaxFreq="Quarterly",$K243*12/$D243,$K243))</f>
        <v/>
      </c>
      <c r="N243" s="36">
        <f>IF($A243&gt;NYears*12,"",LOOKUP($M243,TaxLower,TaxRate))</f>
        <v/>
      </c>
      <c r="O243" s="35">
        <f>IF($A243&gt;NYears*12,"",IF(TaxFreq="Quarterly",IF(MOD($D243,3)=0,$L243*$N243,0),IF($D243=12,$K243*$N243,0)))</f>
        <v/>
      </c>
      <c r="P243" s="35">
        <f>IF($A243&gt;NYears*12,"",IF($D243=1,$O243,$P242+$O243))</f>
        <v/>
      </c>
      <c r="Q243" s="35">
        <f>IF($A243&gt;NYears*12,"",IF($D243=12,MIN(WdrPct*IF(WdrBase="Post-tax profit",$K243-$P243,$K243),WdrCap),0))</f>
        <v/>
      </c>
      <c r="R243" s="35">
        <f>IF($A243&gt;NYears*12,"",$F243+$J243-$O243-$Q243)</f>
        <v/>
      </c>
      <c r="S243" s="33">
        <f>IF($A243&gt;NYears*12,"",INT($R243/$E243))</f>
        <v/>
      </c>
    </row>
    <row r="244">
      <c r="A244" s="37">
        <f>240</f>
        <v/>
      </c>
      <c r="B244" s="38">
        <f>IF($A244&gt;NYears*12,"",EDATE(StartMonth,$A244-1))</f>
        <v/>
      </c>
      <c r="C244" s="37">
        <f>IF($A244&gt;NYears*12,"",INT(($A244-1)/12)+1)</f>
        <v/>
      </c>
      <c r="D244" s="37">
        <f>IF($A244&gt;NYears*12,"",MOD($A244-1,12)+1)</f>
        <v/>
      </c>
      <c r="E244" s="39">
        <f>IF($A244&gt;NYears*12,"",LotValue0*(1+LotGrowth)^($C244-1))</f>
        <v/>
      </c>
      <c r="F244" s="39">
        <f>IF($A244&gt;NYears*12,"",IF($A244=1,InitInvest,$R243))</f>
        <v/>
      </c>
      <c r="G244" s="37">
        <f>IF($A244&gt;NYears*12,"",INT($F244/$E244))</f>
        <v/>
      </c>
      <c r="H244" s="39">
        <f>IF($A244&gt;NYears*12,"",$G244*$E244)</f>
        <v/>
      </c>
      <c r="I244" s="39">
        <f>IF($A244&gt;NYears*12,"",$F244-$H244)</f>
        <v/>
      </c>
      <c r="J244" s="39">
        <f>IF($A244&gt;NYears*12,"",$H244*RateA)</f>
        <v/>
      </c>
      <c r="K244" s="39">
        <f>IF($A244&gt;NYears*12,"",IF($D244=1,$J244,$K243+$J244))</f>
        <v/>
      </c>
      <c r="L244" s="39">
        <f>IF($A244&gt;NYears*12,"",IF(MOD($D244,3)=0,SUM($J242:$J244),0))</f>
        <v/>
      </c>
      <c r="M244" s="39">
        <f>IF($A244&gt;NYears*12,"",IF(TaxFreq="Quarterly",$K244*12/$D244,$K244))</f>
        <v/>
      </c>
      <c r="N244" s="40">
        <f>IF($A244&gt;NYears*12,"",LOOKUP($M244,TaxLower,TaxRate))</f>
        <v/>
      </c>
      <c r="O244" s="39">
        <f>IF($A244&gt;NYears*12,"",IF(TaxFreq="Quarterly",IF(MOD($D244,3)=0,$L244*$N244,0),IF($D244=12,$K244*$N244,0)))</f>
        <v/>
      </c>
      <c r="P244" s="39">
        <f>IF($A244&gt;NYears*12,"",IF($D244=1,$O244,$P243+$O244))</f>
        <v/>
      </c>
      <c r="Q244" s="39">
        <f>IF($A244&gt;NYears*12,"",IF($D244=12,MIN(WdrPct*IF(WdrBase="Post-tax profit",$K244-$P244,$K244),WdrCap),0))</f>
        <v/>
      </c>
      <c r="R244" s="39">
        <f>IF($A244&gt;NYears*12,"",$F244+$J244-$O244-$Q244)</f>
        <v/>
      </c>
      <c r="S244" s="37">
        <f>IF($A244&gt;NYears*12,"",INT($R244/$E244))</f>
        <v/>
      </c>
    </row>
    <row r="245">
      <c r="A245" s="33">
        <f>241</f>
        <v/>
      </c>
      <c r="B245" s="34">
        <f>IF($A245&gt;NYears*12,"",EDATE(StartMonth,$A245-1))</f>
        <v/>
      </c>
      <c r="C245" s="33">
        <f>IF($A245&gt;NYears*12,"",INT(($A245-1)/12)+1)</f>
        <v/>
      </c>
      <c r="D245" s="33">
        <f>IF($A245&gt;NYears*12,"",MOD($A245-1,12)+1)</f>
        <v/>
      </c>
      <c r="E245" s="35">
        <f>IF($A245&gt;NYears*12,"",LotValue0*(1+LotGrowth)^($C245-1))</f>
        <v/>
      </c>
      <c r="F245" s="35">
        <f>IF($A245&gt;NYears*12,"",IF($A245=1,InitInvest,$R244))</f>
        <v/>
      </c>
      <c r="G245" s="33">
        <f>IF($A245&gt;NYears*12,"",INT($F245/$E245))</f>
        <v/>
      </c>
      <c r="H245" s="35">
        <f>IF($A245&gt;NYears*12,"",$G245*$E245)</f>
        <v/>
      </c>
      <c r="I245" s="35">
        <f>IF($A245&gt;NYears*12,"",$F245-$H245)</f>
        <v/>
      </c>
      <c r="J245" s="35">
        <f>IF($A245&gt;NYears*12,"",$H245*RateA)</f>
        <v/>
      </c>
      <c r="K245" s="35">
        <f>IF($A245&gt;NYears*12,"",IF($D245=1,$J245,$K244+$J245))</f>
        <v/>
      </c>
      <c r="L245" s="35">
        <f>IF($A245&gt;NYears*12,"",IF(MOD($D245,3)=0,SUM($J243:$J245),0))</f>
        <v/>
      </c>
      <c r="M245" s="35">
        <f>IF($A245&gt;NYears*12,"",IF(TaxFreq="Quarterly",$K245*12/$D245,$K245))</f>
        <v/>
      </c>
      <c r="N245" s="36">
        <f>IF($A245&gt;NYears*12,"",LOOKUP($M245,TaxLower,TaxRate))</f>
        <v/>
      </c>
      <c r="O245" s="35">
        <f>IF($A245&gt;NYears*12,"",IF(TaxFreq="Quarterly",IF(MOD($D245,3)=0,$L245*$N245,0),IF($D245=12,$K245*$N245,0)))</f>
        <v/>
      </c>
      <c r="P245" s="35">
        <f>IF($A245&gt;NYears*12,"",IF($D245=1,$O245,$P244+$O245))</f>
        <v/>
      </c>
      <c r="Q245" s="35">
        <f>IF($A245&gt;NYears*12,"",IF($D245=12,MIN(WdrPct*IF(WdrBase="Post-tax profit",$K245-$P245,$K245),WdrCap),0))</f>
        <v/>
      </c>
      <c r="R245" s="35">
        <f>IF($A245&gt;NYears*12,"",$F245+$J245-$O245-$Q245)</f>
        <v/>
      </c>
      <c r="S245" s="33">
        <f>IF($A245&gt;NYears*12,"",INT($R245/$E245))</f>
        <v/>
      </c>
    </row>
    <row r="246">
      <c r="A246" s="33">
        <f>242</f>
        <v/>
      </c>
      <c r="B246" s="34">
        <f>IF($A246&gt;NYears*12,"",EDATE(StartMonth,$A246-1))</f>
        <v/>
      </c>
      <c r="C246" s="33">
        <f>IF($A246&gt;NYears*12,"",INT(($A246-1)/12)+1)</f>
        <v/>
      </c>
      <c r="D246" s="33">
        <f>IF($A246&gt;NYears*12,"",MOD($A246-1,12)+1)</f>
        <v/>
      </c>
      <c r="E246" s="35">
        <f>IF($A246&gt;NYears*12,"",LotValue0*(1+LotGrowth)^($C246-1))</f>
        <v/>
      </c>
      <c r="F246" s="35">
        <f>IF($A246&gt;NYears*12,"",IF($A246=1,InitInvest,$R245))</f>
        <v/>
      </c>
      <c r="G246" s="33">
        <f>IF($A246&gt;NYears*12,"",INT($F246/$E246))</f>
        <v/>
      </c>
      <c r="H246" s="35">
        <f>IF($A246&gt;NYears*12,"",$G246*$E246)</f>
        <v/>
      </c>
      <c r="I246" s="35">
        <f>IF($A246&gt;NYears*12,"",$F246-$H246)</f>
        <v/>
      </c>
      <c r="J246" s="35">
        <f>IF($A246&gt;NYears*12,"",$H246*RateA)</f>
        <v/>
      </c>
      <c r="K246" s="35">
        <f>IF($A246&gt;NYears*12,"",IF($D246=1,$J246,$K245+$J246))</f>
        <v/>
      </c>
      <c r="L246" s="35">
        <f>IF($A246&gt;NYears*12,"",IF(MOD($D246,3)=0,SUM($J244:$J246),0))</f>
        <v/>
      </c>
      <c r="M246" s="35">
        <f>IF($A246&gt;NYears*12,"",IF(TaxFreq="Quarterly",$K246*12/$D246,$K246))</f>
        <v/>
      </c>
      <c r="N246" s="36">
        <f>IF($A246&gt;NYears*12,"",LOOKUP($M246,TaxLower,TaxRate))</f>
        <v/>
      </c>
      <c r="O246" s="35">
        <f>IF($A246&gt;NYears*12,"",IF(TaxFreq="Quarterly",IF(MOD($D246,3)=0,$L246*$N246,0),IF($D246=12,$K246*$N246,0)))</f>
        <v/>
      </c>
      <c r="P246" s="35">
        <f>IF($A246&gt;NYears*12,"",IF($D246=1,$O246,$P245+$O246))</f>
        <v/>
      </c>
      <c r="Q246" s="35">
        <f>IF($A246&gt;NYears*12,"",IF($D246=12,MIN(WdrPct*IF(WdrBase="Post-tax profit",$K246-$P246,$K246),WdrCap),0))</f>
        <v/>
      </c>
      <c r="R246" s="35">
        <f>IF($A246&gt;NYears*12,"",$F246+$J246-$O246-$Q246)</f>
        <v/>
      </c>
      <c r="S246" s="33">
        <f>IF($A246&gt;NYears*12,"",INT($R246/$E246))</f>
        <v/>
      </c>
    </row>
    <row r="247">
      <c r="A247" s="33">
        <f>243</f>
        <v/>
      </c>
      <c r="B247" s="34">
        <f>IF($A247&gt;NYears*12,"",EDATE(StartMonth,$A247-1))</f>
        <v/>
      </c>
      <c r="C247" s="33">
        <f>IF($A247&gt;NYears*12,"",INT(($A247-1)/12)+1)</f>
        <v/>
      </c>
      <c r="D247" s="33">
        <f>IF($A247&gt;NYears*12,"",MOD($A247-1,12)+1)</f>
        <v/>
      </c>
      <c r="E247" s="35">
        <f>IF($A247&gt;NYears*12,"",LotValue0*(1+LotGrowth)^($C247-1))</f>
        <v/>
      </c>
      <c r="F247" s="35">
        <f>IF($A247&gt;NYears*12,"",IF($A247=1,InitInvest,$R246))</f>
        <v/>
      </c>
      <c r="G247" s="33">
        <f>IF($A247&gt;NYears*12,"",INT($F247/$E247))</f>
        <v/>
      </c>
      <c r="H247" s="35">
        <f>IF($A247&gt;NYears*12,"",$G247*$E247)</f>
        <v/>
      </c>
      <c r="I247" s="35">
        <f>IF($A247&gt;NYears*12,"",$F247-$H247)</f>
        <v/>
      </c>
      <c r="J247" s="35">
        <f>IF($A247&gt;NYears*12,"",$H247*RateA)</f>
        <v/>
      </c>
      <c r="K247" s="35">
        <f>IF($A247&gt;NYears*12,"",IF($D247=1,$J247,$K246+$J247))</f>
        <v/>
      </c>
      <c r="L247" s="35">
        <f>IF($A247&gt;NYears*12,"",IF(MOD($D247,3)=0,SUM($J245:$J247),0))</f>
        <v/>
      </c>
      <c r="M247" s="35">
        <f>IF($A247&gt;NYears*12,"",IF(TaxFreq="Quarterly",$K247*12/$D247,$K247))</f>
        <v/>
      </c>
      <c r="N247" s="36">
        <f>IF($A247&gt;NYears*12,"",LOOKUP($M247,TaxLower,TaxRate))</f>
        <v/>
      </c>
      <c r="O247" s="35">
        <f>IF($A247&gt;NYears*12,"",IF(TaxFreq="Quarterly",IF(MOD($D247,3)=0,$L247*$N247,0),IF($D247=12,$K247*$N247,0)))</f>
        <v/>
      </c>
      <c r="P247" s="35">
        <f>IF($A247&gt;NYears*12,"",IF($D247=1,$O247,$P246+$O247))</f>
        <v/>
      </c>
      <c r="Q247" s="35">
        <f>IF($A247&gt;NYears*12,"",IF($D247=12,MIN(WdrPct*IF(WdrBase="Post-tax profit",$K247-$P247,$K247),WdrCap),0))</f>
        <v/>
      </c>
      <c r="R247" s="35">
        <f>IF($A247&gt;NYears*12,"",$F247+$J247-$O247-$Q247)</f>
        <v/>
      </c>
      <c r="S247" s="33">
        <f>IF($A247&gt;NYears*12,"",INT($R247/$E247))</f>
        <v/>
      </c>
    </row>
    <row r="248">
      <c r="A248" s="33">
        <f>244</f>
        <v/>
      </c>
      <c r="B248" s="34">
        <f>IF($A248&gt;NYears*12,"",EDATE(StartMonth,$A248-1))</f>
        <v/>
      </c>
      <c r="C248" s="33">
        <f>IF($A248&gt;NYears*12,"",INT(($A248-1)/12)+1)</f>
        <v/>
      </c>
      <c r="D248" s="33">
        <f>IF($A248&gt;NYears*12,"",MOD($A248-1,12)+1)</f>
        <v/>
      </c>
      <c r="E248" s="35">
        <f>IF($A248&gt;NYears*12,"",LotValue0*(1+LotGrowth)^($C248-1))</f>
        <v/>
      </c>
      <c r="F248" s="35">
        <f>IF($A248&gt;NYears*12,"",IF($A248=1,InitInvest,$R247))</f>
        <v/>
      </c>
      <c r="G248" s="33">
        <f>IF($A248&gt;NYears*12,"",INT($F248/$E248))</f>
        <v/>
      </c>
      <c r="H248" s="35">
        <f>IF($A248&gt;NYears*12,"",$G248*$E248)</f>
        <v/>
      </c>
      <c r="I248" s="35">
        <f>IF($A248&gt;NYears*12,"",$F248-$H248)</f>
        <v/>
      </c>
      <c r="J248" s="35">
        <f>IF($A248&gt;NYears*12,"",$H248*RateA)</f>
        <v/>
      </c>
      <c r="K248" s="35">
        <f>IF($A248&gt;NYears*12,"",IF($D248=1,$J248,$K247+$J248))</f>
        <v/>
      </c>
      <c r="L248" s="35">
        <f>IF($A248&gt;NYears*12,"",IF(MOD($D248,3)=0,SUM($J246:$J248),0))</f>
        <v/>
      </c>
      <c r="M248" s="35">
        <f>IF($A248&gt;NYears*12,"",IF(TaxFreq="Quarterly",$K248*12/$D248,$K248))</f>
        <v/>
      </c>
      <c r="N248" s="36">
        <f>IF($A248&gt;NYears*12,"",LOOKUP($M248,TaxLower,TaxRate))</f>
        <v/>
      </c>
      <c r="O248" s="35">
        <f>IF($A248&gt;NYears*12,"",IF(TaxFreq="Quarterly",IF(MOD($D248,3)=0,$L248*$N248,0),IF($D248=12,$K248*$N248,0)))</f>
        <v/>
      </c>
      <c r="P248" s="35">
        <f>IF($A248&gt;NYears*12,"",IF($D248=1,$O248,$P247+$O248))</f>
        <v/>
      </c>
      <c r="Q248" s="35">
        <f>IF($A248&gt;NYears*12,"",IF($D248=12,MIN(WdrPct*IF(WdrBase="Post-tax profit",$K248-$P248,$K248),WdrCap),0))</f>
        <v/>
      </c>
      <c r="R248" s="35">
        <f>IF($A248&gt;NYears*12,"",$F248+$J248-$O248-$Q248)</f>
        <v/>
      </c>
      <c r="S248" s="33">
        <f>IF($A248&gt;NYears*12,"",INT($R248/$E248))</f>
        <v/>
      </c>
    </row>
    <row r="249">
      <c r="A249" s="33">
        <f>245</f>
        <v/>
      </c>
      <c r="B249" s="34">
        <f>IF($A249&gt;NYears*12,"",EDATE(StartMonth,$A249-1))</f>
        <v/>
      </c>
      <c r="C249" s="33">
        <f>IF($A249&gt;NYears*12,"",INT(($A249-1)/12)+1)</f>
        <v/>
      </c>
      <c r="D249" s="33">
        <f>IF($A249&gt;NYears*12,"",MOD($A249-1,12)+1)</f>
        <v/>
      </c>
      <c r="E249" s="35">
        <f>IF($A249&gt;NYears*12,"",LotValue0*(1+LotGrowth)^($C249-1))</f>
        <v/>
      </c>
      <c r="F249" s="35">
        <f>IF($A249&gt;NYears*12,"",IF($A249=1,InitInvest,$R248))</f>
        <v/>
      </c>
      <c r="G249" s="33">
        <f>IF($A249&gt;NYears*12,"",INT($F249/$E249))</f>
        <v/>
      </c>
      <c r="H249" s="35">
        <f>IF($A249&gt;NYears*12,"",$G249*$E249)</f>
        <v/>
      </c>
      <c r="I249" s="35">
        <f>IF($A249&gt;NYears*12,"",$F249-$H249)</f>
        <v/>
      </c>
      <c r="J249" s="35">
        <f>IF($A249&gt;NYears*12,"",$H249*RateA)</f>
        <v/>
      </c>
      <c r="K249" s="35">
        <f>IF($A249&gt;NYears*12,"",IF($D249=1,$J249,$K248+$J249))</f>
        <v/>
      </c>
      <c r="L249" s="35">
        <f>IF($A249&gt;NYears*12,"",IF(MOD($D249,3)=0,SUM($J247:$J249),0))</f>
        <v/>
      </c>
      <c r="M249" s="35">
        <f>IF($A249&gt;NYears*12,"",IF(TaxFreq="Quarterly",$K249*12/$D249,$K249))</f>
        <v/>
      </c>
      <c r="N249" s="36">
        <f>IF($A249&gt;NYears*12,"",LOOKUP($M249,TaxLower,TaxRate))</f>
        <v/>
      </c>
      <c r="O249" s="35">
        <f>IF($A249&gt;NYears*12,"",IF(TaxFreq="Quarterly",IF(MOD($D249,3)=0,$L249*$N249,0),IF($D249=12,$K249*$N249,0)))</f>
        <v/>
      </c>
      <c r="P249" s="35">
        <f>IF($A249&gt;NYears*12,"",IF($D249=1,$O249,$P248+$O249))</f>
        <v/>
      </c>
      <c r="Q249" s="35">
        <f>IF($A249&gt;NYears*12,"",IF($D249=12,MIN(WdrPct*IF(WdrBase="Post-tax profit",$K249-$P249,$K249),WdrCap),0))</f>
        <v/>
      </c>
      <c r="R249" s="35">
        <f>IF($A249&gt;NYears*12,"",$F249+$J249-$O249-$Q249)</f>
        <v/>
      </c>
      <c r="S249" s="33">
        <f>IF($A249&gt;NYears*12,"",INT($R249/$E249))</f>
        <v/>
      </c>
    </row>
    <row r="250">
      <c r="A250" s="33">
        <f>246</f>
        <v/>
      </c>
      <c r="B250" s="34">
        <f>IF($A250&gt;NYears*12,"",EDATE(StartMonth,$A250-1))</f>
        <v/>
      </c>
      <c r="C250" s="33">
        <f>IF($A250&gt;NYears*12,"",INT(($A250-1)/12)+1)</f>
        <v/>
      </c>
      <c r="D250" s="33">
        <f>IF($A250&gt;NYears*12,"",MOD($A250-1,12)+1)</f>
        <v/>
      </c>
      <c r="E250" s="35">
        <f>IF($A250&gt;NYears*12,"",LotValue0*(1+LotGrowth)^($C250-1))</f>
        <v/>
      </c>
      <c r="F250" s="35">
        <f>IF($A250&gt;NYears*12,"",IF($A250=1,InitInvest,$R249))</f>
        <v/>
      </c>
      <c r="G250" s="33">
        <f>IF($A250&gt;NYears*12,"",INT($F250/$E250))</f>
        <v/>
      </c>
      <c r="H250" s="35">
        <f>IF($A250&gt;NYears*12,"",$G250*$E250)</f>
        <v/>
      </c>
      <c r="I250" s="35">
        <f>IF($A250&gt;NYears*12,"",$F250-$H250)</f>
        <v/>
      </c>
      <c r="J250" s="35">
        <f>IF($A250&gt;NYears*12,"",$H250*RateA)</f>
        <v/>
      </c>
      <c r="K250" s="35">
        <f>IF($A250&gt;NYears*12,"",IF($D250=1,$J250,$K249+$J250))</f>
        <v/>
      </c>
      <c r="L250" s="35">
        <f>IF($A250&gt;NYears*12,"",IF(MOD($D250,3)=0,SUM($J248:$J250),0))</f>
        <v/>
      </c>
      <c r="M250" s="35">
        <f>IF($A250&gt;NYears*12,"",IF(TaxFreq="Quarterly",$K250*12/$D250,$K250))</f>
        <v/>
      </c>
      <c r="N250" s="36">
        <f>IF($A250&gt;NYears*12,"",LOOKUP($M250,TaxLower,TaxRate))</f>
        <v/>
      </c>
      <c r="O250" s="35">
        <f>IF($A250&gt;NYears*12,"",IF(TaxFreq="Quarterly",IF(MOD($D250,3)=0,$L250*$N250,0),IF($D250=12,$K250*$N250,0)))</f>
        <v/>
      </c>
      <c r="P250" s="35">
        <f>IF($A250&gt;NYears*12,"",IF($D250=1,$O250,$P249+$O250))</f>
        <v/>
      </c>
      <c r="Q250" s="35">
        <f>IF($A250&gt;NYears*12,"",IF($D250=12,MIN(WdrPct*IF(WdrBase="Post-tax profit",$K250-$P250,$K250),WdrCap),0))</f>
        <v/>
      </c>
      <c r="R250" s="35">
        <f>IF($A250&gt;NYears*12,"",$F250+$J250-$O250-$Q250)</f>
        <v/>
      </c>
      <c r="S250" s="33">
        <f>IF($A250&gt;NYears*12,"",INT($R250/$E250))</f>
        <v/>
      </c>
    </row>
    <row r="251">
      <c r="A251" s="33">
        <f>247</f>
        <v/>
      </c>
      <c r="B251" s="34">
        <f>IF($A251&gt;NYears*12,"",EDATE(StartMonth,$A251-1))</f>
        <v/>
      </c>
      <c r="C251" s="33">
        <f>IF($A251&gt;NYears*12,"",INT(($A251-1)/12)+1)</f>
        <v/>
      </c>
      <c r="D251" s="33">
        <f>IF($A251&gt;NYears*12,"",MOD($A251-1,12)+1)</f>
        <v/>
      </c>
      <c r="E251" s="35">
        <f>IF($A251&gt;NYears*12,"",LotValue0*(1+LotGrowth)^($C251-1))</f>
        <v/>
      </c>
      <c r="F251" s="35">
        <f>IF($A251&gt;NYears*12,"",IF($A251=1,InitInvest,$R250))</f>
        <v/>
      </c>
      <c r="G251" s="33">
        <f>IF($A251&gt;NYears*12,"",INT($F251/$E251))</f>
        <v/>
      </c>
      <c r="H251" s="35">
        <f>IF($A251&gt;NYears*12,"",$G251*$E251)</f>
        <v/>
      </c>
      <c r="I251" s="35">
        <f>IF($A251&gt;NYears*12,"",$F251-$H251)</f>
        <v/>
      </c>
      <c r="J251" s="35">
        <f>IF($A251&gt;NYears*12,"",$H251*RateA)</f>
        <v/>
      </c>
      <c r="K251" s="35">
        <f>IF($A251&gt;NYears*12,"",IF($D251=1,$J251,$K250+$J251))</f>
        <v/>
      </c>
      <c r="L251" s="35">
        <f>IF($A251&gt;NYears*12,"",IF(MOD($D251,3)=0,SUM($J249:$J251),0))</f>
        <v/>
      </c>
      <c r="M251" s="35">
        <f>IF($A251&gt;NYears*12,"",IF(TaxFreq="Quarterly",$K251*12/$D251,$K251))</f>
        <v/>
      </c>
      <c r="N251" s="36">
        <f>IF($A251&gt;NYears*12,"",LOOKUP($M251,TaxLower,TaxRate))</f>
        <v/>
      </c>
      <c r="O251" s="35">
        <f>IF($A251&gt;NYears*12,"",IF(TaxFreq="Quarterly",IF(MOD($D251,3)=0,$L251*$N251,0),IF($D251=12,$K251*$N251,0)))</f>
        <v/>
      </c>
      <c r="P251" s="35">
        <f>IF($A251&gt;NYears*12,"",IF($D251=1,$O251,$P250+$O251))</f>
        <v/>
      </c>
      <c r="Q251" s="35">
        <f>IF($A251&gt;NYears*12,"",IF($D251=12,MIN(WdrPct*IF(WdrBase="Post-tax profit",$K251-$P251,$K251),WdrCap),0))</f>
        <v/>
      </c>
      <c r="R251" s="35">
        <f>IF($A251&gt;NYears*12,"",$F251+$J251-$O251-$Q251)</f>
        <v/>
      </c>
      <c r="S251" s="33">
        <f>IF($A251&gt;NYears*12,"",INT($R251/$E251))</f>
        <v/>
      </c>
    </row>
    <row r="252">
      <c r="A252" s="33">
        <f>248</f>
        <v/>
      </c>
      <c r="B252" s="34">
        <f>IF($A252&gt;NYears*12,"",EDATE(StartMonth,$A252-1))</f>
        <v/>
      </c>
      <c r="C252" s="33">
        <f>IF($A252&gt;NYears*12,"",INT(($A252-1)/12)+1)</f>
        <v/>
      </c>
      <c r="D252" s="33">
        <f>IF($A252&gt;NYears*12,"",MOD($A252-1,12)+1)</f>
        <v/>
      </c>
      <c r="E252" s="35">
        <f>IF($A252&gt;NYears*12,"",LotValue0*(1+LotGrowth)^($C252-1))</f>
        <v/>
      </c>
      <c r="F252" s="35">
        <f>IF($A252&gt;NYears*12,"",IF($A252=1,InitInvest,$R251))</f>
        <v/>
      </c>
      <c r="G252" s="33">
        <f>IF($A252&gt;NYears*12,"",INT($F252/$E252))</f>
        <v/>
      </c>
      <c r="H252" s="35">
        <f>IF($A252&gt;NYears*12,"",$G252*$E252)</f>
        <v/>
      </c>
      <c r="I252" s="35">
        <f>IF($A252&gt;NYears*12,"",$F252-$H252)</f>
        <v/>
      </c>
      <c r="J252" s="35">
        <f>IF($A252&gt;NYears*12,"",$H252*RateA)</f>
        <v/>
      </c>
      <c r="K252" s="35">
        <f>IF($A252&gt;NYears*12,"",IF($D252=1,$J252,$K251+$J252))</f>
        <v/>
      </c>
      <c r="L252" s="35">
        <f>IF($A252&gt;NYears*12,"",IF(MOD($D252,3)=0,SUM($J250:$J252),0))</f>
        <v/>
      </c>
      <c r="M252" s="35">
        <f>IF($A252&gt;NYears*12,"",IF(TaxFreq="Quarterly",$K252*12/$D252,$K252))</f>
        <v/>
      </c>
      <c r="N252" s="36">
        <f>IF($A252&gt;NYears*12,"",LOOKUP($M252,TaxLower,TaxRate))</f>
        <v/>
      </c>
      <c r="O252" s="35">
        <f>IF($A252&gt;NYears*12,"",IF(TaxFreq="Quarterly",IF(MOD($D252,3)=0,$L252*$N252,0),IF($D252=12,$K252*$N252,0)))</f>
        <v/>
      </c>
      <c r="P252" s="35">
        <f>IF($A252&gt;NYears*12,"",IF($D252=1,$O252,$P251+$O252))</f>
        <v/>
      </c>
      <c r="Q252" s="35">
        <f>IF($A252&gt;NYears*12,"",IF($D252=12,MIN(WdrPct*IF(WdrBase="Post-tax profit",$K252-$P252,$K252),WdrCap),0))</f>
        <v/>
      </c>
      <c r="R252" s="35">
        <f>IF($A252&gt;NYears*12,"",$F252+$J252-$O252-$Q252)</f>
        <v/>
      </c>
      <c r="S252" s="33">
        <f>IF($A252&gt;NYears*12,"",INT($R252/$E252))</f>
        <v/>
      </c>
    </row>
    <row r="253">
      <c r="A253" s="33">
        <f>249</f>
        <v/>
      </c>
      <c r="B253" s="34">
        <f>IF($A253&gt;NYears*12,"",EDATE(StartMonth,$A253-1))</f>
        <v/>
      </c>
      <c r="C253" s="33">
        <f>IF($A253&gt;NYears*12,"",INT(($A253-1)/12)+1)</f>
        <v/>
      </c>
      <c r="D253" s="33">
        <f>IF($A253&gt;NYears*12,"",MOD($A253-1,12)+1)</f>
        <v/>
      </c>
      <c r="E253" s="35">
        <f>IF($A253&gt;NYears*12,"",LotValue0*(1+LotGrowth)^($C253-1))</f>
        <v/>
      </c>
      <c r="F253" s="35">
        <f>IF($A253&gt;NYears*12,"",IF($A253=1,InitInvest,$R252))</f>
        <v/>
      </c>
      <c r="G253" s="33">
        <f>IF($A253&gt;NYears*12,"",INT($F253/$E253))</f>
        <v/>
      </c>
      <c r="H253" s="35">
        <f>IF($A253&gt;NYears*12,"",$G253*$E253)</f>
        <v/>
      </c>
      <c r="I253" s="35">
        <f>IF($A253&gt;NYears*12,"",$F253-$H253)</f>
        <v/>
      </c>
      <c r="J253" s="35">
        <f>IF($A253&gt;NYears*12,"",$H253*RateA)</f>
        <v/>
      </c>
      <c r="K253" s="35">
        <f>IF($A253&gt;NYears*12,"",IF($D253=1,$J253,$K252+$J253))</f>
        <v/>
      </c>
      <c r="L253" s="35">
        <f>IF($A253&gt;NYears*12,"",IF(MOD($D253,3)=0,SUM($J251:$J253),0))</f>
        <v/>
      </c>
      <c r="M253" s="35">
        <f>IF($A253&gt;NYears*12,"",IF(TaxFreq="Quarterly",$K253*12/$D253,$K253))</f>
        <v/>
      </c>
      <c r="N253" s="36">
        <f>IF($A253&gt;NYears*12,"",LOOKUP($M253,TaxLower,TaxRate))</f>
        <v/>
      </c>
      <c r="O253" s="35">
        <f>IF($A253&gt;NYears*12,"",IF(TaxFreq="Quarterly",IF(MOD($D253,3)=0,$L253*$N253,0),IF($D253=12,$K253*$N253,0)))</f>
        <v/>
      </c>
      <c r="P253" s="35">
        <f>IF($A253&gt;NYears*12,"",IF($D253=1,$O253,$P252+$O253))</f>
        <v/>
      </c>
      <c r="Q253" s="35">
        <f>IF($A253&gt;NYears*12,"",IF($D253=12,MIN(WdrPct*IF(WdrBase="Post-tax profit",$K253-$P253,$K253),WdrCap),0))</f>
        <v/>
      </c>
      <c r="R253" s="35">
        <f>IF($A253&gt;NYears*12,"",$F253+$J253-$O253-$Q253)</f>
        <v/>
      </c>
      <c r="S253" s="33">
        <f>IF($A253&gt;NYears*12,"",INT($R253/$E253))</f>
        <v/>
      </c>
    </row>
    <row r="254">
      <c r="A254" s="33">
        <f>250</f>
        <v/>
      </c>
      <c r="B254" s="34">
        <f>IF($A254&gt;NYears*12,"",EDATE(StartMonth,$A254-1))</f>
        <v/>
      </c>
      <c r="C254" s="33">
        <f>IF($A254&gt;NYears*12,"",INT(($A254-1)/12)+1)</f>
        <v/>
      </c>
      <c r="D254" s="33">
        <f>IF($A254&gt;NYears*12,"",MOD($A254-1,12)+1)</f>
        <v/>
      </c>
      <c r="E254" s="35">
        <f>IF($A254&gt;NYears*12,"",LotValue0*(1+LotGrowth)^($C254-1))</f>
        <v/>
      </c>
      <c r="F254" s="35">
        <f>IF($A254&gt;NYears*12,"",IF($A254=1,InitInvest,$R253))</f>
        <v/>
      </c>
      <c r="G254" s="33">
        <f>IF($A254&gt;NYears*12,"",INT($F254/$E254))</f>
        <v/>
      </c>
      <c r="H254" s="35">
        <f>IF($A254&gt;NYears*12,"",$G254*$E254)</f>
        <v/>
      </c>
      <c r="I254" s="35">
        <f>IF($A254&gt;NYears*12,"",$F254-$H254)</f>
        <v/>
      </c>
      <c r="J254" s="35">
        <f>IF($A254&gt;NYears*12,"",$H254*RateA)</f>
        <v/>
      </c>
      <c r="K254" s="35">
        <f>IF($A254&gt;NYears*12,"",IF($D254=1,$J254,$K253+$J254))</f>
        <v/>
      </c>
      <c r="L254" s="35">
        <f>IF($A254&gt;NYears*12,"",IF(MOD($D254,3)=0,SUM($J252:$J254),0))</f>
        <v/>
      </c>
      <c r="M254" s="35">
        <f>IF($A254&gt;NYears*12,"",IF(TaxFreq="Quarterly",$K254*12/$D254,$K254))</f>
        <v/>
      </c>
      <c r="N254" s="36">
        <f>IF($A254&gt;NYears*12,"",LOOKUP($M254,TaxLower,TaxRate))</f>
        <v/>
      </c>
      <c r="O254" s="35">
        <f>IF($A254&gt;NYears*12,"",IF(TaxFreq="Quarterly",IF(MOD($D254,3)=0,$L254*$N254,0),IF($D254=12,$K254*$N254,0)))</f>
        <v/>
      </c>
      <c r="P254" s="35">
        <f>IF($A254&gt;NYears*12,"",IF($D254=1,$O254,$P253+$O254))</f>
        <v/>
      </c>
      <c r="Q254" s="35">
        <f>IF($A254&gt;NYears*12,"",IF($D254=12,MIN(WdrPct*IF(WdrBase="Post-tax profit",$K254-$P254,$K254),WdrCap),0))</f>
        <v/>
      </c>
      <c r="R254" s="35">
        <f>IF($A254&gt;NYears*12,"",$F254+$J254-$O254-$Q254)</f>
        <v/>
      </c>
      <c r="S254" s="33">
        <f>IF($A254&gt;NYears*12,"",INT($R254/$E254))</f>
        <v/>
      </c>
    </row>
    <row r="255">
      <c r="A255" s="33">
        <f>251</f>
        <v/>
      </c>
      <c r="B255" s="34">
        <f>IF($A255&gt;NYears*12,"",EDATE(StartMonth,$A255-1))</f>
        <v/>
      </c>
      <c r="C255" s="33">
        <f>IF($A255&gt;NYears*12,"",INT(($A255-1)/12)+1)</f>
        <v/>
      </c>
      <c r="D255" s="33">
        <f>IF($A255&gt;NYears*12,"",MOD($A255-1,12)+1)</f>
        <v/>
      </c>
      <c r="E255" s="35">
        <f>IF($A255&gt;NYears*12,"",LotValue0*(1+LotGrowth)^($C255-1))</f>
        <v/>
      </c>
      <c r="F255" s="35">
        <f>IF($A255&gt;NYears*12,"",IF($A255=1,InitInvest,$R254))</f>
        <v/>
      </c>
      <c r="G255" s="33">
        <f>IF($A255&gt;NYears*12,"",INT($F255/$E255))</f>
        <v/>
      </c>
      <c r="H255" s="35">
        <f>IF($A255&gt;NYears*12,"",$G255*$E255)</f>
        <v/>
      </c>
      <c r="I255" s="35">
        <f>IF($A255&gt;NYears*12,"",$F255-$H255)</f>
        <v/>
      </c>
      <c r="J255" s="35">
        <f>IF($A255&gt;NYears*12,"",$H255*RateA)</f>
        <v/>
      </c>
      <c r="K255" s="35">
        <f>IF($A255&gt;NYears*12,"",IF($D255=1,$J255,$K254+$J255))</f>
        <v/>
      </c>
      <c r="L255" s="35">
        <f>IF($A255&gt;NYears*12,"",IF(MOD($D255,3)=0,SUM($J253:$J255),0))</f>
        <v/>
      </c>
      <c r="M255" s="35">
        <f>IF($A255&gt;NYears*12,"",IF(TaxFreq="Quarterly",$K255*12/$D255,$K255))</f>
        <v/>
      </c>
      <c r="N255" s="36">
        <f>IF($A255&gt;NYears*12,"",LOOKUP($M255,TaxLower,TaxRate))</f>
        <v/>
      </c>
      <c r="O255" s="35">
        <f>IF($A255&gt;NYears*12,"",IF(TaxFreq="Quarterly",IF(MOD($D255,3)=0,$L255*$N255,0),IF($D255=12,$K255*$N255,0)))</f>
        <v/>
      </c>
      <c r="P255" s="35">
        <f>IF($A255&gt;NYears*12,"",IF($D255=1,$O255,$P254+$O255))</f>
        <v/>
      </c>
      <c r="Q255" s="35">
        <f>IF($A255&gt;NYears*12,"",IF($D255=12,MIN(WdrPct*IF(WdrBase="Post-tax profit",$K255-$P255,$K255),WdrCap),0))</f>
        <v/>
      </c>
      <c r="R255" s="35">
        <f>IF($A255&gt;NYears*12,"",$F255+$J255-$O255-$Q255)</f>
        <v/>
      </c>
      <c r="S255" s="33">
        <f>IF($A255&gt;NYears*12,"",INT($R255/$E255))</f>
        <v/>
      </c>
    </row>
    <row r="256">
      <c r="A256" s="37">
        <f>252</f>
        <v/>
      </c>
      <c r="B256" s="38">
        <f>IF($A256&gt;NYears*12,"",EDATE(StartMonth,$A256-1))</f>
        <v/>
      </c>
      <c r="C256" s="37">
        <f>IF($A256&gt;NYears*12,"",INT(($A256-1)/12)+1)</f>
        <v/>
      </c>
      <c r="D256" s="37">
        <f>IF($A256&gt;NYears*12,"",MOD($A256-1,12)+1)</f>
        <v/>
      </c>
      <c r="E256" s="39">
        <f>IF($A256&gt;NYears*12,"",LotValue0*(1+LotGrowth)^($C256-1))</f>
        <v/>
      </c>
      <c r="F256" s="39">
        <f>IF($A256&gt;NYears*12,"",IF($A256=1,InitInvest,$R255))</f>
        <v/>
      </c>
      <c r="G256" s="37">
        <f>IF($A256&gt;NYears*12,"",INT($F256/$E256))</f>
        <v/>
      </c>
      <c r="H256" s="39">
        <f>IF($A256&gt;NYears*12,"",$G256*$E256)</f>
        <v/>
      </c>
      <c r="I256" s="39">
        <f>IF($A256&gt;NYears*12,"",$F256-$H256)</f>
        <v/>
      </c>
      <c r="J256" s="39">
        <f>IF($A256&gt;NYears*12,"",$H256*RateA)</f>
        <v/>
      </c>
      <c r="K256" s="39">
        <f>IF($A256&gt;NYears*12,"",IF($D256=1,$J256,$K255+$J256))</f>
        <v/>
      </c>
      <c r="L256" s="39">
        <f>IF($A256&gt;NYears*12,"",IF(MOD($D256,3)=0,SUM($J254:$J256),0))</f>
        <v/>
      </c>
      <c r="M256" s="39">
        <f>IF($A256&gt;NYears*12,"",IF(TaxFreq="Quarterly",$K256*12/$D256,$K256))</f>
        <v/>
      </c>
      <c r="N256" s="40">
        <f>IF($A256&gt;NYears*12,"",LOOKUP($M256,TaxLower,TaxRate))</f>
        <v/>
      </c>
      <c r="O256" s="39">
        <f>IF($A256&gt;NYears*12,"",IF(TaxFreq="Quarterly",IF(MOD($D256,3)=0,$L256*$N256,0),IF($D256=12,$K256*$N256,0)))</f>
        <v/>
      </c>
      <c r="P256" s="39">
        <f>IF($A256&gt;NYears*12,"",IF($D256=1,$O256,$P255+$O256))</f>
        <v/>
      </c>
      <c r="Q256" s="39">
        <f>IF($A256&gt;NYears*12,"",IF($D256=12,MIN(WdrPct*IF(WdrBase="Post-tax profit",$K256-$P256,$K256),WdrCap),0))</f>
        <v/>
      </c>
      <c r="R256" s="39">
        <f>IF($A256&gt;NYears*12,"",$F256+$J256-$O256-$Q256)</f>
        <v/>
      </c>
      <c r="S256" s="37">
        <f>IF($A256&gt;NYears*12,"",INT($R256/$E256))</f>
        <v/>
      </c>
    </row>
    <row r="257">
      <c r="A257" s="33">
        <f>253</f>
        <v/>
      </c>
      <c r="B257" s="34">
        <f>IF($A257&gt;NYears*12,"",EDATE(StartMonth,$A257-1))</f>
        <v/>
      </c>
      <c r="C257" s="33">
        <f>IF($A257&gt;NYears*12,"",INT(($A257-1)/12)+1)</f>
        <v/>
      </c>
      <c r="D257" s="33">
        <f>IF($A257&gt;NYears*12,"",MOD($A257-1,12)+1)</f>
        <v/>
      </c>
      <c r="E257" s="35">
        <f>IF($A257&gt;NYears*12,"",LotValue0*(1+LotGrowth)^($C257-1))</f>
        <v/>
      </c>
      <c r="F257" s="35">
        <f>IF($A257&gt;NYears*12,"",IF($A257=1,InitInvest,$R256))</f>
        <v/>
      </c>
      <c r="G257" s="33">
        <f>IF($A257&gt;NYears*12,"",INT($F257/$E257))</f>
        <v/>
      </c>
      <c r="H257" s="35">
        <f>IF($A257&gt;NYears*12,"",$G257*$E257)</f>
        <v/>
      </c>
      <c r="I257" s="35">
        <f>IF($A257&gt;NYears*12,"",$F257-$H257)</f>
        <v/>
      </c>
      <c r="J257" s="35">
        <f>IF($A257&gt;NYears*12,"",$H257*RateA)</f>
        <v/>
      </c>
      <c r="K257" s="35">
        <f>IF($A257&gt;NYears*12,"",IF($D257=1,$J257,$K256+$J257))</f>
        <v/>
      </c>
      <c r="L257" s="35">
        <f>IF($A257&gt;NYears*12,"",IF(MOD($D257,3)=0,SUM($J255:$J257),0))</f>
        <v/>
      </c>
      <c r="M257" s="35">
        <f>IF($A257&gt;NYears*12,"",IF(TaxFreq="Quarterly",$K257*12/$D257,$K257))</f>
        <v/>
      </c>
      <c r="N257" s="36">
        <f>IF($A257&gt;NYears*12,"",LOOKUP($M257,TaxLower,TaxRate))</f>
        <v/>
      </c>
      <c r="O257" s="35">
        <f>IF($A257&gt;NYears*12,"",IF(TaxFreq="Quarterly",IF(MOD($D257,3)=0,$L257*$N257,0),IF($D257=12,$K257*$N257,0)))</f>
        <v/>
      </c>
      <c r="P257" s="35">
        <f>IF($A257&gt;NYears*12,"",IF($D257=1,$O257,$P256+$O257))</f>
        <v/>
      </c>
      <c r="Q257" s="35">
        <f>IF($A257&gt;NYears*12,"",IF($D257=12,MIN(WdrPct*IF(WdrBase="Post-tax profit",$K257-$P257,$K257),WdrCap),0))</f>
        <v/>
      </c>
      <c r="R257" s="35">
        <f>IF($A257&gt;NYears*12,"",$F257+$J257-$O257-$Q257)</f>
        <v/>
      </c>
      <c r="S257" s="33">
        <f>IF($A257&gt;NYears*12,"",INT($R257/$E257))</f>
        <v/>
      </c>
    </row>
    <row r="258">
      <c r="A258" s="33">
        <f>254</f>
        <v/>
      </c>
      <c r="B258" s="34">
        <f>IF($A258&gt;NYears*12,"",EDATE(StartMonth,$A258-1))</f>
        <v/>
      </c>
      <c r="C258" s="33">
        <f>IF($A258&gt;NYears*12,"",INT(($A258-1)/12)+1)</f>
        <v/>
      </c>
      <c r="D258" s="33">
        <f>IF($A258&gt;NYears*12,"",MOD($A258-1,12)+1)</f>
        <v/>
      </c>
      <c r="E258" s="35">
        <f>IF($A258&gt;NYears*12,"",LotValue0*(1+LotGrowth)^($C258-1))</f>
        <v/>
      </c>
      <c r="F258" s="35">
        <f>IF($A258&gt;NYears*12,"",IF($A258=1,InitInvest,$R257))</f>
        <v/>
      </c>
      <c r="G258" s="33">
        <f>IF($A258&gt;NYears*12,"",INT($F258/$E258))</f>
        <v/>
      </c>
      <c r="H258" s="35">
        <f>IF($A258&gt;NYears*12,"",$G258*$E258)</f>
        <v/>
      </c>
      <c r="I258" s="35">
        <f>IF($A258&gt;NYears*12,"",$F258-$H258)</f>
        <v/>
      </c>
      <c r="J258" s="35">
        <f>IF($A258&gt;NYears*12,"",$H258*RateA)</f>
        <v/>
      </c>
      <c r="K258" s="35">
        <f>IF($A258&gt;NYears*12,"",IF($D258=1,$J258,$K257+$J258))</f>
        <v/>
      </c>
      <c r="L258" s="35">
        <f>IF($A258&gt;NYears*12,"",IF(MOD($D258,3)=0,SUM($J256:$J258),0))</f>
        <v/>
      </c>
      <c r="M258" s="35">
        <f>IF($A258&gt;NYears*12,"",IF(TaxFreq="Quarterly",$K258*12/$D258,$K258))</f>
        <v/>
      </c>
      <c r="N258" s="36">
        <f>IF($A258&gt;NYears*12,"",LOOKUP($M258,TaxLower,TaxRate))</f>
        <v/>
      </c>
      <c r="O258" s="35">
        <f>IF($A258&gt;NYears*12,"",IF(TaxFreq="Quarterly",IF(MOD($D258,3)=0,$L258*$N258,0),IF($D258=12,$K258*$N258,0)))</f>
        <v/>
      </c>
      <c r="P258" s="35">
        <f>IF($A258&gt;NYears*12,"",IF($D258=1,$O258,$P257+$O258))</f>
        <v/>
      </c>
      <c r="Q258" s="35">
        <f>IF($A258&gt;NYears*12,"",IF($D258=12,MIN(WdrPct*IF(WdrBase="Post-tax profit",$K258-$P258,$K258),WdrCap),0))</f>
        <v/>
      </c>
      <c r="R258" s="35">
        <f>IF($A258&gt;NYears*12,"",$F258+$J258-$O258-$Q258)</f>
        <v/>
      </c>
      <c r="S258" s="33">
        <f>IF($A258&gt;NYears*12,"",INT($R258/$E258))</f>
        <v/>
      </c>
    </row>
    <row r="259">
      <c r="A259" s="33">
        <f>255</f>
        <v/>
      </c>
      <c r="B259" s="34">
        <f>IF($A259&gt;NYears*12,"",EDATE(StartMonth,$A259-1))</f>
        <v/>
      </c>
      <c r="C259" s="33">
        <f>IF($A259&gt;NYears*12,"",INT(($A259-1)/12)+1)</f>
        <v/>
      </c>
      <c r="D259" s="33">
        <f>IF($A259&gt;NYears*12,"",MOD($A259-1,12)+1)</f>
        <v/>
      </c>
      <c r="E259" s="35">
        <f>IF($A259&gt;NYears*12,"",LotValue0*(1+LotGrowth)^($C259-1))</f>
        <v/>
      </c>
      <c r="F259" s="35">
        <f>IF($A259&gt;NYears*12,"",IF($A259=1,InitInvest,$R258))</f>
        <v/>
      </c>
      <c r="G259" s="33">
        <f>IF($A259&gt;NYears*12,"",INT($F259/$E259))</f>
        <v/>
      </c>
      <c r="H259" s="35">
        <f>IF($A259&gt;NYears*12,"",$G259*$E259)</f>
        <v/>
      </c>
      <c r="I259" s="35">
        <f>IF($A259&gt;NYears*12,"",$F259-$H259)</f>
        <v/>
      </c>
      <c r="J259" s="35">
        <f>IF($A259&gt;NYears*12,"",$H259*RateA)</f>
        <v/>
      </c>
      <c r="K259" s="35">
        <f>IF($A259&gt;NYears*12,"",IF($D259=1,$J259,$K258+$J259))</f>
        <v/>
      </c>
      <c r="L259" s="35">
        <f>IF($A259&gt;NYears*12,"",IF(MOD($D259,3)=0,SUM($J257:$J259),0))</f>
        <v/>
      </c>
      <c r="M259" s="35">
        <f>IF($A259&gt;NYears*12,"",IF(TaxFreq="Quarterly",$K259*12/$D259,$K259))</f>
        <v/>
      </c>
      <c r="N259" s="36">
        <f>IF($A259&gt;NYears*12,"",LOOKUP($M259,TaxLower,TaxRate))</f>
        <v/>
      </c>
      <c r="O259" s="35">
        <f>IF($A259&gt;NYears*12,"",IF(TaxFreq="Quarterly",IF(MOD($D259,3)=0,$L259*$N259,0),IF($D259=12,$K259*$N259,0)))</f>
        <v/>
      </c>
      <c r="P259" s="35">
        <f>IF($A259&gt;NYears*12,"",IF($D259=1,$O259,$P258+$O259))</f>
        <v/>
      </c>
      <c r="Q259" s="35">
        <f>IF($A259&gt;NYears*12,"",IF($D259=12,MIN(WdrPct*IF(WdrBase="Post-tax profit",$K259-$P259,$K259),WdrCap),0))</f>
        <v/>
      </c>
      <c r="R259" s="35">
        <f>IF($A259&gt;NYears*12,"",$F259+$J259-$O259-$Q259)</f>
        <v/>
      </c>
      <c r="S259" s="33">
        <f>IF($A259&gt;NYears*12,"",INT($R259/$E259))</f>
        <v/>
      </c>
    </row>
    <row r="260">
      <c r="A260" s="33">
        <f>256</f>
        <v/>
      </c>
      <c r="B260" s="34">
        <f>IF($A260&gt;NYears*12,"",EDATE(StartMonth,$A260-1))</f>
        <v/>
      </c>
      <c r="C260" s="33">
        <f>IF($A260&gt;NYears*12,"",INT(($A260-1)/12)+1)</f>
        <v/>
      </c>
      <c r="D260" s="33">
        <f>IF($A260&gt;NYears*12,"",MOD($A260-1,12)+1)</f>
        <v/>
      </c>
      <c r="E260" s="35">
        <f>IF($A260&gt;NYears*12,"",LotValue0*(1+LotGrowth)^($C260-1))</f>
        <v/>
      </c>
      <c r="F260" s="35">
        <f>IF($A260&gt;NYears*12,"",IF($A260=1,InitInvest,$R259))</f>
        <v/>
      </c>
      <c r="G260" s="33">
        <f>IF($A260&gt;NYears*12,"",INT($F260/$E260))</f>
        <v/>
      </c>
      <c r="H260" s="35">
        <f>IF($A260&gt;NYears*12,"",$G260*$E260)</f>
        <v/>
      </c>
      <c r="I260" s="35">
        <f>IF($A260&gt;NYears*12,"",$F260-$H260)</f>
        <v/>
      </c>
      <c r="J260" s="35">
        <f>IF($A260&gt;NYears*12,"",$H260*RateA)</f>
        <v/>
      </c>
      <c r="K260" s="35">
        <f>IF($A260&gt;NYears*12,"",IF($D260=1,$J260,$K259+$J260))</f>
        <v/>
      </c>
      <c r="L260" s="35">
        <f>IF($A260&gt;NYears*12,"",IF(MOD($D260,3)=0,SUM($J258:$J260),0))</f>
        <v/>
      </c>
      <c r="M260" s="35">
        <f>IF($A260&gt;NYears*12,"",IF(TaxFreq="Quarterly",$K260*12/$D260,$K260))</f>
        <v/>
      </c>
      <c r="N260" s="36">
        <f>IF($A260&gt;NYears*12,"",LOOKUP($M260,TaxLower,TaxRate))</f>
        <v/>
      </c>
      <c r="O260" s="35">
        <f>IF($A260&gt;NYears*12,"",IF(TaxFreq="Quarterly",IF(MOD($D260,3)=0,$L260*$N260,0),IF($D260=12,$K260*$N260,0)))</f>
        <v/>
      </c>
      <c r="P260" s="35">
        <f>IF($A260&gt;NYears*12,"",IF($D260=1,$O260,$P259+$O260))</f>
        <v/>
      </c>
      <c r="Q260" s="35">
        <f>IF($A260&gt;NYears*12,"",IF($D260=12,MIN(WdrPct*IF(WdrBase="Post-tax profit",$K260-$P260,$K260),WdrCap),0))</f>
        <v/>
      </c>
      <c r="R260" s="35">
        <f>IF($A260&gt;NYears*12,"",$F260+$J260-$O260-$Q260)</f>
        <v/>
      </c>
      <c r="S260" s="33">
        <f>IF($A260&gt;NYears*12,"",INT($R260/$E260))</f>
        <v/>
      </c>
    </row>
    <row r="261">
      <c r="A261" s="33">
        <f>257</f>
        <v/>
      </c>
      <c r="B261" s="34">
        <f>IF($A261&gt;NYears*12,"",EDATE(StartMonth,$A261-1))</f>
        <v/>
      </c>
      <c r="C261" s="33">
        <f>IF($A261&gt;NYears*12,"",INT(($A261-1)/12)+1)</f>
        <v/>
      </c>
      <c r="D261" s="33">
        <f>IF($A261&gt;NYears*12,"",MOD($A261-1,12)+1)</f>
        <v/>
      </c>
      <c r="E261" s="35">
        <f>IF($A261&gt;NYears*12,"",LotValue0*(1+LotGrowth)^($C261-1))</f>
        <v/>
      </c>
      <c r="F261" s="35">
        <f>IF($A261&gt;NYears*12,"",IF($A261=1,InitInvest,$R260))</f>
        <v/>
      </c>
      <c r="G261" s="33">
        <f>IF($A261&gt;NYears*12,"",INT($F261/$E261))</f>
        <v/>
      </c>
      <c r="H261" s="35">
        <f>IF($A261&gt;NYears*12,"",$G261*$E261)</f>
        <v/>
      </c>
      <c r="I261" s="35">
        <f>IF($A261&gt;NYears*12,"",$F261-$H261)</f>
        <v/>
      </c>
      <c r="J261" s="35">
        <f>IF($A261&gt;NYears*12,"",$H261*RateA)</f>
        <v/>
      </c>
      <c r="K261" s="35">
        <f>IF($A261&gt;NYears*12,"",IF($D261=1,$J261,$K260+$J261))</f>
        <v/>
      </c>
      <c r="L261" s="35">
        <f>IF($A261&gt;NYears*12,"",IF(MOD($D261,3)=0,SUM($J259:$J261),0))</f>
        <v/>
      </c>
      <c r="M261" s="35">
        <f>IF($A261&gt;NYears*12,"",IF(TaxFreq="Quarterly",$K261*12/$D261,$K261))</f>
        <v/>
      </c>
      <c r="N261" s="36">
        <f>IF($A261&gt;NYears*12,"",LOOKUP($M261,TaxLower,TaxRate))</f>
        <v/>
      </c>
      <c r="O261" s="35">
        <f>IF($A261&gt;NYears*12,"",IF(TaxFreq="Quarterly",IF(MOD($D261,3)=0,$L261*$N261,0),IF($D261=12,$K261*$N261,0)))</f>
        <v/>
      </c>
      <c r="P261" s="35">
        <f>IF($A261&gt;NYears*12,"",IF($D261=1,$O261,$P260+$O261))</f>
        <v/>
      </c>
      <c r="Q261" s="35">
        <f>IF($A261&gt;NYears*12,"",IF($D261=12,MIN(WdrPct*IF(WdrBase="Post-tax profit",$K261-$P261,$K261),WdrCap),0))</f>
        <v/>
      </c>
      <c r="R261" s="35">
        <f>IF($A261&gt;NYears*12,"",$F261+$J261-$O261-$Q261)</f>
        <v/>
      </c>
      <c r="S261" s="33">
        <f>IF($A261&gt;NYears*12,"",INT($R261/$E261))</f>
        <v/>
      </c>
    </row>
    <row r="262">
      <c r="A262" s="33">
        <f>258</f>
        <v/>
      </c>
      <c r="B262" s="34">
        <f>IF($A262&gt;NYears*12,"",EDATE(StartMonth,$A262-1))</f>
        <v/>
      </c>
      <c r="C262" s="33">
        <f>IF($A262&gt;NYears*12,"",INT(($A262-1)/12)+1)</f>
        <v/>
      </c>
      <c r="D262" s="33">
        <f>IF($A262&gt;NYears*12,"",MOD($A262-1,12)+1)</f>
        <v/>
      </c>
      <c r="E262" s="35">
        <f>IF($A262&gt;NYears*12,"",LotValue0*(1+LotGrowth)^($C262-1))</f>
        <v/>
      </c>
      <c r="F262" s="35">
        <f>IF($A262&gt;NYears*12,"",IF($A262=1,InitInvest,$R261))</f>
        <v/>
      </c>
      <c r="G262" s="33">
        <f>IF($A262&gt;NYears*12,"",INT($F262/$E262))</f>
        <v/>
      </c>
      <c r="H262" s="35">
        <f>IF($A262&gt;NYears*12,"",$G262*$E262)</f>
        <v/>
      </c>
      <c r="I262" s="35">
        <f>IF($A262&gt;NYears*12,"",$F262-$H262)</f>
        <v/>
      </c>
      <c r="J262" s="35">
        <f>IF($A262&gt;NYears*12,"",$H262*RateA)</f>
        <v/>
      </c>
      <c r="K262" s="35">
        <f>IF($A262&gt;NYears*12,"",IF($D262=1,$J262,$K261+$J262))</f>
        <v/>
      </c>
      <c r="L262" s="35">
        <f>IF($A262&gt;NYears*12,"",IF(MOD($D262,3)=0,SUM($J260:$J262),0))</f>
        <v/>
      </c>
      <c r="M262" s="35">
        <f>IF($A262&gt;NYears*12,"",IF(TaxFreq="Quarterly",$K262*12/$D262,$K262))</f>
        <v/>
      </c>
      <c r="N262" s="36">
        <f>IF($A262&gt;NYears*12,"",LOOKUP($M262,TaxLower,TaxRate))</f>
        <v/>
      </c>
      <c r="O262" s="35">
        <f>IF($A262&gt;NYears*12,"",IF(TaxFreq="Quarterly",IF(MOD($D262,3)=0,$L262*$N262,0),IF($D262=12,$K262*$N262,0)))</f>
        <v/>
      </c>
      <c r="P262" s="35">
        <f>IF($A262&gt;NYears*12,"",IF($D262=1,$O262,$P261+$O262))</f>
        <v/>
      </c>
      <c r="Q262" s="35">
        <f>IF($A262&gt;NYears*12,"",IF($D262=12,MIN(WdrPct*IF(WdrBase="Post-tax profit",$K262-$P262,$K262),WdrCap),0))</f>
        <v/>
      </c>
      <c r="R262" s="35">
        <f>IF($A262&gt;NYears*12,"",$F262+$J262-$O262-$Q262)</f>
        <v/>
      </c>
      <c r="S262" s="33">
        <f>IF($A262&gt;NYears*12,"",INT($R262/$E262))</f>
        <v/>
      </c>
    </row>
    <row r="263">
      <c r="A263" s="33">
        <f>259</f>
        <v/>
      </c>
      <c r="B263" s="34">
        <f>IF($A263&gt;NYears*12,"",EDATE(StartMonth,$A263-1))</f>
        <v/>
      </c>
      <c r="C263" s="33">
        <f>IF($A263&gt;NYears*12,"",INT(($A263-1)/12)+1)</f>
        <v/>
      </c>
      <c r="D263" s="33">
        <f>IF($A263&gt;NYears*12,"",MOD($A263-1,12)+1)</f>
        <v/>
      </c>
      <c r="E263" s="35">
        <f>IF($A263&gt;NYears*12,"",LotValue0*(1+LotGrowth)^($C263-1))</f>
        <v/>
      </c>
      <c r="F263" s="35">
        <f>IF($A263&gt;NYears*12,"",IF($A263=1,InitInvest,$R262))</f>
        <v/>
      </c>
      <c r="G263" s="33">
        <f>IF($A263&gt;NYears*12,"",INT($F263/$E263))</f>
        <v/>
      </c>
      <c r="H263" s="35">
        <f>IF($A263&gt;NYears*12,"",$G263*$E263)</f>
        <v/>
      </c>
      <c r="I263" s="35">
        <f>IF($A263&gt;NYears*12,"",$F263-$H263)</f>
        <v/>
      </c>
      <c r="J263" s="35">
        <f>IF($A263&gt;NYears*12,"",$H263*RateA)</f>
        <v/>
      </c>
      <c r="K263" s="35">
        <f>IF($A263&gt;NYears*12,"",IF($D263=1,$J263,$K262+$J263))</f>
        <v/>
      </c>
      <c r="L263" s="35">
        <f>IF($A263&gt;NYears*12,"",IF(MOD($D263,3)=0,SUM($J261:$J263),0))</f>
        <v/>
      </c>
      <c r="M263" s="35">
        <f>IF($A263&gt;NYears*12,"",IF(TaxFreq="Quarterly",$K263*12/$D263,$K263))</f>
        <v/>
      </c>
      <c r="N263" s="36">
        <f>IF($A263&gt;NYears*12,"",LOOKUP($M263,TaxLower,TaxRate))</f>
        <v/>
      </c>
      <c r="O263" s="35">
        <f>IF($A263&gt;NYears*12,"",IF(TaxFreq="Quarterly",IF(MOD($D263,3)=0,$L263*$N263,0),IF($D263=12,$K263*$N263,0)))</f>
        <v/>
      </c>
      <c r="P263" s="35">
        <f>IF($A263&gt;NYears*12,"",IF($D263=1,$O263,$P262+$O263))</f>
        <v/>
      </c>
      <c r="Q263" s="35">
        <f>IF($A263&gt;NYears*12,"",IF($D263=12,MIN(WdrPct*IF(WdrBase="Post-tax profit",$K263-$P263,$K263),WdrCap),0))</f>
        <v/>
      </c>
      <c r="R263" s="35">
        <f>IF($A263&gt;NYears*12,"",$F263+$J263-$O263-$Q263)</f>
        <v/>
      </c>
      <c r="S263" s="33">
        <f>IF($A263&gt;NYears*12,"",INT($R263/$E263))</f>
        <v/>
      </c>
    </row>
    <row r="264">
      <c r="A264" s="33">
        <f>260</f>
        <v/>
      </c>
      <c r="B264" s="34">
        <f>IF($A264&gt;NYears*12,"",EDATE(StartMonth,$A264-1))</f>
        <v/>
      </c>
      <c r="C264" s="33">
        <f>IF($A264&gt;NYears*12,"",INT(($A264-1)/12)+1)</f>
        <v/>
      </c>
      <c r="D264" s="33">
        <f>IF($A264&gt;NYears*12,"",MOD($A264-1,12)+1)</f>
        <v/>
      </c>
      <c r="E264" s="35">
        <f>IF($A264&gt;NYears*12,"",LotValue0*(1+LotGrowth)^($C264-1))</f>
        <v/>
      </c>
      <c r="F264" s="35">
        <f>IF($A264&gt;NYears*12,"",IF($A264=1,InitInvest,$R263))</f>
        <v/>
      </c>
      <c r="G264" s="33">
        <f>IF($A264&gt;NYears*12,"",INT($F264/$E264))</f>
        <v/>
      </c>
      <c r="H264" s="35">
        <f>IF($A264&gt;NYears*12,"",$G264*$E264)</f>
        <v/>
      </c>
      <c r="I264" s="35">
        <f>IF($A264&gt;NYears*12,"",$F264-$H264)</f>
        <v/>
      </c>
      <c r="J264" s="35">
        <f>IF($A264&gt;NYears*12,"",$H264*RateA)</f>
        <v/>
      </c>
      <c r="K264" s="35">
        <f>IF($A264&gt;NYears*12,"",IF($D264=1,$J264,$K263+$J264))</f>
        <v/>
      </c>
      <c r="L264" s="35">
        <f>IF($A264&gt;NYears*12,"",IF(MOD($D264,3)=0,SUM($J262:$J264),0))</f>
        <v/>
      </c>
      <c r="M264" s="35">
        <f>IF($A264&gt;NYears*12,"",IF(TaxFreq="Quarterly",$K264*12/$D264,$K264))</f>
        <v/>
      </c>
      <c r="N264" s="36">
        <f>IF($A264&gt;NYears*12,"",LOOKUP($M264,TaxLower,TaxRate))</f>
        <v/>
      </c>
      <c r="O264" s="35">
        <f>IF($A264&gt;NYears*12,"",IF(TaxFreq="Quarterly",IF(MOD($D264,3)=0,$L264*$N264,0),IF($D264=12,$K264*$N264,0)))</f>
        <v/>
      </c>
      <c r="P264" s="35">
        <f>IF($A264&gt;NYears*12,"",IF($D264=1,$O264,$P263+$O264))</f>
        <v/>
      </c>
      <c r="Q264" s="35">
        <f>IF($A264&gt;NYears*12,"",IF($D264=12,MIN(WdrPct*IF(WdrBase="Post-tax profit",$K264-$P264,$K264),WdrCap),0))</f>
        <v/>
      </c>
      <c r="R264" s="35">
        <f>IF($A264&gt;NYears*12,"",$F264+$J264-$O264-$Q264)</f>
        <v/>
      </c>
      <c r="S264" s="33">
        <f>IF($A264&gt;NYears*12,"",INT($R264/$E264))</f>
        <v/>
      </c>
    </row>
    <row r="265">
      <c r="A265" s="33">
        <f>261</f>
        <v/>
      </c>
      <c r="B265" s="34">
        <f>IF($A265&gt;NYears*12,"",EDATE(StartMonth,$A265-1))</f>
        <v/>
      </c>
      <c r="C265" s="33">
        <f>IF($A265&gt;NYears*12,"",INT(($A265-1)/12)+1)</f>
        <v/>
      </c>
      <c r="D265" s="33">
        <f>IF($A265&gt;NYears*12,"",MOD($A265-1,12)+1)</f>
        <v/>
      </c>
      <c r="E265" s="35">
        <f>IF($A265&gt;NYears*12,"",LotValue0*(1+LotGrowth)^($C265-1))</f>
        <v/>
      </c>
      <c r="F265" s="35">
        <f>IF($A265&gt;NYears*12,"",IF($A265=1,InitInvest,$R264))</f>
        <v/>
      </c>
      <c r="G265" s="33">
        <f>IF($A265&gt;NYears*12,"",INT($F265/$E265))</f>
        <v/>
      </c>
      <c r="H265" s="35">
        <f>IF($A265&gt;NYears*12,"",$G265*$E265)</f>
        <v/>
      </c>
      <c r="I265" s="35">
        <f>IF($A265&gt;NYears*12,"",$F265-$H265)</f>
        <v/>
      </c>
      <c r="J265" s="35">
        <f>IF($A265&gt;NYears*12,"",$H265*RateA)</f>
        <v/>
      </c>
      <c r="K265" s="35">
        <f>IF($A265&gt;NYears*12,"",IF($D265=1,$J265,$K264+$J265))</f>
        <v/>
      </c>
      <c r="L265" s="35">
        <f>IF($A265&gt;NYears*12,"",IF(MOD($D265,3)=0,SUM($J263:$J265),0))</f>
        <v/>
      </c>
      <c r="M265" s="35">
        <f>IF($A265&gt;NYears*12,"",IF(TaxFreq="Quarterly",$K265*12/$D265,$K265))</f>
        <v/>
      </c>
      <c r="N265" s="36">
        <f>IF($A265&gt;NYears*12,"",LOOKUP($M265,TaxLower,TaxRate))</f>
        <v/>
      </c>
      <c r="O265" s="35">
        <f>IF($A265&gt;NYears*12,"",IF(TaxFreq="Quarterly",IF(MOD($D265,3)=0,$L265*$N265,0),IF($D265=12,$K265*$N265,0)))</f>
        <v/>
      </c>
      <c r="P265" s="35">
        <f>IF($A265&gt;NYears*12,"",IF($D265=1,$O265,$P264+$O265))</f>
        <v/>
      </c>
      <c r="Q265" s="35">
        <f>IF($A265&gt;NYears*12,"",IF($D265=12,MIN(WdrPct*IF(WdrBase="Post-tax profit",$K265-$P265,$K265),WdrCap),0))</f>
        <v/>
      </c>
      <c r="R265" s="35">
        <f>IF($A265&gt;NYears*12,"",$F265+$J265-$O265-$Q265)</f>
        <v/>
      </c>
      <c r="S265" s="33">
        <f>IF($A265&gt;NYears*12,"",INT($R265/$E265))</f>
        <v/>
      </c>
    </row>
    <row r="266">
      <c r="A266" s="33">
        <f>262</f>
        <v/>
      </c>
      <c r="B266" s="34">
        <f>IF($A266&gt;NYears*12,"",EDATE(StartMonth,$A266-1))</f>
        <v/>
      </c>
      <c r="C266" s="33">
        <f>IF($A266&gt;NYears*12,"",INT(($A266-1)/12)+1)</f>
        <v/>
      </c>
      <c r="D266" s="33">
        <f>IF($A266&gt;NYears*12,"",MOD($A266-1,12)+1)</f>
        <v/>
      </c>
      <c r="E266" s="35">
        <f>IF($A266&gt;NYears*12,"",LotValue0*(1+LotGrowth)^($C266-1))</f>
        <v/>
      </c>
      <c r="F266" s="35">
        <f>IF($A266&gt;NYears*12,"",IF($A266=1,InitInvest,$R265))</f>
        <v/>
      </c>
      <c r="G266" s="33">
        <f>IF($A266&gt;NYears*12,"",INT($F266/$E266))</f>
        <v/>
      </c>
      <c r="H266" s="35">
        <f>IF($A266&gt;NYears*12,"",$G266*$E266)</f>
        <v/>
      </c>
      <c r="I266" s="35">
        <f>IF($A266&gt;NYears*12,"",$F266-$H266)</f>
        <v/>
      </c>
      <c r="J266" s="35">
        <f>IF($A266&gt;NYears*12,"",$H266*RateA)</f>
        <v/>
      </c>
      <c r="K266" s="35">
        <f>IF($A266&gt;NYears*12,"",IF($D266=1,$J266,$K265+$J266))</f>
        <v/>
      </c>
      <c r="L266" s="35">
        <f>IF($A266&gt;NYears*12,"",IF(MOD($D266,3)=0,SUM($J264:$J266),0))</f>
        <v/>
      </c>
      <c r="M266" s="35">
        <f>IF($A266&gt;NYears*12,"",IF(TaxFreq="Quarterly",$K266*12/$D266,$K266))</f>
        <v/>
      </c>
      <c r="N266" s="36">
        <f>IF($A266&gt;NYears*12,"",LOOKUP($M266,TaxLower,TaxRate))</f>
        <v/>
      </c>
      <c r="O266" s="35">
        <f>IF($A266&gt;NYears*12,"",IF(TaxFreq="Quarterly",IF(MOD($D266,3)=0,$L266*$N266,0),IF($D266=12,$K266*$N266,0)))</f>
        <v/>
      </c>
      <c r="P266" s="35">
        <f>IF($A266&gt;NYears*12,"",IF($D266=1,$O266,$P265+$O266))</f>
        <v/>
      </c>
      <c r="Q266" s="35">
        <f>IF($A266&gt;NYears*12,"",IF($D266=12,MIN(WdrPct*IF(WdrBase="Post-tax profit",$K266-$P266,$K266),WdrCap),0))</f>
        <v/>
      </c>
      <c r="R266" s="35">
        <f>IF($A266&gt;NYears*12,"",$F266+$J266-$O266-$Q266)</f>
        <v/>
      </c>
      <c r="S266" s="33">
        <f>IF($A266&gt;NYears*12,"",INT($R266/$E266))</f>
        <v/>
      </c>
    </row>
    <row r="267">
      <c r="A267" s="33">
        <f>263</f>
        <v/>
      </c>
      <c r="B267" s="34">
        <f>IF($A267&gt;NYears*12,"",EDATE(StartMonth,$A267-1))</f>
        <v/>
      </c>
      <c r="C267" s="33">
        <f>IF($A267&gt;NYears*12,"",INT(($A267-1)/12)+1)</f>
        <v/>
      </c>
      <c r="D267" s="33">
        <f>IF($A267&gt;NYears*12,"",MOD($A267-1,12)+1)</f>
        <v/>
      </c>
      <c r="E267" s="35">
        <f>IF($A267&gt;NYears*12,"",LotValue0*(1+LotGrowth)^($C267-1))</f>
        <v/>
      </c>
      <c r="F267" s="35">
        <f>IF($A267&gt;NYears*12,"",IF($A267=1,InitInvest,$R266))</f>
        <v/>
      </c>
      <c r="G267" s="33">
        <f>IF($A267&gt;NYears*12,"",INT($F267/$E267))</f>
        <v/>
      </c>
      <c r="H267" s="35">
        <f>IF($A267&gt;NYears*12,"",$G267*$E267)</f>
        <v/>
      </c>
      <c r="I267" s="35">
        <f>IF($A267&gt;NYears*12,"",$F267-$H267)</f>
        <v/>
      </c>
      <c r="J267" s="35">
        <f>IF($A267&gt;NYears*12,"",$H267*RateA)</f>
        <v/>
      </c>
      <c r="K267" s="35">
        <f>IF($A267&gt;NYears*12,"",IF($D267=1,$J267,$K266+$J267))</f>
        <v/>
      </c>
      <c r="L267" s="35">
        <f>IF($A267&gt;NYears*12,"",IF(MOD($D267,3)=0,SUM($J265:$J267),0))</f>
        <v/>
      </c>
      <c r="M267" s="35">
        <f>IF($A267&gt;NYears*12,"",IF(TaxFreq="Quarterly",$K267*12/$D267,$K267))</f>
        <v/>
      </c>
      <c r="N267" s="36">
        <f>IF($A267&gt;NYears*12,"",LOOKUP($M267,TaxLower,TaxRate))</f>
        <v/>
      </c>
      <c r="O267" s="35">
        <f>IF($A267&gt;NYears*12,"",IF(TaxFreq="Quarterly",IF(MOD($D267,3)=0,$L267*$N267,0),IF($D267=12,$K267*$N267,0)))</f>
        <v/>
      </c>
      <c r="P267" s="35">
        <f>IF($A267&gt;NYears*12,"",IF($D267=1,$O267,$P266+$O267))</f>
        <v/>
      </c>
      <c r="Q267" s="35">
        <f>IF($A267&gt;NYears*12,"",IF($D267=12,MIN(WdrPct*IF(WdrBase="Post-tax profit",$K267-$P267,$K267),WdrCap),0))</f>
        <v/>
      </c>
      <c r="R267" s="35">
        <f>IF($A267&gt;NYears*12,"",$F267+$J267-$O267-$Q267)</f>
        <v/>
      </c>
      <c r="S267" s="33">
        <f>IF($A267&gt;NYears*12,"",INT($R267/$E267))</f>
        <v/>
      </c>
    </row>
    <row r="268">
      <c r="A268" s="37">
        <f>264</f>
        <v/>
      </c>
      <c r="B268" s="38">
        <f>IF($A268&gt;NYears*12,"",EDATE(StartMonth,$A268-1))</f>
        <v/>
      </c>
      <c r="C268" s="37">
        <f>IF($A268&gt;NYears*12,"",INT(($A268-1)/12)+1)</f>
        <v/>
      </c>
      <c r="D268" s="37">
        <f>IF($A268&gt;NYears*12,"",MOD($A268-1,12)+1)</f>
        <v/>
      </c>
      <c r="E268" s="39">
        <f>IF($A268&gt;NYears*12,"",LotValue0*(1+LotGrowth)^($C268-1))</f>
        <v/>
      </c>
      <c r="F268" s="39">
        <f>IF($A268&gt;NYears*12,"",IF($A268=1,InitInvest,$R267))</f>
        <v/>
      </c>
      <c r="G268" s="37">
        <f>IF($A268&gt;NYears*12,"",INT($F268/$E268))</f>
        <v/>
      </c>
      <c r="H268" s="39">
        <f>IF($A268&gt;NYears*12,"",$G268*$E268)</f>
        <v/>
      </c>
      <c r="I268" s="39">
        <f>IF($A268&gt;NYears*12,"",$F268-$H268)</f>
        <v/>
      </c>
      <c r="J268" s="39">
        <f>IF($A268&gt;NYears*12,"",$H268*RateA)</f>
        <v/>
      </c>
      <c r="K268" s="39">
        <f>IF($A268&gt;NYears*12,"",IF($D268=1,$J268,$K267+$J268))</f>
        <v/>
      </c>
      <c r="L268" s="39">
        <f>IF($A268&gt;NYears*12,"",IF(MOD($D268,3)=0,SUM($J266:$J268),0))</f>
        <v/>
      </c>
      <c r="M268" s="39">
        <f>IF($A268&gt;NYears*12,"",IF(TaxFreq="Quarterly",$K268*12/$D268,$K268))</f>
        <v/>
      </c>
      <c r="N268" s="40">
        <f>IF($A268&gt;NYears*12,"",LOOKUP($M268,TaxLower,TaxRate))</f>
        <v/>
      </c>
      <c r="O268" s="39">
        <f>IF($A268&gt;NYears*12,"",IF(TaxFreq="Quarterly",IF(MOD($D268,3)=0,$L268*$N268,0),IF($D268=12,$K268*$N268,0)))</f>
        <v/>
      </c>
      <c r="P268" s="39">
        <f>IF($A268&gt;NYears*12,"",IF($D268=1,$O268,$P267+$O268))</f>
        <v/>
      </c>
      <c r="Q268" s="39">
        <f>IF($A268&gt;NYears*12,"",IF($D268=12,MIN(WdrPct*IF(WdrBase="Post-tax profit",$K268-$P268,$K268),WdrCap),0))</f>
        <v/>
      </c>
      <c r="R268" s="39">
        <f>IF($A268&gt;NYears*12,"",$F268+$J268-$O268-$Q268)</f>
        <v/>
      </c>
      <c r="S268" s="37">
        <f>IF($A268&gt;NYears*12,"",INT($R268/$E268))</f>
        <v/>
      </c>
    </row>
    <row r="269">
      <c r="A269" s="33">
        <f>265</f>
        <v/>
      </c>
      <c r="B269" s="34">
        <f>IF($A269&gt;NYears*12,"",EDATE(StartMonth,$A269-1))</f>
        <v/>
      </c>
      <c r="C269" s="33">
        <f>IF($A269&gt;NYears*12,"",INT(($A269-1)/12)+1)</f>
        <v/>
      </c>
      <c r="D269" s="33">
        <f>IF($A269&gt;NYears*12,"",MOD($A269-1,12)+1)</f>
        <v/>
      </c>
      <c r="E269" s="35">
        <f>IF($A269&gt;NYears*12,"",LotValue0*(1+LotGrowth)^($C269-1))</f>
        <v/>
      </c>
      <c r="F269" s="35">
        <f>IF($A269&gt;NYears*12,"",IF($A269=1,InitInvest,$R268))</f>
        <v/>
      </c>
      <c r="G269" s="33">
        <f>IF($A269&gt;NYears*12,"",INT($F269/$E269))</f>
        <v/>
      </c>
      <c r="H269" s="35">
        <f>IF($A269&gt;NYears*12,"",$G269*$E269)</f>
        <v/>
      </c>
      <c r="I269" s="35">
        <f>IF($A269&gt;NYears*12,"",$F269-$H269)</f>
        <v/>
      </c>
      <c r="J269" s="35">
        <f>IF($A269&gt;NYears*12,"",$H269*RateA)</f>
        <v/>
      </c>
      <c r="K269" s="35">
        <f>IF($A269&gt;NYears*12,"",IF($D269=1,$J269,$K268+$J269))</f>
        <v/>
      </c>
      <c r="L269" s="35">
        <f>IF($A269&gt;NYears*12,"",IF(MOD($D269,3)=0,SUM($J267:$J269),0))</f>
        <v/>
      </c>
      <c r="M269" s="35">
        <f>IF($A269&gt;NYears*12,"",IF(TaxFreq="Quarterly",$K269*12/$D269,$K269))</f>
        <v/>
      </c>
      <c r="N269" s="36">
        <f>IF($A269&gt;NYears*12,"",LOOKUP($M269,TaxLower,TaxRate))</f>
        <v/>
      </c>
      <c r="O269" s="35">
        <f>IF($A269&gt;NYears*12,"",IF(TaxFreq="Quarterly",IF(MOD($D269,3)=0,$L269*$N269,0),IF($D269=12,$K269*$N269,0)))</f>
        <v/>
      </c>
      <c r="P269" s="35">
        <f>IF($A269&gt;NYears*12,"",IF($D269=1,$O269,$P268+$O269))</f>
        <v/>
      </c>
      <c r="Q269" s="35">
        <f>IF($A269&gt;NYears*12,"",IF($D269=12,MIN(WdrPct*IF(WdrBase="Post-tax profit",$K269-$P269,$K269),WdrCap),0))</f>
        <v/>
      </c>
      <c r="R269" s="35">
        <f>IF($A269&gt;NYears*12,"",$F269+$J269-$O269-$Q269)</f>
        <v/>
      </c>
      <c r="S269" s="33">
        <f>IF($A269&gt;NYears*12,"",INT($R269/$E269))</f>
        <v/>
      </c>
    </row>
    <row r="270">
      <c r="A270" s="33">
        <f>266</f>
        <v/>
      </c>
      <c r="B270" s="34">
        <f>IF($A270&gt;NYears*12,"",EDATE(StartMonth,$A270-1))</f>
        <v/>
      </c>
      <c r="C270" s="33">
        <f>IF($A270&gt;NYears*12,"",INT(($A270-1)/12)+1)</f>
        <v/>
      </c>
      <c r="D270" s="33">
        <f>IF($A270&gt;NYears*12,"",MOD($A270-1,12)+1)</f>
        <v/>
      </c>
      <c r="E270" s="35">
        <f>IF($A270&gt;NYears*12,"",LotValue0*(1+LotGrowth)^($C270-1))</f>
        <v/>
      </c>
      <c r="F270" s="35">
        <f>IF($A270&gt;NYears*12,"",IF($A270=1,InitInvest,$R269))</f>
        <v/>
      </c>
      <c r="G270" s="33">
        <f>IF($A270&gt;NYears*12,"",INT($F270/$E270))</f>
        <v/>
      </c>
      <c r="H270" s="35">
        <f>IF($A270&gt;NYears*12,"",$G270*$E270)</f>
        <v/>
      </c>
      <c r="I270" s="35">
        <f>IF($A270&gt;NYears*12,"",$F270-$H270)</f>
        <v/>
      </c>
      <c r="J270" s="35">
        <f>IF($A270&gt;NYears*12,"",$H270*RateA)</f>
        <v/>
      </c>
      <c r="K270" s="35">
        <f>IF($A270&gt;NYears*12,"",IF($D270=1,$J270,$K269+$J270))</f>
        <v/>
      </c>
      <c r="L270" s="35">
        <f>IF($A270&gt;NYears*12,"",IF(MOD($D270,3)=0,SUM($J268:$J270),0))</f>
        <v/>
      </c>
      <c r="M270" s="35">
        <f>IF($A270&gt;NYears*12,"",IF(TaxFreq="Quarterly",$K270*12/$D270,$K270))</f>
        <v/>
      </c>
      <c r="N270" s="36">
        <f>IF($A270&gt;NYears*12,"",LOOKUP($M270,TaxLower,TaxRate))</f>
        <v/>
      </c>
      <c r="O270" s="35">
        <f>IF($A270&gt;NYears*12,"",IF(TaxFreq="Quarterly",IF(MOD($D270,3)=0,$L270*$N270,0),IF($D270=12,$K270*$N270,0)))</f>
        <v/>
      </c>
      <c r="P270" s="35">
        <f>IF($A270&gt;NYears*12,"",IF($D270=1,$O270,$P269+$O270))</f>
        <v/>
      </c>
      <c r="Q270" s="35">
        <f>IF($A270&gt;NYears*12,"",IF($D270=12,MIN(WdrPct*IF(WdrBase="Post-tax profit",$K270-$P270,$K270),WdrCap),0))</f>
        <v/>
      </c>
      <c r="R270" s="35">
        <f>IF($A270&gt;NYears*12,"",$F270+$J270-$O270-$Q270)</f>
        <v/>
      </c>
      <c r="S270" s="33">
        <f>IF($A270&gt;NYears*12,"",INT($R270/$E270))</f>
        <v/>
      </c>
    </row>
    <row r="271">
      <c r="A271" s="33">
        <f>267</f>
        <v/>
      </c>
      <c r="B271" s="34">
        <f>IF($A271&gt;NYears*12,"",EDATE(StartMonth,$A271-1))</f>
        <v/>
      </c>
      <c r="C271" s="33">
        <f>IF($A271&gt;NYears*12,"",INT(($A271-1)/12)+1)</f>
        <v/>
      </c>
      <c r="D271" s="33">
        <f>IF($A271&gt;NYears*12,"",MOD($A271-1,12)+1)</f>
        <v/>
      </c>
      <c r="E271" s="35">
        <f>IF($A271&gt;NYears*12,"",LotValue0*(1+LotGrowth)^($C271-1))</f>
        <v/>
      </c>
      <c r="F271" s="35">
        <f>IF($A271&gt;NYears*12,"",IF($A271=1,InitInvest,$R270))</f>
        <v/>
      </c>
      <c r="G271" s="33">
        <f>IF($A271&gt;NYears*12,"",INT($F271/$E271))</f>
        <v/>
      </c>
      <c r="H271" s="35">
        <f>IF($A271&gt;NYears*12,"",$G271*$E271)</f>
        <v/>
      </c>
      <c r="I271" s="35">
        <f>IF($A271&gt;NYears*12,"",$F271-$H271)</f>
        <v/>
      </c>
      <c r="J271" s="35">
        <f>IF($A271&gt;NYears*12,"",$H271*RateA)</f>
        <v/>
      </c>
      <c r="K271" s="35">
        <f>IF($A271&gt;NYears*12,"",IF($D271=1,$J271,$K270+$J271))</f>
        <v/>
      </c>
      <c r="L271" s="35">
        <f>IF($A271&gt;NYears*12,"",IF(MOD($D271,3)=0,SUM($J269:$J271),0))</f>
        <v/>
      </c>
      <c r="M271" s="35">
        <f>IF($A271&gt;NYears*12,"",IF(TaxFreq="Quarterly",$K271*12/$D271,$K271))</f>
        <v/>
      </c>
      <c r="N271" s="36">
        <f>IF($A271&gt;NYears*12,"",LOOKUP($M271,TaxLower,TaxRate))</f>
        <v/>
      </c>
      <c r="O271" s="35">
        <f>IF($A271&gt;NYears*12,"",IF(TaxFreq="Quarterly",IF(MOD($D271,3)=0,$L271*$N271,0),IF($D271=12,$K271*$N271,0)))</f>
        <v/>
      </c>
      <c r="P271" s="35">
        <f>IF($A271&gt;NYears*12,"",IF($D271=1,$O271,$P270+$O271))</f>
        <v/>
      </c>
      <c r="Q271" s="35">
        <f>IF($A271&gt;NYears*12,"",IF($D271=12,MIN(WdrPct*IF(WdrBase="Post-tax profit",$K271-$P271,$K271),WdrCap),0))</f>
        <v/>
      </c>
      <c r="R271" s="35">
        <f>IF($A271&gt;NYears*12,"",$F271+$J271-$O271-$Q271)</f>
        <v/>
      </c>
      <c r="S271" s="33">
        <f>IF($A271&gt;NYears*12,"",INT($R271/$E271))</f>
        <v/>
      </c>
    </row>
    <row r="272">
      <c r="A272" s="33">
        <f>268</f>
        <v/>
      </c>
      <c r="B272" s="34">
        <f>IF($A272&gt;NYears*12,"",EDATE(StartMonth,$A272-1))</f>
        <v/>
      </c>
      <c r="C272" s="33">
        <f>IF($A272&gt;NYears*12,"",INT(($A272-1)/12)+1)</f>
        <v/>
      </c>
      <c r="D272" s="33">
        <f>IF($A272&gt;NYears*12,"",MOD($A272-1,12)+1)</f>
        <v/>
      </c>
      <c r="E272" s="35">
        <f>IF($A272&gt;NYears*12,"",LotValue0*(1+LotGrowth)^($C272-1))</f>
        <v/>
      </c>
      <c r="F272" s="35">
        <f>IF($A272&gt;NYears*12,"",IF($A272=1,InitInvest,$R271))</f>
        <v/>
      </c>
      <c r="G272" s="33">
        <f>IF($A272&gt;NYears*12,"",INT($F272/$E272))</f>
        <v/>
      </c>
      <c r="H272" s="35">
        <f>IF($A272&gt;NYears*12,"",$G272*$E272)</f>
        <v/>
      </c>
      <c r="I272" s="35">
        <f>IF($A272&gt;NYears*12,"",$F272-$H272)</f>
        <v/>
      </c>
      <c r="J272" s="35">
        <f>IF($A272&gt;NYears*12,"",$H272*RateA)</f>
        <v/>
      </c>
      <c r="K272" s="35">
        <f>IF($A272&gt;NYears*12,"",IF($D272=1,$J272,$K271+$J272))</f>
        <v/>
      </c>
      <c r="L272" s="35">
        <f>IF($A272&gt;NYears*12,"",IF(MOD($D272,3)=0,SUM($J270:$J272),0))</f>
        <v/>
      </c>
      <c r="M272" s="35">
        <f>IF($A272&gt;NYears*12,"",IF(TaxFreq="Quarterly",$K272*12/$D272,$K272))</f>
        <v/>
      </c>
      <c r="N272" s="36">
        <f>IF($A272&gt;NYears*12,"",LOOKUP($M272,TaxLower,TaxRate))</f>
        <v/>
      </c>
      <c r="O272" s="35">
        <f>IF($A272&gt;NYears*12,"",IF(TaxFreq="Quarterly",IF(MOD($D272,3)=0,$L272*$N272,0),IF($D272=12,$K272*$N272,0)))</f>
        <v/>
      </c>
      <c r="P272" s="35">
        <f>IF($A272&gt;NYears*12,"",IF($D272=1,$O272,$P271+$O272))</f>
        <v/>
      </c>
      <c r="Q272" s="35">
        <f>IF($A272&gt;NYears*12,"",IF($D272=12,MIN(WdrPct*IF(WdrBase="Post-tax profit",$K272-$P272,$K272),WdrCap),0))</f>
        <v/>
      </c>
      <c r="R272" s="35">
        <f>IF($A272&gt;NYears*12,"",$F272+$J272-$O272-$Q272)</f>
        <v/>
      </c>
      <c r="S272" s="33">
        <f>IF($A272&gt;NYears*12,"",INT($R272/$E272))</f>
        <v/>
      </c>
    </row>
    <row r="273">
      <c r="A273" s="33">
        <f>269</f>
        <v/>
      </c>
      <c r="B273" s="34">
        <f>IF($A273&gt;NYears*12,"",EDATE(StartMonth,$A273-1))</f>
        <v/>
      </c>
      <c r="C273" s="33">
        <f>IF($A273&gt;NYears*12,"",INT(($A273-1)/12)+1)</f>
        <v/>
      </c>
      <c r="D273" s="33">
        <f>IF($A273&gt;NYears*12,"",MOD($A273-1,12)+1)</f>
        <v/>
      </c>
      <c r="E273" s="35">
        <f>IF($A273&gt;NYears*12,"",LotValue0*(1+LotGrowth)^($C273-1))</f>
        <v/>
      </c>
      <c r="F273" s="35">
        <f>IF($A273&gt;NYears*12,"",IF($A273=1,InitInvest,$R272))</f>
        <v/>
      </c>
      <c r="G273" s="33">
        <f>IF($A273&gt;NYears*12,"",INT($F273/$E273))</f>
        <v/>
      </c>
      <c r="H273" s="35">
        <f>IF($A273&gt;NYears*12,"",$G273*$E273)</f>
        <v/>
      </c>
      <c r="I273" s="35">
        <f>IF($A273&gt;NYears*12,"",$F273-$H273)</f>
        <v/>
      </c>
      <c r="J273" s="35">
        <f>IF($A273&gt;NYears*12,"",$H273*RateA)</f>
        <v/>
      </c>
      <c r="K273" s="35">
        <f>IF($A273&gt;NYears*12,"",IF($D273=1,$J273,$K272+$J273))</f>
        <v/>
      </c>
      <c r="L273" s="35">
        <f>IF($A273&gt;NYears*12,"",IF(MOD($D273,3)=0,SUM($J271:$J273),0))</f>
        <v/>
      </c>
      <c r="M273" s="35">
        <f>IF($A273&gt;NYears*12,"",IF(TaxFreq="Quarterly",$K273*12/$D273,$K273))</f>
        <v/>
      </c>
      <c r="N273" s="36">
        <f>IF($A273&gt;NYears*12,"",LOOKUP($M273,TaxLower,TaxRate))</f>
        <v/>
      </c>
      <c r="O273" s="35">
        <f>IF($A273&gt;NYears*12,"",IF(TaxFreq="Quarterly",IF(MOD($D273,3)=0,$L273*$N273,0),IF($D273=12,$K273*$N273,0)))</f>
        <v/>
      </c>
      <c r="P273" s="35">
        <f>IF($A273&gt;NYears*12,"",IF($D273=1,$O273,$P272+$O273))</f>
        <v/>
      </c>
      <c r="Q273" s="35">
        <f>IF($A273&gt;NYears*12,"",IF($D273=12,MIN(WdrPct*IF(WdrBase="Post-tax profit",$K273-$P273,$K273),WdrCap),0))</f>
        <v/>
      </c>
      <c r="R273" s="35">
        <f>IF($A273&gt;NYears*12,"",$F273+$J273-$O273-$Q273)</f>
        <v/>
      </c>
      <c r="S273" s="33">
        <f>IF($A273&gt;NYears*12,"",INT($R273/$E273))</f>
        <v/>
      </c>
    </row>
    <row r="274">
      <c r="A274" s="33">
        <f>270</f>
        <v/>
      </c>
      <c r="B274" s="34">
        <f>IF($A274&gt;NYears*12,"",EDATE(StartMonth,$A274-1))</f>
        <v/>
      </c>
      <c r="C274" s="33">
        <f>IF($A274&gt;NYears*12,"",INT(($A274-1)/12)+1)</f>
        <v/>
      </c>
      <c r="D274" s="33">
        <f>IF($A274&gt;NYears*12,"",MOD($A274-1,12)+1)</f>
        <v/>
      </c>
      <c r="E274" s="35">
        <f>IF($A274&gt;NYears*12,"",LotValue0*(1+LotGrowth)^($C274-1))</f>
        <v/>
      </c>
      <c r="F274" s="35">
        <f>IF($A274&gt;NYears*12,"",IF($A274=1,InitInvest,$R273))</f>
        <v/>
      </c>
      <c r="G274" s="33">
        <f>IF($A274&gt;NYears*12,"",INT($F274/$E274))</f>
        <v/>
      </c>
      <c r="H274" s="35">
        <f>IF($A274&gt;NYears*12,"",$G274*$E274)</f>
        <v/>
      </c>
      <c r="I274" s="35">
        <f>IF($A274&gt;NYears*12,"",$F274-$H274)</f>
        <v/>
      </c>
      <c r="J274" s="35">
        <f>IF($A274&gt;NYears*12,"",$H274*RateA)</f>
        <v/>
      </c>
      <c r="K274" s="35">
        <f>IF($A274&gt;NYears*12,"",IF($D274=1,$J274,$K273+$J274))</f>
        <v/>
      </c>
      <c r="L274" s="35">
        <f>IF($A274&gt;NYears*12,"",IF(MOD($D274,3)=0,SUM($J272:$J274),0))</f>
        <v/>
      </c>
      <c r="M274" s="35">
        <f>IF($A274&gt;NYears*12,"",IF(TaxFreq="Quarterly",$K274*12/$D274,$K274))</f>
        <v/>
      </c>
      <c r="N274" s="36">
        <f>IF($A274&gt;NYears*12,"",LOOKUP($M274,TaxLower,TaxRate))</f>
        <v/>
      </c>
      <c r="O274" s="35">
        <f>IF($A274&gt;NYears*12,"",IF(TaxFreq="Quarterly",IF(MOD($D274,3)=0,$L274*$N274,0),IF($D274=12,$K274*$N274,0)))</f>
        <v/>
      </c>
      <c r="P274" s="35">
        <f>IF($A274&gt;NYears*12,"",IF($D274=1,$O274,$P273+$O274))</f>
        <v/>
      </c>
      <c r="Q274" s="35">
        <f>IF($A274&gt;NYears*12,"",IF($D274=12,MIN(WdrPct*IF(WdrBase="Post-tax profit",$K274-$P274,$K274),WdrCap),0))</f>
        <v/>
      </c>
      <c r="R274" s="35">
        <f>IF($A274&gt;NYears*12,"",$F274+$J274-$O274-$Q274)</f>
        <v/>
      </c>
      <c r="S274" s="33">
        <f>IF($A274&gt;NYears*12,"",INT($R274/$E274))</f>
        <v/>
      </c>
    </row>
    <row r="275">
      <c r="A275" s="33">
        <f>271</f>
        <v/>
      </c>
      <c r="B275" s="34">
        <f>IF($A275&gt;NYears*12,"",EDATE(StartMonth,$A275-1))</f>
        <v/>
      </c>
      <c r="C275" s="33">
        <f>IF($A275&gt;NYears*12,"",INT(($A275-1)/12)+1)</f>
        <v/>
      </c>
      <c r="D275" s="33">
        <f>IF($A275&gt;NYears*12,"",MOD($A275-1,12)+1)</f>
        <v/>
      </c>
      <c r="E275" s="35">
        <f>IF($A275&gt;NYears*12,"",LotValue0*(1+LotGrowth)^($C275-1))</f>
        <v/>
      </c>
      <c r="F275" s="35">
        <f>IF($A275&gt;NYears*12,"",IF($A275=1,InitInvest,$R274))</f>
        <v/>
      </c>
      <c r="G275" s="33">
        <f>IF($A275&gt;NYears*12,"",INT($F275/$E275))</f>
        <v/>
      </c>
      <c r="H275" s="35">
        <f>IF($A275&gt;NYears*12,"",$G275*$E275)</f>
        <v/>
      </c>
      <c r="I275" s="35">
        <f>IF($A275&gt;NYears*12,"",$F275-$H275)</f>
        <v/>
      </c>
      <c r="J275" s="35">
        <f>IF($A275&gt;NYears*12,"",$H275*RateA)</f>
        <v/>
      </c>
      <c r="K275" s="35">
        <f>IF($A275&gt;NYears*12,"",IF($D275=1,$J275,$K274+$J275))</f>
        <v/>
      </c>
      <c r="L275" s="35">
        <f>IF($A275&gt;NYears*12,"",IF(MOD($D275,3)=0,SUM($J273:$J275),0))</f>
        <v/>
      </c>
      <c r="M275" s="35">
        <f>IF($A275&gt;NYears*12,"",IF(TaxFreq="Quarterly",$K275*12/$D275,$K275))</f>
        <v/>
      </c>
      <c r="N275" s="36">
        <f>IF($A275&gt;NYears*12,"",LOOKUP($M275,TaxLower,TaxRate))</f>
        <v/>
      </c>
      <c r="O275" s="35">
        <f>IF($A275&gt;NYears*12,"",IF(TaxFreq="Quarterly",IF(MOD($D275,3)=0,$L275*$N275,0),IF($D275=12,$K275*$N275,0)))</f>
        <v/>
      </c>
      <c r="P275" s="35">
        <f>IF($A275&gt;NYears*12,"",IF($D275=1,$O275,$P274+$O275))</f>
        <v/>
      </c>
      <c r="Q275" s="35">
        <f>IF($A275&gt;NYears*12,"",IF($D275=12,MIN(WdrPct*IF(WdrBase="Post-tax profit",$K275-$P275,$K275),WdrCap),0))</f>
        <v/>
      </c>
      <c r="R275" s="35">
        <f>IF($A275&gt;NYears*12,"",$F275+$J275-$O275-$Q275)</f>
        <v/>
      </c>
      <c r="S275" s="33">
        <f>IF($A275&gt;NYears*12,"",INT($R275/$E275))</f>
        <v/>
      </c>
    </row>
    <row r="276">
      <c r="A276" s="33">
        <f>272</f>
        <v/>
      </c>
      <c r="B276" s="34">
        <f>IF($A276&gt;NYears*12,"",EDATE(StartMonth,$A276-1))</f>
        <v/>
      </c>
      <c r="C276" s="33">
        <f>IF($A276&gt;NYears*12,"",INT(($A276-1)/12)+1)</f>
        <v/>
      </c>
      <c r="D276" s="33">
        <f>IF($A276&gt;NYears*12,"",MOD($A276-1,12)+1)</f>
        <v/>
      </c>
      <c r="E276" s="35">
        <f>IF($A276&gt;NYears*12,"",LotValue0*(1+LotGrowth)^($C276-1))</f>
        <v/>
      </c>
      <c r="F276" s="35">
        <f>IF($A276&gt;NYears*12,"",IF($A276=1,InitInvest,$R275))</f>
        <v/>
      </c>
      <c r="G276" s="33">
        <f>IF($A276&gt;NYears*12,"",INT($F276/$E276))</f>
        <v/>
      </c>
      <c r="H276" s="35">
        <f>IF($A276&gt;NYears*12,"",$G276*$E276)</f>
        <v/>
      </c>
      <c r="I276" s="35">
        <f>IF($A276&gt;NYears*12,"",$F276-$H276)</f>
        <v/>
      </c>
      <c r="J276" s="35">
        <f>IF($A276&gt;NYears*12,"",$H276*RateA)</f>
        <v/>
      </c>
      <c r="K276" s="35">
        <f>IF($A276&gt;NYears*12,"",IF($D276=1,$J276,$K275+$J276))</f>
        <v/>
      </c>
      <c r="L276" s="35">
        <f>IF($A276&gt;NYears*12,"",IF(MOD($D276,3)=0,SUM($J274:$J276),0))</f>
        <v/>
      </c>
      <c r="M276" s="35">
        <f>IF($A276&gt;NYears*12,"",IF(TaxFreq="Quarterly",$K276*12/$D276,$K276))</f>
        <v/>
      </c>
      <c r="N276" s="36">
        <f>IF($A276&gt;NYears*12,"",LOOKUP($M276,TaxLower,TaxRate))</f>
        <v/>
      </c>
      <c r="O276" s="35">
        <f>IF($A276&gt;NYears*12,"",IF(TaxFreq="Quarterly",IF(MOD($D276,3)=0,$L276*$N276,0),IF($D276=12,$K276*$N276,0)))</f>
        <v/>
      </c>
      <c r="P276" s="35">
        <f>IF($A276&gt;NYears*12,"",IF($D276=1,$O276,$P275+$O276))</f>
        <v/>
      </c>
      <c r="Q276" s="35">
        <f>IF($A276&gt;NYears*12,"",IF($D276=12,MIN(WdrPct*IF(WdrBase="Post-tax profit",$K276-$P276,$K276),WdrCap),0))</f>
        <v/>
      </c>
      <c r="R276" s="35">
        <f>IF($A276&gt;NYears*12,"",$F276+$J276-$O276-$Q276)</f>
        <v/>
      </c>
      <c r="S276" s="33">
        <f>IF($A276&gt;NYears*12,"",INT($R276/$E276))</f>
        <v/>
      </c>
    </row>
    <row r="277">
      <c r="A277" s="33">
        <f>273</f>
        <v/>
      </c>
      <c r="B277" s="34">
        <f>IF($A277&gt;NYears*12,"",EDATE(StartMonth,$A277-1))</f>
        <v/>
      </c>
      <c r="C277" s="33">
        <f>IF($A277&gt;NYears*12,"",INT(($A277-1)/12)+1)</f>
        <v/>
      </c>
      <c r="D277" s="33">
        <f>IF($A277&gt;NYears*12,"",MOD($A277-1,12)+1)</f>
        <v/>
      </c>
      <c r="E277" s="35">
        <f>IF($A277&gt;NYears*12,"",LotValue0*(1+LotGrowth)^($C277-1))</f>
        <v/>
      </c>
      <c r="F277" s="35">
        <f>IF($A277&gt;NYears*12,"",IF($A277=1,InitInvest,$R276))</f>
        <v/>
      </c>
      <c r="G277" s="33">
        <f>IF($A277&gt;NYears*12,"",INT($F277/$E277))</f>
        <v/>
      </c>
      <c r="H277" s="35">
        <f>IF($A277&gt;NYears*12,"",$G277*$E277)</f>
        <v/>
      </c>
      <c r="I277" s="35">
        <f>IF($A277&gt;NYears*12,"",$F277-$H277)</f>
        <v/>
      </c>
      <c r="J277" s="35">
        <f>IF($A277&gt;NYears*12,"",$H277*RateA)</f>
        <v/>
      </c>
      <c r="K277" s="35">
        <f>IF($A277&gt;NYears*12,"",IF($D277=1,$J277,$K276+$J277))</f>
        <v/>
      </c>
      <c r="L277" s="35">
        <f>IF($A277&gt;NYears*12,"",IF(MOD($D277,3)=0,SUM($J275:$J277),0))</f>
        <v/>
      </c>
      <c r="M277" s="35">
        <f>IF($A277&gt;NYears*12,"",IF(TaxFreq="Quarterly",$K277*12/$D277,$K277))</f>
        <v/>
      </c>
      <c r="N277" s="36">
        <f>IF($A277&gt;NYears*12,"",LOOKUP($M277,TaxLower,TaxRate))</f>
        <v/>
      </c>
      <c r="O277" s="35">
        <f>IF($A277&gt;NYears*12,"",IF(TaxFreq="Quarterly",IF(MOD($D277,3)=0,$L277*$N277,0),IF($D277=12,$K277*$N277,0)))</f>
        <v/>
      </c>
      <c r="P277" s="35">
        <f>IF($A277&gt;NYears*12,"",IF($D277=1,$O277,$P276+$O277))</f>
        <v/>
      </c>
      <c r="Q277" s="35">
        <f>IF($A277&gt;NYears*12,"",IF($D277=12,MIN(WdrPct*IF(WdrBase="Post-tax profit",$K277-$P277,$K277),WdrCap),0))</f>
        <v/>
      </c>
      <c r="R277" s="35">
        <f>IF($A277&gt;NYears*12,"",$F277+$J277-$O277-$Q277)</f>
        <v/>
      </c>
      <c r="S277" s="33">
        <f>IF($A277&gt;NYears*12,"",INT($R277/$E277))</f>
        <v/>
      </c>
    </row>
    <row r="278">
      <c r="A278" s="33">
        <f>274</f>
        <v/>
      </c>
      <c r="B278" s="34">
        <f>IF($A278&gt;NYears*12,"",EDATE(StartMonth,$A278-1))</f>
        <v/>
      </c>
      <c r="C278" s="33">
        <f>IF($A278&gt;NYears*12,"",INT(($A278-1)/12)+1)</f>
        <v/>
      </c>
      <c r="D278" s="33">
        <f>IF($A278&gt;NYears*12,"",MOD($A278-1,12)+1)</f>
        <v/>
      </c>
      <c r="E278" s="35">
        <f>IF($A278&gt;NYears*12,"",LotValue0*(1+LotGrowth)^($C278-1))</f>
        <v/>
      </c>
      <c r="F278" s="35">
        <f>IF($A278&gt;NYears*12,"",IF($A278=1,InitInvest,$R277))</f>
        <v/>
      </c>
      <c r="G278" s="33">
        <f>IF($A278&gt;NYears*12,"",INT($F278/$E278))</f>
        <v/>
      </c>
      <c r="H278" s="35">
        <f>IF($A278&gt;NYears*12,"",$G278*$E278)</f>
        <v/>
      </c>
      <c r="I278" s="35">
        <f>IF($A278&gt;NYears*12,"",$F278-$H278)</f>
        <v/>
      </c>
      <c r="J278" s="35">
        <f>IF($A278&gt;NYears*12,"",$H278*RateA)</f>
        <v/>
      </c>
      <c r="K278" s="35">
        <f>IF($A278&gt;NYears*12,"",IF($D278=1,$J278,$K277+$J278))</f>
        <v/>
      </c>
      <c r="L278" s="35">
        <f>IF($A278&gt;NYears*12,"",IF(MOD($D278,3)=0,SUM($J276:$J278),0))</f>
        <v/>
      </c>
      <c r="M278" s="35">
        <f>IF($A278&gt;NYears*12,"",IF(TaxFreq="Quarterly",$K278*12/$D278,$K278))</f>
        <v/>
      </c>
      <c r="N278" s="36">
        <f>IF($A278&gt;NYears*12,"",LOOKUP($M278,TaxLower,TaxRate))</f>
        <v/>
      </c>
      <c r="O278" s="35">
        <f>IF($A278&gt;NYears*12,"",IF(TaxFreq="Quarterly",IF(MOD($D278,3)=0,$L278*$N278,0),IF($D278=12,$K278*$N278,0)))</f>
        <v/>
      </c>
      <c r="P278" s="35">
        <f>IF($A278&gt;NYears*12,"",IF($D278=1,$O278,$P277+$O278))</f>
        <v/>
      </c>
      <c r="Q278" s="35">
        <f>IF($A278&gt;NYears*12,"",IF($D278=12,MIN(WdrPct*IF(WdrBase="Post-tax profit",$K278-$P278,$K278),WdrCap),0))</f>
        <v/>
      </c>
      <c r="R278" s="35">
        <f>IF($A278&gt;NYears*12,"",$F278+$J278-$O278-$Q278)</f>
        <v/>
      </c>
      <c r="S278" s="33">
        <f>IF($A278&gt;NYears*12,"",INT($R278/$E278))</f>
        <v/>
      </c>
    </row>
    <row r="279">
      <c r="A279" s="33">
        <f>275</f>
        <v/>
      </c>
      <c r="B279" s="34">
        <f>IF($A279&gt;NYears*12,"",EDATE(StartMonth,$A279-1))</f>
        <v/>
      </c>
      <c r="C279" s="33">
        <f>IF($A279&gt;NYears*12,"",INT(($A279-1)/12)+1)</f>
        <v/>
      </c>
      <c r="D279" s="33">
        <f>IF($A279&gt;NYears*12,"",MOD($A279-1,12)+1)</f>
        <v/>
      </c>
      <c r="E279" s="35">
        <f>IF($A279&gt;NYears*12,"",LotValue0*(1+LotGrowth)^($C279-1))</f>
        <v/>
      </c>
      <c r="F279" s="35">
        <f>IF($A279&gt;NYears*12,"",IF($A279=1,InitInvest,$R278))</f>
        <v/>
      </c>
      <c r="G279" s="33">
        <f>IF($A279&gt;NYears*12,"",INT($F279/$E279))</f>
        <v/>
      </c>
      <c r="H279" s="35">
        <f>IF($A279&gt;NYears*12,"",$G279*$E279)</f>
        <v/>
      </c>
      <c r="I279" s="35">
        <f>IF($A279&gt;NYears*12,"",$F279-$H279)</f>
        <v/>
      </c>
      <c r="J279" s="35">
        <f>IF($A279&gt;NYears*12,"",$H279*RateA)</f>
        <v/>
      </c>
      <c r="K279" s="35">
        <f>IF($A279&gt;NYears*12,"",IF($D279=1,$J279,$K278+$J279))</f>
        <v/>
      </c>
      <c r="L279" s="35">
        <f>IF($A279&gt;NYears*12,"",IF(MOD($D279,3)=0,SUM($J277:$J279),0))</f>
        <v/>
      </c>
      <c r="M279" s="35">
        <f>IF($A279&gt;NYears*12,"",IF(TaxFreq="Quarterly",$K279*12/$D279,$K279))</f>
        <v/>
      </c>
      <c r="N279" s="36">
        <f>IF($A279&gt;NYears*12,"",LOOKUP($M279,TaxLower,TaxRate))</f>
        <v/>
      </c>
      <c r="O279" s="35">
        <f>IF($A279&gt;NYears*12,"",IF(TaxFreq="Quarterly",IF(MOD($D279,3)=0,$L279*$N279,0),IF($D279=12,$K279*$N279,0)))</f>
        <v/>
      </c>
      <c r="P279" s="35">
        <f>IF($A279&gt;NYears*12,"",IF($D279=1,$O279,$P278+$O279))</f>
        <v/>
      </c>
      <c r="Q279" s="35">
        <f>IF($A279&gt;NYears*12,"",IF($D279=12,MIN(WdrPct*IF(WdrBase="Post-tax profit",$K279-$P279,$K279),WdrCap),0))</f>
        <v/>
      </c>
      <c r="R279" s="35">
        <f>IF($A279&gt;NYears*12,"",$F279+$J279-$O279-$Q279)</f>
        <v/>
      </c>
      <c r="S279" s="33">
        <f>IF($A279&gt;NYears*12,"",INT($R279/$E279))</f>
        <v/>
      </c>
    </row>
    <row r="280">
      <c r="A280" s="37">
        <f>276</f>
        <v/>
      </c>
      <c r="B280" s="38">
        <f>IF($A280&gt;NYears*12,"",EDATE(StartMonth,$A280-1))</f>
        <v/>
      </c>
      <c r="C280" s="37">
        <f>IF($A280&gt;NYears*12,"",INT(($A280-1)/12)+1)</f>
        <v/>
      </c>
      <c r="D280" s="37">
        <f>IF($A280&gt;NYears*12,"",MOD($A280-1,12)+1)</f>
        <v/>
      </c>
      <c r="E280" s="39">
        <f>IF($A280&gt;NYears*12,"",LotValue0*(1+LotGrowth)^($C280-1))</f>
        <v/>
      </c>
      <c r="F280" s="39">
        <f>IF($A280&gt;NYears*12,"",IF($A280=1,InitInvest,$R279))</f>
        <v/>
      </c>
      <c r="G280" s="37">
        <f>IF($A280&gt;NYears*12,"",INT($F280/$E280))</f>
        <v/>
      </c>
      <c r="H280" s="39">
        <f>IF($A280&gt;NYears*12,"",$G280*$E280)</f>
        <v/>
      </c>
      <c r="I280" s="39">
        <f>IF($A280&gt;NYears*12,"",$F280-$H280)</f>
        <v/>
      </c>
      <c r="J280" s="39">
        <f>IF($A280&gt;NYears*12,"",$H280*RateA)</f>
        <v/>
      </c>
      <c r="K280" s="39">
        <f>IF($A280&gt;NYears*12,"",IF($D280=1,$J280,$K279+$J280))</f>
        <v/>
      </c>
      <c r="L280" s="39">
        <f>IF($A280&gt;NYears*12,"",IF(MOD($D280,3)=0,SUM($J278:$J280),0))</f>
        <v/>
      </c>
      <c r="M280" s="39">
        <f>IF($A280&gt;NYears*12,"",IF(TaxFreq="Quarterly",$K280*12/$D280,$K280))</f>
        <v/>
      </c>
      <c r="N280" s="40">
        <f>IF($A280&gt;NYears*12,"",LOOKUP($M280,TaxLower,TaxRate))</f>
        <v/>
      </c>
      <c r="O280" s="39">
        <f>IF($A280&gt;NYears*12,"",IF(TaxFreq="Quarterly",IF(MOD($D280,3)=0,$L280*$N280,0),IF($D280=12,$K280*$N280,0)))</f>
        <v/>
      </c>
      <c r="P280" s="39">
        <f>IF($A280&gt;NYears*12,"",IF($D280=1,$O280,$P279+$O280))</f>
        <v/>
      </c>
      <c r="Q280" s="39">
        <f>IF($A280&gt;NYears*12,"",IF($D280=12,MIN(WdrPct*IF(WdrBase="Post-tax profit",$K280-$P280,$K280),WdrCap),0))</f>
        <v/>
      </c>
      <c r="R280" s="39">
        <f>IF($A280&gt;NYears*12,"",$F280+$J280-$O280-$Q280)</f>
        <v/>
      </c>
      <c r="S280" s="37">
        <f>IF($A280&gt;NYears*12,"",INT($R280/$E280))</f>
        <v/>
      </c>
    </row>
    <row r="281">
      <c r="A281" s="33">
        <f>277</f>
        <v/>
      </c>
      <c r="B281" s="34">
        <f>IF($A281&gt;NYears*12,"",EDATE(StartMonth,$A281-1))</f>
        <v/>
      </c>
      <c r="C281" s="33">
        <f>IF($A281&gt;NYears*12,"",INT(($A281-1)/12)+1)</f>
        <v/>
      </c>
      <c r="D281" s="33">
        <f>IF($A281&gt;NYears*12,"",MOD($A281-1,12)+1)</f>
        <v/>
      </c>
      <c r="E281" s="35">
        <f>IF($A281&gt;NYears*12,"",LotValue0*(1+LotGrowth)^($C281-1))</f>
        <v/>
      </c>
      <c r="F281" s="35">
        <f>IF($A281&gt;NYears*12,"",IF($A281=1,InitInvest,$R280))</f>
        <v/>
      </c>
      <c r="G281" s="33">
        <f>IF($A281&gt;NYears*12,"",INT($F281/$E281))</f>
        <v/>
      </c>
      <c r="H281" s="35">
        <f>IF($A281&gt;NYears*12,"",$G281*$E281)</f>
        <v/>
      </c>
      <c r="I281" s="35">
        <f>IF($A281&gt;NYears*12,"",$F281-$H281)</f>
        <v/>
      </c>
      <c r="J281" s="35">
        <f>IF($A281&gt;NYears*12,"",$H281*RateA)</f>
        <v/>
      </c>
      <c r="K281" s="35">
        <f>IF($A281&gt;NYears*12,"",IF($D281=1,$J281,$K280+$J281))</f>
        <v/>
      </c>
      <c r="L281" s="35">
        <f>IF($A281&gt;NYears*12,"",IF(MOD($D281,3)=0,SUM($J279:$J281),0))</f>
        <v/>
      </c>
      <c r="M281" s="35">
        <f>IF($A281&gt;NYears*12,"",IF(TaxFreq="Quarterly",$K281*12/$D281,$K281))</f>
        <v/>
      </c>
      <c r="N281" s="36">
        <f>IF($A281&gt;NYears*12,"",LOOKUP($M281,TaxLower,TaxRate))</f>
        <v/>
      </c>
      <c r="O281" s="35">
        <f>IF($A281&gt;NYears*12,"",IF(TaxFreq="Quarterly",IF(MOD($D281,3)=0,$L281*$N281,0),IF($D281=12,$K281*$N281,0)))</f>
        <v/>
      </c>
      <c r="P281" s="35">
        <f>IF($A281&gt;NYears*12,"",IF($D281=1,$O281,$P280+$O281))</f>
        <v/>
      </c>
      <c r="Q281" s="35">
        <f>IF($A281&gt;NYears*12,"",IF($D281=12,MIN(WdrPct*IF(WdrBase="Post-tax profit",$K281-$P281,$K281),WdrCap),0))</f>
        <v/>
      </c>
      <c r="R281" s="35">
        <f>IF($A281&gt;NYears*12,"",$F281+$J281-$O281-$Q281)</f>
        <v/>
      </c>
      <c r="S281" s="33">
        <f>IF($A281&gt;NYears*12,"",INT($R281/$E281))</f>
        <v/>
      </c>
    </row>
    <row r="282">
      <c r="A282" s="33">
        <f>278</f>
        <v/>
      </c>
      <c r="B282" s="34">
        <f>IF($A282&gt;NYears*12,"",EDATE(StartMonth,$A282-1))</f>
        <v/>
      </c>
      <c r="C282" s="33">
        <f>IF($A282&gt;NYears*12,"",INT(($A282-1)/12)+1)</f>
        <v/>
      </c>
      <c r="D282" s="33">
        <f>IF($A282&gt;NYears*12,"",MOD($A282-1,12)+1)</f>
        <v/>
      </c>
      <c r="E282" s="35">
        <f>IF($A282&gt;NYears*12,"",LotValue0*(1+LotGrowth)^($C282-1))</f>
        <v/>
      </c>
      <c r="F282" s="35">
        <f>IF($A282&gt;NYears*12,"",IF($A282=1,InitInvest,$R281))</f>
        <v/>
      </c>
      <c r="G282" s="33">
        <f>IF($A282&gt;NYears*12,"",INT($F282/$E282))</f>
        <v/>
      </c>
      <c r="H282" s="35">
        <f>IF($A282&gt;NYears*12,"",$G282*$E282)</f>
        <v/>
      </c>
      <c r="I282" s="35">
        <f>IF($A282&gt;NYears*12,"",$F282-$H282)</f>
        <v/>
      </c>
      <c r="J282" s="35">
        <f>IF($A282&gt;NYears*12,"",$H282*RateA)</f>
        <v/>
      </c>
      <c r="K282" s="35">
        <f>IF($A282&gt;NYears*12,"",IF($D282=1,$J282,$K281+$J282))</f>
        <v/>
      </c>
      <c r="L282" s="35">
        <f>IF($A282&gt;NYears*12,"",IF(MOD($D282,3)=0,SUM($J280:$J282),0))</f>
        <v/>
      </c>
      <c r="M282" s="35">
        <f>IF($A282&gt;NYears*12,"",IF(TaxFreq="Quarterly",$K282*12/$D282,$K282))</f>
        <v/>
      </c>
      <c r="N282" s="36">
        <f>IF($A282&gt;NYears*12,"",LOOKUP($M282,TaxLower,TaxRate))</f>
        <v/>
      </c>
      <c r="O282" s="35">
        <f>IF($A282&gt;NYears*12,"",IF(TaxFreq="Quarterly",IF(MOD($D282,3)=0,$L282*$N282,0),IF($D282=12,$K282*$N282,0)))</f>
        <v/>
      </c>
      <c r="P282" s="35">
        <f>IF($A282&gt;NYears*12,"",IF($D282=1,$O282,$P281+$O282))</f>
        <v/>
      </c>
      <c r="Q282" s="35">
        <f>IF($A282&gt;NYears*12,"",IF($D282=12,MIN(WdrPct*IF(WdrBase="Post-tax profit",$K282-$P282,$K282),WdrCap),0))</f>
        <v/>
      </c>
      <c r="R282" s="35">
        <f>IF($A282&gt;NYears*12,"",$F282+$J282-$O282-$Q282)</f>
        <v/>
      </c>
      <c r="S282" s="33">
        <f>IF($A282&gt;NYears*12,"",INT($R282/$E282))</f>
        <v/>
      </c>
    </row>
    <row r="283">
      <c r="A283" s="33">
        <f>279</f>
        <v/>
      </c>
      <c r="B283" s="34">
        <f>IF($A283&gt;NYears*12,"",EDATE(StartMonth,$A283-1))</f>
        <v/>
      </c>
      <c r="C283" s="33">
        <f>IF($A283&gt;NYears*12,"",INT(($A283-1)/12)+1)</f>
        <v/>
      </c>
      <c r="D283" s="33">
        <f>IF($A283&gt;NYears*12,"",MOD($A283-1,12)+1)</f>
        <v/>
      </c>
      <c r="E283" s="35">
        <f>IF($A283&gt;NYears*12,"",LotValue0*(1+LotGrowth)^($C283-1))</f>
        <v/>
      </c>
      <c r="F283" s="35">
        <f>IF($A283&gt;NYears*12,"",IF($A283=1,InitInvest,$R282))</f>
        <v/>
      </c>
      <c r="G283" s="33">
        <f>IF($A283&gt;NYears*12,"",INT($F283/$E283))</f>
        <v/>
      </c>
      <c r="H283" s="35">
        <f>IF($A283&gt;NYears*12,"",$G283*$E283)</f>
        <v/>
      </c>
      <c r="I283" s="35">
        <f>IF($A283&gt;NYears*12,"",$F283-$H283)</f>
        <v/>
      </c>
      <c r="J283" s="35">
        <f>IF($A283&gt;NYears*12,"",$H283*RateA)</f>
        <v/>
      </c>
      <c r="K283" s="35">
        <f>IF($A283&gt;NYears*12,"",IF($D283=1,$J283,$K282+$J283))</f>
        <v/>
      </c>
      <c r="L283" s="35">
        <f>IF($A283&gt;NYears*12,"",IF(MOD($D283,3)=0,SUM($J281:$J283),0))</f>
        <v/>
      </c>
      <c r="M283" s="35">
        <f>IF($A283&gt;NYears*12,"",IF(TaxFreq="Quarterly",$K283*12/$D283,$K283))</f>
        <v/>
      </c>
      <c r="N283" s="36">
        <f>IF($A283&gt;NYears*12,"",LOOKUP($M283,TaxLower,TaxRate))</f>
        <v/>
      </c>
      <c r="O283" s="35">
        <f>IF($A283&gt;NYears*12,"",IF(TaxFreq="Quarterly",IF(MOD($D283,3)=0,$L283*$N283,0),IF($D283=12,$K283*$N283,0)))</f>
        <v/>
      </c>
      <c r="P283" s="35">
        <f>IF($A283&gt;NYears*12,"",IF($D283=1,$O283,$P282+$O283))</f>
        <v/>
      </c>
      <c r="Q283" s="35">
        <f>IF($A283&gt;NYears*12,"",IF($D283=12,MIN(WdrPct*IF(WdrBase="Post-tax profit",$K283-$P283,$K283),WdrCap),0))</f>
        <v/>
      </c>
      <c r="R283" s="35">
        <f>IF($A283&gt;NYears*12,"",$F283+$J283-$O283-$Q283)</f>
        <v/>
      </c>
      <c r="S283" s="33">
        <f>IF($A283&gt;NYears*12,"",INT($R283/$E283))</f>
        <v/>
      </c>
    </row>
    <row r="284">
      <c r="A284" s="33">
        <f>280</f>
        <v/>
      </c>
      <c r="B284" s="34">
        <f>IF($A284&gt;NYears*12,"",EDATE(StartMonth,$A284-1))</f>
        <v/>
      </c>
      <c r="C284" s="33">
        <f>IF($A284&gt;NYears*12,"",INT(($A284-1)/12)+1)</f>
        <v/>
      </c>
      <c r="D284" s="33">
        <f>IF($A284&gt;NYears*12,"",MOD($A284-1,12)+1)</f>
        <v/>
      </c>
      <c r="E284" s="35">
        <f>IF($A284&gt;NYears*12,"",LotValue0*(1+LotGrowth)^($C284-1))</f>
        <v/>
      </c>
      <c r="F284" s="35">
        <f>IF($A284&gt;NYears*12,"",IF($A284=1,InitInvest,$R283))</f>
        <v/>
      </c>
      <c r="G284" s="33">
        <f>IF($A284&gt;NYears*12,"",INT($F284/$E284))</f>
        <v/>
      </c>
      <c r="H284" s="35">
        <f>IF($A284&gt;NYears*12,"",$G284*$E284)</f>
        <v/>
      </c>
      <c r="I284" s="35">
        <f>IF($A284&gt;NYears*12,"",$F284-$H284)</f>
        <v/>
      </c>
      <c r="J284" s="35">
        <f>IF($A284&gt;NYears*12,"",$H284*RateA)</f>
        <v/>
      </c>
      <c r="K284" s="35">
        <f>IF($A284&gt;NYears*12,"",IF($D284=1,$J284,$K283+$J284))</f>
        <v/>
      </c>
      <c r="L284" s="35">
        <f>IF($A284&gt;NYears*12,"",IF(MOD($D284,3)=0,SUM($J282:$J284),0))</f>
        <v/>
      </c>
      <c r="M284" s="35">
        <f>IF($A284&gt;NYears*12,"",IF(TaxFreq="Quarterly",$K284*12/$D284,$K284))</f>
        <v/>
      </c>
      <c r="N284" s="36">
        <f>IF($A284&gt;NYears*12,"",LOOKUP($M284,TaxLower,TaxRate))</f>
        <v/>
      </c>
      <c r="O284" s="35">
        <f>IF($A284&gt;NYears*12,"",IF(TaxFreq="Quarterly",IF(MOD($D284,3)=0,$L284*$N284,0),IF($D284=12,$K284*$N284,0)))</f>
        <v/>
      </c>
      <c r="P284" s="35">
        <f>IF($A284&gt;NYears*12,"",IF($D284=1,$O284,$P283+$O284))</f>
        <v/>
      </c>
      <c r="Q284" s="35">
        <f>IF($A284&gt;NYears*12,"",IF($D284=12,MIN(WdrPct*IF(WdrBase="Post-tax profit",$K284-$P284,$K284),WdrCap),0))</f>
        <v/>
      </c>
      <c r="R284" s="35">
        <f>IF($A284&gt;NYears*12,"",$F284+$J284-$O284-$Q284)</f>
        <v/>
      </c>
      <c r="S284" s="33">
        <f>IF($A284&gt;NYears*12,"",INT($R284/$E284))</f>
        <v/>
      </c>
    </row>
    <row r="285">
      <c r="A285" s="33">
        <f>281</f>
        <v/>
      </c>
      <c r="B285" s="34">
        <f>IF($A285&gt;NYears*12,"",EDATE(StartMonth,$A285-1))</f>
        <v/>
      </c>
      <c r="C285" s="33">
        <f>IF($A285&gt;NYears*12,"",INT(($A285-1)/12)+1)</f>
        <v/>
      </c>
      <c r="D285" s="33">
        <f>IF($A285&gt;NYears*12,"",MOD($A285-1,12)+1)</f>
        <v/>
      </c>
      <c r="E285" s="35">
        <f>IF($A285&gt;NYears*12,"",LotValue0*(1+LotGrowth)^($C285-1))</f>
        <v/>
      </c>
      <c r="F285" s="35">
        <f>IF($A285&gt;NYears*12,"",IF($A285=1,InitInvest,$R284))</f>
        <v/>
      </c>
      <c r="G285" s="33">
        <f>IF($A285&gt;NYears*12,"",INT($F285/$E285))</f>
        <v/>
      </c>
      <c r="H285" s="35">
        <f>IF($A285&gt;NYears*12,"",$G285*$E285)</f>
        <v/>
      </c>
      <c r="I285" s="35">
        <f>IF($A285&gt;NYears*12,"",$F285-$H285)</f>
        <v/>
      </c>
      <c r="J285" s="35">
        <f>IF($A285&gt;NYears*12,"",$H285*RateA)</f>
        <v/>
      </c>
      <c r="K285" s="35">
        <f>IF($A285&gt;NYears*12,"",IF($D285=1,$J285,$K284+$J285))</f>
        <v/>
      </c>
      <c r="L285" s="35">
        <f>IF($A285&gt;NYears*12,"",IF(MOD($D285,3)=0,SUM($J283:$J285),0))</f>
        <v/>
      </c>
      <c r="M285" s="35">
        <f>IF($A285&gt;NYears*12,"",IF(TaxFreq="Quarterly",$K285*12/$D285,$K285))</f>
        <v/>
      </c>
      <c r="N285" s="36">
        <f>IF($A285&gt;NYears*12,"",LOOKUP($M285,TaxLower,TaxRate))</f>
        <v/>
      </c>
      <c r="O285" s="35">
        <f>IF($A285&gt;NYears*12,"",IF(TaxFreq="Quarterly",IF(MOD($D285,3)=0,$L285*$N285,0),IF($D285=12,$K285*$N285,0)))</f>
        <v/>
      </c>
      <c r="P285" s="35">
        <f>IF($A285&gt;NYears*12,"",IF($D285=1,$O285,$P284+$O285))</f>
        <v/>
      </c>
      <c r="Q285" s="35">
        <f>IF($A285&gt;NYears*12,"",IF($D285=12,MIN(WdrPct*IF(WdrBase="Post-tax profit",$K285-$P285,$K285),WdrCap),0))</f>
        <v/>
      </c>
      <c r="R285" s="35">
        <f>IF($A285&gt;NYears*12,"",$F285+$J285-$O285-$Q285)</f>
        <v/>
      </c>
      <c r="S285" s="33">
        <f>IF($A285&gt;NYears*12,"",INT($R285/$E285))</f>
        <v/>
      </c>
    </row>
    <row r="286">
      <c r="A286" s="33">
        <f>282</f>
        <v/>
      </c>
      <c r="B286" s="34">
        <f>IF($A286&gt;NYears*12,"",EDATE(StartMonth,$A286-1))</f>
        <v/>
      </c>
      <c r="C286" s="33">
        <f>IF($A286&gt;NYears*12,"",INT(($A286-1)/12)+1)</f>
        <v/>
      </c>
      <c r="D286" s="33">
        <f>IF($A286&gt;NYears*12,"",MOD($A286-1,12)+1)</f>
        <v/>
      </c>
      <c r="E286" s="35">
        <f>IF($A286&gt;NYears*12,"",LotValue0*(1+LotGrowth)^($C286-1))</f>
        <v/>
      </c>
      <c r="F286" s="35">
        <f>IF($A286&gt;NYears*12,"",IF($A286=1,InitInvest,$R285))</f>
        <v/>
      </c>
      <c r="G286" s="33">
        <f>IF($A286&gt;NYears*12,"",INT($F286/$E286))</f>
        <v/>
      </c>
      <c r="H286" s="35">
        <f>IF($A286&gt;NYears*12,"",$G286*$E286)</f>
        <v/>
      </c>
      <c r="I286" s="35">
        <f>IF($A286&gt;NYears*12,"",$F286-$H286)</f>
        <v/>
      </c>
      <c r="J286" s="35">
        <f>IF($A286&gt;NYears*12,"",$H286*RateA)</f>
        <v/>
      </c>
      <c r="K286" s="35">
        <f>IF($A286&gt;NYears*12,"",IF($D286=1,$J286,$K285+$J286))</f>
        <v/>
      </c>
      <c r="L286" s="35">
        <f>IF($A286&gt;NYears*12,"",IF(MOD($D286,3)=0,SUM($J284:$J286),0))</f>
        <v/>
      </c>
      <c r="M286" s="35">
        <f>IF($A286&gt;NYears*12,"",IF(TaxFreq="Quarterly",$K286*12/$D286,$K286))</f>
        <v/>
      </c>
      <c r="N286" s="36">
        <f>IF($A286&gt;NYears*12,"",LOOKUP($M286,TaxLower,TaxRate))</f>
        <v/>
      </c>
      <c r="O286" s="35">
        <f>IF($A286&gt;NYears*12,"",IF(TaxFreq="Quarterly",IF(MOD($D286,3)=0,$L286*$N286,0),IF($D286=12,$K286*$N286,0)))</f>
        <v/>
      </c>
      <c r="P286" s="35">
        <f>IF($A286&gt;NYears*12,"",IF($D286=1,$O286,$P285+$O286))</f>
        <v/>
      </c>
      <c r="Q286" s="35">
        <f>IF($A286&gt;NYears*12,"",IF($D286=12,MIN(WdrPct*IF(WdrBase="Post-tax profit",$K286-$P286,$K286),WdrCap),0))</f>
        <v/>
      </c>
      <c r="R286" s="35">
        <f>IF($A286&gt;NYears*12,"",$F286+$J286-$O286-$Q286)</f>
        <v/>
      </c>
      <c r="S286" s="33">
        <f>IF($A286&gt;NYears*12,"",INT($R286/$E286))</f>
        <v/>
      </c>
    </row>
    <row r="287">
      <c r="A287" s="33">
        <f>283</f>
        <v/>
      </c>
      <c r="B287" s="34">
        <f>IF($A287&gt;NYears*12,"",EDATE(StartMonth,$A287-1))</f>
        <v/>
      </c>
      <c r="C287" s="33">
        <f>IF($A287&gt;NYears*12,"",INT(($A287-1)/12)+1)</f>
        <v/>
      </c>
      <c r="D287" s="33">
        <f>IF($A287&gt;NYears*12,"",MOD($A287-1,12)+1)</f>
        <v/>
      </c>
      <c r="E287" s="35">
        <f>IF($A287&gt;NYears*12,"",LotValue0*(1+LotGrowth)^($C287-1))</f>
        <v/>
      </c>
      <c r="F287" s="35">
        <f>IF($A287&gt;NYears*12,"",IF($A287=1,InitInvest,$R286))</f>
        <v/>
      </c>
      <c r="G287" s="33">
        <f>IF($A287&gt;NYears*12,"",INT($F287/$E287))</f>
        <v/>
      </c>
      <c r="H287" s="35">
        <f>IF($A287&gt;NYears*12,"",$G287*$E287)</f>
        <v/>
      </c>
      <c r="I287" s="35">
        <f>IF($A287&gt;NYears*12,"",$F287-$H287)</f>
        <v/>
      </c>
      <c r="J287" s="35">
        <f>IF($A287&gt;NYears*12,"",$H287*RateA)</f>
        <v/>
      </c>
      <c r="K287" s="35">
        <f>IF($A287&gt;NYears*12,"",IF($D287=1,$J287,$K286+$J287))</f>
        <v/>
      </c>
      <c r="L287" s="35">
        <f>IF($A287&gt;NYears*12,"",IF(MOD($D287,3)=0,SUM($J285:$J287),0))</f>
        <v/>
      </c>
      <c r="M287" s="35">
        <f>IF($A287&gt;NYears*12,"",IF(TaxFreq="Quarterly",$K287*12/$D287,$K287))</f>
        <v/>
      </c>
      <c r="N287" s="36">
        <f>IF($A287&gt;NYears*12,"",LOOKUP($M287,TaxLower,TaxRate))</f>
        <v/>
      </c>
      <c r="O287" s="35">
        <f>IF($A287&gt;NYears*12,"",IF(TaxFreq="Quarterly",IF(MOD($D287,3)=0,$L287*$N287,0),IF($D287=12,$K287*$N287,0)))</f>
        <v/>
      </c>
      <c r="P287" s="35">
        <f>IF($A287&gt;NYears*12,"",IF($D287=1,$O287,$P286+$O287))</f>
        <v/>
      </c>
      <c r="Q287" s="35">
        <f>IF($A287&gt;NYears*12,"",IF($D287=12,MIN(WdrPct*IF(WdrBase="Post-tax profit",$K287-$P287,$K287),WdrCap),0))</f>
        <v/>
      </c>
      <c r="R287" s="35">
        <f>IF($A287&gt;NYears*12,"",$F287+$J287-$O287-$Q287)</f>
        <v/>
      </c>
      <c r="S287" s="33">
        <f>IF($A287&gt;NYears*12,"",INT($R287/$E287))</f>
        <v/>
      </c>
    </row>
    <row r="288">
      <c r="A288" s="33">
        <f>284</f>
        <v/>
      </c>
      <c r="B288" s="34">
        <f>IF($A288&gt;NYears*12,"",EDATE(StartMonth,$A288-1))</f>
        <v/>
      </c>
      <c r="C288" s="33">
        <f>IF($A288&gt;NYears*12,"",INT(($A288-1)/12)+1)</f>
        <v/>
      </c>
      <c r="D288" s="33">
        <f>IF($A288&gt;NYears*12,"",MOD($A288-1,12)+1)</f>
        <v/>
      </c>
      <c r="E288" s="35">
        <f>IF($A288&gt;NYears*12,"",LotValue0*(1+LotGrowth)^($C288-1))</f>
        <v/>
      </c>
      <c r="F288" s="35">
        <f>IF($A288&gt;NYears*12,"",IF($A288=1,InitInvest,$R287))</f>
        <v/>
      </c>
      <c r="G288" s="33">
        <f>IF($A288&gt;NYears*12,"",INT($F288/$E288))</f>
        <v/>
      </c>
      <c r="H288" s="35">
        <f>IF($A288&gt;NYears*12,"",$G288*$E288)</f>
        <v/>
      </c>
      <c r="I288" s="35">
        <f>IF($A288&gt;NYears*12,"",$F288-$H288)</f>
        <v/>
      </c>
      <c r="J288" s="35">
        <f>IF($A288&gt;NYears*12,"",$H288*RateA)</f>
        <v/>
      </c>
      <c r="K288" s="35">
        <f>IF($A288&gt;NYears*12,"",IF($D288=1,$J288,$K287+$J288))</f>
        <v/>
      </c>
      <c r="L288" s="35">
        <f>IF($A288&gt;NYears*12,"",IF(MOD($D288,3)=0,SUM($J286:$J288),0))</f>
        <v/>
      </c>
      <c r="M288" s="35">
        <f>IF($A288&gt;NYears*12,"",IF(TaxFreq="Quarterly",$K288*12/$D288,$K288))</f>
        <v/>
      </c>
      <c r="N288" s="36">
        <f>IF($A288&gt;NYears*12,"",LOOKUP($M288,TaxLower,TaxRate))</f>
        <v/>
      </c>
      <c r="O288" s="35">
        <f>IF($A288&gt;NYears*12,"",IF(TaxFreq="Quarterly",IF(MOD($D288,3)=0,$L288*$N288,0),IF($D288=12,$K288*$N288,0)))</f>
        <v/>
      </c>
      <c r="P288" s="35">
        <f>IF($A288&gt;NYears*12,"",IF($D288=1,$O288,$P287+$O288))</f>
        <v/>
      </c>
      <c r="Q288" s="35">
        <f>IF($A288&gt;NYears*12,"",IF($D288=12,MIN(WdrPct*IF(WdrBase="Post-tax profit",$K288-$P288,$K288),WdrCap),0))</f>
        <v/>
      </c>
      <c r="R288" s="35">
        <f>IF($A288&gt;NYears*12,"",$F288+$J288-$O288-$Q288)</f>
        <v/>
      </c>
      <c r="S288" s="33">
        <f>IF($A288&gt;NYears*12,"",INT($R288/$E288))</f>
        <v/>
      </c>
    </row>
    <row r="289">
      <c r="A289" s="33">
        <f>285</f>
        <v/>
      </c>
      <c r="B289" s="34">
        <f>IF($A289&gt;NYears*12,"",EDATE(StartMonth,$A289-1))</f>
        <v/>
      </c>
      <c r="C289" s="33">
        <f>IF($A289&gt;NYears*12,"",INT(($A289-1)/12)+1)</f>
        <v/>
      </c>
      <c r="D289" s="33">
        <f>IF($A289&gt;NYears*12,"",MOD($A289-1,12)+1)</f>
        <v/>
      </c>
      <c r="E289" s="35">
        <f>IF($A289&gt;NYears*12,"",LotValue0*(1+LotGrowth)^($C289-1))</f>
        <v/>
      </c>
      <c r="F289" s="35">
        <f>IF($A289&gt;NYears*12,"",IF($A289=1,InitInvest,$R288))</f>
        <v/>
      </c>
      <c r="G289" s="33">
        <f>IF($A289&gt;NYears*12,"",INT($F289/$E289))</f>
        <v/>
      </c>
      <c r="H289" s="35">
        <f>IF($A289&gt;NYears*12,"",$G289*$E289)</f>
        <v/>
      </c>
      <c r="I289" s="35">
        <f>IF($A289&gt;NYears*12,"",$F289-$H289)</f>
        <v/>
      </c>
      <c r="J289" s="35">
        <f>IF($A289&gt;NYears*12,"",$H289*RateA)</f>
        <v/>
      </c>
      <c r="K289" s="35">
        <f>IF($A289&gt;NYears*12,"",IF($D289=1,$J289,$K288+$J289))</f>
        <v/>
      </c>
      <c r="L289" s="35">
        <f>IF($A289&gt;NYears*12,"",IF(MOD($D289,3)=0,SUM($J287:$J289),0))</f>
        <v/>
      </c>
      <c r="M289" s="35">
        <f>IF($A289&gt;NYears*12,"",IF(TaxFreq="Quarterly",$K289*12/$D289,$K289))</f>
        <v/>
      </c>
      <c r="N289" s="36">
        <f>IF($A289&gt;NYears*12,"",LOOKUP($M289,TaxLower,TaxRate))</f>
        <v/>
      </c>
      <c r="O289" s="35">
        <f>IF($A289&gt;NYears*12,"",IF(TaxFreq="Quarterly",IF(MOD($D289,3)=0,$L289*$N289,0),IF($D289=12,$K289*$N289,0)))</f>
        <v/>
      </c>
      <c r="P289" s="35">
        <f>IF($A289&gt;NYears*12,"",IF($D289=1,$O289,$P288+$O289))</f>
        <v/>
      </c>
      <c r="Q289" s="35">
        <f>IF($A289&gt;NYears*12,"",IF($D289=12,MIN(WdrPct*IF(WdrBase="Post-tax profit",$K289-$P289,$K289),WdrCap),0))</f>
        <v/>
      </c>
      <c r="R289" s="35">
        <f>IF($A289&gt;NYears*12,"",$F289+$J289-$O289-$Q289)</f>
        <v/>
      </c>
      <c r="S289" s="33">
        <f>IF($A289&gt;NYears*12,"",INT($R289/$E289))</f>
        <v/>
      </c>
    </row>
    <row r="290">
      <c r="A290" s="33">
        <f>286</f>
        <v/>
      </c>
      <c r="B290" s="34">
        <f>IF($A290&gt;NYears*12,"",EDATE(StartMonth,$A290-1))</f>
        <v/>
      </c>
      <c r="C290" s="33">
        <f>IF($A290&gt;NYears*12,"",INT(($A290-1)/12)+1)</f>
        <v/>
      </c>
      <c r="D290" s="33">
        <f>IF($A290&gt;NYears*12,"",MOD($A290-1,12)+1)</f>
        <v/>
      </c>
      <c r="E290" s="35">
        <f>IF($A290&gt;NYears*12,"",LotValue0*(1+LotGrowth)^($C290-1))</f>
        <v/>
      </c>
      <c r="F290" s="35">
        <f>IF($A290&gt;NYears*12,"",IF($A290=1,InitInvest,$R289))</f>
        <v/>
      </c>
      <c r="G290" s="33">
        <f>IF($A290&gt;NYears*12,"",INT($F290/$E290))</f>
        <v/>
      </c>
      <c r="H290" s="35">
        <f>IF($A290&gt;NYears*12,"",$G290*$E290)</f>
        <v/>
      </c>
      <c r="I290" s="35">
        <f>IF($A290&gt;NYears*12,"",$F290-$H290)</f>
        <v/>
      </c>
      <c r="J290" s="35">
        <f>IF($A290&gt;NYears*12,"",$H290*RateA)</f>
        <v/>
      </c>
      <c r="K290" s="35">
        <f>IF($A290&gt;NYears*12,"",IF($D290=1,$J290,$K289+$J290))</f>
        <v/>
      </c>
      <c r="L290" s="35">
        <f>IF($A290&gt;NYears*12,"",IF(MOD($D290,3)=0,SUM($J288:$J290),0))</f>
        <v/>
      </c>
      <c r="M290" s="35">
        <f>IF($A290&gt;NYears*12,"",IF(TaxFreq="Quarterly",$K290*12/$D290,$K290))</f>
        <v/>
      </c>
      <c r="N290" s="36">
        <f>IF($A290&gt;NYears*12,"",LOOKUP($M290,TaxLower,TaxRate))</f>
        <v/>
      </c>
      <c r="O290" s="35">
        <f>IF($A290&gt;NYears*12,"",IF(TaxFreq="Quarterly",IF(MOD($D290,3)=0,$L290*$N290,0),IF($D290=12,$K290*$N290,0)))</f>
        <v/>
      </c>
      <c r="P290" s="35">
        <f>IF($A290&gt;NYears*12,"",IF($D290=1,$O290,$P289+$O290))</f>
        <v/>
      </c>
      <c r="Q290" s="35">
        <f>IF($A290&gt;NYears*12,"",IF($D290=12,MIN(WdrPct*IF(WdrBase="Post-tax profit",$K290-$P290,$K290),WdrCap),0))</f>
        <v/>
      </c>
      <c r="R290" s="35">
        <f>IF($A290&gt;NYears*12,"",$F290+$J290-$O290-$Q290)</f>
        <v/>
      </c>
      <c r="S290" s="33">
        <f>IF($A290&gt;NYears*12,"",INT($R290/$E290))</f>
        <v/>
      </c>
    </row>
    <row r="291">
      <c r="A291" s="33">
        <f>287</f>
        <v/>
      </c>
      <c r="B291" s="34">
        <f>IF($A291&gt;NYears*12,"",EDATE(StartMonth,$A291-1))</f>
        <v/>
      </c>
      <c r="C291" s="33">
        <f>IF($A291&gt;NYears*12,"",INT(($A291-1)/12)+1)</f>
        <v/>
      </c>
      <c r="D291" s="33">
        <f>IF($A291&gt;NYears*12,"",MOD($A291-1,12)+1)</f>
        <v/>
      </c>
      <c r="E291" s="35">
        <f>IF($A291&gt;NYears*12,"",LotValue0*(1+LotGrowth)^($C291-1))</f>
        <v/>
      </c>
      <c r="F291" s="35">
        <f>IF($A291&gt;NYears*12,"",IF($A291=1,InitInvest,$R290))</f>
        <v/>
      </c>
      <c r="G291" s="33">
        <f>IF($A291&gt;NYears*12,"",INT($F291/$E291))</f>
        <v/>
      </c>
      <c r="H291" s="35">
        <f>IF($A291&gt;NYears*12,"",$G291*$E291)</f>
        <v/>
      </c>
      <c r="I291" s="35">
        <f>IF($A291&gt;NYears*12,"",$F291-$H291)</f>
        <v/>
      </c>
      <c r="J291" s="35">
        <f>IF($A291&gt;NYears*12,"",$H291*RateA)</f>
        <v/>
      </c>
      <c r="K291" s="35">
        <f>IF($A291&gt;NYears*12,"",IF($D291=1,$J291,$K290+$J291))</f>
        <v/>
      </c>
      <c r="L291" s="35">
        <f>IF($A291&gt;NYears*12,"",IF(MOD($D291,3)=0,SUM($J289:$J291),0))</f>
        <v/>
      </c>
      <c r="M291" s="35">
        <f>IF($A291&gt;NYears*12,"",IF(TaxFreq="Quarterly",$K291*12/$D291,$K291))</f>
        <v/>
      </c>
      <c r="N291" s="36">
        <f>IF($A291&gt;NYears*12,"",LOOKUP($M291,TaxLower,TaxRate))</f>
        <v/>
      </c>
      <c r="O291" s="35">
        <f>IF($A291&gt;NYears*12,"",IF(TaxFreq="Quarterly",IF(MOD($D291,3)=0,$L291*$N291,0),IF($D291=12,$K291*$N291,0)))</f>
        <v/>
      </c>
      <c r="P291" s="35">
        <f>IF($A291&gt;NYears*12,"",IF($D291=1,$O291,$P290+$O291))</f>
        <v/>
      </c>
      <c r="Q291" s="35">
        <f>IF($A291&gt;NYears*12,"",IF($D291=12,MIN(WdrPct*IF(WdrBase="Post-tax profit",$K291-$P291,$K291),WdrCap),0))</f>
        <v/>
      </c>
      <c r="R291" s="35">
        <f>IF($A291&gt;NYears*12,"",$F291+$J291-$O291-$Q291)</f>
        <v/>
      </c>
      <c r="S291" s="33">
        <f>IF($A291&gt;NYears*12,"",INT($R291/$E291))</f>
        <v/>
      </c>
    </row>
    <row r="292">
      <c r="A292" s="37">
        <f>288</f>
        <v/>
      </c>
      <c r="B292" s="38">
        <f>IF($A292&gt;NYears*12,"",EDATE(StartMonth,$A292-1))</f>
        <v/>
      </c>
      <c r="C292" s="37">
        <f>IF($A292&gt;NYears*12,"",INT(($A292-1)/12)+1)</f>
        <v/>
      </c>
      <c r="D292" s="37">
        <f>IF($A292&gt;NYears*12,"",MOD($A292-1,12)+1)</f>
        <v/>
      </c>
      <c r="E292" s="39">
        <f>IF($A292&gt;NYears*12,"",LotValue0*(1+LotGrowth)^($C292-1))</f>
        <v/>
      </c>
      <c r="F292" s="39">
        <f>IF($A292&gt;NYears*12,"",IF($A292=1,InitInvest,$R291))</f>
        <v/>
      </c>
      <c r="G292" s="37">
        <f>IF($A292&gt;NYears*12,"",INT($F292/$E292))</f>
        <v/>
      </c>
      <c r="H292" s="39">
        <f>IF($A292&gt;NYears*12,"",$G292*$E292)</f>
        <v/>
      </c>
      <c r="I292" s="39">
        <f>IF($A292&gt;NYears*12,"",$F292-$H292)</f>
        <v/>
      </c>
      <c r="J292" s="39">
        <f>IF($A292&gt;NYears*12,"",$H292*RateA)</f>
        <v/>
      </c>
      <c r="K292" s="39">
        <f>IF($A292&gt;NYears*12,"",IF($D292=1,$J292,$K291+$J292))</f>
        <v/>
      </c>
      <c r="L292" s="39">
        <f>IF($A292&gt;NYears*12,"",IF(MOD($D292,3)=0,SUM($J290:$J292),0))</f>
        <v/>
      </c>
      <c r="M292" s="39">
        <f>IF($A292&gt;NYears*12,"",IF(TaxFreq="Quarterly",$K292*12/$D292,$K292))</f>
        <v/>
      </c>
      <c r="N292" s="40">
        <f>IF($A292&gt;NYears*12,"",LOOKUP($M292,TaxLower,TaxRate))</f>
        <v/>
      </c>
      <c r="O292" s="39">
        <f>IF($A292&gt;NYears*12,"",IF(TaxFreq="Quarterly",IF(MOD($D292,3)=0,$L292*$N292,0),IF($D292=12,$K292*$N292,0)))</f>
        <v/>
      </c>
      <c r="P292" s="39">
        <f>IF($A292&gt;NYears*12,"",IF($D292=1,$O292,$P291+$O292))</f>
        <v/>
      </c>
      <c r="Q292" s="39">
        <f>IF($A292&gt;NYears*12,"",IF($D292=12,MIN(WdrPct*IF(WdrBase="Post-tax profit",$K292-$P292,$K292),WdrCap),0))</f>
        <v/>
      </c>
      <c r="R292" s="39">
        <f>IF($A292&gt;NYears*12,"",$F292+$J292-$O292-$Q292)</f>
        <v/>
      </c>
      <c r="S292" s="37">
        <f>IF($A292&gt;NYears*12,"",INT($R292/$E292))</f>
        <v/>
      </c>
    </row>
    <row r="293">
      <c r="A293" s="33">
        <f>289</f>
        <v/>
      </c>
      <c r="B293" s="34">
        <f>IF($A293&gt;NYears*12,"",EDATE(StartMonth,$A293-1))</f>
        <v/>
      </c>
      <c r="C293" s="33">
        <f>IF($A293&gt;NYears*12,"",INT(($A293-1)/12)+1)</f>
        <v/>
      </c>
      <c r="D293" s="33">
        <f>IF($A293&gt;NYears*12,"",MOD($A293-1,12)+1)</f>
        <v/>
      </c>
      <c r="E293" s="35">
        <f>IF($A293&gt;NYears*12,"",LotValue0*(1+LotGrowth)^($C293-1))</f>
        <v/>
      </c>
      <c r="F293" s="35">
        <f>IF($A293&gt;NYears*12,"",IF($A293=1,InitInvest,$R292))</f>
        <v/>
      </c>
      <c r="G293" s="33">
        <f>IF($A293&gt;NYears*12,"",INT($F293/$E293))</f>
        <v/>
      </c>
      <c r="H293" s="35">
        <f>IF($A293&gt;NYears*12,"",$G293*$E293)</f>
        <v/>
      </c>
      <c r="I293" s="35">
        <f>IF($A293&gt;NYears*12,"",$F293-$H293)</f>
        <v/>
      </c>
      <c r="J293" s="35">
        <f>IF($A293&gt;NYears*12,"",$H293*RateA)</f>
        <v/>
      </c>
      <c r="K293" s="35">
        <f>IF($A293&gt;NYears*12,"",IF($D293=1,$J293,$K292+$J293))</f>
        <v/>
      </c>
      <c r="L293" s="35">
        <f>IF($A293&gt;NYears*12,"",IF(MOD($D293,3)=0,SUM($J291:$J293),0))</f>
        <v/>
      </c>
      <c r="M293" s="35">
        <f>IF($A293&gt;NYears*12,"",IF(TaxFreq="Quarterly",$K293*12/$D293,$K293))</f>
        <v/>
      </c>
      <c r="N293" s="36">
        <f>IF($A293&gt;NYears*12,"",LOOKUP($M293,TaxLower,TaxRate))</f>
        <v/>
      </c>
      <c r="O293" s="35">
        <f>IF($A293&gt;NYears*12,"",IF(TaxFreq="Quarterly",IF(MOD($D293,3)=0,$L293*$N293,0),IF($D293=12,$K293*$N293,0)))</f>
        <v/>
      </c>
      <c r="P293" s="35">
        <f>IF($A293&gt;NYears*12,"",IF($D293=1,$O293,$P292+$O293))</f>
        <v/>
      </c>
      <c r="Q293" s="35">
        <f>IF($A293&gt;NYears*12,"",IF($D293=12,MIN(WdrPct*IF(WdrBase="Post-tax profit",$K293-$P293,$K293),WdrCap),0))</f>
        <v/>
      </c>
      <c r="R293" s="35">
        <f>IF($A293&gt;NYears*12,"",$F293+$J293-$O293-$Q293)</f>
        <v/>
      </c>
      <c r="S293" s="33">
        <f>IF($A293&gt;NYears*12,"",INT($R293/$E293))</f>
        <v/>
      </c>
    </row>
    <row r="294">
      <c r="A294" s="33">
        <f>290</f>
        <v/>
      </c>
      <c r="B294" s="34">
        <f>IF($A294&gt;NYears*12,"",EDATE(StartMonth,$A294-1))</f>
        <v/>
      </c>
      <c r="C294" s="33">
        <f>IF($A294&gt;NYears*12,"",INT(($A294-1)/12)+1)</f>
        <v/>
      </c>
      <c r="D294" s="33">
        <f>IF($A294&gt;NYears*12,"",MOD($A294-1,12)+1)</f>
        <v/>
      </c>
      <c r="E294" s="35">
        <f>IF($A294&gt;NYears*12,"",LotValue0*(1+LotGrowth)^($C294-1))</f>
        <v/>
      </c>
      <c r="F294" s="35">
        <f>IF($A294&gt;NYears*12,"",IF($A294=1,InitInvest,$R293))</f>
        <v/>
      </c>
      <c r="G294" s="33">
        <f>IF($A294&gt;NYears*12,"",INT($F294/$E294))</f>
        <v/>
      </c>
      <c r="H294" s="35">
        <f>IF($A294&gt;NYears*12,"",$G294*$E294)</f>
        <v/>
      </c>
      <c r="I294" s="35">
        <f>IF($A294&gt;NYears*12,"",$F294-$H294)</f>
        <v/>
      </c>
      <c r="J294" s="35">
        <f>IF($A294&gt;NYears*12,"",$H294*RateA)</f>
        <v/>
      </c>
      <c r="K294" s="35">
        <f>IF($A294&gt;NYears*12,"",IF($D294=1,$J294,$K293+$J294))</f>
        <v/>
      </c>
      <c r="L294" s="35">
        <f>IF($A294&gt;NYears*12,"",IF(MOD($D294,3)=0,SUM($J292:$J294),0))</f>
        <v/>
      </c>
      <c r="M294" s="35">
        <f>IF($A294&gt;NYears*12,"",IF(TaxFreq="Quarterly",$K294*12/$D294,$K294))</f>
        <v/>
      </c>
      <c r="N294" s="36">
        <f>IF($A294&gt;NYears*12,"",LOOKUP($M294,TaxLower,TaxRate))</f>
        <v/>
      </c>
      <c r="O294" s="35">
        <f>IF($A294&gt;NYears*12,"",IF(TaxFreq="Quarterly",IF(MOD($D294,3)=0,$L294*$N294,0),IF($D294=12,$K294*$N294,0)))</f>
        <v/>
      </c>
      <c r="P294" s="35">
        <f>IF($A294&gt;NYears*12,"",IF($D294=1,$O294,$P293+$O294))</f>
        <v/>
      </c>
      <c r="Q294" s="35">
        <f>IF($A294&gt;NYears*12,"",IF($D294=12,MIN(WdrPct*IF(WdrBase="Post-tax profit",$K294-$P294,$K294),WdrCap),0))</f>
        <v/>
      </c>
      <c r="R294" s="35">
        <f>IF($A294&gt;NYears*12,"",$F294+$J294-$O294-$Q294)</f>
        <v/>
      </c>
      <c r="S294" s="33">
        <f>IF($A294&gt;NYears*12,"",INT($R294/$E294))</f>
        <v/>
      </c>
    </row>
    <row r="295">
      <c r="A295" s="33">
        <f>291</f>
        <v/>
      </c>
      <c r="B295" s="34">
        <f>IF($A295&gt;NYears*12,"",EDATE(StartMonth,$A295-1))</f>
        <v/>
      </c>
      <c r="C295" s="33">
        <f>IF($A295&gt;NYears*12,"",INT(($A295-1)/12)+1)</f>
        <v/>
      </c>
      <c r="D295" s="33">
        <f>IF($A295&gt;NYears*12,"",MOD($A295-1,12)+1)</f>
        <v/>
      </c>
      <c r="E295" s="35">
        <f>IF($A295&gt;NYears*12,"",LotValue0*(1+LotGrowth)^($C295-1))</f>
        <v/>
      </c>
      <c r="F295" s="35">
        <f>IF($A295&gt;NYears*12,"",IF($A295=1,InitInvest,$R294))</f>
        <v/>
      </c>
      <c r="G295" s="33">
        <f>IF($A295&gt;NYears*12,"",INT($F295/$E295))</f>
        <v/>
      </c>
      <c r="H295" s="35">
        <f>IF($A295&gt;NYears*12,"",$G295*$E295)</f>
        <v/>
      </c>
      <c r="I295" s="35">
        <f>IF($A295&gt;NYears*12,"",$F295-$H295)</f>
        <v/>
      </c>
      <c r="J295" s="35">
        <f>IF($A295&gt;NYears*12,"",$H295*RateA)</f>
        <v/>
      </c>
      <c r="K295" s="35">
        <f>IF($A295&gt;NYears*12,"",IF($D295=1,$J295,$K294+$J295))</f>
        <v/>
      </c>
      <c r="L295" s="35">
        <f>IF($A295&gt;NYears*12,"",IF(MOD($D295,3)=0,SUM($J293:$J295),0))</f>
        <v/>
      </c>
      <c r="M295" s="35">
        <f>IF($A295&gt;NYears*12,"",IF(TaxFreq="Quarterly",$K295*12/$D295,$K295))</f>
        <v/>
      </c>
      <c r="N295" s="36">
        <f>IF($A295&gt;NYears*12,"",LOOKUP($M295,TaxLower,TaxRate))</f>
        <v/>
      </c>
      <c r="O295" s="35">
        <f>IF($A295&gt;NYears*12,"",IF(TaxFreq="Quarterly",IF(MOD($D295,3)=0,$L295*$N295,0),IF($D295=12,$K295*$N295,0)))</f>
        <v/>
      </c>
      <c r="P295" s="35">
        <f>IF($A295&gt;NYears*12,"",IF($D295=1,$O295,$P294+$O295))</f>
        <v/>
      </c>
      <c r="Q295" s="35">
        <f>IF($A295&gt;NYears*12,"",IF($D295=12,MIN(WdrPct*IF(WdrBase="Post-tax profit",$K295-$P295,$K295),WdrCap),0))</f>
        <v/>
      </c>
      <c r="R295" s="35">
        <f>IF($A295&gt;NYears*12,"",$F295+$J295-$O295-$Q295)</f>
        <v/>
      </c>
      <c r="S295" s="33">
        <f>IF($A295&gt;NYears*12,"",INT($R295/$E295))</f>
        <v/>
      </c>
    </row>
    <row r="296">
      <c r="A296" s="33">
        <f>292</f>
        <v/>
      </c>
      <c r="B296" s="34">
        <f>IF($A296&gt;NYears*12,"",EDATE(StartMonth,$A296-1))</f>
        <v/>
      </c>
      <c r="C296" s="33">
        <f>IF($A296&gt;NYears*12,"",INT(($A296-1)/12)+1)</f>
        <v/>
      </c>
      <c r="D296" s="33">
        <f>IF($A296&gt;NYears*12,"",MOD($A296-1,12)+1)</f>
        <v/>
      </c>
      <c r="E296" s="35">
        <f>IF($A296&gt;NYears*12,"",LotValue0*(1+LotGrowth)^($C296-1))</f>
        <v/>
      </c>
      <c r="F296" s="35">
        <f>IF($A296&gt;NYears*12,"",IF($A296=1,InitInvest,$R295))</f>
        <v/>
      </c>
      <c r="G296" s="33">
        <f>IF($A296&gt;NYears*12,"",INT($F296/$E296))</f>
        <v/>
      </c>
      <c r="H296" s="35">
        <f>IF($A296&gt;NYears*12,"",$G296*$E296)</f>
        <v/>
      </c>
      <c r="I296" s="35">
        <f>IF($A296&gt;NYears*12,"",$F296-$H296)</f>
        <v/>
      </c>
      <c r="J296" s="35">
        <f>IF($A296&gt;NYears*12,"",$H296*RateA)</f>
        <v/>
      </c>
      <c r="K296" s="35">
        <f>IF($A296&gt;NYears*12,"",IF($D296=1,$J296,$K295+$J296))</f>
        <v/>
      </c>
      <c r="L296" s="35">
        <f>IF($A296&gt;NYears*12,"",IF(MOD($D296,3)=0,SUM($J294:$J296),0))</f>
        <v/>
      </c>
      <c r="M296" s="35">
        <f>IF($A296&gt;NYears*12,"",IF(TaxFreq="Quarterly",$K296*12/$D296,$K296))</f>
        <v/>
      </c>
      <c r="N296" s="36">
        <f>IF($A296&gt;NYears*12,"",LOOKUP($M296,TaxLower,TaxRate))</f>
        <v/>
      </c>
      <c r="O296" s="35">
        <f>IF($A296&gt;NYears*12,"",IF(TaxFreq="Quarterly",IF(MOD($D296,3)=0,$L296*$N296,0),IF($D296=12,$K296*$N296,0)))</f>
        <v/>
      </c>
      <c r="P296" s="35">
        <f>IF($A296&gt;NYears*12,"",IF($D296=1,$O296,$P295+$O296))</f>
        <v/>
      </c>
      <c r="Q296" s="35">
        <f>IF($A296&gt;NYears*12,"",IF($D296=12,MIN(WdrPct*IF(WdrBase="Post-tax profit",$K296-$P296,$K296),WdrCap),0))</f>
        <v/>
      </c>
      <c r="R296" s="35">
        <f>IF($A296&gt;NYears*12,"",$F296+$J296-$O296-$Q296)</f>
        <v/>
      </c>
      <c r="S296" s="33">
        <f>IF($A296&gt;NYears*12,"",INT($R296/$E296))</f>
        <v/>
      </c>
    </row>
    <row r="297">
      <c r="A297" s="33">
        <f>293</f>
        <v/>
      </c>
      <c r="B297" s="34">
        <f>IF($A297&gt;NYears*12,"",EDATE(StartMonth,$A297-1))</f>
        <v/>
      </c>
      <c r="C297" s="33">
        <f>IF($A297&gt;NYears*12,"",INT(($A297-1)/12)+1)</f>
        <v/>
      </c>
      <c r="D297" s="33">
        <f>IF($A297&gt;NYears*12,"",MOD($A297-1,12)+1)</f>
        <v/>
      </c>
      <c r="E297" s="35">
        <f>IF($A297&gt;NYears*12,"",LotValue0*(1+LotGrowth)^($C297-1))</f>
        <v/>
      </c>
      <c r="F297" s="35">
        <f>IF($A297&gt;NYears*12,"",IF($A297=1,InitInvest,$R296))</f>
        <v/>
      </c>
      <c r="G297" s="33">
        <f>IF($A297&gt;NYears*12,"",INT($F297/$E297))</f>
        <v/>
      </c>
      <c r="H297" s="35">
        <f>IF($A297&gt;NYears*12,"",$G297*$E297)</f>
        <v/>
      </c>
      <c r="I297" s="35">
        <f>IF($A297&gt;NYears*12,"",$F297-$H297)</f>
        <v/>
      </c>
      <c r="J297" s="35">
        <f>IF($A297&gt;NYears*12,"",$H297*RateA)</f>
        <v/>
      </c>
      <c r="K297" s="35">
        <f>IF($A297&gt;NYears*12,"",IF($D297=1,$J297,$K296+$J297))</f>
        <v/>
      </c>
      <c r="L297" s="35">
        <f>IF($A297&gt;NYears*12,"",IF(MOD($D297,3)=0,SUM($J295:$J297),0))</f>
        <v/>
      </c>
      <c r="M297" s="35">
        <f>IF($A297&gt;NYears*12,"",IF(TaxFreq="Quarterly",$K297*12/$D297,$K297))</f>
        <v/>
      </c>
      <c r="N297" s="36">
        <f>IF($A297&gt;NYears*12,"",LOOKUP($M297,TaxLower,TaxRate))</f>
        <v/>
      </c>
      <c r="O297" s="35">
        <f>IF($A297&gt;NYears*12,"",IF(TaxFreq="Quarterly",IF(MOD($D297,3)=0,$L297*$N297,0),IF($D297=12,$K297*$N297,0)))</f>
        <v/>
      </c>
      <c r="P297" s="35">
        <f>IF($A297&gt;NYears*12,"",IF($D297=1,$O297,$P296+$O297))</f>
        <v/>
      </c>
      <c r="Q297" s="35">
        <f>IF($A297&gt;NYears*12,"",IF($D297=12,MIN(WdrPct*IF(WdrBase="Post-tax profit",$K297-$P297,$K297),WdrCap),0))</f>
        <v/>
      </c>
      <c r="R297" s="35">
        <f>IF($A297&gt;NYears*12,"",$F297+$J297-$O297-$Q297)</f>
        <v/>
      </c>
      <c r="S297" s="33">
        <f>IF($A297&gt;NYears*12,"",INT($R297/$E297))</f>
        <v/>
      </c>
    </row>
    <row r="298">
      <c r="A298" s="33">
        <f>294</f>
        <v/>
      </c>
      <c r="B298" s="34">
        <f>IF($A298&gt;NYears*12,"",EDATE(StartMonth,$A298-1))</f>
        <v/>
      </c>
      <c r="C298" s="33">
        <f>IF($A298&gt;NYears*12,"",INT(($A298-1)/12)+1)</f>
        <v/>
      </c>
      <c r="D298" s="33">
        <f>IF($A298&gt;NYears*12,"",MOD($A298-1,12)+1)</f>
        <v/>
      </c>
      <c r="E298" s="35">
        <f>IF($A298&gt;NYears*12,"",LotValue0*(1+LotGrowth)^($C298-1))</f>
        <v/>
      </c>
      <c r="F298" s="35">
        <f>IF($A298&gt;NYears*12,"",IF($A298=1,InitInvest,$R297))</f>
        <v/>
      </c>
      <c r="G298" s="33">
        <f>IF($A298&gt;NYears*12,"",INT($F298/$E298))</f>
        <v/>
      </c>
      <c r="H298" s="35">
        <f>IF($A298&gt;NYears*12,"",$G298*$E298)</f>
        <v/>
      </c>
      <c r="I298" s="35">
        <f>IF($A298&gt;NYears*12,"",$F298-$H298)</f>
        <v/>
      </c>
      <c r="J298" s="35">
        <f>IF($A298&gt;NYears*12,"",$H298*RateA)</f>
        <v/>
      </c>
      <c r="K298" s="35">
        <f>IF($A298&gt;NYears*12,"",IF($D298=1,$J298,$K297+$J298))</f>
        <v/>
      </c>
      <c r="L298" s="35">
        <f>IF($A298&gt;NYears*12,"",IF(MOD($D298,3)=0,SUM($J296:$J298),0))</f>
        <v/>
      </c>
      <c r="M298" s="35">
        <f>IF($A298&gt;NYears*12,"",IF(TaxFreq="Quarterly",$K298*12/$D298,$K298))</f>
        <v/>
      </c>
      <c r="N298" s="36">
        <f>IF($A298&gt;NYears*12,"",LOOKUP($M298,TaxLower,TaxRate))</f>
        <v/>
      </c>
      <c r="O298" s="35">
        <f>IF($A298&gt;NYears*12,"",IF(TaxFreq="Quarterly",IF(MOD($D298,3)=0,$L298*$N298,0),IF($D298=12,$K298*$N298,0)))</f>
        <v/>
      </c>
      <c r="P298" s="35">
        <f>IF($A298&gt;NYears*12,"",IF($D298=1,$O298,$P297+$O298))</f>
        <v/>
      </c>
      <c r="Q298" s="35">
        <f>IF($A298&gt;NYears*12,"",IF($D298=12,MIN(WdrPct*IF(WdrBase="Post-tax profit",$K298-$P298,$K298),WdrCap),0))</f>
        <v/>
      </c>
      <c r="R298" s="35">
        <f>IF($A298&gt;NYears*12,"",$F298+$J298-$O298-$Q298)</f>
        <v/>
      </c>
      <c r="S298" s="33">
        <f>IF($A298&gt;NYears*12,"",INT($R298/$E298))</f>
        <v/>
      </c>
    </row>
    <row r="299">
      <c r="A299" s="33">
        <f>295</f>
        <v/>
      </c>
      <c r="B299" s="34">
        <f>IF($A299&gt;NYears*12,"",EDATE(StartMonth,$A299-1))</f>
        <v/>
      </c>
      <c r="C299" s="33">
        <f>IF($A299&gt;NYears*12,"",INT(($A299-1)/12)+1)</f>
        <v/>
      </c>
      <c r="D299" s="33">
        <f>IF($A299&gt;NYears*12,"",MOD($A299-1,12)+1)</f>
        <v/>
      </c>
      <c r="E299" s="35">
        <f>IF($A299&gt;NYears*12,"",LotValue0*(1+LotGrowth)^($C299-1))</f>
        <v/>
      </c>
      <c r="F299" s="35">
        <f>IF($A299&gt;NYears*12,"",IF($A299=1,InitInvest,$R298))</f>
        <v/>
      </c>
      <c r="G299" s="33">
        <f>IF($A299&gt;NYears*12,"",INT($F299/$E299))</f>
        <v/>
      </c>
      <c r="H299" s="35">
        <f>IF($A299&gt;NYears*12,"",$G299*$E299)</f>
        <v/>
      </c>
      <c r="I299" s="35">
        <f>IF($A299&gt;NYears*12,"",$F299-$H299)</f>
        <v/>
      </c>
      <c r="J299" s="35">
        <f>IF($A299&gt;NYears*12,"",$H299*RateA)</f>
        <v/>
      </c>
      <c r="K299" s="35">
        <f>IF($A299&gt;NYears*12,"",IF($D299=1,$J299,$K298+$J299))</f>
        <v/>
      </c>
      <c r="L299" s="35">
        <f>IF($A299&gt;NYears*12,"",IF(MOD($D299,3)=0,SUM($J297:$J299),0))</f>
        <v/>
      </c>
      <c r="M299" s="35">
        <f>IF($A299&gt;NYears*12,"",IF(TaxFreq="Quarterly",$K299*12/$D299,$K299))</f>
        <v/>
      </c>
      <c r="N299" s="36">
        <f>IF($A299&gt;NYears*12,"",LOOKUP($M299,TaxLower,TaxRate))</f>
        <v/>
      </c>
      <c r="O299" s="35">
        <f>IF($A299&gt;NYears*12,"",IF(TaxFreq="Quarterly",IF(MOD($D299,3)=0,$L299*$N299,0),IF($D299=12,$K299*$N299,0)))</f>
        <v/>
      </c>
      <c r="P299" s="35">
        <f>IF($A299&gt;NYears*12,"",IF($D299=1,$O299,$P298+$O299))</f>
        <v/>
      </c>
      <c r="Q299" s="35">
        <f>IF($A299&gt;NYears*12,"",IF($D299=12,MIN(WdrPct*IF(WdrBase="Post-tax profit",$K299-$P299,$K299),WdrCap),0))</f>
        <v/>
      </c>
      <c r="R299" s="35">
        <f>IF($A299&gt;NYears*12,"",$F299+$J299-$O299-$Q299)</f>
        <v/>
      </c>
      <c r="S299" s="33">
        <f>IF($A299&gt;NYears*12,"",INT($R299/$E299))</f>
        <v/>
      </c>
    </row>
    <row r="300">
      <c r="A300" s="33">
        <f>296</f>
        <v/>
      </c>
      <c r="B300" s="34">
        <f>IF($A300&gt;NYears*12,"",EDATE(StartMonth,$A300-1))</f>
        <v/>
      </c>
      <c r="C300" s="33">
        <f>IF($A300&gt;NYears*12,"",INT(($A300-1)/12)+1)</f>
        <v/>
      </c>
      <c r="D300" s="33">
        <f>IF($A300&gt;NYears*12,"",MOD($A300-1,12)+1)</f>
        <v/>
      </c>
      <c r="E300" s="35">
        <f>IF($A300&gt;NYears*12,"",LotValue0*(1+LotGrowth)^($C300-1))</f>
        <v/>
      </c>
      <c r="F300" s="35">
        <f>IF($A300&gt;NYears*12,"",IF($A300=1,InitInvest,$R299))</f>
        <v/>
      </c>
      <c r="G300" s="33">
        <f>IF($A300&gt;NYears*12,"",INT($F300/$E300))</f>
        <v/>
      </c>
      <c r="H300" s="35">
        <f>IF($A300&gt;NYears*12,"",$G300*$E300)</f>
        <v/>
      </c>
      <c r="I300" s="35">
        <f>IF($A300&gt;NYears*12,"",$F300-$H300)</f>
        <v/>
      </c>
      <c r="J300" s="35">
        <f>IF($A300&gt;NYears*12,"",$H300*RateA)</f>
        <v/>
      </c>
      <c r="K300" s="35">
        <f>IF($A300&gt;NYears*12,"",IF($D300=1,$J300,$K299+$J300))</f>
        <v/>
      </c>
      <c r="L300" s="35">
        <f>IF($A300&gt;NYears*12,"",IF(MOD($D300,3)=0,SUM($J298:$J300),0))</f>
        <v/>
      </c>
      <c r="M300" s="35">
        <f>IF($A300&gt;NYears*12,"",IF(TaxFreq="Quarterly",$K300*12/$D300,$K300))</f>
        <v/>
      </c>
      <c r="N300" s="36">
        <f>IF($A300&gt;NYears*12,"",LOOKUP($M300,TaxLower,TaxRate))</f>
        <v/>
      </c>
      <c r="O300" s="35">
        <f>IF($A300&gt;NYears*12,"",IF(TaxFreq="Quarterly",IF(MOD($D300,3)=0,$L300*$N300,0),IF($D300=12,$K300*$N300,0)))</f>
        <v/>
      </c>
      <c r="P300" s="35">
        <f>IF($A300&gt;NYears*12,"",IF($D300=1,$O300,$P299+$O300))</f>
        <v/>
      </c>
      <c r="Q300" s="35">
        <f>IF($A300&gt;NYears*12,"",IF($D300=12,MIN(WdrPct*IF(WdrBase="Post-tax profit",$K300-$P300,$K300),WdrCap),0))</f>
        <v/>
      </c>
      <c r="R300" s="35">
        <f>IF($A300&gt;NYears*12,"",$F300+$J300-$O300-$Q300)</f>
        <v/>
      </c>
      <c r="S300" s="33">
        <f>IF($A300&gt;NYears*12,"",INT($R300/$E300))</f>
        <v/>
      </c>
    </row>
    <row r="301">
      <c r="A301" s="33">
        <f>297</f>
        <v/>
      </c>
      <c r="B301" s="34">
        <f>IF($A301&gt;NYears*12,"",EDATE(StartMonth,$A301-1))</f>
        <v/>
      </c>
      <c r="C301" s="33">
        <f>IF($A301&gt;NYears*12,"",INT(($A301-1)/12)+1)</f>
        <v/>
      </c>
      <c r="D301" s="33">
        <f>IF($A301&gt;NYears*12,"",MOD($A301-1,12)+1)</f>
        <v/>
      </c>
      <c r="E301" s="35">
        <f>IF($A301&gt;NYears*12,"",LotValue0*(1+LotGrowth)^($C301-1))</f>
        <v/>
      </c>
      <c r="F301" s="35">
        <f>IF($A301&gt;NYears*12,"",IF($A301=1,InitInvest,$R300))</f>
        <v/>
      </c>
      <c r="G301" s="33">
        <f>IF($A301&gt;NYears*12,"",INT($F301/$E301))</f>
        <v/>
      </c>
      <c r="H301" s="35">
        <f>IF($A301&gt;NYears*12,"",$G301*$E301)</f>
        <v/>
      </c>
      <c r="I301" s="35">
        <f>IF($A301&gt;NYears*12,"",$F301-$H301)</f>
        <v/>
      </c>
      <c r="J301" s="35">
        <f>IF($A301&gt;NYears*12,"",$H301*RateA)</f>
        <v/>
      </c>
      <c r="K301" s="35">
        <f>IF($A301&gt;NYears*12,"",IF($D301=1,$J301,$K300+$J301))</f>
        <v/>
      </c>
      <c r="L301" s="35">
        <f>IF($A301&gt;NYears*12,"",IF(MOD($D301,3)=0,SUM($J299:$J301),0))</f>
        <v/>
      </c>
      <c r="M301" s="35">
        <f>IF($A301&gt;NYears*12,"",IF(TaxFreq="Quarterly",$K301*12/$D301,$K301))</f>
        <v/>
      </c>
      <c r="N301" s="36">
        <f>IF($A301&gt;NYears*12,"",LOOKUP($M301,TaxLower,TaxRate))</f>
        <v/>
      </c>
      <c r="O301" s="35">
        <f>IF($A301&gt;NYears*12,"",IF(TaxFreq="Quarterly",IF(MOD($D301,3)=0,$L301*$N301,0),IF($D301=12,$K301*$N301,0)))</f>
        <v/>
      </c>
      <c r="P301" s="35">
        <f>IF($A301&gt;NYears*12,"",IF($D301=1,$O301,$P300+$O301))</f>
        <v/>
      </c>
      <c r="Q301" s="35">
        <f>IF($A301&gt;NYears*12,"",IF($D301=12,MIN(WdrPct*IF(WdrBase="Post-tax profit",$K301-$P301,$K301),WdrCap),0))</f>
        <v/>
      </c>
      <c r="R301" s="35">
        <f>IF($A301&gt;NYears*12,"",$F301+$J301-$O301-$Q301)</f>
        <v/>
      </c>
      <c r="S301" s="33">
        <f>IF($A301&gt;NYears*12,"",INT($R301/$E301))</f>
        <v/>
      </c>
    </row>
    <row r="302">
      <c r="A302" s="33">
        <f>298</f>
        <v/>
      </c>
      <c r="B302" s="34">
        <f>IF($A302&gt;NYears*12,"",EDATE(StartMonth,$A302-1))</f>
        <v/>
      </c>
      <c r="C302" s="33">
        <f>IF($A302&gt;NYears*12,"",INT(($A302-1)/12)+1)</f>
        <v/>
      </c>
      <c r="D302" s="33">
        <f>IF($A302&gt;NYears*12,"",MOD($A302-1,12)+1)</f>
        <v/>
      </c>
      <c r="E302" s="35">
        <f>IF($A302&gt;NYears*12,"",LotValue0*(1+LotGrowth)^($C302-1))</f>
        <v/>
      </c>
      <c r="F302" s="35">
        <f>IF($A302&gt;NYears*12,"",IF($A302=1,InitInvest,$R301))</f>
        <v/>
      </c>
      <c r="G302" s="33">
        <f>IF($A302&gt;NYears*12,"",INT($F302/$E302))</f>
        <v/>
      </c>
      <c r="H302" s="35">
        <f>IF($A302&gt;NYears*12,"",$G302*$E302)</f>
        <v/>
      </c>
      <c r="I302" s="35">
        <f>IF($A302&gt;NYears*12,"",$F302-$H302)</f>
        <v/>
      </c>
      <c r="J302" s="35">
        <f>IF($A302&gt;NYears*12,"",$H302*RateA)</f>
        <v/>
      </c>
      <c r="K302" s="35">
        <f>IF($A302&gt;NYears*12,"",IF($D302=1,$J302,$K301+$J302))</f>
        <v/>
      </c>
      <c r="L302" s="35">
        <f>IF($A302&gt;NYears*12,"",IF(MOD($D302,3)=0,SUM($J300:$J302),0))</f>
        <v/>
      </c>
      <c r="M302" s="35">
        <f>IF($A302&gt;NYears*12,"",IF(TaxFreq="Quarterly",$K302*12/$D302,$K302))</f>
        <v/>
      </c>
      <c r="N302" s="36">
        <f>IF($A302&gt;NYears*12,"",LOOKUP($M302,TaxLower,TaxRate))</f>
        <v/>
      </c>
      <c r="O302" s="35">
        <f>IF($A302&gt;NYears*12,"",IF(TaxFreq="Quarterly",IF(MOD($D302,3)=0,$L302*$N302,0),IF($D302=12,$K302*$N302,0)))</f>
        <v/>
      </c>
      <c r="P302" s="35">
        <f>IF($A302&gt;NYears*12,"",IF($D302=1,$O302,$P301+$O302))</f>
        <v/>
      </c>
      <c r="Q302" s="35">
        <f>IF($A302&gt;NYears*12,"",IF($D302=12,MIN(WdrPct*IF(WdrBase="Post-tax profit",$K302-$P302,$K302),WdrCap),0))</f>
        <v/>
      </c>
      <c r="R302" s="35">
        <f>IF($A302&gt;NYears*12,"",$F302+$J302-$O302-$Q302)</f>
        <v/>
      </c>
      <c r="S302" s="33">
        <f>IF($A302&gt;NYears*12,"",INT($R302/$E302))</f>
        <v/>
      </c>
    </row>
    <row r="303">
      <c r="A303" s="33">
        <f>299</f>
        <v/>
      </c>
      <c r="B303" s="34">
        <f>IF($A303&gt;NYears*12,"",EDATE(StartMonth,$A303-1))</f>
        <v/>
      </c>
      <c r="C303" s="33">
        <f>IF($A303&gt;NYears*12,"",INT(($A303-1)/12)+1)</f>
        <v/>
      </c>
      <c r="D303" s="33">
        <f>IF($A303&gt;NYears*12,"",MOD($A303-1,12)+1)</f>
        <v/>
      </c>
      <c r="E303" s="35">
        <f>IF($A303&gt;NYears*12,"",LotValue0*(1+LotGrowth)^($C303-1))</f>
        <v/>
      </c>
      <c r="F303" s="35">
        <f>IF($A303&gt;NYears*12,"",IF($A303=1,InitInvest,$R302))</f>
        <v/>
      </c>
      <c r="G303" s="33">
        <f>IF($A303&gt;NYears*12,"",INT($F303/$E303))</f>
        <v/>
      </c>
      <c r="H303" s="35">
        <f>IF($A303&gt;NYears*12,"",$G303*$E303)</f>
        <v/>
      </c>
      <c r="I303" s="35">
        <f>IF($A303&gt;NYears*12,"",$F303-$H303)</f>
        <v/>
      </c>
      <c r="J303" s="35">
        <f>IF($A303&gt;NYears*12,"",$H303*RateA)</f>
        <v/>
      </c>
      <c r="K303" s="35">
        <f>IF($A303&gt;NYears*12,"",IF($D303=1,$J303,$K302+$J303))</f>
        <v/>
      </c>
      <c r="L303" s="35">
        <f>IF($A303&gt;NYears*12,"",IF(MOD($D303,3)=0,SUM($J301:$J303),0))</f>
        <v/>
      </c>
      <c r="M303" s="35">
        <f>IF($A303&gt;NYears*12,"",IF(TaxFreq="Quarterly",$K303*12/$D303,$K303))</f>
        <v/>
      </c>
      <c r="N303" s="36">
        <f>IF($A303&gt;NYears*12,"",LOOKUP($M303,TaxLower,TaxRate))</f>
        <v/>
      </c>
      <c r="O303" s="35">
        <f>IF($A303&gt;NYears*12,"",IF(TaxFreq="Quarterly",IF(MOD($D303,3)=0,$L303*$N303,0),IF($D303=12,$K303*$N303,0)))</f>
        <v/>
      </c>
      <c r="P303" s="35">
        <f>IF($A303&gt;NYears*12,"",IF($D303=1,$O303,$P302+$O303))</f>
        <v/>
      </c>
      <c r="Q303" s="35">
        <f>IF($A303&gt;NYears*12,"",IF($D303=12,MIN(WdrPct*IF(WdrBase="Post-tax profit",$K303-$P303,$K303),WdrCap),0))</f>
        <v/>
      </c>
      <c r="R303" s="35">
        <f>IF($A303&gt;NYears*12,"",$F303+$J303-$O303-$Q303)</f>
        <v/>
      </c>
      <c r="S303" s="33">
        <f>IF($A303&gt;NYears*12,"",INT($R303/$E303))</f>
        <v/>
      </c>
    </row>
    <row r="304">
      <c r="A304" s="37">
        <f>300</f>
        <v/>
      </c>
      <c r="B304" s="38">
        <f>IF($A304&gt;NYears*12,"",EDATE(StartMonth,$A304-1))</f>
        <v/>
      </c>
      <c r="C304" s="37">
        <f>IF($A304&gt;NYears*12,"",INT(($A304-1)/12)+1)</f>
        <v/>
      </c>
      <c r="D304" s="37">
        <f>IF($A304&gt;NYears*12,"",MOD($A304-1,12)+1)</f>
        <v/>
      </c>
      <c r="E304" s="39">
        <f>IF($A304&gt;NYears*12,"",LotValue0*(1+LotGrowth)^($C304-1))</f>
        <v/>
      </c>
      <c r="F304" s="39">
        <f>IF($A304&gt;NYears*12,"",IF($A304=1,InitInvest,$R303))</f>
        <v/>
      </c>
      <c r="G304" s="37">
        <f>IF($A304&gt;NYears*12,"",INT($F304/$E304))</f>
        <v/>
      </c>
      <c r="H304" s="39">
        <f>IF($A304&gt;NYears*12,"",$G304*$E304)</f>
        <v/>
      </c>
      <c r="I304" s="39">
        <f>IF($A304&gt;NYears*12,"",$F304-$H304)</f>
        <v/>
      </c>
      <c r="J304" s="39">
        <f>IF($A304&gt;NYears*12,"",$H304*RateA)</f>
        <v/>
      </c>
      <c r="K304" s="39">
        <f>IF($A304&gt;NYears*12,"",IF($D304=1,$J304,$K303+$J304))</f>
        <v/>
      </c>
      <c r="L304" s="39">
        <f>IF($A304&gt;NYears*12,"",IF(MOD($D304,3)=0,SUM($J302:$J304),0))</f>
        <v/>
      </c>
      <c r="M304" s="39">
        <f>IF($A304&gt;NYears*12,"",IF(TaxFreq="Quarterly",$K304*12/$D304,$K304))</f>
        <v/>
      </c>
      <c r="N304" s="40">
        <f>IF($A304&gt;NYears*12,"",LOOKUP($M304,TaxLower,TaxRate))</f>
        <v/>
      </c>
      <c r="O304" s="39">
        <f>IF($A304&gt;NYears*12,"",IF(TaxFreq="Quarterly",IF(MOD($D304,3)=0,$L304*$N304,0),IF($D304=12,$K304*$N304,0)))</f>
        <v/>
      </c>
      <c r="P304" s="39">
        <f>IF($A304&gt;NYears*12,"",IF($D304=1,$O304,$P303+$O304))</f>
        <v/>
      </c>
      <c r="Q304" s="39">
        <f>IF($A304&gt;NYears*12,"",IF($D304=12,MIN(WdrPct*IF(WdrBase="Post-tax profit",$K304-$P304,$K304),WdrCap),0))</f>
        <v/>
      </c>
      <c r="R304" s="39">
        <f>IF($A304&gt;NYears*12,"",$F304+$J304-$O304-$Q304)</f>
        <v/>
      </c>
      <c r="S304" s="37">
        <f>IF($A304&gt;NYears*12,"",INT($R304/$E304))</f>
        <v/>
      </c>
    </row>
    <row r="305">
      <c r="A305" s="33">
        <f>301</f>
        <v/>
      </c>
      <c r="B305" s="34">
        <f>IF($A305&gt;NYears*12,"",EDATE(StartMonth,$A305-1))</f>
        <v/>
      </c>
      <c r="C305" s="33">
        <f>IF($A305&gt;NYears*12,"",INT(($A305-1)/12)+1)</f>
        <v/>
      </c>
      <c r="D305" s="33">
        <f>IF($A305&gt;NYears*12,"",MOD($A305-1,12)+1)</f>
        <v/>
      </c>
      <c r="E305" s="35">
        <f>IF($A305&gt;NYears*12,"",LotValue0*(1+LotGrowth)^($C305-1))</f>
        <v/>
      </c>
      <c r="F305" s="35">
        <f>IF($A305&gt;NYears*12,"",IF($A305=1,InitInvest,$R304))</f>
        <v/>
      </c>
      <c r="G305" s="33">
        <f>IF($A305&gt;NYears*12,"",INT($F305/$E305))</f>
        <v/>
      </c>
      <c r="H305" s="35">
        <f>IF($A305&gt;NYears*12,"",$G305*$E305)</f>
        <v/>
      </c>
      <c r="I305" s="35">
        <f>IF($A305&gt;NYears*12,"",$F305-$H305)</f>
        <v/>
      </c>
      <c r="J305" s="35">
        <f>IF($A305&gt;NYears*12,"",$H305*RateA)</f>
        <v/>
      </c>
      <c r="K305" s="35">
        <f>IF($A305&gt;NYears*12,"",IF($D305=1,$J305,$K304+$J305))</f>
        <v/>
      </c>
      <c r="L305" s="35">
        <f>IF($A305&gt;NYears*12,"",IF(MOD($D305,3)=0,SUM($J303:$J305),0))</f>
        <v/>
      </c>
      <c r="M305" s="35">
        <f>IF($A305&gt;NYears*12,"",IF(TaxFreq="Quarterly",$K305*12/$D305,$K305))</f>
        <v/>
      </c>
      <c r="N305" s="36">
        <f>IF($A305&gt;NYears*12,"",LOOKUP($M305,TaxLower,TaxRate))</f>
        <v/>
      </c>
      <c r="O305" s="35">
        <f>IF($A305&gt;NYears*12,"",IF(TaxFreq="Quarterly",IF(MOD($D305,3)=0,$L305*$N305,0),IF($D305=12,$K305*$N305,0)))</f>
        <v/>
      </c>
      <c r="P305" s="35">
        <f>IF($A305&gt;NYears*12,"",IF($D305=1,$O305,$P304+$O305))</f>
        <v/>
      </c>
      <c r="Q305" s="35">
        <f>IF($A305&gt;NYears*12,"",IF($D305=12,MIN(WdrPct*IF(WdrBase="Post-tax profit",$K305-$P305,$K305),WdrCap),0))</f>
        <v/>
      </c>
      <c r="R305" s="35">
        <f>IF($A305&gt;NYears*12,"",$F305+$J305-$O305-$Q305)</f>
        <v/>
      </c>
      <c r="S305" s="33">
        <f>IF($A305&gt;NYears*12,"",INT($R305/$E305))</f>
        <v/>
      </c>
    </row>
    <row r="306">
      <c r="A306" s="33">
        <f>302</f>
        <v/>
      </c>
      <c r="B306" s="34">
        <f>IF($A306&gt;NYears*12,"",EDATE(StartMonth,$A306-1))</f>
        <v/>
      </c>
      <c r="C306" s="33">
        <f>IF($A306&gt;NYears*12,"",INT(($A306-1)/12)+1)</f>
        <v/>
      </c>
      <c r="D306" s="33">
        <f>IF($A306&gt;NYears*12,"",MOD($A306-1,12)+1)</f>
        <v/>
      </c>
      <c r="E306" s="35">
        <f>IF($A306&gt;NYears*12,"",LotValue0*(1+LotGrowth)^($C306-1))</f>
        <v/>
      </c>
      <c r="F306" s="35">
        <f>IF($A306&gt;NYears*12,"",IF($A306=1,InitInvest,$R305))</f>
        <v/>
      </c>
      <c r="G306" s="33">
        <f>IF($A306&gt;NYears*12,"",INT($F306/$E306))</f>
        <v/>
      </c>
      <c r="H306" s="35">
        <f>IF($A306&gt;NYears*12,"",$G306*$E306)</f>
        <v/>
      </c>
      <c r="I306" s="35">
        <f>IF($A306&gt;NYears*12,"",$F306-$H306)</f>
        <v/>
      </c>
      <c r="J306" s="35">
        <f>IF($A306&gt;NYears*12,"",$H306*RateA)</f>
        <v/>
      </c>
      <c r="K306" s="35">
        <f>IF($A306&gt;NYears*12,"",IF($D306=1,$J306,$K305+$J306))</f>
        <v/>
      </c>
      <c r="L306" s="35">
        <f>IF($A306&gt;NYears*12,"",IF(MOD($D306,3)=0,SUM($J304:$J306),0))</f>
        <v/>
      </c>
      <c r="M306" s="35">
        <f>IF($A306&gt;NYears*12,"",IF(TaxFreq="Quarterly",$K306*12/$D306,$K306))</f>
        <v/>
      </c>
      <c r="N306" s="36">
        <f>IF($A306&gt;NYears*12,"",LOOKUP($M306,TaxLower,TaxRate))</f>
        <v/>
      </c>
      <c r="O306" s="35">
        <f>IF($A306&gt;NYears*12,"",IF(TaxFreq="Quarterly",IF(MOD($D306,3)=0,$L306*$N306,0),IF($D306=12,$K306*$N306,0)))</f>
        <v/>
      </c>
      <c r="P306" s="35">
        <f>IF($A306&gt;NYears*12,"",IF($D306=1,$O306,$P305+$O306))</f>
        <v/>
      </c>
      <c r="Q306" s="35">
        <f>IF($A306&gt;NYears*12,"",IF($D306=12,MIN(WdrPct*IF(WdrBase="Post-tax profit",$K306-$P306,$K306),WdrCap),0))</f>
        <v/>
      </c>
      <c r="R306" s="35">
        <f>IF($A306&gt;NYears*12,"",$F306+$J306-$O306-$Q306)</f>
        <v/>
      </c>
      <c r="S306" s="33">
        <f>IF($A306&gt;NYears*12,"",INT($R306/$E306))</f>
        <v/>
      </c>
    </row>
    <row r="307">
      <c r="A307" s="33">
        <f>303</f>
        <v/>
      </c>
      <c r="B307" s="34">
        <f>IF($A307&gt;NYears*12,"",EDATE(StartMonth,$A307-1))</f>
        <v/>
      </c>
      <c r="C307" s="33">
        <f>IF($A307&gt;NYears*12,"",INT(($A307-1)/12)+1)</f>
        <v/>
      </c>
      <c r="D307" s="33">
        <f>IF($A307&gt;NYears*12,"",MOD($A307-1,12)+1)</f>
        <v/>
      </c>
      <c r="E307" s="35">
        <f>IF($A307&gt;NYears*12,"",LotValue0*(1+LotGrowth)^($C307-1))</f>
        <v/>
      </c>
      <c r="F307" s="35">
        <f>IF($A307&gt;NYears*12,"",IF($A307=1,InitInvest,$R306))</f>
        <v/>
      </c>
      <c r="G307" s="33">
        <f>IF($A307&gt;NYears*12,"",INT($F307/$E307))</f>
        <v/>
      </c>
      <c r="H307" s="35">
        <f>IF($A307&gt;NYears*12,"",$G307*$E307)</f>
        <v/>
      </c>
      <c r="I307" s="35">
        <f>IF($A307&gt;NYears*12,"",$F307-$H307)</f>
        <v/>
      </c>
      <c r="J307" s="35">
        <f>IF($A307&gt;NYears*12,"",$H307*RateA)</f>
        <v/>
      </c>
      <c r="K307" s="35">
        <f>IF($A307&gt;NYears*12,"",IF($D307=1,$J307,$K306+$J307))</f>
        <v/>
      </c>
      <c r="L307" s="35">
        <f>IF($A307&gt;NYears*12,"",IF(MOD($D307,3)=0,SUM($J305:$J307),0))</f>
        <v/>
      </c>
      <c r="M307" s="35">
        <f>IF($A307&gt;NYears*12,"",IF(TaxFreq="Quarterly",$K307*12/$D307,$K307))</f>
        <v/>
      </c>
      <c r="N307" s="36">
        <f>IF($A307&gt;NYears*12,"",LOOKUP($M307,TaxLower,TaxRate))</f>
        <v/>
      </c>
      <c r="O307" s="35">
        <f>IF($A307&gt;NYears*12,"",IF(TaxFreq="Quarterly",IF(MOD($D307,3)=0,$L307*$N307,0),IF($D307=12,$K307*$N307,0)))</f>
        <v/>
      </c>
      <c r="P307" s="35">
        <f>IF($A307&gt;NYears*12,"",IF($D307=1,$O307,$P306+$O307))</f>
        <v/>
      </c>
      <c r="Q307" s="35">
        <f>IF($A307&gt;NYears*12,"",IF($D307=12,MIN(WdrPct*IF(WdrBase="Post-tax profit",$K307-$P307,$K307),WdrCap),0))</f>
        <v/>
      </c>
      <c r="R307" s="35">
        <f>IF($A307&gt;NYears*12,"",$F307+$J307-$O307-$Q307)</f>
        <v/>
      </c>
      <c r="S307" s="33">
        <f>IF($A307&gt;NYears*12,"",INT($R307/$E307))</f>
        <v/>
      </c>
    </row>
    <row r="308">
      <c r="A308" s="33">
        <f>304</f>
        <v/>
      </c>
      <c r="B308" s="34">
        <f>IF($A308&gt;NYears*12,"",EDATE(StartMonth,$A308-1))</f>
        <v/>
      </c>
      <c r="C308" s="33">
        <f>IF($A308&gt;NYears*12,"",INT(($A308-1)/12)+1)</f>
        <v/>
      </c>
      <c r="D308" s="33">
        <f>IF($A308&gt;NYears*12,"",MOD($A308-1,12)+1)</f>
        <v/>
      </c>
      <c r="E308" s="35">
        <f>IF($A308&gt;NYears*12,"",LotValue0*(1+LotGrowth)^($C308-1))</f>
        <v/>
      </c>
      <c r="F308" s="35">
        <f>IF($A308&gt;NYears*12,"",IF($A308=1,InitInvest,$R307))</f>
        <v/>
      </c>
      <c r="G308" s="33">
        <f>IF($A308&gt;NYears*12,"",INT($F308/$E308))</f>
        <v/>
      </c>
      <c r="H308" s="35">
        <f>IF($A308&gt;NYears*12,"",$G308*$E308)</f>
        <v/>
      </c>
      <c r="I308" s="35">
        <f>IF($A308&gt;NYears*12,"",$F308-$H308)</f>
        <v/>
      </c>
      <c r="J308" s="35">
        <f>IF($A308&gt;NYears*12,"",$H308*RateA)</f>
        <v/>
      </c>
      <c r="K308" s="35">
        <f>IF($A308&gt;NYears*12,"",IF($D308=1,$J308,$K307+$J308))</f>
        <v/>
      </c>
      <c r="L308" s="35">
        <f>IF($A308&gt;NYears*12,"",IF(MOD($D308,3)=0,SUM($J306:$J308),0))</f>
        <v/>
      </c>
      <c r="M308" s="35">
        <f>IF($A308&gt;NYears*12,"",IF(TaxFreq="Quarterly",$K308*12/$D308,$K308))</f>
        <v/>
      </c>
      <c r="N308" s="36">
        <f>IF($A308&gt;NYears*12,"",LOOKUP($M308,TaxLower,TaxRate))</f>
        <v/>
      </c>
      <c r="O308" s="35">
        <f>IF($A308&gt;NYears*12,"",IF(TaxFreq="Quarterly",IF(MOD($D308,3)=0,$L308*$N308,0),IF($D308=12,$K308*$N308,0)))</f>
        <v/>
      </c>
      <c r="P308" s="35">
        <f>IF($A308&gt;NYears*12,"",IF($D308=1,$O308,$P307+$O308))</f>
        <v/>
      </c>
      <c r="Q308" s="35">
        <f>IF($A308&gt;NYears*12,"",IF($D308=12,MIN(WdrPct*IF(WdrBase="Post-tax profit",$K308-$P308,$K308),WdrCap),0))</f>
        <v/>
      </c>
      <c r="R308" s="35">
        <f>IF($A308&gt;NYears*12,"",$F308+$J308-$O308-$Q308)</f>
        <v/>
      </c>
      <c r="S308" s="33">
        <f>IF($A308&gt;NYears*12,"",INT($R308/$E308))</f>
        <v/>
      </c>
    </row>
    <row r="309">
      <c r="A309" s="33">
        <f>305</f>
        <v/>
      </c>
      <c r="B309" s="34">
        <f>IF($A309&gt;NYears*12,"",EDATE(StartMonth,$A309-1))</f>
        <v/>
      </c>
      <c r="C309" s="33">
        <f>IF($A309&gt;NYears*12,"",INT(($A309-1)/12)+1)</f>
        <v/>
      </c>
      <c r="D309" s="33">
        <f>IF($A309&gt;NYears*12,"",MOD($A309-1,12)+1)</f>
        <v/>
      </c>
      <c r="E309" s="35">
        <f>IF($A309&gt;NYears*12,"",LotValue0*(1+LotGrowth)^($C309-1))</f>
        <v/>
      </c>
      <c r="F309" s="35">
        <f>IF($A309&gt;NYears*12,"",IF($A309=1,InitInvest,$R308))</f>
        <v/>
      </c>
      <c r="G309" s="33">
        <f>IF($A309&gt;NYears*12,"",INT($F309/$E309))</f>
        <v/>
      </c>
      <c r="H309" s="35">
        <f>IF($A309&gt;NYears*12,"",$G309*$E309)</f>
        <v/>
      </c>
      <c r="I309" s="35">
        <f>IF($A309&gt;NYears*12,"",$F309-$H309)</f>
        <v/>
      </c>
      <c r="J309" s="35">
        <f>IF($A309&gt;NYears*12,"",$H309*RateA)</f>
        <v/>
      </c>
      <c r="K309" s="35">
        <f>IF($A309&gt;NYears*12,"",IF($D309=1,$J309,$K308+$J309))</f>
        <v/>
      </c>
      <c r="L309" s="35">
        <f>IF($A309&gt;NYears*12,"",IF(MOD($D309,3)=0,SUM($J307:$J309),0))</f>
        <v/>
      </c>
      <c r="M309" s="35">
        <f>IF($A309&gt;NYears*12,"",IF(TaxFreq="Quarterly",$K309*12/$D309,$K309))</f>
        <v/>
      </c>
      <c r="N309" s="36">
        <f>IF($A309&gt;NYears*12,"",LOOKUP($M309,TaxLower,TaxRate))</f>
        <v/>
      </c>
      <c r="O309" s="35">
        <f>IF($A309&gt;NYears*12,"",IF(TaxFreq="Quarterly",IF(MOD($D309,3)=0,$L309*$N309,0),IF($D309=12,$K309*$N309,0)))</f>
        <v/>
      </c>
      <c r="P309" s="35">
        <f>IF($A309&gt;NYears*12,"",IF($D309=1,$O309,$P308+$O309))</f>
        <v/>
      </c>
      <c r="Q309" s="35">
        <f>IF($A309&gt;NYears*12,"",IF($D309=12,MIN(WdrPct*IF(WdrBase="Post-tax profit",$K309-$P309,$K309),WdrCap),0))</f>
        <v/>
      </c>
      <c r="R309" s="35">
        <f>IF($A309&gt;NYears*12,"",$F309+$J309-$O309-$Q309)</f>
        <v/>
      </c>
      <c r="S309" s="33">
        <f>IF($A309&gt;NYears*12,"",INT($R309/$E309))</f>
        <v/>
      </c>
    </row>
    <row r="310">
      <c r="A310" s="33">
        <f>306</f>
        <v/>
      </c>
      <c r="B310" s="34">
        <f>IF($A310&gt;NYears*12,"",EDATE(StartMonth,$A310-1))</f>
        <v/>
      </c>
      <c r="C310" s="33">
        <f>IF($A310&gt;NYears*12,"",INT(($A310-1)/12)+1)</f>
        <v/>
      </c>
      <c r="D310" s="33">
        <f>IF($A310&gt;NYears*12,"",MOD($A310-1,12)+1)</f>
        <v/>
      </c>
      <c r="E310" s="35">
        <f>IF($A310&gt;NYears*12,"",LotValue0*(1+LotGrowth)^($C310-1))</f>
        <v/>
      </c>
      <c r="F310" s="35">
        <f>IF($A310&gt;NYears*12,"",IF($A310=1,InitInvest,$R309))</f>
        <v/>
      </c>
      <c r="G310" s="33">
        <f>IF($A310&gt;NYears*12,"",INT($F310/$E310))</f>
        <v/>
      </c>
      <c r="H310" s="35">
        <f>IF($A310&gt;NYears*12,"",$G310*$E310)</f>
        <v/>
      </c>
      <c r="I310" s="35">
        <f>IF($A310&gt;NYears*12,"",$F310-$H310)</f>
        <v/>
      </c>
      <c r="J310" s="35">
        <f>IF($A310&gt;NYears*12,"",$H310*RateA)</f>
        <v/>
      </c>
      <c r="K310" s="35">
        <f>IF($A310&gt;NYears*12,"",IF($D310=1,$J310,$K309+$J310))</f>
        <v/>
      </c>
      <c r="L310" s="35">
        <f>IF($A310&gt;NYears*12,"",IF(MOD($D310,3)=0,SUM($J308:$J310),0))</f>
        <v/>
      </c>
      <c r="M310" s="35">
        <f>IF($A310&gt;NYears*12,"",IF(TaxFreq="Quarterly",$K310*12/$D310,$K310))</f>
        <v/>
      </c>
      <c r="N310" s="36">
        <f>IF($A310&gt;NYears*12,"",LOOKUP($M310,TaxLower,TaxRate))</f>
        <v/>
      </c>
      <c r="O310" s="35">
        <f>IF($A310&gt;NYears*12,"",IF(TaxFreq="Quarterly",IF(MOD($D310,3)=0,$L310*$N310,0),IF($D310=12,$K310*$N310,0)))</f>
        <v/>
      </c>
      <c r="P310" s="35">
        <f>IF($A310&gt;NYears*12,"",IF($D310=1,$O310,$P309+$O310))</f>
        <v/>
      </c>
      <c r="Q310" s="35">
        <f>IF($A310&gt;NYears*12,"",IF($D310=12,MIN(WdrPct*IF(WdrBase="Post-tax profit",$K310-$P310,$K310),WdrCap),0))</f>
        <v/>
      </c>
      <c r="R310" s="35">
        <f>IF($A310&gt;NYears*12,"",$F310+$J310-$O310-$Q310)</f>
        <v/>
      </c>
      <c r="S310" s="33">
        <f>IF($A310&gt;NYears*12,"",INT($R310/$E310))</f>
        <v/>
      </c>
    </row>
    <row r="311">
      <c r="A311" s="33">
        <f>307</f>
        <v/>
      </c>
      <c r="B311" s="34">
        <f>IF($A311&gt;NYears*12,"",EDATE(StartMonth,$A311-1))</f>
        <v/>
      </c>
      <c r="C311" s="33">
        <f>IF($A311&gt;NYears*12,"",INT(($A311-1)/12)+1)</f>
        <v/>
      </c>
      <c r="D311" s="33">
        <f>IF($A311&gt;NYears*12,"",MOD($A311-1,12)+1)</f>
        <v/>
      </c>
      <c r="E311" s="35">
        <f>IF($A311&gt;NYears*12,"",LotValue0*(1+LotGrowth)^($C311-1))</f>
        <v/>
      </c>
      <c r="F311" s="35">
        <f>IF($A311&gt;NYears*12,"",IF($A311=1,InitInvest,$R310))</f>
        <v/>
      </c>
      <c r="G311" s="33">
        <f>IF($A311&gt;NYears*12,"",INT($F311/$E311))</f>
        <v/>
      </c>
      <c r="H311" s="35">
        <f>IF($A311&gt;NYears*12,"",$G311*$E311)</f>
        <v/>
      </c>
      <c r="I311" s="35">
        <f>IF($A311&gt;NYears*12,"",$F311-$H311)</f>
        <v/>
      </c>
      <c r="J311" s="35">
        <f>IF($A311&gt;NYears*12,"",$H311*RateA)</f>
        <v/>
      </c>
      <c r="K311" s="35">
        <f>IF($A311&gt;NYears*12,"",IF($D311=1,$J311,$K310+$J311))</f>
        <v/>
      </c>
      <c r="L311" s="35">
        <f>IF($A311&gt;NYears*12,"",IF(MOD($D311,3)=0,SUM($J309:$J311),0))</f>
        <v/>
      </c>
      <c r="M311" s="35">
        <f>IF($A311&gt;NYears*12,"",IF(TaxFreq="Quarterly",$K311*12/$D311,$K311))</f>
        <v/>
      </c>
      <c r="N311" s="36">
        <f>IF($A311&gt;NYears*12,"",LOOKUP($M311,TaxLower,TaxRate))</f>
        <v/>
      </c>
      <c r="O311" s="35">
        <f>IF($A311&gt;NYears*12,"",IF(TaxFreq="Quarterly",IF(MOD($D311,3)=0,$L311*$N311,0),IF($D311=12,$K311*$N311,0)))</f>
        <v/>
      </c>
      <c r="P311" s="35">
        <f>IF($A311&gt;NYears*12,"",IF($D311=1,$O311,$P310+$O311))</f>
        <v/>
      </c>
      <c r="Q311" s="35">
        <f>IF($A311&gt;NYears*12,"",IF($D311=12,MIN(WdrPct*IF(WdrBase="Post-tax profit",$K311-$P311,$K311),WdrCap),0))</f>
        <v/>
      </c>
      <c r="R311" s="35">
        <f>IF($A311&gt;NYears*12,"",$F311+$J311-$O311-$Q311)</f>
        <v/>
      </c>
      <c r="S311" s="33">
        <f>IF($A311&gt;NYears*12,"",INT($R311/$E311))</f>
        <v/>
      </c>
    </row>
    <row r="312">
      <c r="A312" s="33">
        <f>308</f>
        <v/>
      </c>
      <c r="B312" s="34">
        <f>IF($A312&gt;NYears*12,"",EDATE(StartMonth,$A312-1))</f>
        <v/>
      </c>
      <c r="C312" s="33">
        <f>IF($A312&gt;NYears*12,"",INT(($A312-1)/12)+1)</f>
        <v/>
      </c>
      <c r="D312" s="33">
        <f>IF($A312&gt;NYears*12,"",MOD($A312-1,12)+1)</f>
        <v/>
      </c>
      <c r="E312" s="35">
        <f>IF($A312&gt;NYears*12,"",LotValue0*(1+LotGrowth)^($C312-1))</f>
        <v/>
      </c>
      <c r="F312" s="35">
        <f>IF($A312&gt;NYears*12,"",IF($A312=1,InitInvest,$R311))</f>
        <v/>
      </c>
      <c r="G312" s="33">
        <f>IF($A312&gt;NYears*12,"",INT($F312/$E312))</f>
        <v/>
      </c>
      <c r="H312" s="35">
        <f>IF($A312&gt;NYears*12,"",$G312*$E312)</f>
        <v/>
      </c>
      <c r="I312" s="35">
        <f>IF($A312&gt;NYears*12,"",$F312-$H312)</f>
        <v/>
      </c>
      <c r="J312" s="35">
        <f>IF($A312&gt;NYears*12,"",$H312*RateA)</f>
        <v/>
      </c>
      <c r="K312" s="35">
        <f>IF($A312&gt;NYears*12,"",IF($D312=1,$J312,$K311+$J312))</f>
        <v/>
      </c>
      <c r="L312" s="35">
        <f>IF($A312&gt;NYears*12,"",IF(MOD($D312,3)=0,SUM($J310:$J312),0))</f>
        <v/>
      </c>
      <c r="M312" s="35">
        <f>IF($A312&gt;NYears*12,"",IF(TaxFreq="Quarterly",$K312*12/$D312,$K312))</f>
        <v/>
      </c>
      <c r="N312" s="36">
        <f>IF($A312&gt;NYears*12,"",LOOKUP($M312,TaxLower,TaxRate))</f>
        <v/>
      </c>
      <c r="O312" s="35">
        <f>IF($A312&gt;NYears*12,"",IF(TaxFreq="Quarterly",IF(MOD($D312,3)=0,$L312*$N312,0),IF($D312=12,$K312*$N312,0)))</f>
        <v/>
      </c>
      <c r="P312" s="35">
        <f>IF($A312&gt;NYears*12,"",IF($D312=1,$O312,$P311+$O312))</f>
        <v/>
      </c>
      <c r="Q312" s="35">
        <f>IF($A312&gt;NYears*12,"",IF($D312=12,MIN(WdrPct*IF(WdrBase="Post-tax profit",$K312-$P312,$K312),WdrCap),0))</f>
        <v/>
      </c>
      <c r="R312" s="35">
        <f>IF($A312&gt;NYears*12,"",$F312+$J312-$O312-$Q312)</f>
        <v/>
      </c>
      <c r="S312" s="33">
        <f>IF($A312&gt;NYears*12,"",INT($R312/$E312))</f>
        <v/>
      </c>
    </row>
    <row r="313">
      <c r="A313" s="33">
        <f>309</f>
        <v/>
      </c>
      <c r="B313" s="34">
        <f>IF($A313&gt;NYears*12,"",EDATE(StartMonth,$A313-1))</f>
        <v/>
      </c>
      <c r="C313" s="33">
        <f>IF($A313&gt;NYears*12,"",INT(($A313-1)/12)+1)</f>
        <v/>
      </c>
      <c r="D313" s="33">
        <f>IF($A313&gt;NYears*12,"",MOD($A313-1,12)+1)</f>
        <v/>
      </c>
      <c r="E313" s="35">
        <f>IF($A313&gt;NYears*12,"",LotValue0*(1+LotGrowth)^($C313-1))</f>
        <v/>
      </c>
      <c r="F313" s="35">
        <f>IF($A313&gt;NYears*12,"",IF($A313=1,InitInvest,$R312))</f>
        <v/>
      </c>
      <c r="G313" s="33">
        <f>IF($A313&gt;NYears*12,"",INT($F313/$E313))</f>
        <v/>
      </c>
      <c r="H313" s="35">
        <f>IF($A313&gt;NYears*12,"",$G313*$E313)</f>
        <v/>
      </c>
      <c r="I313" s="35">
        <f>IF($A313&gt;NYears*12,"",$F313-$H313)</f>
        <v/>
      </c>
      <c r="J313" s="35">
        <f>IF($A313&gt;NYears*12,"",$H313*RateA)</f>
        <v/>
      </c>
      <c r="K313" s="35">
        <f>IF($A313&gt;NYears*12,"",IF($D313=1,$J313,$K312+$J313))</f>
        <v/>
      </c>
      <c r="L313" s="35">
        <f>IF($A313&gt;NYears*12,"",IF(MOD($D313,3)=0,SUM($J311:$J313),0))</f>
        <v/>
      </c>
      <c r="M313" s="35">
        <f>IF($A313&gt;NYears*12,"",IF(TaxFreq="Quarterly",$K313*12/$D313,$K313))</f>
        <v/>
      </c>
      <c r="N313" s="36">
        <f>IF($A313&gt;NYears*12,"",LOOKUP($M313,TaxLower,TaxRate))</f>
        <v/>
      </c>
      <c r="O313" s="35">
        <f>IF($A313&gt;NYears*12,"",IF(TaxFreq="Quarterly",IF(MOD($D313,3)=0,$L313*$N313,0),IF($D313=12,$K313*$N313,0)))</f>
        <v/>
      </c>
      <c r="P313" s="35">
        <f>IF($A313&gt;NYears*12,"",IF($D313=1,$O313,$P312+$O313))</f>
        <v/>
      </c>
      <c r="Q313" s="35">
        <f>IF($A313&gt;NYears*12,"",IF($D313=12,MIN(WdrPct*IF(WdrBase="Post-tax profit",$K313-$P313,$K313),WdrCap),0))</f>
        <v/>
      </c>
      <c r="R313" s="35">
        <f>IF($A313&gt;NYears*12,"",$F313+$J313-$O313-$Q313)</f>
        <v/>
      </c>
      <c r="S313" s="33">
        <f>IF($A313&gt;NYears*12,"",INT($R313/$E313))</f>
        <v/>
      </c>
    </row>
    <row r="314">
      <c r="A314" s="33">
        <f>310</f>
        <v/>
      </c>
      <c r="B314" s="34">
        <f>IF($A314&gt;NYears*12,"",EDATE(StartMonth,$A314-1))</f>
        <v/>
      </c>
      <c r="C314" s="33">
        <f>IF($A314&gt;NYears*12,"",INT(($A314-1)/12)+1)</f>
        <v/>
      </c>
      <c r="D314" s="33">
        <f>IF($A314&gt;NYears*12,"",MOD($A314-1,12)+1)</f>
        <v/>
      </c>
      <c r="E314" s="35">
        <f>IF($A314&gt;NYears*12,"",LotValue0*(1+LotGrowth)^($C314-1))</f>
        <v/>
      </c>
      <c r="F314" s="35">
        <f>IF($A314&gt;NYears*12,"",IF($A314=1,InitInvest,$R313))</f>
        <v/>
      </c>
      <c r="G314" s="33">
        <f>IF($A314&gt;NYears*12,"",INT($F314/$E314))</f>
        <v/>
      </c>
      <c r="H314" s="35">
        <f>IF($A314&gt;NYears*12,"",$G314*$E314)</f>
        <v/>
      </c>
      <c r="I314" s="35">
        <f>IF($A314&gt;NYears*12,"",$F314-$H314)</f>
        <v/>
      </c>
      <c r="J314" s="35">
        <f>IF($A314&gt;NYears*12,"",$H314*RateA)</f>
        <v/>
      </c>
      <c r="K314" s="35">
        <f>IF($A314&gt;NYears*12,"",IF($D314=1,$J314,$K313+$J314))</f>
        <v/>
      </c>
      <c r="L314" s="35">
        <f>IF($A314&gt;NYears*12,"",IF(MOD($D314,3)=0,SUM($J312:$J314),0))</f>
        <v/>
      </c>
      <c r="M314" s="35">
        <f>IF($A314&gt;NYears*12,"",IF(TaxFreq="Quarterly",$K314*12/$D314,$K314))</f>
        <v/>
      </c>
      <c r="N314" s="36">
        <f>IF($A314&gt;NYears*12,"",LOOKUP($M314,TaxLower,TaxRate))</f>
        <v/>
      </c>
      <c r="O314" s="35">
        <f>IF($A314&gt;NYears*12,"",IF(TaxFreq="Quarterly",IF(MOD($D314,3)=0,$L314*$N314,0),IF($D314=12,$K314*$N314,0)))</f>
        <v/>
      </c>
      <c r="P314" s="35">
        <f>IF($A314&gt;NYears*12,"",IF($D314=1,$O314,$P313+$O314))</f>
        <v/>
      </c>
      <c r="Q314" s="35">
        <f>IF($A314&gt;NYears*12,"",IF($D314=12,MIN(WdrPct*IF(WdrBase="Post-tax profit",$K314-$P314,$K314),WdrCap),0))</f>
        <v/>
      </c>
      <c r="R314" s="35">
        <f>IF($A314&gt;NYears*12,"",$F314+$J314-$O314-$Q314)</f>
        <v/>
      </c>
      <c r="S314" s="33">
        <f>IF($A314&gt;NYears*12,"",INT($R314/$E314))</f>
        <v/>
      </c>
    </row>
    <row r="315">
      <c r="A315" s="33">
        <f>311</f>
        <v/>
      </c>
      <c r="B315" s="34">
        <f>IF($A315&gt;NYears*12,"",EDATE(StartMonth,$A315-1))</f>
        <v/>
      </c>
      <c r="C315" s="33">
        <f>IF($A315&gt;NYears*12,"",INT(($A315-1)/12)+1)</f>
        <v/>
      </c>
      <c r="D315" s="33">
        <f>IF($A315&gt;NYears*12,"",MOD($A315-1,12)+1)</f>
        <v/>
      </c>
      <c r="E315" s="35">
        <f>IF($A315&gt;NYears*12,"",LotValue0*(1+LotGrowth)^($C315-1))</f>
        <v/>
      </c>
      <c r="F315" s="35">
        <f>IF($A315&gt;NYears*12,"",IF($A315=1,InitInvest,$R314))</f>
        <v/>
      </c>
      <c r="G315" s="33">
        <f>IF($A315&gt;NYears*12,"",INT($F315/$E315))</f>
        <v/>
      </c>
      <c r="H315" s="35">
        <f>IF($A315&gt;NYears*12,"",$G315*$E315)</f>
        <v/>
      </c>
      <c r="I315" s="35">
        <f>IF($A315&gt;NYears*12,"",$F315-$H315)</f>
        <v/>
      </c>
      <c r="J315" s="35">
        <f>IF($A315&gt;NYears*12,"",$H315*RateA)</f>
        <v/>
      </c>
      <c r="K315" s="35">
        <f>IF($A315&gt;NYears*12,"",IF($D315=1,$J315,$K314+$J315))</f>
        <v/>
      </c>
      <c r="L315" s="35">
        <f>IF($A315&gt;NYears*12,"",IF(MOD($D315,3)=0,SUM($J313:$J315),0))</f>
        <v/>
      </c>
      <c r="M315" s="35">
        <f>IF($A315&gt;NYears*12,"",IF(TaxFreq="Quarterly",$K315*12/$D315,$K315))</f>
        <v/>
      </c>
      <c r="N315" s="36">
        <f>IF($A315&gt;NYears*12,"",LOOKUP($M315,TaxLower,TaxRate))</f>
        <v/>
      </c>
      <c r="O315" s="35">
        <f>IF($A315&gt;NYears*12,"",IF(TaxFreq="Quarterly",IF(MOD($D315,3)=0,$L315*$N315,0),IF($D315=12,$K315*$N315,0)))</f>
        <v/>
      </c>
      <c r="P315" s="35">
        <f>IF($A315&gt;NYears*12,"",IF($D315=1,$O315,$P314+$O315))</f>
        <v/>
      </c>
      <c r="Q315" s="35">
        <f>IF($A315&gt;NYears*12,"",IF($D315=12,MIN(WdrPct*IF(WdrBase="Post-tax profit",$K315-$P315,$K315),WdrCap),0))</f>
        <v/>
      </c>
      <c r="R315" s="35">
        <f>IF($A315&gt;NYears*12,"",$F315+$J315-$O315-$Q315)</f>
        <v/>
      </c>
      <c r="S315" s="33">
        <f>IF($A315&gt;NYears*12,"",INT($R315/$E315))</f>
        <v/>
      </c>
    </row>
    <row r="316">
      <c r="A316" s="37">
        <f>312</f>
        <v/>
      </c>
      <c r="B316" s="38">
        <f>IF($A316&gt;NYears*12,"",EDATE(StartMonth,$A316-1))</f>
        <v/>
      </c>
      <c r="C316" s="37">
        <f>IF($A316&gt;NYears*12,"",INT(($A316-1)/12)+1)</f>
        <v/>
      </c>
      <c r="D316" s="37">
        <f>IF($A316&gt;NYears*12,"",MOD($A316-1,12)+1)</f>
        <v/>
      </c>
      <c r="E316" s="39">
        <f>IF($A316&gt;NYears*12,"",LotValue0*(1+LotGrowth)^($C316-1))</f>
        <v/>
      </c>
      <c r="F316" s="39">
        <f>IF($A316&gt;NYears*12,"",IF($A316=1,InitInvest,$R315))</f>
        <v/>
      </c>
      <c r="G316" s="37">
        <f>IF($A316&gt;NYears*12,"",INT($F316/$E316))</f>
        <v/>
      </c>
      <c r="H316" s="39">
        <f>IF($A316&gt;NYears*12,"",$G316*$E316)</f>
        <v/>
      </c>
      <c r="I316" s="39">
        <f>IF($A316&gt;NYears*12,"",$F316-$H316)</f>
        <v/>
      </c>
      <c r="J316" s="39">
        <f>IF($A316&gt;NYears*12,"",$H316*RateA)</f>
        <v/>
      </c>
      <c r="K316" s="39">
        <f>IF($A316&gt;NYears*12,"",IF($D316=1,$J316,$K315+$J316))</f>
        <v/>
      </c>
      <c r="L316" s="39">
        <f>IF($A316&gt;NYears*12,"",IF(MOD($D316,3)=0,SUM($J314:$J316),0))</f>
        <v/>
      </c>
      <c r="M316" s="39">
        <f>IF($A316&gt;NYears*12,"",IF(TaxFreq="Quarterly",$K316*12/$D316,$K316))</f>
        <v/>
      </c>
      <c r="N316" s="40">
        <f>IF($A316&gt;NYears*12,"",LOOKUP($M316,TaxLower,TaxRate))</f>
        <v/>
      </c>
      <c r="O316" s="39">
        <f>IF($A316&gt;NYears*12,"",IF(TaxFreq="Quarterly",IF(MOD($D316,3)=0,$L316*$N316,0),IF($D316=12,$K316*$N316,0)))</f>
        <v/>
      </c>
      <c r="P316" s="39">
        <f>IF($A316&gt;NYears*12,"",IF($D316=1,$O316,$P315+$O316))</f>
        <v/>
      </c>
      <c r="Q316" s="39">
        <f>IF($A316&gt;NYears*12,"",IF($D316=12,MIN(WdrPct*IF(WdrBase="Post-tax profit",$K316-$P316,$K316),WdrCap),0))</f>
        <v/>
      </c>
      <c r="R316" s="39">
        <f>IF($A316&gt;NYears*12,"",$F316+$J316-$O316-$Q316)</f>
        <v/>
      </c>
      <c r="S316" s="37">
        <f>IF($A316&gt;NYears*12,"",INT($R316/$E316))</f>
        <v/>
      </c>
    </row>
    <row r="317">
      <c r="A317" s="33">
        <f>313</f>
        <v/>
      </c>
      <c r="B317" s="34">
        <f>IF($A317&gt;NYears*12,"",EDATE(StartMonth,$A317-1))</f>
        <v/>
      </c>
      <c r="C317" s="33">
        <f>IF($A317&gt;NYears*12,"",INT(($A317-1)/12)+1)</f>
        <v/>
      </c>
      <c r="D317" s="33">
        <f>IF($A317&gt;NYears*12,"",MOD($A317-1,12)+1)</f>
        <v/>
      </c>
      <c r="E317" s="35">
        <f>IF($A317&gt;NYears*12,"",LotValue0*(1+LotGrowth)^($C317-1))</f>
        <v/>
      </c>
      <c r="F317" s="35">
        <f>IF($A317&gt;NYears*12,"",IF($A317=1,InitInvest,$R316))</f>
        <v/>
      </c>
      <c r="G317" s="33">
        <f>IF($A317&gt;NYears*12,"",INT($F317/$E317))</f>
        <v/>
      </c>
      <c r="H317" s="35">
        <f>IF($A317&gt;NYears*12,"",$G317*$E317)</f>
        <v/>
      </c>
      <c r="I317" s="35">
        <f>IF($A317&gt;NYears*12,"",$F317-$H317)</f>
        <v/>
      </c>
      <c r="J317" s="35">
        <f>IF($A317&gt;NYears*12,"",$H317*RateA)</f>
        <v/>
      </c>
      <c r="K317" s="35">
        <f>IF($A317&gt;NYears*12,"",IF($D317=1,$J317,$K316+$J317))</f>
        <v/>
      </c>
      <c r="L317" s="35">
        <f>IF($A317&gt;NYears*12,"",IF(MOD($D317,3)=0,SUM($J315:$J317),0))</f>
        <v/>
      </c>
      <c r="M317" s="35">
        <f>IF($A317&gt;NYears*12,"",IF(TaxFreq="Quarterly",$K317*12/$D317,$K317))</f>
        <v/>
      </c>
      <c r="N317" s="36">
        <f>IF($A317&gt;NYears*12,"",LOOKUP($M317,TaxLower,TaxRate))</f>
        <v/>
      </c>
      <c r="O317" s="35">
        <f>IF($A317&gt;NYears*12,"",IF(TaxFreq="Quarterly",IF(MOD($D317,3)=0,$L317*$N317,0),IF($D317=12,$K317*$N317,0)))</f>
        <v/>
      </c>
      <c r="P317" s="35">
        <f>IF($A317&gt;NYears*12,"",IF($D317=1,$O317,$P316+$O317))</f>
        <v/>
      </c>
      <c r="Q317" s="35">
        <f>IF($A317&gt;NYears*12,"",IF($D317=12,MIN(WdrPct*IF(WdrBase="Post-tax profit",$K317-$P317,$K317),WdrCap),0))</f>
        <v/>
      </c>
      <c r="R317" s="35">
        <f>IF($A317&gt;NYears*12,"",$F317+$J317-$O317-$Q317)</f>
        <v/>
      </c>
      <c r="S317" s="33">
        <f>IF($A317&gt;NYears*12,"",INT($R317/$E317))</f>
        <v/>
      </c>
    </row>
    <row r="318">
      <c r="A318" s="33">
        <f>314</f>
        <v/>
      </c>
      <c r="B318" s="34">
        <f>IF($A318&gt;NYears*12,"",EDATE(StartMonth,$A318-1))</f>
        <v/>
      </c>
      <c r="C318" s="33">
        <f>IF($A318&gt;NYears*12,"",INT(($A318-1)/12)+1)</f>
        <v/>
      </c>
      <c r="D318" s="33">
        <f>IF($A318&gt;NYears*12,"",MOD($A318-1,12)+1)</f>
        <v/>
      </c>
      <c r="E318" s="35">
        <f>IF($A318&gt;NYears*12,"",LotValue0*(1+LotGrowth)^($C318-1))</f>
        <v/>
      </c>
      <c r="F318" s="35">
        <f>IF($A318&gt;NYears*12,"",IF($A318=1,InitInvest,$R317))</f>
        <v/>
      </c>
      <c r="G318" s="33">
        <f>IF($A318&gt;NYears*12,"",INT($F318/$E318))</f>
        <v/>
      </c>
      <c r="H318" s="35">
        <f>IF($A318&gt;NYears*12,"",$G318*$E318)</f>
        <v/>
      </c>
      <c r="I318" s="35">
        <f>IF($A318&gt;NYears*12,"",$F318-$H318)</f>
        <v/>
      </c>
      <c r="J318" s="35">
        <f>IF($A318&gt;NYears*12,"",$H318*RateA)</f>
        <v/>
      </c>
      <c r="K318" s="35">
        <f>IF($A318&gt;NYears*12,"",IF($D318=1,$J318,$K317+$J318))</f>
        <v/>
      </c>
      <c r="L318" s="35">
        <f>IF($A318&gt;NYears*12,"",IF(MOD($D318,3)=0,SUM($J316:$J318),0))</f>
        <v/>
      </c>
      <c r="M318" s="35">
        <f>IF($A318&gt;NYears*12,"",IF(TaxFreq="Quarterly",$K318*12/$D318,$K318))</f>
        <v/>
      </c>
      <c r="N318" s="36">
        <f>IF($A318&gt;NYears*12,"",LOOKUP($M318,TaxLower,TaxRate))</f>
        <v/>
      </c>
      <c r="O318" s="35">
        <f>IF($A318&gt;NYears*12,"",IF(TaxFreq="Quarterly",IF(MOD($D318,3)=0,$L318*$N318,0),IF($D318=12,$K318*$N318,0)))</f>
        <v/>
      </c>
      <c r="P318" s="35">
        <f>IF($A318&gt;NYears*12,"",IF($D318=1,$O318,$P317+$O318))</f>
        <v/>
      </c>
      <c r="Q318" s="35">
        <f>IF($A318&gt;NYears*12,"",IF($D318=12,MIN(WdrPct*IF(WdrBase="Post-tax profit",$K318-$P318,$K318),WdrCap),0))</f>
        <v/>
      </c>
      <c r="R318" s="35">
        <f>IF($A318&gt;NYears*12,"",$F318+$J318-$O318-$Q318)</f>
        <v/>
      </c>
      <c r="S318" s="33">
        <f>IF($A318&gt;NYears*12,"",INT($R318/$E318))</f>
        <v/>
      </c>
    </row>
    <row r="319">
      <c r="A319" s="33">
        <f>315</f>
        <v/>
      </c>
      <c r="B319" s="34">
        <f>IF($A319&gt;NYears*12,"",EDATE(StartMonth,$A319-1))</f>
        <v/>
      </c>
      <c r="C319" s="33">
        <f>IF($A319&gt;NYears*12,"",INT(($A319-1)/12)+1)</f>
        <v/>
      </c>
      <c r="D319" s="33">
        <f>IF($A319&gt;NYears*12,"",MOD($A319-1,12)+1)</f>
        <v/>
      </c>
      <c r="E319" s="35">
        <f>IF($A319&gt;NYears*12,"",LotValue0*(1+LotGrowth)^($C319-1))</f>
        <v/>
      </c>
      <c r="F319" s="35">
        <f>IF($A319&gt;NYears*12,"",IF($A319=1,InitInvest,$R318))</f>
        <v/>
      </c>
      <c r="G319" s="33">
        <f>IF($A319&gt;NYears*12,"",INT($F319/$E319))</f>
        <v/>
      </c>
      <c r="H319" s="35">
        <f>IF($A319&gt;NYears*12,"",$G319*$E319)</f>
        <v/>
      </c>
      <c r="I319" s="35">
        <f>IF($A319&gt;NYears*12,"",$F319-$H319)</f>
        <v/>
      </c>
      <c r="J319" s="35">
        <f>IF($A319&gt;NYears*12,"",$H319*RateA)</f>
        <v/>
      </c>
      <c r="K319" s="35">
        <f>IF($A319&gt;NYears*12,"",IF($D319=1,$J319,$K318+$J319))</f>
        <v/>
      </c>
      <c r="L319" s="35">
        <f>IF($A319&gt;NYears*12,"",IF(MOD($D319,3)=0,SUM($J317:$J319),0))</f>
        <v/>
      </c>
      <c r="M319" s="35">
        <f>IF($A319&gt;NYears*12,"",IF(TaxFreq="Quarterly",$K319*12/$D319,$K319))</f>
        <v/>
      </c>
      <c r="N319" s="36">
        <f>IF($A319&gt;NYears*12,"",LOOKUP($M319,TaxLower,TaxRate))</f>
        <v/>
      </c>
      <c r="O319" s="35">
        <f>IF($A319&gt;NYears*12,"",IF(TaxFreq="Quarterly",IF(MOD($D319,3)=0,$L319*$N319,0),IF($D319=12,$K319*$N319,0)))</f>
        <v/>
      </c>
      <c r="P319" s="35">
        <f>IF($A319&gt;NYears*12,"",IF($D319=1,$O319,$P318+$O319))</f>
        <v/>
      </c>
      <c r="Q319" s="35">
        <f>IF($A319&gt;NYears*12,"",IF($D319=12,MIN(WdrPct*IF(WdrBase="Post-tax profit",$K319-$P319,$K319),WdrCap),0))</f>
        <v/>
      </c>
      <c r="R319" s="35">
        <f>IF($A319&gt;NYears*12,"",$F319+$J319-$O319-$Q319)</f>
        <v/>
      </c>
      <c r="S319" s="33">
        <f>IF($A319&gt;NYears*12,"",INT($R319/$E319))</f>
        <v/>
      </c>
    </row>
    <row r="320">
      <c r="A320" s="33">
        <f>316</f>
        <v/>
      </c>
      <c r="B320" s="34">
        <f>IF($A320&gt;NYears*12,"",EDATE(StartMonth,$A320-1))</f>
        <v/>
      </c>
      <c r="C320" s="33">
        <f>IF($A320&gt;NYears*12,"",INT(($A320-1)/12)+1)</f>
        <v/>
      </c>
      <c r="D320" s="33">
        <f>IF($A320&gt;NYears*12,"",MOD($A320-1,12)+1)</f>
        <v/>
      </c>
      <c r="E320" s="35">
        <f>IF($A320&gt;NYears*12,"",LotValue0*(1+LotGrowth)^($C320-1))</f>
        <v/>
      </c>
      <c r="F320" s="35">
        <f>IF($A320&gt;NYears*12,"",IF($A320=1,InitInvest,$R319))</f>
        <v/>
      </c>
      <c r="G320" s="33">
        <f>IF($A320&gt;NYears*12,"",INT($F320/$E320))</f>
        <v/>
      </c>
      <c r="H320" s="35">
        <f>IF($A320&gt;NYears*12,"",$G320*$E320)</f>
        <v/>
      </c>
      <c r="I320" s="35">
        <f>IF($A320&gt;NYears*12,"",$F320-$H320)</f>
        <v/>
      </c>
      <c r="J320" s="35">
        <f>IF($A320&gt;NYears*12,"",$H320*RateA)</f>
        <v/>
      </c>
      <c r="K320" s="35">
        <f>IF($A320&gt;NYears*12,"",IF($D320=1,$J320,$K319+$J320))</f>
        <v/>
      </c>
      <c r="L320" s="35">
        <f>IF($A320&gt;NYears*12,"",IF(MOD($D320,3)=0,SUM($J318:$J320),0))</f>
        <v/>
      </c>
      <c r="M320" s="35">
        <f>IF($A320&gt;NYears*12,"",IF(TaxFreq="Quarterly",$K320*12/$D320,$K320))</f>
        <v/>
      </c>
      <c r="N320" s="36">
        <f>IF($A320&gt;NYears*12,"",LOOKUP($M320,TaxLower,TaxRate))</f>
        <v/>
      </c>
      <c r="O320" s="35">
        <f>IF($A320&gt;NYears*12,"",IF(TaxFreq="Quarterly",IF(MOD($D320,3)=0,$L320*$N320,0),IF($D320=12,$K320*$N320,0)))</f>
        <v/>
      </c>
      <c r="P320" s="35">
        <f>IF($A320&gt;NYears*12,"",IF($D320=1,$O320,$P319+$O320))</f>
        <v/>
      </c>
      <c r="Q320" s="35">
        <f>IF($A320&gt;NYears*12,"",IF($D320=12,MIN(WdrPct*IF(WdrBase="Post-tax profit",$K320-$P320,$K320),WdrCap),0))</f>
        <v/>
      </c>
      <c r="R320" s="35">
        <f>IF($A320&gt;NYears*12,"",$F320+$J320-$O320-$Q320)</f>
        <v/>
      </c>
      <c r="S320" s="33">
        <f>IF($A320&gt;NYears*12,"",INT($R320/$E320))</f>
        <v/>
      </c>
    </row>
    <row r="321">
      <c r="A321" s="33">
        <f>317</f>
        <v/>
      </c>
      <c r="B321" s="34">
        <f>IF($A321&gt;NYears*12,"",EDATE(StartMonth,$A321-1))</f>
        <v/>
      </c>
      <c r="C321" s="33">
        <f>IF($A321&gt;NYears*12,"",INT(($A321-1)/12)+1)</f>
        <v/>
      </c>
      <c r="D321" s="33">
        <f>IF($A321&gt;NYears*12,"",MOD($A321-1,12)+1)</f>
        <v/>
      </c>
      <c r="E321" s="35">
        <f>IF($A321&gt;NYears*12,"",LotValue0*(1+LotGrowth)^($C321-1))</f>
        <v/>
      </c>
      <c r="F321" s="35">
        <f>IF($A321&gt;NYears*12,"",IF($A321=1,InitInvest,$R320))</f>
        <v/>
      </c>
      <c r="G321" s="33">
        <f>IF($A321&gt;NYears*12,"",INT($F321/$E321))</f>
        <v/>
      </c>
      <c r="H321" s="35">
        <f>IF($A321&gt;NYears*12,"",$G321*$E321)</f>
        <v/>
      </c>
      <c r="I321" s="35">
        <f>IF($A321&gt;NYears*12,"",$F321-$H321)</f>
        <v/>
      </c>
      <c r="J321" s="35">
        <f>IF($A321&gt;NYears*12,"",$H321*RateA)</f>
        <v/>
      </c>
      <c r="K321" s="35">
        <f>IF($A321&gt;NYears*12,"",IF($D321=1,$J321,$K320+$J321))</f>
        <v/>
      </c>
      <c r="L321" s="35">
        <f>IF($A321&gt;NYears*12,"",IF(MOD($D321,3)=0,SUM($J319:$J321),0))</f>
        <v/>
      </c>
      <c r="M321" s="35">
        <f>IF($A321&gt;NYears*12,"",IF(TaxFreq="Quarterly",$K321*12/$D321,$K321))</f>
        <v/>
      </c>
      <c r="N321" s="36">
        <f>IF($A321&gt;NYears*12,"",LOOKUP($M321,TaxLower,TaxRate))</f>
        <v/>
      </c>
      <c r="O321" s="35">
        <f>IF($A321&gt;NYears*12,"",IF(TaxFreq="Quarterly",IF(MOD($D321,3)=0,$L321*$N321,0),IF($D321=12,$K321*$N321,0)))</f>
        <v/>
      </c>
      <c r="P321" s="35">
        <f>IF($A321&gt;NYears*12,"",IF($D321=1,$O321,$P320+$O321))</f>
        <v/>
      </c>
      <c r="Q321" s="35">
        <f>IF($A321&gt;NYears*12,"",IF($D321=12,MIN(WdrPct*IF(WdrBase="Post-tax profit",$K321-$P321,$K321),WdrCap),0))</f>
        <v/>
      </c>
      <c r="R321" s="35">
        <f>IF($A321&gt;NYears*12,"",$F321+$J321-$O321-$Q321)</f>
        <v/>
      </c>
      <c r="S321" s="33">
        <f>IF($A321&gt;NYears*12,"",INT($R321/$E321))</f>
        <v/>
      </c>
    </row>
    <row r="322">
      <c r="A322" s="33">
        <f>318</f>
        <v/>
      </c>
      <c r="B322" s="34">
        <f>IF($A322&gt;NYears*12,"",EDATE(StartMonth,$A322-1))</f>
        <v/>
      </c>
      <c r="C322" s="33">
        <f>IF($A322&gt;NYears*12,"",INT(($A322-1)/12)+1)</f>
        <v/>
      </c>
      <c r="D322" s="33">
        <f>IF($A322&gt;NYears*12,"",MOD($A322-1,12)+1)</f>
        <v/>
      </c>
      <c r="E322" s="35">
        <f>IF($A322&gt;NYears*12,"",LotValue0*(1+LotGrowth)^($C322-1))</f>
        <v/>
      </c>
      <c r="F322" s="35">
        <f>IF($A322&gt;NYears*12,"",IF($A322=1,InitInvest,$R321))</f>
        <v/>
      </c>
      <c r="G322" s="33">
        <f>IF($A322&gt;NYears*12,"",INT($F322/$E322))</f>
        <v/>
      </c>
      <c r="H322" s="35">
        <f>IF($A322&gt;NYears*12,"",$G322*$E322)</f>
        <v/>
      </c>
      <c r="I322" s="35">
        <f>IF($A322&gt;NYears*12,"",$F322-$H322)</f>
        <v/>
      </c>
      <c r="J322" s="35">
        <f>IF($A322&gt;NYears*12,"",$H322*RateA)</f>
        <v/>
      </c>
      <c r="K322" s="35">
        <f>IF($A322&gt;NYears*12,"",IF($D322=1,$J322,$K321+$J322))</f>
        <v/>
      </c>
      <c r="L322" s="35">
        <f>IF($A322&gt;NYears*12,"",IF(MOD($D322,3)=0,SUM($J320:$J322),0))</f>
        <v/>
      </c>
      <c r="M322" s="35">
        <f>IF($A322&gt;NYears*12,"",IF(TaxFreq="Quarterly",$K322*12/$D322,$K322))</f>
        <v/>
      </c>
      <c r="N322" s="36">
        <f>IF($A322&gt;NYears*12,"",LOOKUP($M322,TaxLower,TaxRate))</f>
        <v/>
      </c>
      <c r="O322" s="35">
        <f>IF($A322&gt;NYears*12,"",IF(TaxFreq="Quarterly",IF(MOD($D322,3)=0,$L322*$N322,0),IF($D322=12,$K322*$N322,0)))</f>
        <v/>
      </c>
      <c r="P322" s="35">
        <f>IF($A322&gt;NYears*12,"",IF($D322=1,$O322,$P321+$O322))</f>
        <v/>
      </c>
      <c r="Q322" s="35">
        <f>IF($A322&gt;NYears*12,"",IF($D322=12,MIN(WdrPct*IF(WdrBase="Post-tax profit",$K322-$P322,$K322),WdrCap),0))</f>
        <v/>
      </c>
      <c r="R322" s="35">
        <f>IF($A322&gt;NYears*12,"",$F322+$J322-$O322-$Q322)</f>
        <v/>
      </c>
      <c r="S322" s="33">
        <f>IF($A322&gt;NYears*12,"",INT($R322/$E322))</f>
        <v/>
      </c>
    </row>
    <row r="323">
      <c r="A323" s="33">
        <f>319</f>
        <v/>
      </c>
      <c r="B323" s="34">
        <f>IF($A323&gt;NYears*12,"",EDATE(StartMonth,$A323-1))</f>
        <v/>
      </c>
      <c r="C323" s="33">
        <f>IF($A323&gt;NYears*12,"",INT(($A323-1)/12)+1)</f>
        <v/>
      </c>
      <c r="D323" s="33">
        <f>IF($A323&gt;NYears*12,"",MOD($A323-1,12)+1)</f>
        <v/>
      </c>
      <c r="E323" s="35">
        <f>IF($A323&gt;NYears*12,"",LotValue0*(1+LotGrowth)^($C323-1))</f>
        <v/>
      </c>
      <c r="F323" s="35">
        <f>IF($A323&gt;NYears*12,"",IF($A323=1,InitInvest,$R322))</f>
        <v/>
      </c>
      <c r="G323" s="33">
        <f>IF($A323&gt;NYears*12,"",INT($F323/$E323))</f>
        <v/>
      </c>
      <c r="H323" s="35">
        <f>IF($A323&gt;NYears*12,"",$G323*$E323)</f>
        <v/>
      </c>
      <c r="I323" s="35">
        <f>IF($A323&gt;NYears*12,"",$F323-$H323)</f>
        <v/>
      </c>
      <c r="J323" s="35">
        <f>IF($A323&gt;NYears*12,"",$H323*RateA)</f>
        <v/>
      </c>
      <c r="K323" s="35">
        <f>IF($A323&gt;NYears*12,"",IF($D323=1,$J323,$K322+$J323))</f>
        <v/>
      </c>
      <c r="L323" s="35">
        <f>IF($A323&gt;NYears*12,"",IF(MOD($D323,3)=0,SUM($J321:$J323),0))</f>
        <v/>
      </c>
      <c r="M323" s="35">
        <f>IF($A323&gt;NYears*12,"",IF(TaxFreq="Quarterly",$K323*12/$D323,$K323))</f>
        <v/>
      </c>
      <c r="N323" s="36">
        <f>IF($A323&gt;NYears*12,"",LOOKUP($M323,TaxLower,TaxRate))</f>
        <v/>
      </c>
      <c r="O323" s="35">
        <f>IF($A323&gt;NYears*12,"",IF(TaxFreq="Quarterly",IF(MOD($D323,3)=0,$L323*$N323,0),IF($D323=12,$K323*$N323,0)))</f>
        <v/>
      </c>
      <c r="P323" s="35">
        <f>IF($A323&gt;NYears*12,"",IF($D323=1,$O323,$P322+$O323))</f>
        <v/>
      </c>
      <c r="Q323" s="35">
        <f>IF($A323&gt;NYears*12,"",IF($D323=12,MIN(WdrPct*IF(WdrBase="Post-tax profit",$K323-$P323,$K323),WdrCap),0))</f>
        <v/>
      </c>
      <c r="R323" s="35">
        <f>IF($A323&gt;NYears*12,"",$F323+$J323-$O323-$Q323)</f>
        <v/>
      </c>
      <c r="S323" s="33">
        <f>IF($A323&gt;NYears*12,"",INT($R323/$E323))</f>
        <v/>
      </c>
    </row>
    <row r="324">
      <c r="A324" s="33">
        <f>320</f>
        <v/>
      </c>
      <c r="B324" s="34">
        <f>IF($A324&gt;NYears*12,"",EDATE(StartMonth,$A324-1))</f>
        <v/>
      </c>
      <c r="C324" s="33">
        <f>IF($A324&gt;NYears*12,"",INT(($A324-1)/12)+1)</f>
        <v/>
      </c>
      <c r="D324" s="33">
        <f>IF($A324&gt;NYears*12,"",MOD($A324-1,12)+1)</f>
        <v/>
      </c>
      <c r="E324" s="35">
        <f>IF($A324&gt;NYears*12,"",LotValue0*(1+LotGrowth)^($C324-1))</f>
        <v/>
      </c>
      <c r="F324" s="35">
        <f>IF($A324&gt;NYears*12,"",IF($A324=1,InitInvest,$R323))</f>
        <v/>
      </c>
      <c r="G324" s="33">
        <f>IF($A324&gt;NYears*12,"",INT($F324/$E324))</f>
        <v/>
      </c>
      <c r="H324" s="35">
        <f>IF($A324&gt;NYears*12,"",$G324*$E324)</f>
        <v/>
      </c>
      <c r="I324" s="35">
        <f>IF($A324&gt;NYears*12,"",$F324-$H324)</f>
        <v/>
      </c>
      <c r="J324" s="35">
        <f>IF($A324&gt;NYears*12,"",$H324*RateA)</f>
        <v/>
      </c>
      <c r="K324" s="35">
        <f>IF($A324&gt;NYears*12,"",IF($D324=1,$J324,$K323+$J324))</f>
        <v/>
      </c>
      <c r="L324" s="35">
        <f>IF($A324&gt;NYears*12,"",IF(MOD($D324,3)=0,SUM($J322:$J324),0))</f>
        <v/>
      </c>
      <c r="M324" s="35">
        <f>IF($A324&gt;NYears*12,"",IF(TaxFreq="Quarterly",$K324*12/$D324,$K324))</f>
        <v/>
      </c>
      <c r="N324" s="36">
        <f>IF($A324&gt;NYears*12,"",LOOKUP($M324,TaxLower,TaxRate))</f>
        <v/>
      </c>
      <c r="O324" s="35">
        <f>IF($A324&gt;NYears*12,"",IF(TaxFreq="Quarterly",IF(MOD($D324,3)=0,$L324*$N324,0),IF($D324=12,$K324*$N324,0)))</f>
        <v/>
      </c>
      <c r="P324" s="35">
        <f>IF($A324&gt;NYears*12,"",IF($D324=1,$O324,$P323+$O324))</f>
        <v/>
      </c>
      <c r="Q324" s="35">
        <f>IF($A324&gt;NYears*12,"",IF($D324=12,MIN(WdrPct*IF(WdrBase="Post-tax profit",$K324-$P324,$K324),WdrCap),0))</f>
        <v/>
      </c>
      <c r="R324" s="35">
        <f>IF($A324&gt;NYears*12,"",$F324+$J324-$O324-$Q324)</f>
        <v/>
      </c>
      <c r="S324" s="33">
        <f>IF($A324&gt;NYears*12,"",INT($R324/$E324))</f>
        <v/>
      </c>
    </row>
    <row r="325">
      <c r="A325" s="33">
        <f>321</f>
        <v/>
      </c>
      <c r="B325" s="34">
        <f>IF($A325&gt;NYears*12,"",EDATE(StartMonth,$A325-1))</f>
        <v/>
      </c>
      <c r="C325" s="33">
        <f>IF($A325&gt;NYears*12,"",INT(($A325-1)/12)+1)</f>
        <v/>
      </c>
      <c r="D325" s="33">
        <f>IF($A325&gt;NYears*12,"",MOD($A325-1,12)+1)</f>
        <v/>
      </c>
      <c r="E325" s="35">
        <f>IF($A325&gt;NYears*12,"",LotValue0*(1+LotGrowth)^($C325-1))</f>
        <v/>
      </c>
      <c r="F325" s="35">
        <f>IF($A325&gt;NYears*12,"",IF($A325=1,InitInvest,$R324))</f>
        <v/>
      </c>
      <c r="G325" s="33">
        <f>IF($A325&gt;NYears*12,"",INT($F325/$E325))</f>
        <v/>
      </c>
      <c r="H325" s="35">
        <f>IF($A325&gt;NYears*12,"",$G325*$E325)</f>
        <v/>
      </c>
      <c r="I325" s="35">
        <f>IF($A325&gt;NYears*12,"",$F325-$H325)</f>
        <v/>
      </c>
      <c r="J325" s="35">
        <f>IF($A325&gt;NYears*12,"",$H325*RateA)</f>
        <v/>
      </c>
      <c r="K325" s="35">
        <f>IF($A325&gt;NYears*12,"",IF($D325=1,$J325,$K324+$J325))</f>
        <v/>
      </c>
      <c r="L325" s="35">
        <f>IF($A325&gt;NYears*12,"",IF(MOD($D325,3)=0,SUM($J323:$J325),0))</f>
        <v/>
      </c>
      <c r="M325" s="35">
        <f>IF($A325&gt;NYears*12,"",IF(TaxFreq="Quarterly",$K325*12/$D325,$K325))</f>
        <v/>
      </c>
      <c r="N325" s="36">
        <f>IF($A325&gt;NYears*12,"",LOOKUP($M325,TaxLower,TaxRate))</f>
        <v/>
      </c>
      <c r="O325" s="35">
        <f>IF($A325&gt;NYears*12,"",IF(TaxFreq="Quarterly",IF(MOD($D325,3)=0,$L325*$N325,0),IF($D325=12,$K325*$N325,0)))</f>
        <v/>
      </c>
      <c r="P325" s="35">
        <f>IF($A325&gt;NYears*12,"",IF($D325=1,$O325,$P324+$O325))</f>
        <v/>
      </c>
      <c r="Q325" s="35">
        <f>IF($A325&gt;NYears*12,"",IF($D325=12,MIN(WdrPct*IF(WdrBase="Post-tax profit",$K325-$P325,$K325),WdrCap),0))</f>
        <v/>
      </c>
      <c r="R325" s="35">
        <f>IF($A325&gt;NYears*12,"",$F325+$J325-$O325-$Q325)</f>
        <v/>
      </c>
      <c r="S325" s="33">
        <f>IF($A325&gt;NYears*12,"",INT($R325/$E325))</f>
        <v/>
      </c>
    </row>
    <row r="326">
      <c r="A326" s="33">
        <f>322</f>
        <v/>
      </c>
      <c r="B326" s="34">
        <f>IF($A326&gt;NYears*12,"",EDATE(StartMonth,$A326-1))</f>
        <v/>
      </c>
      <c r="C326" s="33">
        <f>IF($A326&gt;NYears*12,"",INT(($A326-1)/12)+1)</f>
        <v/>
      </c>
      <c r="D326" s="33">
        <f>IF($A326&gt;NYears*12,"",MOD($A326-1,12)+1)</f>
        <v/>
      </c>
      <c r="E326" s="35">
        <f>IF($A326&gt;NYears*12,"",LotValue0*(1+LotGrowth)^($C326-1))</f>
        <v/>
      </c>
      <c r="F326" s="35">
        <f>IF($A326&gt;NYears*12,"",IF($A326=1,InitInvest,$R325))</f>
        <v/>
      </c>
      <c r="G326" s="33">
        <f>IF($A326&gt;NYears*12,"",INT($F326/$E326))</f>
        <v/>
      </c>
      <c r="H326" s="35">
        <f>IF($A326&gt;NYears*12,"",$G326*$E326)</f>
        <v/>
      </c>
      <c r="I326" s="35">
        <f>IF($A326&gt;NYears*12,"",$F326-$H326)</f>
        <v/>
      </c>
      <c r="J326" s="35">
        <f>IF($A326&gt;NYears*12,"",$H326*RateA)</f>
        <v/>
      </c>
      <c r="K326" s="35">
        <f>IF($A326&gt;NYears*12,"",IF($D326=1,$J326,$K325+$J326))</f>
        <v/>
      </c>
      <c r="L326" s="35">
        <f>IF($A326&gt;NYears*12,"",IF(MOD($D326,3)=0,SUM($J324:$J326),0))</f>
        <v/>
      </c>
      <c r="M326" s="35">
        <f>IF($A326&gt;NYears*12,"",IF(TaxFreq="Quarterly",$K326*12/$D326,$K326))</f>
        <v/>
      </c>
      <c r="N326" s="36">
        <f>IF($A326&gt;NYears*12,"",LOOKUP($M326,TaxLower,TaxRate))</f>
        <v/>
      </c>
      <c r="O326" s="35">
        <f>IF($A326&gt;NYears*12,"",IF(TaxFreq="Quarterly",IF(MOD($D326,3)=0,$L326*$N326,0),IF($D326=12,$K326*$N326,0)))</f>
        <v/>
      </c>
      <c r="P326" s="35">
        <f>IF($A326&gt;NYears*12,"",IF($D326=1,$O326,$P325+$O326))</f>
        <v/>
      </c>
      <c r="Q326" s="35">
        <f>IF($A326&gt;NYears*12,"",IF($D326=12,MIN(WdrPct*IF(WdrBase="Post-tax profit",$K326-$P326,$K326),WdrCap),0))</f>
        <v/>
      </c>
      <c r="R326" s="35">
        <f>IF($A326&gt;NYears*12,"",$F326+$J326-$O326-$Q326)</f>
        <v/>
      </c>
      <c r="S326" s="33">
        <f>IF($A326&gt;NYears*12,"",INT($R326/$E326))</f>
        <v/>
      </c>
    </row>
    <row r="327">
      <c r="A327" s="33">
        <f>323</f>
        <v/>
      </c>
      <c r="B327" s="34">
        <f>IF($A327&gt;NYears*12,"",EDATE(StartMonth,$A327-1))</f>
        <v/>
      </c>
      <c r="C327" s="33">
        <f>IF($A327&gt;NYears*12,"",INT(($A327-1)/12)+1)</f>
        <v/>
      </c>
      <c r="D327" s="33">
        <f>IF($A327&gt;NYears*12,"",MOD($A327-1,12)+1)</f>
        <v/>
      </c>
      <c r="E327" s="35">
        <f>IF($A327&gt;NYears*12,"",LotValue0*(1+LotGrowth)^($C327-1))</f>
        <v/>
      </c>
      <c r="F327" s="35">
        <f>IF($A327&gt;NYears*12,"",IF($A327=1,InitInvest,$R326))</f>
        <v/>
      </c>
      <c r="G327" s="33">
        <f>IF($A327&gt;NYears*12,"",INT($F327/$E327))</f>
        <v/>
      </c>
      <c r="H327" s="35">
        <f>IF($A327&gt;NYears*12,"",$G327*$E327)</f>
        <v/>
      </c>
      <c r="I327" s="35">
        <f>IF($A327&gt;NYears*12,"",$F327-$H327)</f>
        <v/>
      </c>
      <c r="J327" s="35">
        <f>IF($A327&gt;NYears*12,"",$H327*RateA)</f>
        <v/>
      </c>
      <c r="K327" s="35">
        <f>IF($A327&gt;NYears*12,"",IF($D327=1,$J327,$K326+$J327))</f>
        <v/>
      </c>
      <c r="L327" s="35">
        <f>IF($A327&gt;NYears*12,"",IF(MOD($D327,3)=0,SUM($J325:$J327),0))</f>
        <v/>
      </c>
      <c r="M327" s="35">
        <f>IF($A327&gt;NYears*12,"",IF(TaxFreq="Quarterly",$K327*12/$D327,$K327))</f>
        <v/>
      </c>
      <c r="N327" s="36">
        <f>IF($A327&gt;NYears*12,"",LOOKUP($M327,TaxLower,TaxRate))</f>
        <v/>
      </c>
      <c r="O327" s="35">
        <f>IF($A327&gt;NYears*12,"",IF(TaxFreq="Quarterly",IF(MOD($D327,3)=0,$L327*$N327,0),IF($D327=12,$K327*$N327,0)))</f>
        <v/>
      </c>
      <c r="P327" s="35">
        <f>IF($A327&gt;NYears*12,"",IF($D327=1,$O327,$P326+$O327))</f>
        <v/>
      </c>
      <c r="Q327" s="35">
        <f>IF($A327&gt;NYears*12,"",IF($D327=12,MIN(WdrPct*IF(WdrBase="Post-tax profit",$K327-$P327,$K327),WdrCap),0))</f>
        <v/>
      </c>
      <c r="R327" s="35">
        <f>IF($A327&gt;NYears*12,"",$F327+$J327-$O327-$Q327)</f>
        <v/>
      </c>
      <c r="S327" s="33">
        <f>IF($A327&gt;NYears*12,"",INT($R327/$E327))</f>
        <v/>
      </c>
    </row>
    <row r="328">
      <c r="A328" s="37">
        <f>324</f>
        <v/>
      </c>
      <c r="B328" s="38">
        <f>IF($A328&gt;NYears*12,"",EDATE(StartMonth,$A328-1))</f>
        <v/>
      </c>
      <c r="C328" s="37">
        <f>IF($A328&gt;NYears*12,"",INT(($A328-1)/12)+1)</f>
        <v/>
      </c>
      <c r="D328" s="37">
        <f>IF($A328&gt;NYears*12,"",MOD($A328-1,12)+1)</f>
        <v/>
      </c>
      <c r="E328" s="39">
        <f>IF($A328&gt;NYears*12,"",LotValue0*(1+LotGrowth)^($C328-1))</f>
        <v/>
      </c>
      <c r="F328" s="39">
        <f>IF($A328&gt;NYears*12,"",IF($A328=1,InitInvest,$R327))</f>
        <v/>
      </c>
      <c r="G328" s="37">
        <f>IF($A328&gt;NYears*12,"",INT($F328/$E328))</f>
        <v/>
      </c>
      <c r="H328" s="39">
        <f>IF($A328&gt;NYears*12,"",$G328*$E328)</f>
        <v/>
      </c>
      <c r="I328" s="39">
        <f>IF($A328&gt;NYears*12,"",$F328-$H328)</f>
        <v/>
      </c>
      <c r="J328" s="39">
        <f>IF($A328&gt;NYears*12,"",$H328*RateA)</f>
        <v/>
      </c>
      <c r="K328" s="39">
        <f>IF($A328&gt;NYears*12,"",IF($D328=1,$J328,$K327+$J328))</f>
        <v/>
      </c>
      <c r="L328" s="39">
        <f>IF($A328&gt;NYears*12,"",IF(MOD($D328,3)=0,SUM($J326:$J328),0))</f>
        <v/>
      </c>
      <c r="M328" s="39">
        <f>IF($A328&gt;NYears*12,"",IF(TaxFreq="Quarterly",$K328*12/$D328,$K328))</f>
        <v/>
      </c>
      <c r="N328" s="40">
        <f>IF($A328&gt;NYears*12,"",LOOKUP($M328,TaxLower,TaxRate))</f>
        <v/>
      </c>
      <c r="O328" s="39">
        <f>IF($A328&gt;NYears*12,"",IF(TaxFreq="Quarterly",IF(MOD($D328,3)=0,$L328*$N328,0),IF($D328=12,$K328*$N328,0)))</f>
        <v/>
      </c>
      <c r="P328" s="39">
        <f>IF($A328&gt;NYears*12,"",IF($D328=1,$O328,$P327+$O328))</f>
        <v/>
      </c>
      <c r="Q328" s="39">
        <f>IF($A328&gt;NYears*12,"",IF($D328=12,MIN(WdrPct*IF(WdrBase="Post-tax profit",$K328-$P328,$K328),WdrCap),0))</f>
        <v/>
      </c>
      <c r="R328" s="39">
        <f>IF($A328&gt;NYears*12,"",$F328+$J328-$O328-$Q328)</f>
        <v/>
      </c>
      <c r="S328" s="37">
        <f>IF($A328&gt;NYears*12,"",INT($R328/$E328))</f>
        <v/>
      </c>
    </row>
    <row r="329">
      <c r="A329" s="33">
        <f>325</f>
        <v/>
      </c>
      <c r="B329" s="34">
        <f>IF($A329&gt;NYears*12,"",EDATE(StartMonth,$A329-1))</f>
        <v/>
      </c>
      <c r="C329" s="33">
        <f>IF($A329&gt;NYears*12,"",INT(($A329-1)/12)+1)</f>
        <v/>
      </c>
      <c r="D329" s="33">
        <f>IF($A329&gt;NYears*12,"",MOD($A329-1,12)+1)</f>
        <v/>
      </c>
      <c r="E329" s="35">
        <f>IF($A329&gt;NYears*12,"",LotValue0*(1+LotGrowth)^($C329-1))</f>
        <v/>
      </c>
      <c r="F329" s="35">
        <f>IF($A329&gt;NYears*12,"",IF($A329=1,InitInvest,$R328))</f>
        <v/>
      </c>
      <c r="G329" s="33">
        <f>IF($A329&gt;NYears*12,"",INT($F329/$E329))</f>
        <v/>
      </c>
      <c r="H329" s="35">
        <f>IF($A329&gt;NYears*12,"",$G329*$E329)</f>
        <v/>
      </c>
      <c r="I329" s="35">
        <f>IF($A329&gt;NYears*12,"",$F329-$H329)</f>
        <v/>
      </c>
      <c r="J329" s="35">
        <f>IF($A329&gt;NYears*12,"",$H329*RateA)</f>
        <v/>
      </c>
      <c r="K329" s="35">
        <f>IF($A329&gt;NYears*12,"",IF($D329=1,$J329,$K328+$J329))</f>
        <v/>
      </c>
      <c r="L329" s="35">
        <f>IF($A329&gt;NYears*12,"",IF(MOD($D329,3)=0,SUM($J327:$J329),0))</f>
        <v/>
      </c>
      <c r="M329" s="35">
        <f>IF($A329&gt;NYears*12,"",IF(TaxFreq="Quarterly",$K329*12/$D329,$K329))</f>
        <v/>
      </c>
      <c r="N329" s="36">
        <f>IF($A329&gt;NYears*12,"",LOOKUP($M329,TaxLower,TaxRate))</f>
        <v/>
      </c>
      <c r="O329" s="35">
        <f>IF($A329&gt;NYears*12,"",IF(TaxFreq="Quarterly",IF(MOD($D329,3)=0,$L329*$N329,0),IF($D329=12,$K329*$N329,0)))</f>
        <v/>
      </c>
      <c r="P329" s="35">
        <f>IF($A329&gt;NYears*12,"",IF($D329=1,$O329,$P328+$O329))</f>
        <v/>
      </c>
      <c r="Q329" s="35">
        <f>IF($A329&gt;NYears*12,"",IF($D329=12,MIN(WdrPct*IF(WdrBase="Post-tax profit",$K329-$P329,$K329),WdrCap),0))</f>
        <v/>
      </c>
      <c r="R329" s="35">
        <f>IF($A329&gt;NYears*12,"",$F329+$J329-$O329-$Q329)</f>
        <v/>
      </c>
      <c r="S329" s="33">
        <f>IF($A329&gt;NYears*12,"",INT($R329/$E329))</f>
        <v/>
      </c>
    </row>
    <row r="330">
      <c r="A330" s="33">
        <f>326</f>
        <v/>
      </c>
      <c r="B330" s="34">
        <f>IF($A330&gt;NYears*12,"",EDATE(StartMonth,$A330-1))</f>
        <v/>
      </c>
      <c r="C330" s="33">
        <f>IF($A330&gt;NYears*12,"",INT(($A330-1)/12)+1)</f>
        <v/>
      </c>
      <c r="D330" s="33">
        <f>IF($A330&gt;NYears*12,"",MOD($A330-1,12)+1)</f>
        <v/>
      </c>
      <c r="E330" s="35">
        <f>IF($A330&gt;NYears*12,"",LotValue0*(1+LotGrowth)^($C330-1))</f>
        <v/>
      </c>
      <c r="F330" s="35">
        <f>IF($A330&gt;NYears*12,"",IF($A330=1,InitInvest,$R329))</f>
        <v/>
      </c>
      <c r="G330" s="33">
        <f>IF($A330&gt;NYears*12,"",INT($F330/$E330))</f>
        <v/>
      </c>
      <c r="H330" s="35">
        <f>IF($A330&gt;NYears*12,"",$G330*$E330)</f>
        <v/>
      </c>
      <c r="I330" s="35">
        <f>IF($A330&gt;NYears*12,"",$F330-$H330)</f>
        <v/>
      </c>
      <c r="J330" s="35">
        <f>IF($A330&gt;NYears*12,"",$H330*RateA)</f>
        <v/>
      </c>
      <c r="K330" s="35">
        <f>IF($A330&gt;NYears*12,"",IF($D330=1,$J330,$K329+$J330))</f>
        <v/>
      </c>
      <c r="L330" s="35">
        <f>IF($A330&gt;NYears*12,"",IF(MOD($D330,3)=0,SUM($J328:$J330),0))</f>
        <v/>
      </c>
      <c r="M330" s="35">
        <f>IF($A330&gt;NYears*12,"",IF(TaxFreq="Quarterly",$K330*12/$D330,$K330))</f>
        <v/>
      </c>
      <c r="N330" s="36">
        <f>IF($A330&gt;NYears*12,"",LOOKUP($M330,TaxLower,TaxRate))</f>
        <v/>
      </c>
      <c r="O330" s="35">
        <f>IF($A330&gt;NYears*12,"",IF(TaxFreq="Quarterly",IF(MOD($D330,3)=0,$L330*$N330,0),IF($D330=12,$K330*$N330,0)))</f>
        <v/>
      </c>
      <c r="P330" s="35">
        <f>IF($A330&gt;NYears*12,"",IF($D330=1,$O330,$P329+$O330))</f>
        <v/>
      </c>
      <c r="Q330" s="35">
        <f>IF($A330&gt;NYears*12,"",IF($D330=12,MIN(WdrPct*IF(WdrBase="Post-tax profit",$K330-$P330,$K330),WdrCap),0))</f>
        <v/>
      </c>
      <c r="R330" s="35">
        <f>IF($A330&gt;NYears*12,"",$F330+$J330-$O330-$Q330)</f>
        <v/>
      </c>
      <c r="S330" s="33">
        <f>IF($A330&gt;NYears*12,"",INT($R330/$E330))</f>
        <v/>
      </c>
    </row>
    <row r="331">
      <c r="A331" s="33">
        <f>327</f>
        <v/>
      </c>
      <c r="B331" s="34">
        <f>IF($A331&gt;NYears*12,"",EDATE(StartMonth,$A331-1))</f>
        <v/>
      </c>
      <c r="C331" s="33">
        <f>IF($A331&gt;NYears*12,"",INT(($A331-1)/12)+1)</f>
        <v/>
      </c>
      <c r="D331" s="33">
        <f>IF($A331&gt;NYears*12,"",MOD($A331-1,12)+1)</f>
        <v/>
      </c>
      <c r="E331" s="35">
        <f>IF($A331&gt;NYears*12,"",LotValue0*(1+LotGrowth)^($C331-1))</f>
        <v/>
      </c>
      <c r="F331" s="35">
        <f>IF($A331&gt;NYears*12,"",IF($A331=1,InitInvest,$R330))</f>
        <v/>
      </c>
      <c r="G331" s="33">
        <f>IF($A331&gt;NYears*12,"",INT($F331/$E331))</f>
        <v/>
      </c>
      <c r="H331" s="35">
        <f>IF($A331&gt;NYears*12,"",$G331*$E331)</f>
        <v/>
      </c>
      <c r="I331" s="35">
        <f>IF($A331&gt;NYears*12,"",$F331-$H331)</f>
        <v/>
      </c>
      <c r="J331" s="35">
        <f>IF($A331&gt;NYears*12,"",$H331*RateA)</f>
        <v/>
      </c>
      <c r="K331" s="35">
        <f>IF($A331&gt;NYears*12,"",IF($D331=1,$J331,$K330+$J331))</f>
        <v/>
      </c>
      <c r="L331" s="35">
        <f>IF($A331&gt;NYears*12,"",IF(MOD($D331,3)=0,SUM($J329:$J331),0))</f>
        <v/>
      </c>
      <c r="M331" s="35">
        <f>IF($A331&gt;NYears*12,"",IF(TaxFreq="Quarterly",$K331*12/$D331,$K331))</f>
        <v/>
      </c>
      <c r="N331" s="36">
        <f>IF($A331&gt;NYears*12,"",LOOKUP($M331,TaxLower,TaxRate))</f>
        <v/>
      </c>
      <c r="O331" s="35">
        <f>IF($A331&gt;NYears*12,"",IF(TaxFreq="Quarterly",IF(MOD($D331,3)=0,$L331*$N331,0),IF($D331=12,$K331*$N331,0)))</f>
        <v/>
      </c>
      <c r="P331" s="35">
        <f>IF($A331&gt;NYears*12,"",IF($D331=1,$O331,$P330+$O331))</f>
        <v/>
      </c>
      <c r="Q331" s="35">
        <f>IF($A331&gt;NYears*12,"",IF($D331=12,MIN(WdrPct*IF(WdrBase="Post-tax profit",$K331-$P331,$K331),WdrCap),0))</f>
        <v/>
      </c>
      <c r="R331" s="35">
        <f>IF($A331&gt;NYears*12,"",$F331+$J331-$O331-$Q331)</f>
        <v/>
      </c>
      <c r="S331" s="33">
        <f>IF($A331&gt;NYears*12,"",INT($R331/$E331))</f>
        <v/>
      </c>
    </row>
    <row r="332">
      <c r="A332" s="33">
        <f>328</f>
        <v/>
      </c>
      <c r="B332" s="34">
        <f>IF($A332&gt;NYears*12,"",EDATE(StartMonth,$A332-1))</f>
        <v/>
      </c>
      <c r="C332" s="33">
        <f>IF($A332&gt;NYears*12,"",INT(($A332-1)/12)+1)</f>
        <v/>
      </c>
      <c r="D332" s="33">
        <f>IF($A332&gt;NYears*12,"",MOD($A332-1,12)+1)</f>
        <v/>
      </c>
      <c r="E332" s="35">
        <f>IF($A332&gt;NYears*12,"",LotValue0*(1+LotGrowth)^($C332-1))</f>
        <v/>
      </c>
      <c r="F332" s="35">
        <f>IF($A332&gt;NYears*12,"",IF($A332=1,InitInvest,$R331))</f>
        <v/>
      </c>
      <c r="G332" s="33">
        <f>IF($A332&gt;NYears*12,"",INT($F332/$E332))</f>
        <v/>
      </c>
      <c r="H332" s="35">
        <f>IF($A332&gt;NYears*12,"",$G332*$E332)</f>
        <v/>
      </c>
      <c r="I332" s="35">
        <f>IF($A332&gt;NYears*12,"",$F332-$H332)</f>
        <v/>
      </c>
      <c r="J332" s="35">
        <f>IF($A332&gt;NYears*12,"",$H332*RateA)</f>
        <v/>
      </c>
      <c r="K332" s="35">
        <f>IF($A332&gt;NYears*12,"",IF($D332=1,$J332,$K331+$J332))</f>
        <v/>
      </c>
      <c r="L332" s="35">
        <f>IF($A332&gt;NYears*12,"",IF(MOD($D332,3)=0,SUM($J330:$J332),0))</f>
        <v/>
      </c>
      <c r="M332" s="35">
        <f>IF($A332&gt;NYears*12,"",IF(TaxFreq="Quarterly",$K332*12/$D332,$K332))</f>
        <v/>
      </c>
      <c r="N332" s="36">
        <f>IF($A332&gt;NYears*12,"",LOOKUP($M332,TaxLower,TaxRate))</f>
        <v/>
      </c>
      <c r="O332" s="35">
        <f>IF($A332&gt;NYears*12,"",IF(TaxFreq="Quarterly",IF(MOD($D332,3)=0,$L332*$N332,0),IF($D332=12,$K332*$N332,0)))</f>
        <v/>
      </c>
      <c r="P332" s="35">
        <f>IF($A332&gt;NYears*12,"",IF($D332=1,$O332,$P331+$O332))</f>
        <v/>
      </c>
      <c r="Q332" s="35">
        <f>IF($A332&gt;NYears*12,"",IF($D332=12,MIN(WdrPct*IF(WdrBase="Post-tax profit",$K332-$P332,$K332),WdrCap),0))</f>
        <v/>
      </c>
      <c r="R332" s="35">
        <f>IF($A332&gt;NYears*12,"",$F332+$J332-$O332-$Q332)</f>
        <v/>
      </c>
      <c r="S332" s="33">
        <f>IF($A332&gt;NYears*12,"",INT($R332/$E332))</f>
        <v/>
      </c>
    </row>
    <row r="333">
      <c r="A333" s="33">
        <f>329</f>
        <v/>
      </c>
      <c r="B333" s="34">
        <f>IF($A333&gt;NYears*12,"",EDATE(StartMonth,$A333-1))</f>
        <v/>
      </c>
      <c r="C333" s="33">
        <f>IF($A333&gt;NYears*12,"",INT(($A333-1)/12)+1)</f>
        <v/>
      </c>
      <c r="D333" s="33">
        <f>IF($A333&gt;NYears*12,"",MOD($A333-1,12)+1)</f>
        <v/>
      </c>
      <c r="E333" s="35">
        <f>IF($A333&gt;NYears*12,"",LotValue0*(1+LotGrowth)^($C333-1))</f>
        <v/>
      </c>
      <c r="F333" s="35">
        <f>IF($A333&gt;NYears*12,"",IF($A333=1,InitInvest,$R332))</f>
        <v/>
      </c>
      <c r="G333" s="33">
        <f>IF($A333&gt;NYears*12,"",INT($F333/$E333))</f>
        <v/>
      </c>
      <c r="H333" s="35">
        <f>IF($A333&gt;NYears*12,"",$G333*$E333)</f>
        <v/>
      </c>
      <c r="I333" s="35">
        <f>IF($A333&gt;NYears*12,"",$F333-$H333)</f>
        <v/>
      </c>
      <c r="J333" s="35">
        <f>IF($A333&gt;NYears*12,"",$H333*RateA)</f>
        <v/>
      </c>
      <c r="K333" s="35">
        <f>IF($A333&gt;NYears*12,"",IF($D333=1,$J333,$K332+$J333))</f>
        <v/>
      </c>
      <c r="L333" s="35">
        <f>IF($A333&gt;NYears*12,"",IF(MOD($D333,3)=0,SUM($J331:$J333),0))</f>
        <v/>
      </c>
      <c r="M333" s="35">
        <f>IF($A333&gt;NYears*12,"",IF(TaxFreq="Quarterly",$K333*12/$D333,$K333))</f>
        <v/>
      </c>
      <c r="N333" s="36">
        <f>IF($A333&gt;NYears*12,"",LOOKUP($M333,TaxLower,TaxRate))</f>
        <v/>
      </c>
      <c r="O333" s="35">
        <f>IF($A333&gt;NYears*12,"",IF(TaxFreq="Quarterly",IF(MOD($D333,3)=0,$L333*$N333,0),IF($D333=12,$K333*$N333,0)))</f>
        <v/>
      </c>
      <c r="P333" s="35">
        <f>IF($A333&gt;NYears*12,"",IF($D333=1,$O333,$P332+$O333))</f>
        <v/>
      </c>
      <c r="Q333" s="35">
        <f>IF($A333&gt;NYears*12,"",IF($D333=12,MIN(WdrPct*IF(WdrBase="Post-tax profit",$K333-$P333,$K333),WdrCap),0))</f>
        <v/>
      </c>
      <c r="R333" s="35">
        <f>IF($A333&gt;NYears*12,"",$F333+$J333-$O333-$Q333)</f>
        <v/>
      </c>
      <c r="S333" s="33">
        <f>IF($A333&gt;NYears*12,"",INT($R333/$E333))</f>
        <v/>
      </c>
    </row>
    <row r="334">
      <c r="A334" s="33">
        <f>330</f>
        <v/>
      </c>
      <c r="B334" s="34">
        <f>IF($A334&gt;NYears*12,"",EDATE(StartMonth,$A334-1))</f>
        <v/>
      </c>
      <c r="C334" s="33">
        <f>IF($A334&gt;NYears*12,"",INT(($A334-1)/12)+1)</f>
        <v/>
      </c>
      <c r="D334" s="33">
        <f>IF($A334&gt;NYears*12,"",MOD($A334-1,12)+1)</f>
        <v/>
      </c>
      <c r="E334" s="35">
        <f>IF($A334&gt;NYears*12,"",LotValue0*(1+LotGrowth)^($C334-1))</f>
        <v/>
      </c>
      <c r="F334" s="35">
        <f>IF($A334&gt;NYears*12,"",IF($A334=1,InitInvest,$R333))</f>
        <v/>
      </c>
      <c r="G334" s="33">
        <f>IF($A334&gt;NYears*12,"",INT($F334/$E334))</f>
        <v/>
      </c>
      <c r="H334" s="35">
        <f>IF($A334&gt;NYears*12,"",$G334*$E334)</f>
        <v/>
      </c>
      <c r="I334" s="35">
        <f>IF($A334&gt;NYears*12,"",$F334-$H334)</f>
        <v/>
      </c>
      <c r="J334" s="35">
        <f>IF($A334&gt;NYears*12,"",$H334*RateA)</f>
        <v/>
      </c>
      <c r="K334" s="35">
        <f>IF($A334&gt;NYears*12,"",IF($D334=1,$J334,$K333+$J334))</f>
        <v/>
      </c>
      <c r="L334" s="35">
        <f>IF($A334&gt;NYears*12,"",IF(MOD($D334,3)=0,SUM($J332:$J334),0))</f>
        <v/>
      </c>
      <c r="M334" s="35">
        <f>IF($A334&gt;NYears*12,"",IF(TaxFreq="Quarterly",$K334*12/$D334,$K334))</f>
        <v/>
      </c>
      <c r="N334" s="36">
        <f>IF($A334&gt;NYears*12,"",LOOKUP($M334,TaxLower,TaxRate))</f>
        <v/>
      </c>
      <c r="O334" s="35">
        <f>IF($A334&gt;NYears*12,"",IF(TaxFreq="Quarterly",IF(MOD($D334,3)=0,$L334*$N334,0),IF($D334=12,$K334*$N334,0)))</f>
        <v/>
      </c>
      <c r="P334" s="35">
        <f>IF($A334&gt;NYears*12,"",IF($D334=1,$O334,$P333+$O334))</f>
        <v/>
      </c>
      <c r="Q334" s="35">
        <f>IF($A334&gt;NYears*12,"",IF($D334=12,MIN(WdrPct*IF(WdrBase="Post-tax profit",$K334-$P334,$K334),WdrCap),0))</f>
        <v/>
      </c>
      <c r="R334" s="35">
        <f>IF($A334&gt;NYears*12,"",$F334+$J334-$O334-$Q334)</f>
        <v/>
      </c>
      <c r="S334" s="33">
        <f>IF($A334&gt;NYears*12,"",INT($R334/$E334))</f>
        <v/>
      </c>
    </row>
    <row r="335">
      <c r="A335" s="33">
        <f>331</f>
        <v/>
      </c>
      <c r="B335" s="34">
        <f>IF($A335&gt;NYears*12,"",EDATE(StartMonth,$A335-1))</f>
        <v/>
      </c>
      <c r="C335" s="33">
        <f>IF($A335&gt;NYears*12,"",INT(($A335-1)/12)+1)</f>
        <v/>
      </c>
      <c r="D335" s="33">
        <f>IF($A335&gt;NYears*12,"",MOD($A335-1,12)+1)</f>
        <v/>
      </c>
      <c r="E335" s="35">
        <f>IF($A335&gt;NYears*12,"",LotValue0*(1+LotGrowth)^($C335-1))</f>
        <v/>
      </c>
      <c r="F335" s="35">
        <f>IF($A335&gt;NYears*12,"",IF($A335=1,InitInvest,$R334))</f>
        <v/>
      </c>
      <c r="G335" s="33">
        <f>IF($A335&gt;NYears*12,"",INT($F335/$E335))</f>
        <v/>
      </c>
      <c r="H335" s="35">
        <f>IF($A335&gt;NYears*12,"",$G335*$E335)</f>
        <v/>
      </c>
      <c r="I335" s="35">
        <f>IF($A335&gt;NYears*12,"",$F335-$H335)</f>
        <v/>
      </c>
      <c r="J335" s="35">
        <f>IF($A335&gt;NYears*12,"",$H335*RateA)</f>
        <v/>
      </c>
      <c r="K335" s="35">
        <f>IF($A335&gt;NYears*12,"",IF($D335=1,$J335,$K334+$J335))</f>
        <v/>
      </c>
      <c r="L335" s="35">
        <f>IF($A335&gt;NYears*12,"",IF(MOD($D335,3)=0,SUM($J333:$J335),0))</f>
        <v/>
      </c>
      <c r="M335" s="35">
        <f>IF($A335&gt;NYears*12,"",IF(TaxFreq="Quarterly",$K335*12/$D335,$K335))</f>
        <v/>
      </c>
      <c r="N335" s="36">
        <f>IF($A335&gt;NYears*12,"",LOOKUP($M335,TaxLower,TaxRate))</f>
        <v/>
      </c>
      <c r="O335" s="35">
        <f>IF($A335&gt;NYears*12,"",IF(TaxFreq="Quarterly",IF(MOD($D335,3)=0,$L335*$N335,0),IF($D335=12,$K335*$N335,0)))</f>
        <v/>
      </c>
      <c r="P335" s="35">
        <f>IF($A335&gt;NYears*12,"",IF($D335=1,$O335,$P334+$O335))</f>
        <v/>
      </c>
      <c r="Q335" s="35">
        <f>IF($A335&gt;NYears*12,"",IF($D335=12,MIN(WdrPct*IF(WdrBase="Post-tax profit",$K335-$P335,$K335),WdrCap),0))</f>
        <v/>
      </c>
      <c r="R335" s="35">
        <f>IF($A335&gt;NYears*12,"",$F335+$J335-$O335-$Q335)</f>
        <v/>
      </c>
      <c r="S335" s="33">
        <f>IF($A335&gt;NYears*12,"",INT($R335/$E335))</f>
        <v/>
      </c>
    </row>
    <row r="336">
      <c r="A336" s="33">
        <f>332</f>
        <v/>
      </c>
      <c r="B336" s="34">
        <f>IF($A336&gt;NYears*12,"",EDATE(StartMonth,$A336-1))</f>
        <v/>
      </c>
      <c r="C336" s="33">
        <f>IF($A336&gt;NYears*12,"",INT(($A336-1)/12)+1)</f>
        <v/>
      </c>
      <c r="D336" s="33">
        <f>IF($A336&gt;NYears*12,"",MOD($A336-1,12)+1)</f>
        <v/>
      </c>
      <c r="E336" s="35">
        <f>IF($A336&gt;NYears*12,"",LotValue0*(1+LotGrowth)^($C336-1))</f>
        <v/>
      </c>
      <c r="F336" s="35">
        <f>IF($A336&gt;NYears*12,"",IF($A336=1,InitInvest,$R335))</f>
        <v/>
      </c>
      <c r="G336" s="33">
        <f>IF($A336&gt;NYears*12,"",INT($F336/$E336))</f>
        <v/>
      </c>
      <c r="H336" s="35">
        <f>IF($A336&gt;NYears*12,"",$G336*$E336)</f>
        <v/>
      </c>
      <c r="I336" s="35">
        <f>IF($A336&gt;NYears*12,"",$F336-$H336)</f>
        <v/>
      </c>
      <c r="J336" s="35">
        <f>IF($A336&gt;NYears*12,"",$H336*RateA)</f>
        <v/>
      </c>
      <c r="K336" s="35">
        <f>IF($A336&gt;NYears*12,"",IF($D336=1,$J336,$K335+$J336))</f>
        <v/>
      </c>
      <c r="L336" s="35">
        <f>IF($A336&gt;NYears*12,"",IF(MOD($D336,3)=0,SUM($J334:$J336),0))</f>
        <v/>
      </c>
      <c r="M336" s="35">
        <f>IF($A336&gt;NYears*12,"",IF(TaxFreq="Quarterly",$K336*12/$D336,$K336))</f>
        <v/>
      </c>
      <c r="N336" s="36">
        <f>IF($A336&gt;NYears*12,"",LOOKUP($M336,TaxLower,TaxRate))</f>
        <v/>
      </c>
      <c r="O336" s="35">
        <f>IF($A336&gt;NYears*12,"",IF(TaxFreq="Quarterly",IF(MOD($D336,3)=0,$L336*$N336,0),IF($D336=12,$K336*$N336,0)))</f>
        <v/>
      </c>
      <c r="P336" s="35">
        <f>IF($A336&gt;NYears*12,"",IF($D336=1,$O336,$P335+$O336))</f>
        <v/>
      </c>
      <c r="Q336" s="35">
        <f>IF($A336&gt;NYears*12,"",IF($D336=12,MIN(WdrPct*IF(WdrBase="Post-tax profit",$K336-$P336,$K336),WdrCap),0))</f>
        <v/>
      </c>
      <c r="R336" s="35">
        <f>IF($A336&gt;NYears*12,"",$F336+$J336-$O336-$Q336)</f>
        <v/>
      </c>
      <c r="S336" s="33">
        <f>IF($A336&gt;NYears*12,"",INT($R336/$E336))</f>
        <v/>
      </c>
    </row>
    <row r="337">
      <c r="A337" s="33">
        <f>333</f>
        <v/>
      </c>
      <c r="B337" s="34">
        <f>IF($A337&gt;NYears*12,"",EDATE(StartMonth,$A337-1))</f>
        <v/>
      </c>
      <c r="C337" s="33">
        <f>IF($A337&gt;NYears*12,"",INT(($A337-1)/12)+1)</f>
        <v/>
      </c>
      <c r="D337" s="33">
        <f>IF($A337&gt;NYears*12,"",MOD($A337-1,12)+1)</f>
        <v/>
      </c>
      <c r="E337" s="35">
        <f>IF($A337&gt;NYears*12,"",LotValue0*(1+LotGrowth)^($C337-1))</f>
        <v/>
      </c>
      <c r="F337" s="35">
        <f>IF($A337&gt;NYears*12,"",IF($A337=1,InitInvest,$R336))</f>
        <v/>
      </c>
      <c r="G337" s="33">
        <f>IF($A337&gt;NYears*12,"",INT($F337/$E337))</f>
        <v/>
      </c>
      <c r="H337" s="35">
        <f>IF($A337&gt;NYears*12,"",$G337*$E337)</f>
        <v/>
      </c>
      <c r="I337" s="35">
        <f>IF($A337&gt;NYears*12,"",$F337-$H337)</f>
        <v/>
      </c>
      <c r="J337" s="35">
        <f>IF($A337&gt;NYears*12,"",$H337*RateA)</f>
        <v/>
      </c>
      <c r="K337" s="35">
        <f>IF($A337&gt;NYears*12,"",IF($D337=1,$J337,$K336+$J337))</f>
        <v/>
      </c>
      <c r="L337" s="35">
        <f>IF($A337&gt;NYears*12,"",IF(MOD($D337,3)=0,SUM($J335:$J337),0))</f>
        <v/>
      </c>
      <c r="M337" s="35">
        <f>IF($A337&gt;NYears*12,"",IF(TaxFreq="Quarterly",$K337*12/$D337,$K337))</f>
        <v/>
      </c>
      <c r="N337" s="36">
        <f>IF($A337&gt;NYears*12,"",LOOKUP($M337,TaxLower,TaxRate))</f>
        <v/>
      </c>
      <c r="O337" s="35">
        <f>IF($A337&gt;NYears*12,"",IF(TaxFreq="Quarterly",IF(MOD($D337,3)=0,$L337*$N337,0),IF($D337=12,$K337*$N337,0)))</f>
        <v/>
      </c>
      <c r="P337" s="35">
        <f>IF($A337&gt;NYears*12,"",IF($D337=1,$O337,$P336+$O337))</f>
        <v/>
      </c>
      <c r="Q337" s="35">
        <f>IF($A337&gt;NYears*12,"",IF($D337=12,MIN(WdrPct*IF(WdrBase="Post-tax profit",$K337-$P337,$K337),WdrCap),0))</f>
        <v/>
      </c>
      <c r="R337" s="35">
        <f>IF($A337&gt;NYears*12,"",$F337+$J337-$O337-$Q337)</f>
        <v/>
      </c>
      <c r="S337" s="33">
        <f>IF($A337&gt;NYears*12,"",INT($R337/$E337))</f>
        <v/>
      </c>
    </row>
    <row r="338">
      <c r="A338" s="33">
        <f>334</f>
        <v/>
      </c>
      <c r="B338" s="34">
        <f>IF($A338&gt;NYears*12,"",EDATE(StartMonth,$A338-1))</f>
        <v/>
      </c>
      <c r="C338" s="33">
        <f>IF($A338&gt;NYears*12,"",INT(($A338-1)/12)+1)</f>
        <v/>
      </c>
      <c r="D338" s="33">
        <f>IF($A338&gt;NYears*12,"",MOD($A338-1,12)+1)</f>
        <v/>
      </c>
      <c r="E338" s="35">
        <f>IF($A338&gt;NYears*12,"",LotValue0*(1+LotGrowth)^($C338-1))</f>
        <v/>
      </c>
      <c r="F338" s="35">
        <f>IF($A338&gt;NYears*12,"",IF($A338=1,InitInvest,$R337))</f>
        <v/>
      </c>
      <c r="G338" s="33">
        <f>IF($A338&gt;NYears*12,"",INT($F338/$E338))</f>
        <v/>
      </c>
      <c r="H338" s="35">
        <f>IF($A338&gt;NYears*12,"",$G338*$E338)</f>
        <v/>
      </c>
      <c r="I338" s="35">
        <f>IF($A338&gt;NYears*12,"",$F338-$H338)</f>
        <v/>
      </c>
      <c r="J338" s="35">
        <f>IF($A338&gt;NYears*12,"",$H338*RateA)</f>
        <v/>
      </c>
      <c r="K338" s="35">
        <f>IF($A338&gt;NYears*12,"",IF($D338=1,$J338,$K337+$J338))</f>
        <v/>
      </c>
      <c r="L338" s="35">
        <f>IF($A338&gt;NYears*12,"",IF(MOD($D338,3)=0,SUM($J336:$J338),0))</f>
        <v/>
      </c>
      <c r="M338" s="35">
        <f>IF($A338&gt;NYears*12,"",IF(TaxFreq="Quarterly",$K338*12/$D338,$K338))</f>
        <v/>
      </c>
      <c r="N338" s="36">
        <f>IF($A338&gt;NYears*12,"",LOOKUP($M338,TaxLower,TaxRate))</f>
        <v/>
      </c>
      <c r="O338" s="35">
        <f>IF($A338&gt;NYears*12,"",IF(TaxFreq="Quarterly",IF(MOD($D338,3)=0,$L338*$N338,0),IF($D338=12,$K338*$N338,0)))</f>
        <v/>
      </c>
      <c r="P338" s="35">
        <f>IF($A338&gt;NYears*12,"",IF($D338=1,$O338,$P337+$O338))</f>
        <v/>
      </c>
      <c r="Q338" s="35">
        <f>IF($A338&gt;NYears*12,"",IF($D338=12,MIN(WdrPct*IF(WdrBase="Post-tax profit",$K338-$P338,$K338),WdrCap),0))</f>
        <v/>
      </c>
      <c r="R338" s="35">
        <f>IF($A338&gt;NYears*12,"",$F338+$J338-$O338-$Q338)</f>
        <v/>
      </c>
      <c r="S338" s="33">
        <f>IF($A338&gt;NYears*12,"",INT($R338/$E338))</f>
        <v/>
      </c>
    </row>
    <row r="339">
      <c r="A339" s="33">
        <f>335</f>
        <v/>
      </c>
      <c r="B339" s="34">
        <f>IF($A339&gt;NYears*12,"",EDATE(StartMonth,$A339-1))</f>
        <v/>
      </c>
      <c r="C339" s="33">
        <f>IF($A339&gt;NYears*12,"",INT(($A339-1)/12)+1)</f>
        <v/>
      </c>
      <c r="D339" s="33">
        <f>IF($A339&gt;NYears*12,"",MOD($A339-1,12)+1)</f>
        <v/>
      </c>
      <c r="E339" s="35">
        <f>IF($A339&gt;NYears*12,"",LotValue0*(1+LotGrowth)^($C339-1))</f>
        <v/>
      </c>
      <c r="F339" s="35">
        <f>IF($A339&gt;NYears*12,"",IF($A339=1,InitInvest,$R338))</f>
        <v/>
      </c>
      <c r="G339" s="33">
        <f>IF($A339&gt;NYears*12,"",INT($F339/$E339))</f>
        <v/>
      </c>
      <c r="H339" s="35">
        <f>IF($A339&gt;NYears*12,"",$G339*$E339)</f>
        <v/>
      </c>
      <c r="I339" s="35">
        <f>IF($A339&gt;NYears*12,"",$F339-$H339)</f>
        <v/>
      </c>
      <c r="J339" s="35">
        <f>IF($A339&gt;NYears*12,"",$H339*RateA)</f>
        <v/>
      </c>
      <c r="K339" s="35">
        <f>IF($A339&gt;NYears*12,"",IF($D339=1,$J339,$K338+$J339))</f>
        <v/>
      </c>
      <c r="L339" s="35">
        <f>IF($A339&gt;NYears*12,"",IF(MOD($D339,3)=0,SUM($J337:$J339),0))</f>
        <v/>
      </c>
      <c r="M339" s="35">
        <f>IF($A339&gt;NYears*12,"",IF(TaxFreq="Quarterly",$K339*12/$D339,$K339))</f>
        <v/>
      </c>
      <c r="N339" s="36">
        <f>IF($A339&gt;NYears*12,"",LOOKUP($M339,TaxLower,TaxRate))</f>
        <v/>
      </c>
      <c r="O339" s="35">
        <f>IF($A339&gt;NYears*12,"",IF(TaxFreq="Quarterly",IF(MOD($D339,3)=0,$L339*$N339,0),IF($D339=12,$K339*$N339,0)))</f>
        <v/>
      </c>
      <c r="P339" s="35">
        <f>IF($A339&gt;NYears*12,"",IF($D339=1,$O339,$P338+$O339))</f>
        <v/>
      </c>
      <c r="Q339" s="35">
        <f>IF($A339&gt;NYears*12,"",IF($D339=12,MIN(WdrPct*IF(WdrBase="Post-tax profit",$K339-$P339,$K339),WdrCap),0))</f>
        <v/>
      </c>
      <c r="R339" s="35">
        <f>IF($A339&gt;NYears*12,"",$F339+$J339-$O339-$Q339)</f>
        <v/>
      </c>
      <c r="S339" s="33">
        <f>IF($A339&gt;NYears*12,"",INT($R339/$E339))</f>
        <v/>
      </c>
    </row>
    <row r="340">
      <c r="A340" s="37">
        <f>336</f>
        <v/>
      </c>
      <c r="B340" s="38">
        <f>IF($A340&gt;NYears*12,"",EDATE(StartMonth,$A340-1))</f>
        <v/>
      </c>
      <c r="C340" s="37">
        <f>IF($A340&gt;NYears*12,"",INT(($A340-1)/12)+1)</f>
        <v/>
      </c>
      <c r="D340" s="37">
        <f>IF($A340&gt;NYears*12,"",MOD($A340-1,12)+1)</f>
        <v/>
      </c>
      <c r="E340" s="39">
        <f>IF($A340&gt;NYears*12,"",LotValue0*(1+LotGrowth)^($C340-1))</f>
        <v/>
      </c>
      <c r="F340" s="39">
        <f>IF($A340&gt;NYears*12,"",IF($A340=1,InitInvest,$R339))</f>
        <v/>
      </c>
      <c r="G340" s="37">
        <f>IF($A340&gt;NYears*12,"",INT($F340/$E340))</f>
        <v/>
      </c>
      <c r="H340" s="39">
        <f>IF($A340&gt;NYears*12,"",$G340*$E340)</f>
        <v/>
      </c>
      <c r="I340" s="39">
        <f>IF($A340&gt;NYears*12,"",$F340-$H340)</f>
        <v/>
      </c>
      <c r="J340" s="39">
        <f>IF($A340&gt;NYears*12,"",$H340*RateA)</f>
        <v/>
      </c>
      <c r="K340" s="39">
        <f>IF($A340&gt;NYears*12,"",IF($D340=1,$J340,$K339+$J340))</f>
        <v/>
      </c>
      <c r="L340" s="39">
        <f>IF($A340&gt;NYears*12,"",IF(MOD($D340,3)=0,SUM($J338:$J340),0))</f>
        <v/>
      </c>
      <c r="M340" s="39">
        <f>IF($A340&gt;NYears*12,"",IF(TaxFreq="Quarterly",$K340*12/$D340,$K340))</f>
        <v/>
      </c>
      <c r="N340" s="40">
        <f>IF($A340&gt;NYears*12,"",LOOKUP($M340,TaxLower,TaxRate))</f>
        <v/>
      </c>
      <c r="O340" s="39">
        <f>IF($A340&gt;NYears*12,"",IF(TaxFreq="Quarterly",IF(MOD($D340,3)=0,$L340*$N340,0),IF($D340=12,$K340*$N340,0)))</f>
        <v/>
      </c>
      <c r="P340" s="39">
        <f>IF($A340&gt;NYears*12,"",IF($D340=1,$O340,$P339+$O340))</f>
        <v/>
      </c>
      <c r="Q340" s="39">
        <f>IF($A340&gt;NYears*12,"",IF($D340=12,MIN(WdrPct*IF(WdrBase="Post-tax profit",$K340-$P340,$K340),WdrCap),0))</f>
        <v/>
      </c>
      <c r="R340" s="39">
        <f>IF($A340&gt;NYears*12,"",$F340+$J340-$O340-$Q340)</f>
        <v/>
      </c>
      <c r="S340" s="37">
        <f>IF($A340&gt;NYears*12,"",INT($R340/$E340))</f>
        <v/>
      </c>
    </row>
    <row r="341">
      <c r="A341" s="33">
        <f>337</f>
        <v/>
      </c>
      <c r="B341" s="34">
        <f>IF($A341&gt;NYears*12,"",EDATE(StartMonth,$A341-1))</f>
        <v/>
      </c>
      <c r="C341" s="33">
        <f>IF($A341&gt;NYears*12,"",INT(($A341-1)/12)+1)</f>
        <v/>
      </c>
      <c r="D341" s="33">
        <f>IF($A341&gt;NYears*12,"",MOD($A341-1,12)+1)</f>
        <v/>
      </c>
      <c r="E341" s="35">
        <f>IF($A341&gt;NYears*12,"",LotValue0*(1+LotGrowth)^($C341-1))</f>
        <v/>
      </c>
      <c r="F341" s="35">
        <f>IF($A341&gt;NYears*12,"",IF($A341=1,InitInvest,$R340))</f>
        <v/>
      </c>
      <c r="G341" s="33">
        <f>IF($A341&gt;NYears*12,"",INT($F341/$E341))</f>
        <v/>
      </c>
      <c r="H341" s="35">
        <f>IF($A341&gt;NYears*12,"",$G341*$E341)</f>
        <v/>
      </c>
      <c r="I341" s="35">
        <f>IF($A341&gt;NYears*12,"",$F341-$H341)</f>
        <v/>
      </c>
      <c r="J341" s="35">
        <f>IF($A341&gt;NYears*12,"",$H341*RateA)</f>
        <v/>
      </c>
      <c r="K341" s="35">
        <f>IF($A341&gt;NYears*12,"",IF($D341=1,$J341,$K340+$J341))</f>
        <v/>
      </c>
      <c r="L341" s="35">
        <f>IF($A341&gt;NYears*12,"",IF(MOD($D341,3)=0,SUM($J339:$J341),0))</f>
        <v/>
      </c>
      <c r="M341" s="35">
        <f>IF($A341&gt;NYears*12,"",IF(TaxFreq="Quarterly",$K341*12/$D341,$K341))</f>
        <v/>
      </c>
      <c r="N341" s="36">
        <f>IF($A341&gt;NYears*12,"",LOOKUP($M341,TaxLower,TaxRate))</f>
        <v/>
      </c>
      <c r="O341" s="35">
        <f>IF($A341&gt;NYears*12,"",IF(TaxFreq="Quarterly",IF(MOD($D341,3)=0,$L341*$N341,0),IF($D341=12,$K341*$N341,0)))</f>
        <v/>
      </c>
      <c r="P341" s="35">
        <f>IF($A341&gt;NYears*12,"",IF($D341=1,$O341,$P340+$O341))</f>
        <v/>
      </c>
      <c r="Q341" s="35">
        <f>IF($A341&gt;NYears*12,"",IF($D341=12,MIN(WdrPct*IF(WdrBase="Post-tax profit",$K341-$P341,$K341),WdrCap),0))</f>
        <v/>
      </c>
      <c r="R341" s="35">
        <f>IF($A341&gt;NYears*12,"",$F341+$J341-$O341-$Q341)</f>
        <v/>
      </c>
      <c r="S341" s="33">
        <f>IF($A341&gt;NYears*12,"",INT($R341/$E341))</f>
        <v/>
      </c>
    </row>
    <row r="342">
      <c r="A342" s="33">
        <f>338</f>
        <v/>
      </c>
      <c r="B342" s="34">
        <f>IF($A342&gt;NYears*12,"",EDATE(StartMonth,$A342-1))</f>
        <v/>
      </c>
      <c r="C342" s="33">
        <f>IF($A342&gt;NYears*12,"",INT(($A342-1)/12)+1)</f>
        <v/>
      </c>
      <c r="D342" s="33">
        <f>IF($A342&gt;NYears*12,"",MOD($A342-1,12)+1)</f>
        <v/>
      </c>
      <c r="E342" s="35">
        <f>IF($A342&gt;NYears*12,"",LotValue0*(1+LotGrowth)^($C342-1))</f>
        <v/>
      </c>
      <c r="F342" s="35">
        <f>IF($A342&gt;NYears*12,"",IF($A342=1,InitInvest,$R341))</f>
        <v/>
      </c>
      <c r="G342" s="33">
        <f>IF($A342&gt;NYears*12,"",INT($F342/$E342))</f>
        <v/>
      </c>
      <c r="H342" s="35">
        <f>IF($A342&gt;NYears*12,"",$G342*$E342)</f>
        <v/>
      </c>
      <c r="I342" s="35">
        <f>IF($A342&gt;NYears*12,"",$F342-$H342)</f>
        <v/>
      </c>
      <c r="J342" s="35">
        <f>IF($A342&gt;NYears*12,"",$H342*RateA)</f>
        <v/>
      </c>
      <c r="K342" s="35">
        <f>IF($A342&gt;NYears*12,"",IF($D342=1,$J342,$K341+$J342))</f>
        <v/>
      </c>
      <c r="L342" s="35">
        <f>IF($A342&gt;NYears*12,"",IF(MOD($D342,3)=0,SUM($J340:$J342),0))</f>
        <v/>
      </c>
      <c r="M342" s="35">
        <f>IF($A342&gt;NYears*12,"",IF(TaxFreq="Quarterly",$K342*12/$D342,$K342))</f>
        <v/>
      </c>
      <c r="N342" s="36">
        <f>IF($A342&gt;NYears*12,"",LOOKUP($M342,TaxLower,TaxRate))</f>
        <v/>
      </c>
      <c r="O342" s="35">
        <f>IF($A342&gt;NYears*12,"",IF(TaxFreq="Quarterly",IF(MOD($D342,3)=0,$L342*$N342,0),IF($D342=12,$K342*$N342,0)))</f>
        <v/>
      </c>
      <c r="P342" s="35">
        <f>IF($A342&gt;NYears*12,"",IF($D342=1,$O342,$P341+$O342))</f>
        <v/>
      </c>
      <c r="Q342" s="35">
        <f>IF($A342&gt;NYears*12,"",IF($D342=12,MIN(WdrPct*IF(WdrBase="Post-tax profit",$K342-$P342,$K342),WdrCap),0))</f>
        <v/>
      </c>
      <c r="R342" s="35">
        <f>IF($A342&gt;NYears*12,"",$F342+$J342-$O342-$Q342)</f>
        <v/>
      </c>
      <c r="S342" s="33">
        <f>IF($A342&gt;NYears*12,"",INT($R342/$E342))</f>
        <v/>
      </c>
    </row>
    <row r="343">
      <c r="A343" s="33">
        <f>339</f>
        <v/>
      </c>
      <c r="B343" s="34">
        <f>IF($A343&gt;NYears*12,"",EDATE(StartMonth,$A343-1))</f>
        <v/>
      </c>
      <c r="C343" s="33">
        <f>IF($A343&gt;NYears*12,"",INT(($A343-1)/12)+1)</f>
        <v/>
      </c>
      <c r="D343" s="33">
        <f>IF($A343&gt;NYears*12,"",MOD($A343-1,12)+1)</f>
        <v/>
      </c>
      <c r="E343" s="35">
        <f>IF($A343&gt;NYears*12,"",LotValue0*(1+LotGrowth)^($C343-1))</f>
        <v/>
      </c>
      <c r="F343" s="35">
        <f>IF($A343&gt;NYears*12,"",IF($A343=1,InitInvest,$R342))</f>
        <v/>
      </c>
      <c r="G343" s="33">
        <f>IF($A343&gt;NYears*12,"",INT($F343/$E343))</f>
        <v/>
      </c>
      <c r="H343" s="35">
        <f>IF($A343&gt;NYears*12,"",$G343*$E343)</f>
        <v/>
      </c>
      <c r="I343" s="35">
        <f>IF($A343&gt;NYears*12,"",$F343-$H343)</f>
        <v/>
      </c>
      <c r="J343" s="35">
        <f>IF($A343&gt;NYears*12,"",$H343*RateA)</f>
        <v/>
      </c>
      <c r="K343" s="35">
        <f>IF($A343&gt;NYears*12,"",IF($D343=1,$J343,$K342+$J343))</f>
        <v/>
      </c>
      <c r="L343" s="35">
        <f>IF($A343&gt;NYears*12,"",IF(MOD($D343,3)=0,SUM($J341:$J343),0))</f>
        <v/>
      </c>
      <c r="M343" s="35">
        <f>IF($A343&gt;NYears*12,"",IF(TaxFreq="Quarterly",$K343*12/$D343,$K343))</f>
        <v/>
      </c>
      <c r="N343" s="36">
        <f>IF($A343&gt;NYears*12,"",LOOKUP($M343,TaxLower,TaxRate))</f>
        <v/>
      </c>
      <c r="O343" s="35">
        <f>IF($A343&gt;NYears*12,"",IF(TaxFreq="Quarterly",IF(MOD($D343,3)=0,$L343*$N343,0),IF($D343=12,$K343*$N343,0)))</f>
        <v/>
      </c>
      <c r="P343" s="35">
        <f>IF($A343&gt;NYears*12,"",IF($D343=1,$O343,$P342+$O343))</f>
        <v/>
      </c>
      <c r="Q343" s="35">
        <f>IF($A343&gt;NYears*12,"",IF($D343=12,MIN(WdrPct*IF(WdrBase="Post-tax profit",$K343-$P343,$K343),WdrCap),0))</f>
        <v/>
      </c>
      <c r="R343" s="35">
        <f>IF($A343&gt;NYears*12,"",$F343+$J343-$O343-$Q343)</f>
        <v/>
      </c>
      <c r="S343" s="33">
        <f>IF($A343&gt;NYears*12,"",INT($R343/$E343))</f>
        <v/>
      </c>
    </row>
    <row r="344">
      <c r="A344" s="33">
        <f>340</f>
        <v/>
      </c>
      <c r="B344" s="34">
        <f>IF($A344&gt;NYears*12,"",EDATE(StartMonth,$A344-1))</f>
        <v/>
      </c>
      <c r="C344" s="33">
        <f>IF($A344&gt;NYears*12,"",INT(($A344-1)/12)+1)</f>
        <v/>
      </c>
      <c r="D344" s="33">
        <f>IF($A344&gt;NYears*12,"",MOD($A344-1,12)+1)</f>
        <v/>
      </c>
      <c r="E344" s="35">
        <f>IF($A344&gt;NYears*12,"",LotValue0*(1+LotGrowth)^($C344-1))</f>
        <v/>
      </c>
      <c r="F344" s="35">
        <f>IF($A344&gt;NYears*12,"",IF($A344=1,InitInvest,$R343))</f>
        <v/>
      </c>
      <c r="G344" s="33">
        <f>IF($A344&gt;NYears*12,"",INT($F344/$E344))</f>
        <v/>
      </c>
      <c r="H344" s="35">
        <f>IF($A344&gt;NYears*12,"",$G344*$E344)</f>
        <v/>
      </c>
      <c r="I344" s="35">
        <f>IF($A344&gt;NYears*12,"",$F344-$H344)</f>
        <v/>
      </c>
      <c r="J344" s="35">
        <f>IF($A344&gt;NYears*12,"",$H344*RateA)</f>
        <v/>
      </c>
      <c r="K344" s="35">
        <f>IF($A344&gt;NYears*12,"",IF($D344=1,$J344,$K343+$J344))</f>
        <v/>
      </c>
      <c r="L344" s="35">
        <f>IF($A344&gt;NYears*12,"",IF(MOD($D344,3)=0,SUM($J342:$J344),0))</f>
        <v/>
      </c>
      <c r="M344" s="35">
        <f>IF($A344&gt;NYears*12,"",IF(TaxFreq="Quarterly",$K344*12/$D344,$K344))</f>
        <v/>
      </c>
      <c r="N344" s="36">
        <f>IF($A344&gt;NYears*12,"",LOOKUP($M344,TaxLower,TaxRate))</f>
        <v/>
      </c>
      <c r="O344" s="35">
        <f>IF($A344&gt;NYears*12,"",IF(TaxFreq="Quarterly",IF(MOD($D344,3)=0,$L344*$N344,0),IF($D344=12,$K344*$N344,0)))</f>
        <v/>
      </c>
      <c r="P344" s="35">
        <f>IF($A344&gt;NYears*12,"",IF($D344=1,$O344,$P343+$O344))</f>
        <v/>
      </c>
      <c r="Q344" s="35">
        <f>IF($A344&gt;NYears*12,"",IF($D344=12,MIN(WdrPct*IF(WdrBase="Post-tax profit",$K344-$P344,$K344),WdrCap),0))</f>
        <v/>
      </c>
      <c r="R344" s="35">
        <f>IF($A344&gt;NYears*12,"",$F344+$J344-$O344-$Q344)</f>
        <v/>
      </c>
      <c r="S344" s="33">
        <f>IF($A344&gt;NYears*12,"",INT($R344/$E344))</f>
        <v/>
      </c>
    </row>
    <row r="345">
      <c r="A345" s="33">
        <f>341</f>
        <v/>
      </c>
      <c r="B345" s="34">
        <f>IF($A345&gt;NYears*12,"",EDATE(StartMonth,$A345-1))</f>
        <v/>
      </c>
      <c r="C345" s="33">
        <f>IF($A345&gt;NYears*12,"",INT(($A345-1)/12)+1)</f>
        <v/>
      </c>
      <c r="D345" s="33">
        <f>IF($A345&gt;NYears*12,"",MOD($A345-1,12)+1)</f>
        <v/>
      </c>
      <c r="E345" s="35">
        <f>IF($A345&gt;NYears*12,"",LotValue0*(1+LotGrowth)^($C345-1))</f>
        <v/>
      </c>
      <c r="F345" s="35">
        <f>IF($A345&gt;NYears*12,"",IF($A345=1,InitInvest,$R344))</f>
        <v/>
      </c>
      <c r="G345" s="33">
        <f>IF($A345&gt;NYears*12,"",INT($F345/$E345))</f>
        <v/>
      </c>
      <c r="H345" s="35">
        <f>IF($A345&gt;NYears*12,"",$G345*$E345)</f>
        <v/>
      </c>
      <c r="I345" s="35">
        <f>IF($A345&gt;NYears*12,"",$F345-$H345)</f>
        <v/>
      </c>
      <c r="J345" s="35">
        <f>IF($A345&gt;NYears*12,"",$H345*RateA)</f>
        <v/>
      </c>
      <c r="K345" s="35">
        <f>IF($A345&gt;NYears*12,"",IF($D345=1,$J345,$K344+$J345))</f>
        <v/>
      </c>
      <c r="L345" s="35">
        <f>IF($A345&gt;NYears*12,"",IF(MOD($D345,3)=0,SUM($J343:$J345),0))</f>
        <v/>
      </c>
      <c r="M345" s="35">
        <f>IF($A345&gt;NYears*12,"",IF(TaxFreq="Quarterly",$K345*12/$D345,$K345))</f>
        <v/>
      </c>
      <c r="N345" s="36">
        <f>IF($A345&gt;NYears*12,"",LOOKUP($M345,TaxLower,TaxRate))</f>
        <v/>
      </c>
      <c r="O345" s="35">
        <f>IF($A345&gt;NYears*12,"",IF(TaxFreq="Quarterly",IF(MOD($D345,3)=0,$L345*$N345,0),IF($D345=12,$K345*$N345,0)))</f>
        <v/>
      </c>
      <c r="P345" s="35">
        <f>IF($A345&gt;NYears*12,"",IF($D345=1,$O345,$P344+$O345))</f>
        <v/>
      </c>
      <c r="Q345" s="35">
        <f>IF($A345&gt;NYears*12,"",IF($D345=12,MIN(WdrPct*IF(WdrBase="Post-tax profit",$K345-$P345,$K345),WdrCap),0))</f>
        <v/>
      </c>
      <c r="R345" s="35">
        <f>IF($A345&gt;NYears*12,"",$F345+$J345-$O345-$Q345)</f>
        <v/>
      </c>
      <c r="S345" s="33">
        <f>IF($A345&gt;NYears*12,"",INT($R345/$E345))</f>
        <v/>
      </c>
    </row>
    <row r="346">
      <c r="A346" s="33">
        <f>342</f>
        <v/>
      </c>
      <c r="B346" s="34">
        <f>IF($A346&gt;NYears*12,"",EDATE(StartMonth,$A346-1))</f>
        <v/>
      </c>
      <c r="C346" s="33">
        <f>IF($A346&gt;NYears*12,"",INT(($A346-1)/12)+1)</f>
        <v/>
      </c>
      <c r="D346" s="33">
        <f>IF($A346&gt;NYears*12,"",MOD($A346-1,12)+1)</f>
        <v/>
      </c>
      <c r="E346" s="35">
        <f>IF($A346&gt;NYears*12,"",LotValue0*(1+LotGrowth)^($C346-1))</f>
        <v/>
      </c>
      <c r="F346" s="35">
        <f>IF($A346&gt;NYears*12,"",IF($A346=1,InitInvest,$R345))</f>
        <v/>
      </c>
      <c r="G346" s="33">
        <f>IF($A346&gt;NYears*12,"",INT($F346/$E346))</f>
        <v/>
      </c>
      <c r="H346" s="35">
        <f>IF($A346&gt;NYears*12,"",$G346*$E346)</f>
        <v/>
      </c>
      <c r="I346" s="35">
        <f>IF($A346&gt;NYears*12,"",$F346-$H346)</f>
        <v/>
      </c>
      <c r="J346" s="35">
        <f>IF($A346&gt;NYears*12,"",$H346*RateA)</f>
        <v/>
      </c>
      <c r="K346" s="35">
        <f>IF($A346&gt;NYears*12,"",IF($D346=1,$J346,$K345+$J346))</f>
        <v/>
      </c>
      <c r="L346" s="35">
        <f>IF($A346&gt;NYears*12,"",IF(MOD($D346,3)=0,SUM($J344:$J346),0))</f>
        <v/>
      </c>
      <c r="M346" s="35">
        <f>IF($A346&gt;NYears*12,"",IF(TaxFreq="Quarterly",$K346*12/$D346,$K346))</f>
        <v/>
      </c>
      <c r="N346" s="36">
        <f>IF($A346&gt;NYears*12,"",LOOKUP($M346,TaxLower,TaxRate))</f>
        <v/>
      </c>
      <c r="O346" s="35">
        <f>IF($A346&gt;NYears*12,"",IF(TaxFreq="Quarterly",IF(MOD($D346,3)=0,$L346*$N346,0),IF($D346=12,$K346*$N346,0)))</f>
        <v/>
      </c>
      <c r="P346" s="35">
        <f>IF($A346&gt;NYears*12,"",IF($D346=1,$O346,$P345+$O346))</f>
        <v/>
      </c>
      <c r="Q346" s="35">
        <f>IF($A346&gt;NYears*12,"",IF($D346=12,MIN(WdrPct*IF(WdrBase="Post-tax profit",$K346-$P346,$K346),WdrCap),0))</f>
        <v/>
      </c>
      <c r="R346" s="35">
        <f>IF($A346&gt;NYears*12,"",$F346+$J346-$O346-$Q346)</f>
        <v/>
      </c>
      <c r="S346" s="33">
        <f>IF($A346&gt;NYears*12,"",INT($R346/$E346))</f>
        <v/>
      </c>
    </row>
    <row r="347">
      <c r="A347" s="33">
        <f>343</f>
        <v/>
      </c>
      <c r="B347" s="34">
        <f>IF($A347&gt;NYears*12,"",EDATE(StartMonth,$A347-1))</f>
        <v/>
      </c>
      <c r="C347" s="33">
        <f>IF($A347&gt;NYears*12,"",INT(($A347-1)/12)+1)</f>
        <v/>
      </c>
      <c r="D347" s="33">
        <f>IF($A347&gt;NYears*12,"",MOD($A347-1,12)+1)</f>
        <v/>
      </c>
      <c r="E347" s="35">
        <f>IF($A347&gt;NYears*12,"",LotValue0*(1+LotGrowth)^($C347-1))</f>
        <v/>
      </c>
      <c r="F347" s="35">
        <f>IF($A347&gt;NYears*12,"",IF($A347=1,InitInvest,$R346))</f>
        <v/>
      </c>
      <c r="G347" s="33">
        <f>IF($A347&gt;NYears*12,"",INT($F347/$E347))</f>
        <v/>
      </c>
      <c r="H347" s="35">
        <f>IF($A347&gt;NYears*12,"",$G347*$E347)</f>
        <v/>
      </c>
      <c r="I347" s="35">
        <f>IF($A347&gt;NYears*12,"",$F347-$H347)</f>
        <v/>
      </c>
      <c r="J347" s="35">
        <f>IF($A347&gt;NYears*12,"",$H347*RateA)</f>
        <v/>
      </c>
      <c r="K347" s="35">
        <f>IF($A347&gt;NYears*12,"",IF($D347=1,$J347,$K346+$J347))</f>
        <v/>
      </c>
      <c r="L347" s="35">
        <f>IF($A347&gt;NYears*12,"",IF(MOD($D347,3)=0,SUM($J345:$J347),0))</f>
        <v/>
      </c>
      <c r="M347" s="35">
        <f>IF($A347&gt;NYears*12,"",IF(TaxFreq="Quarterly",$K347*12/$D347,$K347))</f>
        <v/>
      </c>
      <c r="N347" s="36">
        <f>IF($A347&gt;NYears*12,"",LOOKUP($M347,TaxLower,TaxRate))</f>
        <v/>
      </c>
      <c r="O347" s="35">
        <f>IF($A347&gt;NYears*12,"",IF(TaxFreq="Quarterly",IF(MOD($D347,3)=0,$L347*$N347,0),IF($D347=12,$K347*$N347,0)))</f>
        <v/>
      </c>
      <c r="P347" s="35">
        <f>IF($A347&gt;NYears*12,"",IF($D347=1,$O347,$P346+$O347))</f>
        <v/>
      </c>
      <c r="Q347" s="35">
        <f>IF($A347&gt;NYears*12,"",IF($D347=12,MIN(WdrPct*IF(WdrBase="Post-tax profit",$K347-$P347,$K347),WdrCap),0))</f>
        <v/>
      </c>
      <c r="R347" s="35">
        <f>IF($A347&gt;NYears*12,"",$F347+$J347-$O347-$Q347)</f>
        <v/>
      </c>
      <c r="S347" s="33">
        <f>IF($A347&gt;NYears*12,"",INT($R347/$E347))</f>
        <v/>
      </c>
    </row>
    <row r="348">
      <c r="A348" s="33">
        <f>344</f>
        <v/>
      </c>
      <c r="B348" s="34">
        <f>IF($A348&gt;NYears*12,"",EDATE(StartMonth,$A348-1))</f>
        <v/>
      </c>
      <c r="C348" s="33">
        <f>IF($A348&gt;NYears*12,"",INT(($A348-1)/12)+1)</f>
        <v/>
      </c>
      <c r="D348" s="33">
        <f>IF($A348&gt;NYears*12,"",MOD($A348-1,12)+1)</f>
        <v/>
      </c>
      <c r="E348" s="35">
        <f>IF($A348&gt;NYears*12,"",LotValue0*(1+LotGrowth)^($C348-1))</f>
        <v/>
      </c>
      <c r="F348" s="35">
        <f>IF($A348&gt;NYears*12,"",IF($A348=1,InitInvest,$R347))</f>
        <v/>
      </c>
      <c r="G348" s="33">
        <f>IF($A348&gt;NYears*12,"",INT($F348/$E348))</f>
        <v/>
      </c>
      <c r="H348" s="35">
        <f>IF($A348&gt;NYears*12,"",$G348*$E348)</f>
        <v/>
      </c>
      <c r="I348" s="35">
        <f>IF($A348&gt;NYears*12,"",$F348-$H348)</f>
        <v/>
      </c>
      <c r="J348" s="35">
        <f>IF($A348&gt;NYears*12,"",$H348*RateA)</f>
        <v/>
      </c>
      <c r="K348" s="35">
        <f>IF($A348&gt;NYears*12,"",IF($D348=1,$J348,$K347+$J348))</f>
        <v/>
      </c>
      <c r="L348" s="35">
        <f>IF($A348&gt;NYears*12,"",IF(MOD($D348,3)=0,SUM($J346:$J348),0))</f>
        <v/>
      </c>
      <c r="M348" s="35">
        <f>IF($A348&gt;NYears*12,"",IF(TaxFreq="Quarterly",$K348*12/$D348,$K348))</f>
        <v/>
      </c>
      <c r="N348" s="36">
        <f>IF($A348&gt;NYears*12,"",LOOKUP($M348,TaxLower,TaxRate))</f>
        <v/>
      </c>
      <c r="O348" s="35">
        <f>IF($A348&gt;NYears*12,"",IF(TaxFreq="Quarterly",IF(MOD($D348,3)=0,$L348*$N348,0),IF($D348=12,$K348*$N348,0)))</f>
        <v/>
      </c>
      <c r="P348" s="35">
        <f>IF($A348&gt;NYears*12,"",IF($D348=1,$O348,$P347+$O348))</f>
        <v/>
      </c>
      <c r="Q348" s="35">
        <f>IF($A348&gt;NYears*12,"",IF($D348=12,MIN(WdrPct*IF(WdrBase="Post-tax profit",$K348-$P348,$K348),WdrCap),0))</f>
        <v/>
      </c>
      <c r="R348" s="35">
        <f>IF($A348&gt;NYears*12,"",$F348+$J348-$O348-$Q348)</f>
        <v/>
      </c>
      <c r="S348" s="33">
        <f>IF($A348&gt;NYears*12,"",INT($R348/$E348))</f>
        <v/>
      </c>
    </row>
    <row r="349">
      <c r="A349" s="33">
        <f>345</f>
        <v/>
      </c>
      <c r="B349" s="34">
        <f>IF($A349&gt;NYears*12,"",EDATE(StartMonth,$A349-1))</f>
        <v/>
      </c>
      <c r="C349" s="33">
        <f>IF($A349&gt;NYears*12,"",INT(($A349-1)/12)+1)</f>
        <v/>
      </c>
      <c r="D349" s="33">
        <f>IF($A349&gt;NYears*12,"",MOD($A349-1,12)+1)</f>
        <v/>
      </c>
      <c r="E349" s="35">
        <f>IF($A349&gt;NYears*12,"",LotValue0*(1+LotGrowth)^($C349-1))</f>
        <v/>
      </c>
      <c r="F349" s="35">
        <f>IF($A349&gt;NYears*12,"",IF($A349=1,InitInvest,$R348))</f>
        <v/>
      </c>
      <c r="G349" s="33">
        <f>IF($A349&gt;NYears*12,"",INT($F349/$E349))</f>
        <v/>
      </c>
      <c r="H349" s="35">
        <f>IF($A349&gt;NYears*12,"",$G349*$E349)</f>
        <v/>
      </c>
      <c r="I349" s="35">
        <f>IF($A349&gt;NYears*12,"",$F349-$H349)</f>
        <v/>
      </c>
      <c r="J349" s="35">
        <f>IF($A349&gt;NYears*12,"",$H349*RateA)</f>
        <v/>
      </c>
      <c r="K349" s="35">
        <f>IF($A349&gt;NYears*12,"",IF($D349=1,$J349,$K348+$J349))</f>
        <v/>
      </c>
      <c r="L349" s="35">
        <f>IF($A349&gt;NYears*12,"",IF(MOD($D349,3)=0,SUM($J347:$J349),0))</f>
        <v/>
      </c>
      <c r="M349" s="35">
        <f>IF($A349&gt;NYears*12,"",IF(TaxFreq="Quarterly",$K349*12/$D349,$K349))</f>
        <v/>
      </c>
      <c r="N349" s="36">
        <f>IF($A349&gt;NYears*12,"",LOOKUP($M349,TaxLower,TaxRate))</f>
        <v/>
      </c>
      <c r="O349" s="35">
        <f>IF($A349&gt;NYears*12,"",IF(TaxFreq="Quarterly",IF(MOD($D349,3)=0,$L349*$N349,0),IF($D349=12,$K349*$N349,0)))</f>
        <v/>
      </c>
      <c r="P349" s="35">
        <f>IF($A349&gt;NYears*12,"",IF($D349=1,$O349,$P348+$O349))</f>
        <v/>
      </c>
      <c r="Q349" s="35">
        <f>IF($A349&gt;NYears*12,"",IF($D349=12,MIN(WdrPct*IF(WdrBase="Post-tax profit",$K349-$P349,$K349),WdrCap),0))</f>
        <v/>
      </c>
      <c r="R349" s="35">
        <f>IF($A349&gt;NYears*12,"",$F349+$J349-$O349-$Q349)</f>
        <v/>
      </c>
      <c r="S349" s="33">
        <f>IF($A349&gt;NYears*12,"",INT($R349/$E349))</f>
        <v/>
      </c>
    </row>
    <row r="350">
      <c r="A350" s="33">
        <f>346</f>
        <v/>
      </c>
      <c r="B350" s="34">
        <f>IF($A350&gt;NYears*12,"",EDATE(StartMonth,$A350-1))</f>
        <v/>
      </c>
      <c r="C350" s="33">
        <f>IF($A350&gt;NYears*12,"",INT(($A350-1)/12)+1)</f>
        <v/>
      </c>
      <c r="D350" s="33">
        <f>IF($A350&gt;NYears*12,"",MOD($A350-1,12)+1)</f>
        <v/>
      </c>
      <c r="E350" s="35">
        <f>IF($A350&gt;NYears*12,"",LotValue0*(1+LotGrowth)^($C350-1))</f>
        <v/>
      </c>
      <c r="F350" s="35">
        <f>IF($A350&gt;NYears*12,"",IF($A350=1,InitInvest,$R349))</f>
        <v/>
      </c>
      <c r="G350" s="33">
        <f>IF($A350&gt;NYears*12,"",INT($F350/$E350))</f>
        <v/>
      </c>
      <c r="H350" s="35">
        <f>IF($A350&gt;NYears*12,"",$G350*$E350)</f>
        <v/>
      </c>
      <c r="I350" s="35">
        <f>IF($A350&gt;NYears*12,"",$F350-$H350)</f>
        <v/>
      </c>
      <c r="J350" s="35">
        <f>IF($A350&gt;NYears*12,"",$H350*RateA)</f>
        <v/>
      </c>
      <c r="K350" s="35">
        <f>IF($A350&gt;NYears*12,"",IF($D350=1,$J350,$K349+$J350))</f>
        <v/>
      </c>
      <c r="L350" s="35">
        <f>IF($A350&gt;NYears*12,"",IF(MOD($D350,3)=0,SUM($J348:$J350),0))</f>
        <v/>
      </c>
      <c r="M350" s="35">
        <f>IF($A350&gt;NYears*12,"",IF(TaxFreq="Quarterly",$K350*12/$D350,$K350))</f>
        <v/>
      </c>
      <c r="N350" s="36">
        <f>IF($A350&gt;NYears*12,"",LOOKUP($M350,TaxLower,TaxRate))</f>
        <v/>
      </c>
      <c r="O350" s="35">
        <f>IF($A350&gt;NYears*12,"",IF(TaxFreq="Quarterly",IF(MOD($D350,3)=0,$L350*$N350,0),IF($D350=12,$K350*$N350,0)))</f>
        <v/>
      </c>
      <c r="P350" s="35">
        <f>IF($A350&gt;NYears*12,"",IF($D350=1,$O350,$P349+$O350))</f>
        <v/>
      </c>
      <c r="Q350" s="35">
        <f>IF($A350&gt;NYears*12,"",IF($D350=12,MIN(WdrPct*IF(WdrBase="Post-tax profit",$K350-$P350,$K350),WdrCap),0))</f>
        <v/>
      </c>
      <c r="R350" s="35">
        <f>IF($A350&gt;NYears*12,"",$F350+$J350-$O350-$Q350)</f>
        <v/>
      </c>
      <c r="S350" s="33">
        <f>IF($A350&gt;NYears*12,"",INT($R350/$E350))</f>
        <v/>
      </c>
    </row>
    <row r="351">
      <c r="A351" s="33">
        <f>347</f>
        <v/>
      </c>
      <c r="B351" s="34">
        <f>IF($A351&gt;NYears*12,"",EDATE(StartMonth,$A351-1))</f>
        <v/>
      </c>
      <c r="C351" s="33">
        <f>IF($A351&gt;NYears*12,"",INT(($A351-1)/12)+1)</f>
        <v/>
      </c>
      <c r="D351" s="33">
        <f>IF($A351&gt;NYears*12,"",MOD($A351-1,12)+1)</f>
        <v/>
      </c>
      <c r="E351" s="35">
        <f>IF($A351&gt;NYears*12,"",LotValue0*(1+LotGrowth)^($C351-1))</f>
        <v/>
      </c>
      <c r="F351" s="35">
        <f>IF($A351&gt;NYears*12,"",IF($A351=1,InitInvest,$R350))</f>
        <v/>
      </c>
      <c r="G351" s="33">
        <f>IF($A351&gt;NYears*12,"",INT($F351/$E351))</f>
        <v/>
      </c>
      <c r="H351" s="35">
        <f>IF($A351&gt;NYears*12,"",$G351*$E351)</f>
        <v/>
      </c>
      <c r="I351" s="35">
        <f>IF($A351&gt;NYears*12,"",$F351-$H351)</f>
        <v/>
      </c>
      <c r="J351" s="35">
        <f>IF($A351&gt;NYears*12,"",$H351*RateA)</f>
        <v/>
      </c>
      <c r="K351" s="35">
        <f>IF($A351&gt;NYears*12,"",IF($D351=1,$J351,$K350+$J351))</f>
        <v/>
      </c>
      <c r="L351" s="35">
        <f>IF($A351&gt;NYears*12,"",IF(MOD($D351,3)=0,SUM($J349:$J351),0))</f>
        <v/>
      </c>
      <c r="M351" s="35">
        <f>IF($A351&gt;NYears*12,"",IF(TaxFreq="Quarterly",$K351*12/$D351,$K351))</f>
        <v/>
      </c>
      <c r="N351" s="36">
        <f>IF($A351&gt;NYears*12,"",LOOKUP($M351,TaxLower,TaxRate))</f>
        <v/>
      </c>
      <c r="O351" s="35">
        <f>IF($A351&gt;NYears*12,"",IF(TaxFreq="Quarterly",IF(MOD($D351,3)=0,$L351*$N351,0),IF($D351=12,$K351*$N351,0)))</f>
        <v/>
      </c>
      <c r="P351" s="35">
        <f>IF($A351&gt;NYears*12,"",IF($D351=1,$O351,$P350+$O351))</f>
        <v/>
      </c>
      <c r="Q351" s="35">
        <f>IF($A351&gt;NYears*12,"",IF($D351=12,MIN(WdrPct*IF(WdrBase="Post-tax profit",$K351-$P351,$K351),WdrCap),0))</f>
        <v/>
      </c>
      <c r="R351" s="35">
        <f>IF($A351&gt;NYears*12,"",$F351+$J351-$O351-$Q351)</f>
        <v/>
      </c>
      <c r="S351" s="33">
        <f>IF($A351&gt;NYears*12,"",INT($R351/$E351))</f>
        <v/>
      </c>
    </row>
    <row r="352">
      <c r="A352" s="37">
        <f>348</f>
        <v/>
      </c>
      <c r="B352" s="38">
        <f>IF($A352&gt;NYears*12,"",EDATE(StartMonth,$A352-1))</f>
        <v/>
      </c>
      <c r="C352" s="37">
        <f>IF($A352&gt;NYears*12,"",INT(($A352-1)/12)+1)</f>
        <v/>
      </c>
      <c r="D352" s="37">
        <f>IF($A352&gt;NYears*12,"",MOD($A352-1,12)+1)</f>
        <v/>
      </c>
      <c r="E352" s="39">
        <f>IF($A352&gt;NYears*12,"",LotValue0*(1+LotGrowth)^($C352-1))</f>
        <v/>
      </c>
      <c r="F352" s="39">
        <f>IF($A352&gt;NYears*12,"",IF($A352=1,InitInvest,$R351))</f>
        <v/>
      </c>
      <c r="G352" s="37">
        <f>IF($A352&gt;NYears*12,"",INT($F352/$E352))</f>
        <v/>
      </c>
      <c r="H352" s="39">
        <f>IF($A352&gt;NYears*12,"",$G352*$E352)</f>
        <v/>
      </c>
      <c r="I352" s="39">
        <f>IF($A352&gt;NYears*12,"",$F352-$H352)</f>
        <v/>
      </c>
      <c r="J352" s="39">
        <f>IF($A352&gt;NYears*12,"",$H352*RateA)</f>
        <v/>
      </c>
      <c r="K352" s="39">
        <f>IF($A352&gt;NYears*12,"",IF($D352=1,$J352,$K351+$J352))</f>
        <v/>
      </c>
      <c r="L352" s="39">
        <f>IF($A352&gt;NYears*12,"",IF(MOD($D352,3)=0,SUM($J350:$J352),0))</f>
        <v/>
      </c>
      <c r="M352" s="39">
        <f>IF($A352&gt;NYears*12,"",IF(TaxFreq="Quarterly",$K352*12/$D352,$K352))</f>
        <v/>
      </c>
      <c r="N352" s="40">
        <f>IF($A352&gt;NYears*12,"",LOOKUP($M352,TaxLower,TaxRate))</f>
        <v/>
      </c>
      <c r="O352" s="39">
        <f>IF($A352&gt;NYears*12,"",IF(TaxFreq="Quarterly",IF(MOD($D352,3)=0,$L352*$N352,0),IF($D352=12,$K352*$N352,0)))</f>
        <v/>
      </c>
      <c r="P352" s="39">
        <f>IF($A352&gt;NYears*12,"",IF($D352=1,$O352,$P351+$O352))</f>
        <v/>
      </c>
      <c r="Q352" s="39">
        <f>IF($A352&gt;NYears*12,"",IF($D352=12,MIN(WdrPct*IF(WdrBase="Post-tax profit",$K352-$P352,$K352),WdrCap),0))</f>
        <v/>
      </c>
      <c r="R352" s="39">
        <f>IF($A352&gt;NYears*12,"",$F352+$J352-$O352-$Q352)</f>
        <v/>
      </c>
      <c r="S352" s="37">
        <f>IF($A352&gt;NYears*12,"",INT($R352/$E352))</f>
        <v/>
      </c>
    </row>
    <row r="353">
      <c r="A353" s="33">
        <f>349</f>
        <v/>
      </c>
      <c r="B353" s="34">
        <f>IF($A353&gt;NYears*12,"",EDATE(StartMonth,$A353-1))</f>
        <v/>
      </c>
      <c r="C353" s="33">
        <f>IF($A353&gt;NYears*12,"",INT(($A353-1)/12)+1)</f>
        <v/>
      </c>
      <c r="D353" s="33">
        <f>IF($A353&gt;NYears*12,"",MOD($A353-1,12)+1)</f>
        <v/>
      </c>
      <c r="E353" s="35">
        <f>IF($A353&gt;NYears*12,"",LotValue0*(1+LotGrowth)^($C353-1))</f>
        <v/>
      </c>
      <c r="F353" s="35">
        <f>IF($A353&gt;NYears*12,"",IF($A353=1,InitInvest,$R352))</f>
        <v/>
      </c>
      <c r="G353" s="33">
        <f>IF($A353&gt;NYears*12,"",INT($F353/$E353))</f>
        <v/>
      </c>
      <c r="H353" s="35">
        <f>IF($A353&gt;NYears*12,"",$G353*$E353)</f>
        <v/>
      </c>
      <c r="I353" s="35">
        <f>IF($A353&gt;NYears*12,"",$F353-$H353)</f>
        <v/>
      </c>
      <c r="J353" s="35">
        <f>IF($A353&gt;NYears*12,"",$H353*RateA)</f>
        <v/>
      </c>
      <c r="K353" s="35">
        <f>IF($A353&gt;NYears*12,"",IF($D353=1,$J353,$K352+$J353))</f>
        <v/>
      </c>
      <c r="L353" s="35">
        <f>IF($A353&gt;NYears*12,"",IF(MOD($D353,3)=0,SUM($J351:$J353),0))</f>
        <v/>
      </c>
      <c r="M353" s="35">
        <f>IF($A353&gt;NYears*12,"",IF(TaxFreq="Quarterly",$K353*12/$D353,$K353))</f>
        <v/>
      </c>
      <c r="N353" s="36">
        <f>IF($A353&gt;NYears*12,"",LOOKUP($M353,TaxLower,TaxRate))</f>
        <v/>
      </c>
      <c r="O353" s="35">
        <f>IF($A353&gt;NYears*12,"",IF(TaxFreq="Quarterly",IF(MOD($D353,3)=0,$L353*$N353,0),IF($D353=12,$K353*$N353,0)))</f>
        <v/>
      </c>
      <c r="P353" s="35">
        <f>IF($A353&gt;NYears*12,"",IF($D353=1,$O353,$P352+$O353))</f>
        <v/>
      </c>
      <c r="Q353" s="35">
        <f>IF($A353&gt;NYears*12,"",IF($D353=12,MIN(WdrPct*IF(WdrBase="Post-tax profit",$K353-$P353,$K353),WdrCap),0))</f>
        <v/>
      </c>
      <c r="R353" s="35">
        <f>IF($A353&gt;NYears*12,"",$F353+$J353-$O353-$Q353)</f>
        <v/>
      </c>
      <c r="S353" s="33">
        <f>IF($A353&gt;NYears*12,"",INT($R353/$E353))</f>
        <v/>
      </c>
    </row>
    <row r="354">
      <c r="A354" s="33">
        <f>350</f>
        <v/>
      </c>
      <c r="B354" s="34">
        <f>IF($A354&gt;NYears*12,"",EDATE(StartMonth,$A354-1))</f>
        <v/>
      </c>
      <c r="C354" s="33">
        <f>IF($A354&gt;NYears*12,"",INT(($A354-1)/12)+1)</f>
        <v/>
      </c>
      <c r="D354" s="33">
        <f>IF($A354&gt;NYears*12,"",MOD($A354-1,12)+1)</f>
        <v/>
      </c>
      <c r="E354" s="35">
        <f>IF($A354&gt;NYears*12,"",LotValue0*(1+LotGrowth)^($C354-1))</f>
        <v/>
      </c>
      <c r="F354" s="35">
        <f>IF($A354&gt;NYears*12,"",IF($A354=1,InitInvest,$R353))</f>
        <v/>
      </c>
      <c r="G354" s="33">
        <f>IF($A354&gt;NYears*12,"",INT($F354/$E354))</f>
        <v/>
      </c>
      <c r="H354" s="35">
        <f>IF($A354&gt;NYears*12,"",$G354*$E354)</f>
        <v/>
      </c>
      <c r="I354" s="35">
        <f>IF($A354&gt;NYears*12,"",$F354-$H354)</f>
        <v/>
      </c>
      <c r="J354" s="35">
        <f>IF($A354&gt;NYears*12,"",$H354*RateA)</f>
        <v/>
      </c>
      <c r="K354" s="35">
        <f>IF($A354&gt;NYears*12,"",IF($D354=1,$J354,$K353+$J354))</f>
        <v/>
      </c>
      <c r="L354" s="35">
        <f>IF($A354&gt;NYears*12,"",IF(MOD($D354,3)=0,SUM($J352:$J354),0))</f>
        <v/>
      </c>
      <c r="M354" s="35">
        <f>IF($A354&gt;NYears*12,"",IF(TaxFreq="Quarterly",$K354*12/$D354,$K354))</f>
        <v/>
      </c>
      <c r="N354" s="36">
        <f>IF($A354&gt;NYears*12,"",LOOKUP($M354,TaxLower,TaxRate))</f>
        <v/>
      </c>
      <c r="O354" s="35">
        <f>IF($A354&gt;NYears*12,"",IF(TaxFreq="Quarterly",IF(MOD($D354,3)=0,$L354*$N354,0),IF($D354=12,$K354*$N354,0)))</f>
        <v/>
      </c>
      <c r="P354" s="35">
        <f>IF($A354&gt;NYears*12,"",IF($D354=1,$O354,$P353+$O354))</f>
        <v/>
      </c>
      <c r="Q354" s="35">
        <f>IF($A354&gt;NYears*12,"",IF($D354=12,MIN(WdrPct*IF(WdrBase="Post-tax profit",$K354-$P354,$K354),WdrCap),0))</f>
        <v/>
      </c>
      <c r="R354" s="35">
        <f>IF($A354&gt;NYears*12,"",$F354+$J354-$O354-$Q354)</f>
        <v/>
      </c>
      <c r="S354" s="33">
        <f>IF($A354&gt;NYears*12,"",INT($R354/$E354))</f>
        <v/>
      </c>
    </row>
    <row r="355">
      <c r="A355" s="33">
        <f>351</f>
        <v/>
      </c>
      <c r="B355" s="34">
        <f>IF($A355&gt;NYears*12,"",EDATE(StartMonth,$A355-1))</f>
        <v/>
      </c>
      <c r="C355" s="33">
        <f>IF($A355&gt;NYears*12,"",INT(($A355-1)/12)+1)</f>
        <v/>
      </c>
      <c r="D355" s="33">
        <f>IF($A355&gt;NYears*12,"",MOD($A355-1,12)+1)</f>
        <v/>
      </c>
      <c r="E355" s="35">
        <f>IF($A355&gt;NYears*12,"",LotValue0*(1+LotGrowth)^($C355-1))</f>
        <v/>
      </c>
      <c r="F355" s="35">
        <f>IF($A355&gt;NYears*12,"",IF($A355=1,InitInvest,$R354))</f>
        <v/>
      </c>
      <c r="G355" s="33">
        <f>IF($A355&gt;NYears*12,"",INT($F355/$E355))</f>
        <v/>
      </c>
      <c r="H355" s="35">
        <f>IF($A355&gt;NYears*12,"",$G355*$E355)</f>
        <v/>
      </c>
      <c r="I355" s="35">
        <f>IF($A355&gt;NYears*12,"",$F355-$H355)</f>
        <v/>
      </c>
      <c r="J355" s="35">
        <f>IF($A355&gt;NYears*12,"",$H355*RateA)</f>
        <v/>
      </c>
      <c r="K355" s="35">
        <f>IF($A355&gt;NYears*12,"",IF($D355=1,$J355,$K354+$J355))</f>
        <v/>
      </c>
      <c r="L355" s="35">
        <f>IF($A355&gt;NYears*12,"",IF(MOD($D355,3)=0,SUM($J353:$J355),0))</f>
        <v/>
      </c>
      <c r="M355" s="35">
        <f>IF($A355&gt;NYears*12,"",IF(TaxFreq="Quarterly",$K355*12/$D355,$K355))</f>
        <v/>
      </c>
      <c r="N355" s="36">
        <f>IF($A355&gt;NYears*12,"",LOOKUP($M355,TaxLower,TaxRate))</f>
        <v/>
      </c>
      <c r="O355" s="35">
        <f>IF($A355&gt;NYears*12,"",IF(TaxFreq="Quarterly",IF(MOD($D355,3)=0,$L355*$N355,0),IF($D355=12,$K355*$N355,0)))</f>
        <v/>
      </c>
      <c r="P355" s="35">
        <f>IF($A355&gt;NYears*12,"",IF($D355=1,$O355,$P354+$O355))</f>
        <v/>
      </c>
      <c r="Q355" s="35">
        <f>IF($A355&gt;NYears*12,"",IF($D355=12,MIN(WdrPct*IF(WdrBase="Post-tax profit",$K355-$P355,$K355),WdrCap),0))</f>
        <v/>
      </c>
      <c r="R355" s="35">
        <f>IF($A355&gt;NYears*12,"",$F355+$J355-$O355-$Q355)</f>
        <v/>
      </c>
      <c r="S355" s="33">
        <f>IF($A355&gt;NYears*12,"",INT($R355/$E355))</f>
        <v/>
      </c>
    </row>
    <row r="356">
      <c r="A356" s="33">
        <f>352</f>
        <v/>
      </c>
      <c r="B356" s="34">
        <f>IF($A356&gt;NYears*12,"",EDATE(StartMonth,$A356-1))</f>
        <v/>
      </c>
      <c r="C356" s="33">
        <f>IF($A356&gt;NYears*12,"",INT(($A356-1)/12)+1)</f>
        <v/>
      </c>
      <c r="D356" s="33">
        <f>IF($A356&gt;NYears*12,"",MOD($A356-1,12)+1)</f>
        <v/>
      </c>
      <c r="E356" s="35">
        <f>IF($A356&gt;NYears*12,"",LotValue0*(1+LotGrowth)^($C356-1))</f>
        <v/>
      </c>
      <c r="F356" s="35">
        <f>IF($A356&gt;NYears*12,"",IF($A356=1,InitInvest,$R355))</f>
        <v/>
      </c>
      <c r="G356" s="33">
        <f>IF($A356&gt;NYears*12,"",INT($F356/$E356))</f>
        <v/>
      </c>
      <c r="H356" s="35">
        <f>IF($A356&gt;NYears*12,"",$G356*$E356)</f>
        <v/>
      </c>
      <c r="I356" s="35">
        <f>IF($A356&gt;NYears*12,"",$F356-$H356)</f>
        <v/>
      </c>
      <c r="J356" s="35">
        <f>IF($A356&gt;NYears*12,"",$H356*RateA)</f>
        <v/>
      </c>
      <c r="K356" s="35">
        <f>IF($A356&gt;NYears*12,"",IF($D356=1,$J356,$K355+$J356))</f>
        <v/>
      </c>
      <c r="L356" s="35">
        <f>IF($A356&gt;NYears*12,"",IF(MOD($D356,3)=0,SUM($J354:$J356),0))</f>
        <v/>
      </c>
      <c r="M356" s="35">
        <f>IF($A356&gt;NYears*12,"",IF(TaxFreq="Quarterly",$K356*12/$D356,$K356))</f>
        <v/>
      </c>
      <c r="N356" s="36">
        <f>IF($A356&gt;NYears*12,"",LOOKUP($M356,TaxLower,TaxRate))</f>
        <v/>
      </c>
      <c r="O356" s="35">
        <f>IF($A356&gt;NYears*12,"",IF(TaxFreq="Quarterly",IF(MOD($D356,3)=0,$L356*$N356,0),IF($D356=12,$K356*$N356,0)))</f>
        <v/>
      </c>
      <c r="P356" s="35">
        <f>IF($A356&gt;NYears*12,"",IF($D356=1,$O356,$P355+$O356))</f>
        <v/>
      </c>
      <c r="Q356" s="35">
        <f>IF($A356&gt;NYears*12,"",IF($D356=12,MIN(WdrPct*IF(WdrBase="Post-tax profit",$K356-$P356,$K356),WdrCap),0))</f>
        <v/>
      </c>
      <c r="R356" s="35">
        <f>IF($A356&gt;NYears*12,"",$F356+$J356-$O356-$Q356)</f>
        <v/>
      </c>
      <c r="S356" s="33">
        <f>IF($A356&gt;NYears*12,"",INT($R356/$E356))</f>
        <v/>
      </c>
    </row>
    <row r="357">
      <c r="A357" s="33">
        <f>353</f>
        <v/>
      </c>
      <c r="B357" s="34">
        <f>IF($A357&gt;NYears*12,"",EDATE(StartMonth,$A357-1))</f>
        <v/>
      </c>
      <c r="C357" s="33">
        <f>IF($A357&gt;NYears*12,"",INT(($A357-1)/12)+1)</f>
        <v/>
      </c>
      <c r="D357" s="33">
        <f>IF($A357&gt;NYears*12,"",MOD($A357-1,12)+1)</f>
        <v/>
      </c>
      <c r="E357" s="35">
        <f>IF($A357&gt;NYears*12,"",LotValue0*(1+LotGrowth)^($C357-1))</f>
        <v/>
      </c>
      <c r="F357" s="35">
        <f>IF($A357&gt;NYears*12,"",IF($A357=1,InitInvest,$R356))</f>
        <v/>
      </c>
      <c r="G357" s="33">
        <f>IF($A357&gt;NYears*12,"",INT($F357/$E357))</f>
        <v/>
      </c>
      <c r="H357" s="35">
        <f>IF($A357&gt;NYears*12,"",$G357*$E357)</f>
        <v/>
      </c>
      <c r="I357" s="35">
        <f>IF($A357&gt;NYears*12,"",$F357-$H357)</f>
        <v/>
      </c>
      <c r="J357" s="35">
        <f>IF($A357&gt;NYears*12,"",$H357*RateA)</f>
        <v/>
      </c>
      <c r="K357" s="35">
        <f>IF($A357&gt;NYears*12,"",IF($D357=1,$J357,$K356+$J357))</f>
        <v/>
      </c>
      <c r="L357" s="35">
        <f>IF($A357&gt;NYears*12,"",IF(MOD($D357,3)=0,SUM($J355:$J357),0))</f>
        <v/>
      </c>
      <c r="M357" s="35">
        <f>IF($A357&gt;NYears*12,"",IF(TaxFreq="Quarterly",$K357*12/$D357,$K357))</f>
        <v/>
      </c>
      <c r="N357" s="36">
        <f>IF($A357&gt;NYears*12,"",LOOKUP($M357,TaxLower,TaxRate))</f>
        <v/>
      </c>
      <c r="O357" s="35">
        <f>IF($A357&gt;NYears*12,"",IF(TaxFreq="Quarterly",IF(MOD($D357,3)=0,$L357*$N357,0),IF($D357=12,$K357*$N357,0)))</f>
        <v/>
      </c>
      <c r="P357" s="35">
        <f>IF($A357&gt;NYears*12,"",IF($D357=1,$O357,$P356+$O357))</f>
        <v/>
      </c>
      <c r="Q357" s="35">
        <f>IF($A357&gt;NYears*12,"",IF($D357=12,MIN(WdrPct*IF(WdrBase="Post-tax profit",$K357-$P357,$K357),WdrCap),0))</f>
        <v/>
      </c>
      <c r="R357" s="35">
        <f>IF($A357&gt;NYears*12,"",$F357+$J357-$O357-$Q357)</f>
        <v/>
      </c>
      <c r="S357" s="33">
        <f>IF($A357&gt;NYears*12,"",INT($R357/$E357))</f>
        <v/>
      </c>
    </row>
    <row r="358">
      <c r="A358" s="33">
        <f>354</f>
        <v/>
      </c>
      <c r="B358" s="34">
        <f>IF($A358&gt;NYears*12,"",EDATE(StartMonth,$A358-1))</f>
        <v/>
      </c>
      <c r="C358" s="33">
        <f>IF($A358&gt;NYears*12,"",INT(($A358-1)/12)+1)</f>
        <v/>
      </c>
      <c r="D358" s="33">
        <f>IF($A358&gt;NYears*12,"",MOD($A358-1,12)+1)</f>
        <v/>
      </c>
      <c r="E358" s="35">
        <f>IF($A358&gt;NYears*12,"",LotValue0*(1+LotGrowth)^($C358-1))</f>
        <v/>
      </c>
      <c r="F358" s="35">
        <f>IF($A358&gt;NYears*12,"",IF($A358=1,InitInvest,$R357))</f>
        <v/>
      </c>
      <c r="G358" s="33">
        <f>IF($A358&gt;NYears*12,"",INT($F358/$E358))</f>
        <v/>
      </c>
      <c r="H358" s="35">
        <f>IF($A358&gt;NYears*12,"",$G358*$E358)</f>
        <v/>
      </c>
      <c r="I358" s="35">
        <f>IF($A358&gt;NYears*12,"",$F358-$H358)</f>
        <v/>
      </c>
      <c r="J358" s="35">
        <f>IF($A358&gt;NYears*12,"",$H358*RateA)</f>
        <v/>
      </c>
      <c r="K358" s="35">
        <f>IF($A358&gt;NYears*12,"",IF($D358=1,$J358,$K357+$J358))</f>
        <v/>
      </c>
      <c r="L358" s="35">
        <f>IF($A358&gt;NYears*12,"",IF(MOD($D358,3)=0,SUM($J356:$J358),0))</f>
        <v/>
      </c>
      <c r="M358" s="35">
        <f>IF($A358&gt;NYears*12,"",IF(TaxFreq="Quarterly",$K358*12/$D358,$K358))</f>
        <v/>
      </c>
      <c r="N358" s="36">
        <f>IF($A358&gt;NYears*12,"",LOOKUP($M358,TaxLower,TaxRate))</f>
        <v/>
      </c>
      <c r="O358" s="35">
        <f>IF($A358&gt;NYears*12,"",IF(TaxFreq="Quarterly",IF(MOD($D358,3)=0,$L358*$N358,0),IF($D358=12,$K358*$N358,0)))</f>
        <v/>
      </c>
      <c r="P358" s="35">
        <f>IF($A358&gt;NYears*12,"",IF($D358=1,$O358,$P357+$O358))</f>
        <v/>
      </c>
      <c r="Q358" s="35">
        <f>IF($A358&gt;NYears*12,"",IF($D358=12,MIN(WdrPct*IF(WdrBase="Post-tax profit",$K358-$P358,$K358),WdrCap),0))</f>
        <v/>
      </c>
      <c r="R358" s="35">
        <f>IF($A358&gt;NYears*12,"",$F358+$J358-$O358-$Q358)</f>
        <v/>
      </c>
      <c r="S358" s="33">
        <f>IF($A358&gt;NYears*12,"",INT($R358/$E358))</f>
        <v/>
      </c>
    </row>
    <row r="359">
      <c r="A359" s="33">
        <f>355</f>
        <v/>
      </c>
      <c r="B359" s="34">
        <f>IF($A359&gt;NYears*12,"",EDATE(StartMonth,$A359-1))</f>
        <v/>
      </c>
      <c r="C359" s="33">
        <f>IF($A359&gt;NYears*12,"",INT(($A359-1)/12)+1)</f>
        <v/>
      </c>
      <c r="D359" s="33">
        <f>IF($A359&gt;NYears*12,"",MOD($A359-1,12)+1)</f>
        <v/>
      </c>
      <c r="E359" s="35">
        <f>IF($A359&gt;NYears*12,"",LotValue0*(1+LotGrowth)^($C359-1))</f>
        <v/>
      </c>
      <c r="F359" s="35">
        <f>IF($A359&gt;NYears*12,"",IF($A359=1,InitInvest,$R358))</f>
        <v/>
      </c>
      <c r="G359" s="33">
        <f>IF($A359&gt;NYears*12,"",INT($F359/$E359))</f>
        <v/>
      </c>
      <c r="H359" s="35">
        <f>IF($A359&gt;NYears*12,"",$G359*$E359)</f>
        <v/>
      </c>
      <c r="I359" s="35">
        <f>IF($A359&gt;NYears*12,"",$F359-$H359)</f>
        <v/>
      </c>
      <c r="J359" s="35">
        <f>IF($A359&gt;NYears*12,"",$H359*RateA)</f>
        <v/>
      </c>
      <c r="K359" s="35">
        <f>IF($A359&gt;NYears*12,"",IF($D359=1,$J359,$K358+$J359))</f>
        <v/>
      </c>
      <c r="L359" s="35">
        <f>IF($A359&gt;NYears*12,"",IF(MOD($D359,3)=0,SUM($J357:$J359),0))</f>
        <v/>
      </c>
      <c r="M359" s="35">
        <f>IF($A359&gt;NYears*12,"",IF(TaxFreq="Quarterly",$K359*12/$D359,$K359))</f>
        <v/>
      </c>
      <c r="N359" s="36">
        <f>IF($A359&gt;NYears*12,"",LOOKUP($M359,TaxLower,TaxRate))</f>
        <v/>
      </c>
      <c r="O359" s="35">
        <f>IF($A359&gt;NYears*12,"",IF(TaxFreq="Quarterly",IF(MOD($D359,3)=0,$L359*$N359,0),IF($D359=12,$K359*$N359,0)))</f>
        <v/>
      </c>
      <c r="P359" s="35">
        <f>IF($A359&gt;NYears*12,"",IF($D359=1,$O359,$P358+$O359))</f>
        <v/>
      </c>
      <c r="Q359" s="35">
        <f>IF($A359&gt;NYears*12,"",IF($D359=12,MIN(WdrPct*IF(WdrBase="Post-tax profit",$K359-$P359,$K359),WdrCap),0))</f>
        <v/>
      </c>
      <c r="R359" s="35">
        <f>IF($A359&gt;NYears*12,"",$F359+$J359-$O359-$Q359)</f>
        <v/>
      </c>
      <c r="S359" s="33">
        <f>IF($A359&gt;NYears*12,"",INT($R359/$E359))</f>
        <v/>
      </c>
    </row>
    <row r="360">
      <c r="A360" s="33">
        <f>356</f>
        <v/>
      </c>
      <c r="B360" s="34">
        <f>IF($A360&gt;NYears*12,"",EDATE(StartMonth,$A360-1))</f>
        <v/>
      </c>
      <c r="C360" s="33">
        <f>IF($A360&gt;NYears*12,"",INT(($A360-1)/12)+1)</f>
        <v/>
      </c>
      <c r="D360" s="33">
        <f>IF($A360&gt;NYears*12,"",MOD($A360-1,12)+1)</f>
        <v/>
      </c>
      <c r="E360" s="35">
        <f>IF($A360&gt;NYears*12,"",LotValue0*(1+LotGrowth)^($C360-1))</f>
        <v/>
      </c>
      <c r="F360" s="35">
        <f>IF($A360&gt;NYears*12,"",IF($A360=1,InitInvest,$R359))</f>
        <v/>
      </c>
      <c r="G360" s="33">
        <f>IF($A360&gt;NYears*12,"",INT($F360/$E360))</f>
        <v/>
      </c>
      <c r="H360" s="35">
        <f>IF($A360&gt;NYears*12,"",$G360*$E360)</f>
        <v/>
      </c>
      <c r="I360" s="35">
        <f>IF($A360&gt;NYears*12,"",$F360-$H360)</f>
        <v/>
      </c>
      <c r="J360" s="35">
        <f>IF($A360&gt;NYears*12,"",$H360*RateA)</f>
        <v/>
      </c>
      <c r="K360" s="35">
        <f>IF($A360&gt;NYears*12,"",IF($D360=1,$J360,$K359+$J360))</f>
        <v/>
      </c>
      <c r="L360" s="35">
        <f>IF($A360&gt;NYears*12,"",IF(MOD($D360,3)=0,SUM($J358:$J360),0))</f>
        <v/>
      </c>
      <c r="M360" s="35">
        <f>IF($A360&gt;NYears*12,"",IF(TaxFreq="Quarterly",$K360*12/$D360,$K360))</f>
        <v/>
      </c>
      <c r="N360" s="36">
        <f>IF($A360&gt;NYears*12,"",LOOKUP($M360,TaxLower,TaxRate))</f>
        <v/>
      </c>
      <c r="O360" s="35">
        <f>IF($A360&gt;NYears*12,"",IF(TaxFreq="Quarterly",IF(MOD($D360,3)=0,$L360*$N360,0),IF($D360=12,$K360*$N360,0)))</f>
        <v/>
      </c>
      <c r="P360" s="35">
        <f>IF($A360&gt;NYears*12,"",IF($D360=1,$O360,$P359+$O360))</f>
        <v/>
      </c>
      <c r="Q360" s="35">
        <f>IF($A360&gt;NYears*12,"",IF($D360=12,MIN(WdrPct*IF(WdrBase="Post-tax profit",$K360-$P360,$K360),WdrCap),0))</f>
        <v/>
      </c>
      <c r="R360" s="35">
        <f>IF($A360&gt;NYears*12,"",$F360+$J360-$O360-$Q360)</f>
        <v/>
      </c>
      <c r="S360" s="33">
        <f>IF($A360&gt;NYears*12,"",INT($R360/$E360))</f>
        <v/>
      </c>
    </row>
    <row r="361">
      <c r="A361" s="33">
        <f>357</f>
        <v/>
      </c>
      <c r="B361" s="34">
        <f>IF($A361&gt;NYears*12,"",EDATE(StartMonth,$A361-1))</f>
        <v/>
      </c>
      <c r="C361" s="33">
        <f>IF($A361&gt;NYears*12,"",INT(($A361-1)/12)+1)</f>
        <v/>
      </c>
      <c r="D361" s="33">
        <f>IF($A361&gt;NYears*12,"",MOD($A361-1,12)+1)</f>
        <v/>
      </c>
      <c r="E361" s="35">
        <f>IF($A361&gt;NYears*12,"",LotValue0*(1+LotGrowth)^($C361-1))</f>
        <v/>
      </c>
      <c r="F361" s="35">
        <f>IF($A361&gt;NYears*12,"",IF($A361=1,InitInvest,$R360))</f>
        <v/>
      </c>
      <c r="G361" s="33">
        <f>IF($A361&gt;NYears*12,"",INT($F361/$E361))</f>
        <v/>
      </c>
      <c r="H361" s="35">
        <f>IF($A361&gt;NYears*12,"",$G361*$E361)</f>
        <v/>
      </c>
      <c r="I361" s="35">
        <f>IF($A361&gt;NYears*12,"",$F361-$H361)</f>
        <v/>
      </c>
      <c r="J361" s="35">
        <f>IF($A361&gt;NYears*12,"",$H361*RateA)</f>
        <v/>
      </c>
      <c r="K361" s="35">
        <f>IF($A361&gt;NYears*12,"",IF($D361=1,$J361,$K360+$J361))</f>
        <v/>
      </c>
      <c r="L361" s="35">
        <f>IF($A361&gt;NYears*12,"",IF(MOD($D361,3)=0,SUM($J359:$J361),0))</f>
        <v/>
      </c>
      <c r="M361" s="35">
        <f>IF($A361&gt;NYears*12,"",IF(TaxFreq="Quarterly",$K361*12/$D361,$K361))</f>
        <v/>
      </c>
      <c r="N361" s="36">
        <f>IF($A361&gt;NYears*12,"",LOOKUP($M361,TaxLower,TaxRate))</f>
        <v/>
      </c>
      <c r="O361" s="35">
        <f>IF($A361&gt;NYears*12,"",IF(TaxFreq="Quarterly",IF(MOD($D361,3)=0,$L361*$N361,0),IF($D361=12,$K361*$N361,0)))</f>
        <v/>
      </c>
      <c r="P361" s="35">
        <f>IF($A361&gt;NYears*12,"",IF($D361=1,$O361,$P360+$O361))</f>
        <v/>
      </c>
      <c r="Q361" s="35">
        <f>IF($A361&gt;NYears*12,"",IF($D361=12,MIN(WdrPct*IF(WdrBase="Post-tax profit",$K361-$P361,$K361),WdrCap),0))</f>
        <v/>
      </c>
      <c r="R361" s="35">
        <f>IF($A361&gt;NYears*12,"",$F361+$J361-$O361-$Q361)</f>
        <v/>
      </c>
      <c r="S361" s="33">
        <f>IF($A361&gt;NYears*12,"",INT($R361/$E361))</f>
        <v/>
      </c>
    </row>
    <row r="362">
      <c r="A362" s="33">
        <f>358</f>
        <v/>
      </c>
      <c r="B362" s="34">
        <f>IF($A362&gt;NYears*12,"",EDATE(StartMonth,$A362-1))</f>
        <v/>
      </c>
      <c r="C362" s="33">
        <f>IF($A362&gt;NYears*12,"",INT(($A362-1)/12)+1)</f>
        <v/>
      </c>
      <c r="D362" s="33">
        <f>IF($A362&gt;NYears*12,"",MOD($A362-1,12)+1)</f>
        <v/>
      </c>
      <c r="E362" s="35">
        <f>IF($A362&gt;NYears*12,"",LotValue0*(1+LotGrowth)^($C362-1))</f>
        <v/>
      </c>
      <c r="F362" s="35">
        <f>IF($A362&gt;NYears*12,"",IF($A362=1,InitInvest,$R361))</f>
        <v/>
      </c>
      <c r="G362" s="33">
        <f>IF($A362&gt;NYears*12,"",INT($F362/$E362))</f>
        <v/>
      </c>
      <c r="H362" s="35">
        <f>IF($A362&gt;NYears*12,"",$G362*$E362)</f>
        <v/>
      </c>
      <c r="I362" s="35">
        <f>IF($A362&gt;NYears*12,"",$F362-$H362)</f>
        <v/>
      </c>
      <c r="J362" s="35">
        <f>IF($A362&gt;NYears*12,"",$H362*RateA)</f>
        <v/>
      </c>
      <c r="K362" s="35">
        <f>IF($A362&gt;NYears*12,"",IF($D362=1,$J362,$K361+$J362))</f>
        <v/>
      </c>
      <c r="L362" s="35">
        <f>IF($A362&gt;NYears*12,"",IF(MOD($D362,3)=0,SUM($J360:$J362),0))</f>
        <v/>
      </c>
      <c r="M362" s="35">
        <f>IF($A362&gt;NYears*12,"",IF(TaxFreq="Quarterly",$K362*12/$D362,$K362))</f>
        <v/>
      </c>
      <c r="N362" s="36">
        <f>IF($A362&gt;NYears*12,"",LOOKUP($M362,TaxLower,TaxRate))</f>
        <v/>
      </c>
      <c r="O362" s="35">
        <f>IF($A362&gt;NYears*12,"",IF(TaxFreq="Quarterly",IF(MOD($D362,3)=0,$L362*$N362,0),IF($D362=12,$K362*$N362,0)))</f>
        <v/>
      </c>
      <c r="P362" s="35">
        <f>IF($A362&gt;NYears*12,"",IF($D362=1,$O362,$P361+$O362))</f>
        <v/>
      </c>
      <c r="Q362" s="35">
        <f>IF($A362&gt;NYears*12,"",IF($D362=12,MIN(WdrPct*IF(WdrBase="Post-tax profit",$K362-$P362,$K362),WdrCap),0))</f>
        <v/>
      </c>
      <c r="R362" s="35">
        <f>IF($A362&gt;NYears*12,"",$F362+$J362-$O362-$Q362)</f>
        <v/>
      </c>
      <c r="S362" s="33">
        <f>IF($A362&gt;NYears*12,"",INT($R362/$E362))</f>
        <v/>
      </c>
    </row>
    <row r="363">
      <c r="A363" s="33">
        <f>359</f>
        <v/>
      </c>
      <c r="B363" s="34">
        <f>IF($A363&gt;NYears*12,"",EDATE(StartMonth,$A363-1))</f>
        <v/>
      </c>
      <c r="C363" s="33">
        <f>IF($A363&gt;NYears*12,"",INT(($A363-1)/12)+1)</f>
        <v/>
      </c>
      <c r="D363" s="33">
        <f>IF($A363&gt;NYears*12,"",MOD($A363-1,12)+1)</f>
        <v/>
      </c>
      <c r="E363" s="35">
        <f>IF($A363&gt;NYears*12,"",LotValue0*(1+LotGrowth)^($C363-1))</f>
        <v/>
      </c>
      <c r="F363" s="35">
        <f>IF($A363&gt;NYears*12,"",IF($A363=1,InitInvest,$R362))</f>
        <v/>
      </c>
      <c r="G363" s="33">
        <f>IF($A363&gt;NYears*12,"",INT($F363/$E363))</f>
        <v/>
      </c>
      <c r="H363" s="35">
        <f>IF($A363&gt;NYears*12,"",$G363*$E363)</f>
        <v/>
      </c>
      <c r="I363" s="35">
        <f>IF($A363&gt;NYears*12,"",$F363-$H363)</f>
        <v/>
      </c>
      <c r="J363" s="35">
        <f>IF($A363&gt;NYears*12,"",$H363*RateA)</f>
        <v/>
      </c>
      <c r="K363" s="35">
        <f>IF($A363&gt;NYears*12,"",IF($D363=1,$J363,$K362+$J363))</f>
        <v/>
      </c>
      <c r="L363" s="35">
        <f>IF($A363&gt;NYears*12,"",IF(MOD($D363,3)=0,SUM($J361:$J363),0))</f>
        <v/>
      </c>
      <c r="M363" s="35">
        <f>IF($A363&gt;NYears*12,"",IF(TaxFreq="Quarterly",$K363*12/$D363,$K363))</f>
        <v/>
      </c>
      <c r="N363" s="36">
        <f>IF($A363&gt;NYears*12,"",LOOKUP($M363,TaxLower,TaxRate))</f>
        <v/>
      </c>
      <c r="O363" s="35">
        <f>IF($A363&gt;NYears*12,"",IF(TaxFreq="Quarterly",IF(MOD($D363,3)=0,$L363*$N363,0),IF($D363=12,$K363*$N363,0)))</f>
        <v/>
      </c>
      <c r="P363" s="35">
        <f>IF($A363&gt;NYears*12,"",IF($D363=1,$O363,$P362+$O363))</f>
        <v/>
      </c>
      <c r="Q363" s="35">
        <f>IF($A363&gt;NYears*12,"",IF($D363=12,MIN(WdrPct*IF(WdrBase="Post-tax profit",$K363-$P363,$K363),WdrCap),0))</f>
        <v/>
      </c>
      <c r="R363" s="35">
        <f>IF($A363&gt;NYears*12,"",$F363+$J363-$O363-$Q363)</f>
        <v/>
      </c>
      <c r="S363" s="33">
        <f>IF($A363&gt;NYears*12,"",INT($R363/$E363))</f>
        <v/>
      </c>
    </row>
    <row r="364">
      <c r="A364" s="37">
        <f>360</f>
        <v/>
      </c>
      <c r="B364" s="38">
        <f>IF($A364&gt;NYears*12,"",EDATE(StartMonth,$A364-1))</f>
        <v/>
      </c>
      <c r="C364" s="37">
        <f>IF($A364&gt;NYears*12,"",INT(($A364-1)/12)+1)</f>
        <v/>
      </c>
      <c r="D364" s="37">
        <f>IF($A364&gt;NYears*12,"",MOD($A364-1,12)+1)</f>
        <v/>
      </c>
      <c r="E364" s="39">
        <f>IF($A364&gt;NYears*12,"",LotValue0*(1+LotGrowth)^($C364-1))</f>
        <v/>
      </c>
      <c r="F364" s="39">
        <f>IF($A364&gt;NYears*12,"",IF($A364=1,InitInvest,$R363))</f>
        <v/>
      </c>
      <c r="G364" s="37">
        <f>IF($A364&gt;NYears*12,"",INT($F364/$E364))</f>
        <v/>
      </c>
      <c r="H364" s="39">
        <f>IF($A364&gt;NYears*12,"",$G364*$E364)</f>
        <v/>
      </c>
      <c r="I364" s="39">
        <f>IF($A364&gt;NYears*12,"",$F364-$H364)</f>
        <v/>
      </c>
      <c r="J364" s="39">
        <f>IF($A364&gt;NYears*12,"",$H364*RateA)</f>
        <v/>
      </c>
      <c r="K364" s="39">
        <f>IF($A364&gt;NYears*12,"",IF($D364=1,$J364,$K363+$J364))</f>
        <v/>
      </c>
      <c r="L364" s="39">
        <f>IF($A364&gt;NYears*12,"",IF(MOD($D364,3)=0,SUM($J362:$J364),0))</f>
        <v/>
      </c>
      <c r="M364" s="39">
        <f>IF($A364&gt;NYears*12,"",IF(TaxFreq="Quarterly",$K364*12/$D364,$K364))</f>
        <v/>
      </c>
      <c r="N364" s="40">
        <f>IF($A364&gt;NYears*12,"",LOOKUP($M364,TaxLower,TaxRate))</f>
        <v/>
      </c>
      <c r="O364" s="39">
        <f>IF($A364&gt;NYears*12,"",IF(TaxFreq="Quarterly",IF(MOD($D364,3)=0,$L364*$N364,0),IF($D364=12,$K364*$N364,0)))</f>
        <v/>
      </c>
      <c r="P364" s="39">
        <f>IF($A364&gt;NYears*12,"",IF($D364=1,$O364,$P363+$O364))</f>
        <v/>
      </c>
      <c r="Q364" s="39">
        <f>IF($A364&gt;NYears*12,"",IF($D364=12,MIN(WdrPct*IF(WdrBase="Post-tax profit",$K364-$P364,$K364),WdrCap),0))</f>
        <v/>
      </c>
      <c r="R364" s="39">
        <f>IF($A364&gt;NYears*12,"",$F364+$J364-$O364-$Q364)</f>
        <v/>
      </c>
      <c r="S364" s="37">
        <f>IF($A364&gt;NYears*12,"",INT($R364/$E364))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5" customWidth="1" min="3" max="3"/>
    <col width="8" customWidth="1" min="4" max="4"/>
    <col width="14" customWidth="1" min="5" max="5"/>
    <col width="16" customWidth="1" min="6" max="6"/>
    <col width="7" customWidth="1" min="7" max="7"/>
    <col width="16" customWidth="1" min="8" max="8"/>
    <col width="13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14" customWidth="1" min="15" max="15"/>
    <col width="14" customWidth="1" min="16" max="16"/>
    <col width="14" customWidth="1" min="17" max="17"/>
    <col width="17" customWidth="1" min="18" max="18"/>
    <col width="12" customWidth="1" min="19" max="19"/>
  </cols>
  <sheetData>
    <row r="1">
      <c r="A1" s="1" t="inlineStr">
        <is>
          <t>Monthly engine — Scenario B</t>
        </is>
      </c>
    </row>
    <row r="2">
      <c r="A2" s="5" t="inlineStr">
        <is>
          <t>Monthly return:</t>
        </is>
      </c>
      <c r="B2" s="32">
        <f>RateB</f>
        <v/>
      </c>
      <c r="D2" s="2" t="inlineStr">
        <is>
          <t>One row per month. Returns accrue on DEPLOYED capital only; idle cash earns nothing until it funds a whole lot.</t>
        </is>
      </c>
    </row>
    <row r="4">
      <c r="A4" s="18" t="inlineStr">
        <is>
          <t>Month #</t>
        </is>
      </c>
      <c r="B4" s="18" t="inlineStr">
        <is>
          <t>Month</t>
        </is>
      </c>
      <c r="C4" s="18" t="inlineStr">
        <is>
          <t>Yr</t>
        </is>
      </c>
      <c r="D4" s="18" t="inlineStr">
        <is>
          <t>M-in-yr</t>
        </is>
      </c>
      <c r="E4" s="18" t="inlineStr">
        <is>
          <t>Lot value</t>
        </is>
      </c>
      <c r="F4" s="18" t="inlineStr">
        <is>
          <t>Opening corpus</t>
        </is>
      </c>
      <c r="G4" s="18" t="inlineStr">
        <is>
          <t>Lots</t>
        </is>
      </c>
      <c r="H4" s="18" t="inlineStr">
        <is>
          <t>Deployed capital</t>
        </is>
      </c>
      <c r="I4" s="18" t="inlineStr">
        <is>
          <t>Idle cash</t>
        </is>
      </c>
      <c r="J4" s="18" t="inlineStr">
        <is>
          <t>Profit (month)</t>
        </is>
      </c>
      <c r="K4" s="18" t="inlineStr">
        <is>
          <t>Profit YTD</t>
        </is>
      </c>
      <c r="L4" s="18" t="inlineStr">
        <is>
          <t>Profit this qtr</t>
        </is>
      </c>
      <c r="M4" s="18" t="inlineStr">
        <is>
          <t>Slab income</t>
        </is>
      </c>
      <c r="N4" s="18" t="inlineStr">
        <is>
          <t>Tax rate</t>
        </is>
      </c>
      <c r="O4" s="18" t="inlineStr">
        <is>
          <t>Tax deducted</t>
        </is>
      </c>
      <c r="P4" s="18" t="inlineStr">
        <is>
          <t>Tax YTD</t>
        </is>
      </c>
      <c r="Q4" s="18" t="inlineStr">
        <is>
          <t>Withdrawal</t>
        </is>
      </c>
      <c r="R4" s="18" t="inlineStr">
        <is>
          <t>Closing corpus</t>
        </is>
      </c>
      <c r="S4" s="18" t="inlineStr">
        <is>
          <t>Lots at close</t>
        </is>
      </c>
    </row>
    <row r="5">
      <c r="A5" s="33">
        <f>1</f>
        <v/>
      </c>
      <c r="B5" s="34">
        <f>IF($A5&gt;NYears*12,"",EDATE(StartMonth,$A5-1))</f>
        <v/>
      </c>
      <c r="C5" s="33">
        <f>IF($A5&gt;NYears*12,"",INT(($A5-1)/12)+1)</f>
        <v/>
      </c>
      <c r="D5" s="33">
        <f>IF($A5&gt;NYears*12,"",MOD($A5-1,12)+1)</f>
        <v/>
      </c>
      <c r="E5" s="35">
        <f>IF($A5&gt;NYears*12,"",LotValue0*(1+LotGrowth)^($C5-1))</f>
        <v/>
      </c>
      <c r="F5" s="35">
        <f>IF($A5&gt;NYears*12,"",IF($A5=1,InitInvest,$R4))</f>
        <v/>
      </c>
      <c r="G5" s="33">
        <f>IF($A5&gt;NYears*12,"",INT($F5/$E5))</f>
        <v/>
      </c>
      <c r="H5" s="35">
        <f>IF($A5&gt;NYears*12,"",$G5*$E5)</f>
        <v/>
      </c>
      <c r="I5" s="35">
        <f>IF($A5&gt;NYears*12,"",$F5-$H5)</f>
        <v/>
      </c>
      <c r="J5" s="35">
        <f>IF($A5&gt;NYears*12,"",$H5*RateB)</f>
        <v/>
      </c>
      <c r="K5" s="35">
        <f>IF($A5&gt;NYears*12,"",IF($D5=1,$J5,$K4+$J5))</f>
        <v/>
      </c>
      <c r="L5" s="35">
        <f>IF($A5&gt;NYears*12,"",IF(MOD($D5,3)=0,SUM($J3:$J5),0))</f>
        <v/>
      </c>
      <c r="M5" s="35">
        <f>IF($A5&gt;NYears*12,"",IF(TaxFreq="Quarterly",$K5*12/$D5,$K5))</f>
        <v/>
      </c>
      <c r="N5" s="36">
        <f>IF($A5&gt;NYears*12,"",LOOKUP($M5,TaxLower,TaxRate))</f>
        <v/>
      </c>
      <c r="O5" s="35">
        <f>IF($A5&gt;NYears*12,"",IF(TaxFreq="Quarterly",IF(MOD($D5,3)=0,$L5*$N5,0),IF($D5=12,$K5*$N5,0)))</f>
        <v/>
      </c>
      <c r="P5" s="35">
        <f>IF($A5&gt;NYears*12,"",IF($D5=1,$O5,$P4+$O5))</f>
        <v/>
      </c>
      <c r="Q5" s="35">
        <f>IF($A5&gt;NYears*12,"",IF($D5=12,MIN(WdrPct*IF(WdrBase="Post-tax profit",$K5-$P5,$K5),WdrCap),0))</f>
        <v/>
      </c>
      <c r="R5" s="35">
        <f>IF($A5&gt;NYears*12,"",$F5+$J5-$O5-$Q5)</f>
        <v/>
      </c>
      <c r="S5" s="33">
        <f>IF($A5&gt;NYears*12,"",INT($R5/$E5))</f>
        <v/>
      </c>
    </row>
    <row r="6">
      <c r="A6" s="33">
        <f>2</f>
        <v/>
      </c>
      <c r="B6" s="34">
        <f>IF($A6&gt;NYears*12,"",EDATE(StartMonth,$A6-1))</f>
        <v/>
      </c>
      <c r="C6" s="33">
        <f>IF($A6&gt;NYears*12,"",INT(($A6-1)/12)+1)</f>
        <v/>
      </c>
      <c r="D6" s="33">
        <f>IF($A6&gt;NYears*12,"",MOD($A6-1,12)+1)</f>
        <v/>
      </c>
      <c r="E6" s="35">
        <f>IF($A6&gt;NYears*12,"",LotValue0*(1+LotGrowth)^($C6-1))</f>
        <v/>
      </c>
      <c r="F6" s="35">
        <f>IF($A6&gt;NYears*12,"",IF($A6=1,InitInvest,$R5))</f>
        <v/>
      </c>
      <c r="G6" s="33">
        <f>IF($A6&gt;NYears*12,"",INT($F6/$E6))</f>
        <v/>
      </c>
      <c r="H6" s="35">
        <f>IF($A6&gt;NYears*12,"",$G6*$E6)</f>
        <v/>
      </c>
      <c r="I6" s="35">
        <f>IF($A6&gt;NYears*12,"",$F6-$H6)</f>
        <v/>
      </c>
      <c r="J6" s="35">
        <f>IF($A6&gt;NYears*12,"",$H6*RateB)</f>
        <v/>
      </c>
      <c r="K6" s="35">
        <f>IF($A6&gt;NYears*12,"",IF($D6=1,$J6,$K5+$J6))</f>
        <v/>
      </c>
      <c r="L6" s="35">
        <f>IF($A6&gt;NYears*12,"",IF(MOD($D6,3)=0,SUM($J4:$J6),0))</f>
        <v/>
      </c>
      <c r="M6" s="35">
        <f>IF($A6&gt;NYears*12,"",IF(TaxFreq="Quarterly",$K6*12/$D6,$K6))</f>
        <v/>
      </c>
      <c r="N6" s="36">
        <f>IF($A6&gt;NYears*12,"",LOOKUP($M6,TaxLower,TaxRate))</f>
        <v/>
      </c>
      <c r="O6" s="35">
        <f>IF($A6&gt;NYears*12,"",IF(TaxFreq="Quarterly",IF(MOD($D6,3)=0,$L6*$N6,0),IF($D6=12,$K6*$N6,0)))</f>
        <v/>
      </c>
      <c r="P6" s="35">
        <f>IF($A6&gt;NYears*12,"",IF($D6=1,$O6,$P5+$O6))</f>
        <v/>
      </c>
      <c r="Q6" s="35">
        <f>IF($A6&gt;NYears*12,"",IF($D6=12,MIN(WdrPct*IF(WdrBase="Post-tax profit",$K6-$P6,$K6),WdrCap),0))</f>
        <v/>
      </c>
      <c r="R6" s="35">
        <f>IF($A6&gt;NYears*12,"",$F6+$J6-$O6-$Q6)</f>
        <v/>
      </c>
      <c r="S6" s="33">
        <f>IF($A6&gt;NYears*12,"",INT($R6/$E6))</f>
        <v/>
      </c>
    </row>
    <row r="7">
      <c r="A7" s="33">
        <f>3</f>
        <v/>
      </c>
      <c r="B7" s="34">
        <f>IF($A7&gt;NYears*12,"",EDATE(StartMonth,$A7-1))</f>
        <v/>
      </c>
      <c r="C7" s="33">
        <f>IF($A7&gt;NYears*12,"",INT(($A7-1)/12)+1)</f>
        <v/>
      </c>
      <c r="D7" s="33">
        <f>IF($A7&gt;NYears*12,"",MOD($A7-1,12)+1)</f>
        <v/>
      </c>
      <c r="E7" s="35">
        <f>IF($A7&gt;NYears*12,"",LotValue0*(1+LotGrowth)^($C7-1))</f>
        <v/>
      </c>
      <c r="F7" s="35">
        <f>IF($A7&gt;NYears*12,"",IF($A7=1,InitInvest,$R6))</f>
        <v/>
      </c>
      <c r="G7" s="33">
        <f>IF($A7&gt;NYears*12,"",INT($F7/$E7))</f>
        <v/>
      </c>
      <c r="H7" s="35">
        <f>IF($A7&gt;NYears*12,"",$G7*$E7)</f>
        <v/>
      </c>
      <c r="I7" s="35">
        <f>IF($A7&gt;NYears*12,"",$F7-$H7)</f>
        <v/>
      </c>
      <c r="J7" s="35">
        <f>IF($A7&gt;NYears*12,"",$H7*RateB)</f>
        <v/>
      </c>
      <c r="K7" s="35">
        <f>IF($A7&gt;NYears*12,"",IF($D7=1,$J7,$K6+$J7))</f>
        <v/>
      </c>
      <c r="L7" s="35">
        <f>IF($A7&gt;NYears*12,"",IF(MOD($D7,3)=0,SUM($J5:$J7),0))</f>
        <v/>
      </c>
      <c r="M7" s="35">
        <f>IF($A7&gt;NYears*12,"",IF(TaxFreq="Quarterly",$K7*12/$D7,$K7))</f>
        <v/>
      </c>
      <c r="N7" s="36">
        <f>IF($A7&gt;NYears*12,"",LOOKUP($M7,TaxLower,TaxRate))</f>
        <v/>
      </c>
      <c r="O7" s="35">
        <f>IF($A7&gt;NYears*12,"",IF(TaxFreq="Quarterly",IF(MOD($D7,3)=0,$L7*$N7,0),IF($D7=12,$K7*$N7,0)))</f>
        <v/>
      </c>
      <c r="P7" s="35">
        <f>IF($A7&gt;NYears*12,"",IF($D7=1,$O7,$P6+$O7))</f>
        <v/>
      </c>
      <c r="Q7" s="35">
        <f>IF($A7&gt;NYears*12,"",IF($D7=12,MIN(WdrPct*IF(WdrBase="Post-tax profit",$K7-$P7,$K7),WdrCap),0))</f>
        <v/>
      </c>
      <c r="R7" s="35">
        <f>IF($A7&gt;NYears*12,"",$F7+$J7-$O7-$Q7)</f>
        <v/>
      </c>
      <c r="S7" s="33">
        <f>IF($A7&gt;NYears*12,"",INT($R7/$E7))</f>
        <v/>
      </c>
    </row>
    <row r="8">
      <c r="A8" s="33">
        <f>4</f>
        <v/>
      </c>
      <c r="B8" s="34">
        <f>IF($A8&gt;NYears*12,"",EDATE(StartMonth,$A8-1))</f>
        <v/>
      </c>
      <c r="C8" s="33">
        <f>IF($A8&gt;NYears*12,"",INT(($A8-1)/12)+1)</f>
        <v/>
      </c>
      <c r="D8" s="33">
        <f>IF($A8&gt;NYears*12,"",MOD($A8-1,12)+1)</f>
        <v/>
      </c>
      <c r="E8" s="35">
        <f>IF($A8&gt;NYears*12,"",LotValue0*(1+LotGrowth)^($C8-1))</f>
        <v/>
      </c>
      <c r="F8" s="35">
        <f>IF($A8&gt;NYears*12,"",IF($A8=1,InitInvest,$R7))</f>
        <v/>
      </c>
      <c r="G8" s="33">
        <f>IF($A8&gt;NYears*12,"",INT($F8/$E8))</f>
        <v/>
      </c>
      <c r="H8" s="35">
        <f>IF($A8&gt;NYears*12,"",$G8*$E8)</f>
        <v/>
      </c>
      <c r="I8" s="35">
        <f>IF($A8&gt;NYears*12,"",$F8-$H8)</f>
        <v/>
      </c>
      <c r="J8" s="35">
        <f>IF($A8&gt;NYears*12,"",$H8*RateB)</f>
        <v/>
      </c>
      <c r="K8" s="35">
        <f>IF($A8&gt;NYears*12,"",IF($D8=1,$J8,$K7+$J8))</f>
        <v/>
      </c>
      <c r="L8" s="35">
        <f>IF($A8&gt;NYears*12,"",IF(MOD($D8,3)=0,SUM($J6:$J8),0))</f>
        <v/>
      </c>
      <c r="M8" s="35">
        <f>IF($A8&gt;NYears*12,"",IF(TaxFreq="Quarterly",$K8*12/$D8,$K8))</f>
        <v/>
      </c>
      <c r="N8" s="36">
        <f>IF($A8&gt;NYears*12,"",LOOKUP($M8,TaxLower,TaxRate))</f>
        <v/>
      </c>
      <c r="O8" s="35">
        <f>IF($A8&gt;NYears*12,"",IF(TaxFreq="Quarterly",IF(MOD($D8,3)=0,$L8*$N8,0),IF($D8=12,$K8*$N8,0)))</f>
        <v/>
      </c>
      <c r="P8" s="35">
        <f>IF($A8&gt;NYears*12,"",IF($D8=1,$O8,$P7+$O8))</f>
        <v/>
      </c>
      <c r="Q8" s="35">
        <f>IF($A8&gt;NYears*12,"",IF($D8=12,MIN(WdrPct*IF(WdrBase="Post-tax profit",$K8-$P8,$K8),WdrCap),0))</f>
        <v/>
      </c>
      <c r="R8" s="35">
        <f>IF($A8&gt;NYears*12,"",$F8+$J8-$O8-$Q8)</f>
        <v/>
      </c>
      <c r="S8" s="33">
        <f>IF($A8&gt;NYears*12,"",INT($R8/$E8))</f>
        <v/>
      </c>
    </row>
    <row r="9">
      <c r="A9" s="33">
        <f>5</f>
        <v/>
      </c>
      <c r="B9" s="34">
        <f>IF($A9&gt;NYears*12,"",EDATE(StartMonth,$A9-1))</f>
        <v/>
      </c>
      <c r="C9" s="33">
        <f>IF($A9&gt;NYears*12,"",INT(($A9-1)/12)+1)</f>
        <v/>
      </c>
      <c r="D9" s="33">
        <f>IF($A9&gt;NYears*12,"",MOD($A9-1,12)+1)</f>
        <v/>
      </c>
      <c r="E9" s="35">
        <f>IF($A9&gt;NYears*12,"",LotValue0*(1+LotGrowth)^($C9-1))</f>
        <v/>
      </c>
      <c r="F9" s="35">
        <f>IF($A9&gt;NYears*12,"",IF($A9=1,InitInvest,$R8))</f>
        <v/>
      </c>
      <c r="G9" s="33">
        <f>IF($A9&gt;NYears*12,"",INT($F9/$E9))</f>
        <v/>
      </c>
      <c r="H9" s="35">
        <f>IF($A9&gt;NYears*12,"",$G9*$E9)</f>
        <v/>
      </c>
      <c r="I9" s="35">
        <f>IF($A9&gt;NYears*12,"",$F9-$H9)</f>
        <v/>
      </c>
      <c r="J9" s="35">
        <f>IF($A9&gt;NYears*12,"",$H9*RateB)</f>
        <v/>
      </c>
      <c r="K9" s="35">
        <f>IF($A9&gt;NYears*12,"",IF($D9=1,$J9,$K8+$J9))</f>
        <v/>
      </c>
      <c r="L9" s="35">
        <f>IF($A9&gt;NYears*12,"",IF(MOD($D9,3)=0,SUM($J7:$J9),0))</f>
        <v/>
      </c>
      <c r="M9" s="35">
        <f>IF($A9&gt;NYears*12,"",IF(TaxFreq="Quarterly",$K9*12/$D9,$K9))</f>
        <v/>
      </c>
      <c r="N9" s="36">
        <f>IF($A9&gt;NYears*12,"",LOOKUP($M9,TaxLower,TaxRate))</f>
        <v/>
      </c>
      <c r="O9" s="35">
        <f>IF($A9&gt;NYears*12,"",IF(TaxFreq="Quarterly",IF(MOD($D9,3)=0,$L9*$N9,0),IF($D9=12,$K9*$N9,0)))</f>
        <v/>
      </c>
      <c r="P9" s="35">
        <f>IF($A9&gt;NYears*12,"",IF($D9=1,$O9,$P8+$O9))</f>
        <v/>
      </c>
      <c r="Q9" s="35">
        <f>IF($A9&gt;NYears*12,"",IF($D9=12,MIN(WdrPct*IF(WdrBase="Post-tax profit",$K9-$P9,$K9),WdrCap),0))</f>
        <v/>
      </c>
      <c r="R9" s="35">
        <f>IF($A9&gt;NYears*12,"",$F9+$J9-$O9-$Q9)</f>
        <v/>
      </c>
      <c r="S9" s="33">
        <f>IF($A9&gt;NYears*12,"",INT($R9/$E9))</f>
        <v/>
      </c>
    </row>
    <row r="10">
      <c r="A10" s="33">
        <f>6</f>
        <v/>
      </c>
      <c r="B10" s="34">
        <f>IF($A10&gt;NYears*12,"",EDATE(StartMonth,$A10-1))</f>
        <v/>
      </c>
      <c r="C10" s="33">
        <f>IF($A10&gt;NYears*12,"",INT(($A10-1)/12)+1)</f>
        <v/>
      </c>
      <c r="D10" s="33">
        <f>IF($A10&gt;NYears*12,"",MOD($A10-1,12)+1)</f>
        <v/>
      </c>
      <c r="E10" s="35">
        <f>IF($A10&gt;NYears*12,"",LotValue0*(1+LotGrowth)^($C10-1))</f>
        <v/>
      </c>
      <c r="F10" s="35">
        <f>IF($A10&gt;NYears*12,"",IF($A10=1,InitInvest,$R9))</f>
        <v/>
      </c>
      <c r="G10" s="33">
        <f>IF($A10&gt;NYears*12,"",INT($F10/$E10))</f>
        <v/>
      </c>
      <c r="H10" s="35">
        <f>IF($A10&gt;NYears*12,"",$G10*$E10)</f>
        <v/>
      </c>
      <c r="I10" s="35">
        <f>IF($A10&gt;NYears*12,"",$F10-$H10)</f>
        <v/>
      </c>
      <c r="J10" s="35">
        <f>IF($A10&gt;NYears*12,"",$H10*RateB)</f>
        <v/>
      </c>
      <c r="K10" s="35">
        <f>IF($A10&gt;NYears*12,"",IF($D10=1,$J10,$K9+$J10))</f>
        <v/>
      </c>
      <c r="L10" s="35">
        <f>IF($A10&gt;NYears*12,"",IF(MOD($D10,3)=0,SUM($J8:$J10),0))</f>
        <v/>
      </c>
      <c r="M10" s="35">
        <f>IF($A10&gt;NYears*12,"",IF(TaxFreq="Quarterly",$K10*12/$D10,$K10))</f>
        <v/>
      </c>
      <c r="N10" s="36">
        <f>IF($A10&gt;NYears*12,"",LOOKUP($M10,TaxLower,TaxRate))</f>
        <v/>
      </c>
      <c r="O10" s="35">
        <f>IF($A10&gt;NYears*12,"",IF(TaxFreq="Quarterly",IF(MOD($D10,3)=0,$L10*$N10,0),IF($D10=12,$K10*$N10,0)))</f>
        <v/>
      </c>
      <c r="P10" s="35">
        <f>IF($A10&gt;NYears*12,"",IF($D10=1,$O10,$P9+$O10))</f>
        <v/>
      </c>
      <c r="Q10" s="35">
        <f>IF($A10&gt;NYears*12,"",IF($D10=12,MIN(WdrPct*IF(WdrBase="Post-tax profit",$K10-$P10,$K10),WdrCap),0))</f>
        <v/>
      </c>
      <c r="R10" s="35">
        <f>IF($A10&gt;NYears*12,"",$F10+$J10-$O10-$Q10)</f>
        <v/>
      </c>
      <c r="S10" s="33">
        <f>IF($A10&gt;NYears*12,"",INT($R10/$E10))</f>
        <v/>
      </c>
    </row>
    <row r="11">
      <c r="A11" s="33">
        <f>7</f>
        <v/>
      </c>
      <c r="B11" s="34">
        <f>IF($A11&gt;NYears*12,"",EDATE(StartMonth,$A11-1))</f>
        <v/>
      </c>
      <c r="C11" s="33">
        <f>IF($A11&gt;NYears*12,"",INT(($A11-1)/12)+1)</f>
        <v/>
      </c>
      <c r="D11" s="33">
        <f>IF($A11&gt;NYears*12,"",MOD($A11-1,12)+1)</f>
        <v/>
      </c>
      <c r="E11" s="35">
        <f>IF($A11&gt;NYears*12,"",LotValue0*(1+LotGrowth)^($C11-1))</f>
        <v/>
      </c>
      <c r="F11" s="35">
        <f>IF($A11&gt;NYears*12,"",IF($A11=1,InitInvest,$R10))</f>
        <v/>
      </c>
      <c r="G11" s="33">
        <f>IF($A11&gt;NYears*12,"",INT($F11/$E11))</f>
        <v/>
      </c>
      <c r="H11" s="35">
        <f>IF($A11&gt;NYears*12,"",$G11*$E11)</f>
        <v/>
      </c>
      <c r="I11" s="35">
        <f>IF($A11&gt;NYears*12,"",$F11-$H11)</f>
        <v/>
      </c>
      <c r="J11" s="35">
        <f>IF($A11&gt;NYears*12,"",$H11*RateB)</f>
        <v/>
      </c>
      <c r="K11" s="35">
        <f>IF($A11&gt;NYears*12,"",IF($D11=1,$J11,$K10+$J11))</f>
        <v/>
      </c>
      <c r="L11" s="35">
        <f>IF($A11&gt;NYears*12,"",IF(MOD($D11,3)=0,SUM($J9:$J11),0))</f>
        <v/>
      </c>
      <c r="M11" s="35">
        <f>IF($A11&gt;NYears*12,"",IF(TaxFreq="Quarterly",$K11*12/$D11,$K11))</f>
        <v/>
      </c>
      <c r="N11" s="36">
        <f>IF($A11&gt;NYears*12,"",LOOKUP($M11,TaxLower,TaxRate))</f>
        <v/>
      </c>
      <c r="O11" s="35">
        <f>IF($A11&gt;NYears*12,"",IF(TaxFreq="Quarterly",IF(MOD($D11,3)=0,$L11*$N11,0),IF($D11=12,$K11*$N11,0)))</f>
        <v/>
      </c>
      <c r="P11" s="35">
        <f>IF($A11&gt;NYears*12,"",IF($D11=1,$O11,$P10+$O11))</f>
        <v/>
      </c>
      <c r="Q11" s="35">
        <f>IF($A11&gt;NYears*12,"",IF($D11=12,MIN(WdrPct*IF(WdrBase="Post-tax profit",$K11-$P11,$K11),WdrCap),0))</f>
        <v/>
      </c>
      <c r="R11" s="35">
        <f>IF($A11&gt;NYears*12,"",$F11+$J11-$O11-$Q11)</f>
        <v/>
      </c>
      <c r="S11" s="33">
        <f>IF($A11&gt;NYears*12,"",INT($R11/$E11))</f>
        <v/>
      </c>
    </row>
    <row r="12">
      <c r="A12" s="33">
        <f>8</f>
        <v/>
      </c>
      <c r="B12" s="34">
        <f>IF($A12&gt;NYears*12,"",EDATE(StartMonth,$A12-1))</f>
        <v/>
      </c>
      <c r="C12" s="33">
        <f>IF($A12&gt;NYears*12,"",INT(($A12-1)/12)+1)</f>
        <v/>
      </c>
      <c r="D12" s="33">
        <f>IF($A12&gt;NYears*12,"",MOD($A12-1,12)+1)</f>
        <v/>
      </c>
      <c r="E12" s="35">
        <f>IF($A12&gt;NYears*12,"",LotValue0*(1+LotGrowth)^($C12-1))</f>
        <v/>
      </c>
      <c r="F12" s="35">
        <f>IF($A12&gt;NYears*12,"",IF($A12=1,InitInvest,$R11))</f>
        <v/>
      </c>
      <c r="G12" s="33">
        <f>IF($A12&gt;NYears*12,"",INT($F12/$E12))</f>
        <v/>
      </c>
      <c r="H12" s="35">
        <f>IF($A12&gt;NYears*12,"",$G12*$E12)</f>
        <v/>
      </c>
      <c r="I12" s="35">
        <f>IF($A12&gt;NYears*12,"",$F12-$H12)</f>
        <v/>
      </c>
      <c r="J12" s="35">
        <f>IF($A12&gt;NYears*12,"",$H12*RateB)</f>
        <v/>
      </c>
      <c r="K12" s="35">
        <f>IF($A12&gt;NYears*12,"",IF($D12=1,$J12,$K11+$J12))</f>
        <v/>
      </c>
      <c r="L12" s="35">
        <f>IF($A12&gt;NYears*12,"",IF(MOD($D12,3)=0,SUM($J10:$J12),0))</f>
        <v/>
      </c>
      <c r="M12" s="35">
        <f>IF($A12&gt;NYears*12,"",IF(TaxFreq="Quarterly",$K12*12/$D12,$K12))</f>
        <v/>
      </c>
      <c r="N12" s="36">
        <f>IF($A12&gt;NYears*12,"",LOOKUP($M12,TaxLower,TaxRate))</f>
        <v/>
      </c>
      <c r="O12" s="35">
        <f>IF($A12&gt;NYears*12,"",IF(TaxFreq="Quarterly",IF(MOD($D12,3)=0,$L12*$N12,0),IF($D12=12,$K12*$N12,0)))</f>
        <v/>
      </c>
      <c r="P12" s="35">
        <f>IF($A12&gt;NYears*12,"",IF($D12=1,$O12,$P11+$O12))</f>
        <v/>
      </c>
      <c r="Q12" s="35">
        <f>IF($A12&gt;NYears*12,"",IF($D12=12,MIN(WdrPct*IF(WdrBase="Post-tax profit",$K12-$P12,$K12),WdrCap),0))</f>
        <v/>
      </c>
      <c r="R12" s="35">
        <f>IF($A12&gt;NYears*12,"",$F12+$J12-$O12-$Q12)</f>
        <v/>
      </c>
      <c r="S12" s="33">
        <f>IF($A12&gt;NYears*12,"",INT($R12/$E12))</f>
        <v/>
      </c>
    </row>
    <row r="13">
      <c r="A13" s="33">
        <f>9</f>
        <v/>
      </c>
      <c r="B13" s="34">
        <f>IF($A13&gt;NYears*12,"",EDATE(StartMonth,$A13-1))</f>
        <v/>
      </c>
      <c r="C13" s="33">
        <f>IF($A13&gt;NYears*12,"",INT(($A13-1)/12)+1)</f>
        <v/>
      </c>
      <c r="D13" s="33">
        <f>IF($A13&gt;NYears*12,"",MOD($A13-1,12)+1)</f>
        <v/>
      </c>
      <c r="E13" s="35">
        <f>IF($A13&gt;NYears*12,"",LotValue0*(1+LotGrowth)^($C13-1))</f>
        <v/>
      </c>
      <c r="F13" s="35">
        <f>IF($A13&gt;NYears*12,"",IF($A13=1,InitInvest,$R12))</f>
        <v/>
      </c>
      <c r="G13" s="33">
        <f>IF($A13&gt;NYears*12,"",INT($F13/$E13))</f>
        <v/>
      </c>
      <c r="H13" s="35">
        <f>IF($A13&gt;NYears*12,"",$G13*$E13)</f>
        <v/>
      </c>
      <c r="I13" s="35">
        <f>IF($A13&gt;NYears*12,"",$F13-$H13)</f>
        <v/>
      </c>
      <c r="J13" s="35">
        <f>IF($A13&gt;NYears*12,"",$H13*RateB)</f>
        <v/>
      </c>
      <c r="K13" s="35">
        <f>IF($A13&gt;NYears*12,"",IF($D13=1,$J13,$K12+$J13))</f>
        <v/>
      </c>
      <c r="L13" s="35">
        <f>IF($A13&gt;NYears*12,"",IF(MOD($D13,3)=0,SUM($J11:$J13),0))</f>
        <v/>
      </c>
      <c r="M13" s="35">
        <f>IF($A13&gt;NYears*12,"",IF(TaxFreq="Quarterly",$K13*12/$D13,$K13))</f>
        <v/>
      </c>
      <c r="N13" s="36">
        <f>IF($A13&gt;NYears*12,"",LOOKUP($M13,TaxLower,TaxRate))</f>
        <v/>
      </c>
      <c r="O13" s="35">
        <f>IF($A13&gt;NYears*12,"",IF(TaxFreq="Quarterly",IF(MOD($D13,3)=0,$L13*$N13,0),IF($D13=12,$K13*$N13,0)))</f>
        <v/>
      </c>
      <c r="P13" s="35">
        <f>IF($A13&gt;NYears*12,"",IF($D13=1,$O13,$P12+$O13))</f>
        <v/>
      </c>
      <c r="Q13" s="35">
        <f>IF($A13&gt;NYears*12,"",IF($D13=12,MIN(WdrPct*IF(WdrBase="Post-tax profit",$K13-$P13,$K13),WdrCap),0))</f>
        <v/>
      </c>
      <c r="R13" s="35">
        <f>IF($A13&gt;NYears*12,"",$F13+$J13-$O13-$Q13)</f>
        <v/>
      </c>
      <c r="S13" s="33">
        <f>IF($A13&gt;NYears*12,"",INT($R13/$E13))</f>
        <v/>
      </c>
    </row>
    <row r="14">
      <c r="A14" s="33">
        <f>10</f>
        <v/>
      </c>
      <c r="B14" s="34">
        <f>IF($A14&gt;NYears*12,"",EDATE(StartMonth,$A14-1))</f>
        <v/>
      </c>
      <c r="C14" s="33">
        <f>IF($A14&gt;NYears*12,"",INT(($A14-1)/12)+1)</f>
        <v/>
      </c>
      <c r="D14" s="33">
        <f>IF($A14&gt;NYears*12,"",MOD($A14-1,12)+1)</f>
        <v/>
      </c>
      <c r="E14" s="35">
        <f>IF($A14&gt;NYears*12,"",LotValue0*(1+LotGrowth)^($C14-1))</f>
        <v/>
      </c>
      <c r="F14" s="35">
        <f>IF($A14&gt;NYears*12,"",IF($A14=1,InitInvest,$R13))</f>
        <v/>
      </c>
      <c r="G14" s="33">
        <f>IF($A14&gt;NYears*12,"",INT($F14/$E14))</f>
        <v/>
      </c>
      <c r="H14" s="35">
        <f>IF($A14&gt;NYears*12,"",$G14*$E14)</f>
        <v/>
      </c>
      <c r="I14" s="35">
        <f>IF($A14&gt;NYears*12,"",$F14-$H14)</f>
        <v/>
      </c>
      <c r="J14" s="35">
        <f>IF($A14&gt;NYears*12,"",$H14*RateB)</f>
        <v/>
      </c>
      <c r="K14" s="35">
        <f>IF($A14&gt;NYears*12,"",IF($D14=1,$J14,$K13+$J14))</f>
        <v/>
      </c>
      <c r="L14" s="35">
        <f>IF($A14&gt;NYears*12,"",IF(MOD($D14,3)=0,SUM($J12:$J14),0))</f>
        <v/>
      </c>
      <c r="M14" s="35">
        <f>IF($A14&gt;NYears*12,"",IF(TaxFreq="Quarterly",$K14*12/$D14,$K14))</f>
        <v/>
      </c>
      <c r="N14" s="36">
        <f>IF($A14&gt;NYears*12,"",LOOKUP($M14,TaxLower,TaxRate))</f>
        <v/>
      </c>
      <c r="O14" s="35">
        <f>IF($A14&gt;NYears*12,"",IF(TaxFreq="Quarterly",IF(MOD($D14,3)=0,$L14*$N14,0),IF($D14=12,$K14*$N14,0)))</f>
        <v/>
      </c>
      <c r="P14" s="35">
        <f>IF($A14&gt;NYears*12,"",IF($D14=1,$O14,$P13+$O14))</f>
        <v/>
      </c>
      <c r="Q14" s="35">
        <f>IF($A14&gt;NYears*12,"",IF($D14=12,MIN(WdrPct*IF(WdrBase="Post-tax profit",$K14-$P14,$K14),WdrCap),0))</f>
        <v/>
      </c>
      <c r="R14" s="35">
        <f>IF($A14&gt;NYears*12,"",$F14+$J14-$O14-$Q14)</f>
        <v/>
      </c>
      <c r="S14" s="33">
        <f>IF($A14&gt;NYears*12,"",INT($R14/$E14))</f>
        <v/>
      </c>
    </row>
    <row r="15">
      <c r="A15" s="33">
        <f>11</f>
        <v/>
      </c>
      <c r="B15" s="34">
        <f>IF($A15&gt;NYears*12,"",EDATE(StartMonth,$A15-1))</f>
        <v/>
      </c>
      <c r="C15" s="33">
        <f>IF($A15&gt;NYears*12,"",INT(($A15-1)/12)+1)</f>
        <v/>
      </c>
      <c r="D15" s="33">
        <f>IF($A15&gt;NYears*12,"",MOD($A15-1,12)+1)</f>
        <v/>
      </c>
      <c r="E15" s="35">
        <f>IF($A15&gt;NYears*12,"",LotValue0*(1+LotGrowth)^($C15-1))</f>
        <v/>
      </c>
      <c r="F15" s="35">
        <f>IF($A15&gt;NYears*12,"",IF($A15=1,InitInvest,$R14))</f>
        <v/>
      </c>
      <c r="G15" s="33">
        <f>IF($A15&gt;NYears*12,"",INT($F15/$E15))</f>
        <v/>
      </c>
      <c r="H15" s="35">
        <f>IF($A15&gt;NYears*12,"",$G15*$E15)</f>
        <v/>
      </c>
      <c r="I15" s="35">
        <f>IF($A15&gt;NYears*12,"",$F15-$H15)</f>
        <v/>
      </c>
      <c r="J15" s="35">
        <f>IF($A15&gt;NYears*12,"",$H15*RateB)</f>
        <v/>
      </c>
      <c r="K15" s="35">
        <f>IF($A15&gt;NYears*12,"",IF($D15=1,$J15,$K14+$J15))</f>
        <v/>
      </c>
      <c r="L15" s="35">
        <f>IF($A15&gt;NYears*12,"",IF(MOD($D15,3)=0,SUM($J13:$J15),0))</f>
        <v/>
      </c>
      <c r="M15" s="35">
        <f>IF($A15&gt;NYears*12,"",IF(TaxFreq="Quarterly",$K15*12/$D15,$K15))</f>
        <v/>
      </c>
      <c r="N15" s="36">
        <f>IF($A15&gt;NYears*12,"",LOOKUP($M15,TaxLower,TaxRate))</f>
        <v/>
      </c>
      <c r="O15" s="35">
        <f>IF($A15&gt;NYears*12,"",IF(TaxFreq="Quarterly",IF(MOD($D15,3)=0,$L15*$N15,0),IF($D15=12,$K15*$N15,0)))</f>
        <v/>
      </c>
      <c r="P15" s="35">
        <f>IF($A15&gt;NYears*12,"",IF($D15=1,$O15,$P14+$O15))</f>
        <v/>
      </c>
      <c r="Q15" s="35">
        <f>IF($A15&gt;NYears*12,"",IF($D15=12,MIN(WdrPct*IF(WdrBase="Post-tax profit",$K15-$P15,$K15),WdrCap),0))</f>
        <v/>
      </c>
      <c r="R15" s="35">
        <f>IF($A15&gt;NYears*12,"",$F15+$J15-$O15-$Q15)</f>
        <v/>
      </c>
      <c r="S15" s="33">
        <f>IF($A15&gt;NYears*12,"",INT($R15/$E15))</f>
        <v/>
      </c>
    </row>
    <row r="16">
      <c r="A16" s="37">
        <f>12</f>
        <v/>
      </c>
      <c r="B16" s="38">
        <f>IF($A16&gt;NYears*12,"",EDATE(StartMonth,$A16-1))</f>
        <v/>
      </c>
      <c r="C16" s="37">
        <f>IF($A16&gt;NYears*12,"",INT(($A16-1)/12)+1)</f>
        <v/>
      </c>
      <c r="D16" s="37">
        <f>IF($A16&gt;NYears*12,"",MOD($A16-1,12)+1)</f>
        <v/>
      </c>
      <c r="E16" s="39">
        <f>IF($A16&gt;NYears*12,"",LotValue0*(1+LotGrowth)^($C16-1))</f>
        <v/>
      </c>
      <c r="F16" s="39">
        <f>IF($A16&gt;NYears*12,"",IF($A16=1,InitInvest,$R15))</f>
        <v/>
      </c>
      <c r="G16" s="37">
        <f>IF($A16&gt;NYears*12,"",INT($F16/$E16))</f>
        <v/>
      </c>
      <c r="H16" s="39">
        <f>IF($A16&gt;NYears*12,"",$G16*$E16)</f>
        <v/>
      </c>
      <c r="I16" s="39">
        <f>IF($A16&gt;NYears*12,"",$F16-$H16)</f>
        <v/>
      </c>
      <c r="J16" s="39">
        <f>IF($A16&gt;NYears*12,"",$H16*RateB)</f>
        <v/>
      </c>
      <c r="K16" s="39">
        <f>IF($A16&gt;NYears*12,"",IF($D16=1,$J16,$K15+$J16))</f>
        <v/>
      </c>
      <c r="L16" s="39">
        <f>IF($A16&gt;NYears*12,"",IF(MOD($D16,3)=0,SUM($J14:$J16),0))</f>
        <v/>
      </c>
      <c r="M16" s="39">
        <f>IF($A16&gt;NYears*12,"",IF(TaxFreq="Quarterly",$K16*12/$D16,$K16))</f>
        <v/>
      </c>
      <c r="N16" s="40">
        <f>IF($A16&gt;NYears*12,"",LOOKUP($M16,TaxLower,TaxRate))</f>
        <v/>
      </c>
      <c r="O16" s="39">
        <f>IF($A16&gt;NYears*12,"",IF(TaxFreq="Quarterly",IF(MOD($D16,3)=0,$L16*$N16,0),IF($D16=12,$K16*$N16,0)))</f>
        <v/>
      </c>
      <c r="P16" s="39">
        <f>IF($A16&gt;NYears*12,"",IF($D16=1,$O16,$P15+$O16))</f>
        <v/>
      </c>
      <c r="Q16" s="39">
        <f>IF($A16&gt;NYears*12,"",IF($D16=12,MIN(WdrPct*IF(WdrBase="Post-tax profit",$K16-$P16,$K16),WdrCap),0))</f>
        <v/>
      </c>
      <c r="R16" s="39">
        <f>IF($A16&gt;NYears*12,"",$F16+$J16-$O16-$Q16)</f>
        <v/>
      </c>
      <c r="S16" s="37">
        <f>IF($A16&gt;NYears*12,"",INT($R16/$E16))</f>
        <v/>
      </c>
    </row>
    <row r="17">
      <c r="A17" s="33">
        <f>13</f>
        <v/>
      </c>
      <c r="B17" s="34">
        <f>IF($A17&gt;NYears*12,"",EDATE(StartMonth,$A17-1))</f>
        <v/>
      </c>
      <c r="C17" s="33">
        <f>IF($A17&gt;NYears*12,"",INT(($A17-1)/12)+1)</f>
        <v/>
      </c>
      <c r="D17" s="33">
        <f>IF($A17&gt;NYears*12,"",MOD($A17-1,12)+1)</f>
        <v/>
      </c>
      <c r="E17" s="35">
        <f>IF($A17&gt;NYears*12,"",LotValue0*(1+LotGrowth)^($C17-1))</f>
        <v/>
      </c>
      <c r="F17" s="35">
        <f>IF($A17&gt;NYears*12,"",IF($A17=1,InitInvest,$R16))</f>
        <v/>
      </c>
      <c r="G17" s="33">
        <f>IF($A17&gt;NYears*12,"",INT($F17/$E17))</f>
        <v/>
      </c>
      <c r="H17" s="35">
        <f>IF($A17&gt;NYears*12,"",$G17*$E17)</f>
        <v/>
      </c>
      <c r="I17" s="35">
        <f>IF($A17&gt;NYears*12,"",$F17-$H17)</f>
        <v/>
      </c>
      <c r="J17" s="35">
        <f>IF($A17&gt;NYears*12,"",$H17*RateB)</f>
        <v/>
      </c>
      <c r="K17" s="35">
        <f>IF($A17&gt;NYears*12,"",IF($D17=1,$J17,$K16+$J17))</f>
        <v/>
      </c>
      <c r="L17" s="35">
        <f>IF($A17&gt;NYears*12,"",IF(MOD($D17,3)=0,SUM($J15:$J17),0))</f>
        <v/>
      </c>
      <c r="M17" s="35">
        <f>IF($A17&gt;NYears*12,"",IF(TaxFreq="Quarterly",$K17*12/$D17,$K17))</f>
        <v/>
      </c>
      <c r="N17" s="36">
        <f>IF($A17&gt;NYears*12,"",LOOKUP($M17,TaxLower,TaxRate))</f>
        <v/>
      </c>
      <c r="O17" s="35">
        <f>IF($A17&gt;NYears*12,"",IF(TaxFreq="Quarterly",IF(MOD($D17,3)=0,$L17*$N17,0),IF($D17=12,$K17*$N17,0)))</f>
        <v/>
      </c>
      <c r="P17" s="35">
        <f>IF($A17&gt;NYears*12,"",IF($D17=1,$O17,$P16+$O17))</f>
        <v/>
      </c>
      <c r="Q17" s="35">
        <f>IF($A17&gt;NYears*12,"",IF($D17=12,MIN(WdrPct*IF(WdrBase="Post-tax profit",$K17-$P17,$K17),WdrCap),0))</f>
        <v/>
      </c>
      <c r="R17" s="35">
        <f>IF($A17&gt;NYears*12,"",$F17+$J17-$O17-$Q17)</f>
        <v/>
      </c>
      <c r="S17" s="33">
        <f>IF($A17&gt;NYears*12,"",INT($R17/$E17))</f>
        <v/>
      </c>
    </row>
    <row r="18">
      <c r="A18" s="33">
        <f>14</f>
        <v/>
      </c>
      <c r="B18" s="34">
        <f>IF($A18&gt;NYears*12,"",EDATE(StartMonth,$A18-1))</f>
        <v/>
      </c>
      <c r="C18" s="33">
        <f>IF($A18&gt;NYears*12,"",INT(($A18-1)/12)+1)</f>
        <v/>
      </c>
      <c r="D18" s="33">
        <f>IF($A18&gt;NYears*12,"",MOD($A18-1,12)+1)</f>
        <v/>
      </c>
      <c r="E18" s="35">
        <f>IF($A18&gt;NYears*12,"",LotValue0*(1+LotGrowth)^($C18-1))</f>
        <v/>
      </c>
      <c r="F18" s="35">
        <f>IF($A18&gt;NYears*12,"",IF($A18=1,InitInvest,$R17))</f>
        <v/>
      </c>
      <c r="G18" s="33">
        <f>IF($A18&gt;NYears*12,"",INT($F18/$E18))</f>
        <v/>
      </c>
      <c r="H18" s="35">
        <f>IF($A18&gt;NYears*12,"",$G18*$E18)</f>
        <v/>
      </c>
      <c r="I18" s="35">
        <f>IF($A18&gt;NYears*12,"",$F18-$H18)</f>
        <v/>
      </c>
      <c r="J18" s="35">
        <f>IF($A18&gt;NYears*12,"",$H18*RateB)</f>
        <v/>
      </c>
      <c r="K18" s="35">
        <f>IF($A18&gt;NYears*12,"",IF($D18=1,$J18,$K17+$J18))</f>
        <v/>
      </c>
      <c r="L18" s="35">
        <f>IF($A18&gt;NYears*12,"",IF(MOD($D18,3)=0,SUM($J16:$J18),0))</f>
        <v/>
      </c>
      <c r="M18" s="35">
        <f>IF($A18&gt;NYears*12,"",IF(TaxFreq="Quarterly",$K18*12/$D18,$K18))</f>
        <v/>
      </c>
      <c r="N18" s="36">
        <f>IF($A18&gt;NYears*12,"",LOOKUP($M18,TaxLower,TaxRate))</f>
        <v/>
      </c>
      <c r="O18" s="35">
        <f>IF($A18&gt;NYears*12,"",IF(TaxFreq="Quarterly",IF(MOD($D18,3)=0,$L18*$N18,0),IF($D18=12,$K18*$N18,0)))</f>
        <v/>
      </c>
      <c r="P18" s="35">
        <f>IF($A18&gt;NYears*12,"",IF($D18=1,$O18,$P17+$O18))</f>
        <v/>
      </c>
      <c r="Q18" s="35">
        <f>IF($A18&gt;NYears*12,"",IF($D18=12,MIN(WdrPct*IF(WdrBase="Post-tax profit",$K18-$P18,$K18),WdrCap),0))</f>
        <v/>
      </c>
      <c r="R18" s="35">
        <f>IF($A18&gt;NYears*12,"",$F18+$J18-$O18-$Q18)</f>
        <v/>
      </c>
      <c r="S18" s="33">
        <f>IF($A18&gt;NYears*12,"",INT($R18/$E18))</f>
        <v/>
      </c>
    </row>
    <row r="19">
      <c r="A19" s="33">
        <f>15</f>
        <v/>
      </c>
      <c r="B19" s="34">
        <f>IF($A19&gt;NYears*12,"",EDATE(StartMonth,$A19-1))</f>
        <v/>
      </c>
      <c r="C19" s="33">
        <f>IF($A19&gt;NYears*12,"",INT(($A19-1)/12)+1)</f>
        <v/>
      </c>
      <c r="D19" s="33">
        <f>IF($A19&gt;NYears*12,"",MOD($A19-1,12)+1)</f>
        <v/>
      </c>
      <c r="E19" s="35">
        <f>IF($A19&gt;NYears*12,"",LotValue0*(1+LotGrowth)^($C19-1))</f>
        <v/>
      </c>
      <c r="F19" s="35">
        <f>IF($A19&gt;NYears*12,"",IF($A19=1,InitInvest,$R18))</f>
        <v/>
      </c>
      <c r="G19" s="33">
        <f>IF($A19&gt;NYears*12,"",INT($F19/$E19))</f>
        <v/>
      </c>
      <c r="H19" s="35">
        <f>IF($A19&gt;NYears*12,"",$G19*$E19)</f>
        <v/>
      </c>
      <c r="I19" s="35">
        <f>IF($A19&gt;NYears*12,"",$F19-$H19)</f>
        <v/>
      </c>
      <c r="J19" s="35">
        <f>IF($A19&gt;NYears*12,"",$H19*RateB)</f>
        <v/>
      </c>
      <c r="K19" s="35">
        <f>IF($A19&gt;NYears*12,"",IF($D19=1,$J19,$K18+$J19))</f>
        <v/>
      </c>
      <c r="L19" s="35">
        <f>IF($A19&gt;NYears*12,"",IF(MOD($D19,3)=0,SUM($J17:$J19),0))</f>
        <v/>
      </c>
      <c r="M19" s="35">
        <f>IF($A19&gt;NYears*12,"",IF(TaxFreq="Quarterly",$K19*12/$D19,$K19))</f>
        <v/>
      </c>
      <c r="N19" s="36">
        <f>IF($A19&gt;NYears*12,"",LOOKUP($M19,TaxLower,TaxRate))</f>
        <v/>
      </c>
      <c r="O19" s="35">
        <f>IF($A19&gt;NYears*12,"",IF(TaxFreq="Quarterly",IF(MOD($D19,3)=0,$L19*$N19,0),IF($D19=12,$K19*$N19,0)))</f>
        <v/>
      </c>
      <c r="P19" s="35">
        <f>IF($A19&gt;NYears*12,"",IF($D19=1,$O19,$P18+$O19))</f>
        <v/>
      </c>
      <c r="Q19" s="35">
        <f>IF($A19&gt;NYears*12,"",IF($D19=12,MIN(WdrPct*IF(WdrBase="Post-tax profit",$K19-$P19,$K19),WdrCap),0))</f>
        <v/>
      </c>
      <c r="R19" s="35">
        <f>IF($A19&gt;NYears*12,"",$F19+$J19-$O19-$Q19)</f>
        <v/>
      </c>
      <c r="S19" s="33">
        <f>IF($A19&gt;NYears*12,"",INT($R19/$E19))</f>
        <v/>
      </c>
    </row>
    <row r="20">
      <c r="A20" s="33">
        <f>16</f>
        <v/>
      </c>
      <c r="B20" s="34">
        <f>IF($A20&gt;NYears*12,"",EDATE(StartMonth,$A20-1))</f>
        <v/>
      </c>
      <c r="C20" s="33">
        <f>IF($A20&gt;NYears*12,"",INT(($A20-1)/12)+1)</f>
        <v/>
      </c>
      <c r="D20" s="33">
        <f>IF($A20&gt;NYears*12,"",MOD($A20-1,12)+1)</f>
        <v/>
      </c>
      <c r="E20" s="35">
        <f>IF($A20&gt;NYears*12,"",LotValue0*(1+LotGrowth)^($C20-1))</f>
        <v/>
      </c>
      <c r="F20" s="35">
        <f>IF($A20&gt;NYears*12,"",IF($A20=1,InitInvest,$R19))</f>
        <v/>
      </c>
      <c r="G20" s="33">
        <f>IF($A20&gt;NYears*12,"",INT($F20/$E20))</f>
        <v/>
      </c>
      <c r="H20" s="35">
        <f>IF($A20&gt;NYears*12,"",$G20*$E20)</f>
        <v/>
      </c>
      <c r="I20" s="35">
        <f>IF($A20&gt;NYears*12,"",$F20-$H20)</f>
        <v/>
      </c>
      <c r="J20" s="35">
        <f>IF($A20&gt;NYears*12,"",$H20*RateB)</f>
        <v/>
      </c>
      <c r="K20" s="35">
        <f>IF($A20&gt;NYears*12,"",IF($D20=1,$J20,$K19+$J20))</f>
        <v/>
      </c>
      <c r="L20" s="35">
        <f>IF($A20&gt;NYears*12,"",IF(MOD($D20,3)=0,SUM($J18:$J20),0))</f>
        <v/>
      </c>
      <c r="M20" s="35">
        <f>IF($A20&gt;NYears*12,"",IF(TaxFreq="Quarterly",$K20*12/$D20,$K20))</f>
        <v/>
      </c>
      <c r="N20" s="36">
        <f>IF($A20&gt;NYears*12,"",LOOKUP($M20,TaxLower,TaxRate))</f>
        <v/>
      </c>
      <c r="O20" s="35">
        <f>IF($A20&gt;NYears*12,"",IF(TaxFreq="Quarterly",IF(MOD($D20,3)=0,$L20*$N20,0),IF($D20=12,$K20*$N20,0)))</f>
        <v/>
      </c>
      <c r="P20" s="35">
        <f>IF($A20&gt;NYears*12,"",IF($D20=1,$O20,$P19+$O20))</f>
        <v/>
      </c>
      <c r="Q20" s="35">
        <f>IF($A20&gt;NYears*12,"",IF($D20=12,MIN(WdrPct*IF(WdrBase="Post-tax profit",$K20-$P20,$K20),WdrCap),0))</f>
        <v/>
      </c>
      <c r="R20" s="35">
        <f>IF($A20&gt;NYears*12,"",$F20+$J20-$O20-$Q20)</f>
        <v/>
      </c>
      <c r="S20" s="33">
        <f>IF($A20&gt;NYears*12,"",INT($R20/$E20))</f>
        <v/>
      </c>
    </row>
    <row r="21">
      <c r="A21" s="33">
        <f>17</f>
        <v/>
      </c>
      <c r="B21" s="34">
        <f>IF($A21&gt;NYears*12,"",EDATE(StartMonth,$A21-1))</f>
        <v/>
      </c>
      <c r="C21" s="33">
        <f>IF($A21&gt;NYears*12,"",INT(($A21-1)/12)+1)</f>
        <v/>
      </c>
      <c r="D21" s="33">
        <f>IF($A21&gt;NYears*12,"",MOD($A21-1,12)+1)</f>
        <v/>
      </c>
      <c r="E21" s="35">
        <f>IF($A21&gt;NYears*12,"",LotValue0*(1+LotGrowth)^($C21-1))</f>
        <v/>
      </c>
      <c r="F21" s="35">
        <f>IF($A21&gt;NYears*12,"",IF($A21=1,InitInvest,$R20))</f>
        <v/>
      </c>
      <c r="G21" s="33">
        <f>IF($A21&gt;NYears*12,"",INT($F21/$E21))</f>
        <v/>
      </c>
      <c r="H21" s="35">
        <f>IF($A21&gt;NYears*12,"",$G21*$E21)</f>
        <v/>
      </c>
      <c r="I21" s="35">
        <f>IF($A21&gt;NYears*12,"",$F21-$H21)</f>
        <v/>
      </c>
      <c r="J21" s="35">
        <f>IF($A21&gt;NYears*12,"",$H21*RateB)</f>
        <v/>
      </c>
      <c r="K21" s="35">
        <f>IF($A21&gt;NYears*12,"",IF($D21=1,$J21,$K20+$J21))</f>
        <v/>
      </c>
      <c r="L21" s="35">
        <f>IF($A21&gt;NYears*12,"",IF(MOD($D21,3)=0,SUM($J19:$J21),0))</f>
        <v/>
      </c>
      <c r="M21" s="35">
        <f>IF($A21&gt;NYears*12,"",IF(TaxFreq="Quarterly",$K21*12/$D21,$K21))</f>
        <v/>
      </c>
      <c r="N21" s="36">
        <f>IF($A21&gt;NYears*12,"",LOOKUP($M21,TaxLower,TaxRate))</f>
        <v/>
      </c>
      <c r="O21" s="35">
        <f>IF($A21&gt;NYears*12,"",IF(TaxFreq="Quarterly",IF(MOD($D21,3)=0,$L21*$N21,0),IF($D21=12,$K21*$N21,0)))</f>
        <v/>
      </c>
      <c r="P21" s="35">
        <f>IF($A21&gt;NYears*12,"",IF($D21=1,$O21,$P20+$O21))</f>
        <v/>
      </c>
      <c r="Q21" s="35">
        <f>IF($A21&gt;NYears*12,"",IF($D21=12,MIN(WdrPct*IF(WdrBase="Post-tax profit",$K21-$P21,$K21),WdrCap),0))</f>
        <v/>
      </c>
      <c r="R21" s="35">
        <f>IF($A21&gt;NYears*12,"",$F21+$J21-$O21-$Q21)</f>
        <v/>
      </c>
      <c r="S21" s="33">
        <f>IF($A21&gt;NYears*12,"",INT($R21/$E21))</f>
        <v/>
      </c>
    </row>
    <row r="22">
      <c r="A22" s="33">
        <f>18</f>
        <v/>
      </c>
      <c r="B22" s="34">
        <f>IF($A22&gt;NYears*12,"",EDATE(StartMonth,$A22-1))</f>
        <v/>
      </c>
      <c r="C22" s="33">
        <f>IF($A22&gt;NYears*12,"",INT(($A22-1)/12)+1)</f>
        <v/>
      </c>
      <c r="D22" s="33">
        <f>IF($A22&gt;NYears*12,"",MOD($A22-1,12)+1)</f>
        <v/>
      </c>
      <c r="E22" s="35">
        <f>IF($A22&gt;NYears*12,"",LotValue0*(1+LotGrowth)^($C22-1))</f>
        <v/>
      </c>
      <c r="F22" s="35">
        <f>IF($A22&gt;NYears*12,"",IF($A22=1,InitInvest,$R21))</f>
        <v/>
      </c>
      <c r="G22" s="33">
        <f>IF($A22&gt;NYears*12,"",INT($F22/$E22))</f>
        <v/>
      </c>
      <c r="H22" s="35">
        <f>IF($A22&gt;NYears*12,"",$G22*$E22)</f>
        <v/>
      </c>
      <c r="I22" s="35">
        <f>IF($A22&gt;NYears*12,"",$F22-$H22)</f>
        <v/>
      </c>
      <c r="J22" s="35">
        <f>IF($A22&gt;NYears*12,"",$H22*RateB)</f>
        <v/>
      </c>
      <c r="K22" s="35">
        <f>IF($A22&gt;NYears*12,"",IF($D22=1,$J22,$K21+$J22))</f>
        <v/>
      </c>
      <c r="L22" s="35">
        <f>IF($A22&gt;NYears*12,"",IF(MOD($D22,3)=0,SUM($J20:$J22),0))</f>
        <v/>
      </c>
      <c r="M22" s="35">
        <f>IF($A22&gt;NYears*12,"",IF(TaxFreq="Quarterly",$K22*12/$D22,$K22))</f>
        <v/>
      </c>
      <c r="N22" s="36">
        <f>IF($A22&gt;NYears*12,"",LOOKUP($M22,TaxLower,TaxRate))</f>
        <v/>
      </c>
      <c r="O22" s="35">
        <f>IF($A22&gt;NYears*12,"",IF(TaxFreq="Quarterly",IF(MOD($D22,3)=0,$L22*$N22,0),IF($D22=12,$K22*$N22,0)))</f>
        <v/>
      </c>
      <c r="P22" s="35">
        <f>IF($A22&gt;NYears*12,"",IF($D22=1,$O22,$P21+$O22))</f>
        <v/>
      </c>
      <c r="Q22" s="35">
        <f>IF($A22&gt;NYears*12,"",IF($D22=12,MIN(WdrPct*IF(WdrBase="Post-tax profit",$K22-$P22,$K22),WdrCap),0))</f>
        <v/>
      </c>
      <c r="R22" s="35">
        <f>IF($A22&gt;NYears*12,"",$F22+$J22-$O22-$Q22)</f>
        <v/>
      </c>
      <c r="S22" s="33">
        <f>IF($A22&gt;NYears*12,"",INT($R22/$E22))</f>
        <v/>
      </c>
    </row>
    <row r="23">
      <c r="A23" s="33">
        <f>19</f>
        <v/>
      </c>
      <c r="B23" s="34">
        <f>IF($A23&gt;NYears*12,"",EDATE(StartMonth,$A23-1))</f>
        <v/>
      </c>
      <c r="C23" s="33">
        <f>IF($A23&gt;NYears*12,"",INT(($A23-1)/12)+1)</f>
        <v/>
      </c>
      <c r="D23" s="33">
        <f>IF($A23&gt;NYears*12,"",MOD($A23-1,12)+1)</f>
        <v/>
      </c>
      <c r="E23" s="35">
        <f>IF($A23&gt;NYears*12,"",LotValue0*(1+LotGrowth)^($C23-1))</f>
        <v/>
      </c>
      <c r="F23" s="35">
        <f>IF($A23&gt;NYears*12,"",IF($A23=1,InitInvest,$R22))</f>
        <v/>
      </c>
      <c r="G23" s="33">
        <f>IF($A23&gt;NYears*12,"",INT($F23/$E23))</f>
        <v/>
      </c>
      <c r="H23" s="35">
        <f>IF($A23&gt;NYears*12,"",$G23*$E23)</f>
        <v/>
      </c>
      <c r="I23" s="35">
        <f>IF($A23&gt;NYears*12,"",$F23-$H23)</f>
        <v/>
      </c>
      <c r="J23" s="35">
        <f>IF($A23&gt;NYears*12,"",$H23*RateB)</f>
        <v/>
      </c>
      <c r="K23" s="35">
        <f>IF($A23&gt;NYears*12,"",IF($D23=1,$J23,$K22+$J23))</f>
        <v/>
      </c>
      <c r="L23" s="35">
        <f>IF($A23&gt;NYears*12,"",IF(MOD($D23,3)=0,SUM($J21:$J23),0))</f>
        <v/>
      </c>
      <c r="M23" s="35">
        <f>IF($A23&gt;NYears*12,"",IF(TaxFreq="Quarterly",$K23*12/$D23,$K23))</f>
        <v/>
      </c>
      <c r="N23" s="36">
        <f>IF($A23&gt;NYears*12,"",LOOKUP($M23,TaxLower,TaxRate))</f>
        <v/>
      </c>
      <c r="O23" s="35">
        <f>IF($A23&gt;NYears*12,"",IF(TaxFreq="Quarterly",IF(MOD($D23,3)=0,$L23*$N23,0),IF($D23=12,$K23*$N23,0)))</f>
        <v/>
      </c>
      <c r="P23" s="35">
        <f>IF($A23&gt;NYears*12,"",IF($D23=1,$O23,$P22+$O23))</f>
        <v/>
      </c>
      <c r="Q23" s="35">
        <f>IF($A23&gt;NYears*12,"",IF($D23=12,MIN(WdrPct*IF(WdrBase="Post-tax profit",$K23-$P23,$K23),WdrCap),0))</f>
        <v/>
      </c>
      <c r="R23" s="35">
        <f>IF($A23&gt;NYears*12,"",$F23+$J23-$O23-$Q23)</f>
        <v/>
      </c>
      <c r="S23" s="33">
        <f>IF($A23&gt;NYears*12,"",INT($R23/$E23))</f>
        <v/>
      </c>
    </row>
    <row r="24">
      <c r="A24" s="33">
        <f>20</f>
        <v/>
      </c>
      <c r="B24" s="34">
        <f>IF($A24&gt;NYears*12,"",EDATE(StartMonth,$A24-1))</f>
        <v/>
      </c>
      <c r="C24" s="33">
        <f>IF($A24&gt;NYears*12,"",INT(($A24-1)/12)+1)</f>
        <v/>
      </c>
      <c r="D24" s="33">
        <f>IF($A24&gt;NYears*12,"",MOD($A24-1,12)+1)</f>
        <v/>
      </c>
      <c r="E24" s="35">
        <f>IF($A24&gt;NYears*12,"",LotValue0*(1+LotGrowth)^($C24-1))</f>
        <v/>
      </c>
      <c r="F24" s="35">
        <f>IF($A24&gt;NYears*12,"",IF($A24=1,InitInvest,$R23))</f>
        <v/>
      </c>
      <c r="G24" s="33">
        <f>IF($A24&gt;NYears*12,"",INT($F24/$E24))</f>
        <v/>
      </c>
      <c r="H24" s="35">
        <f>IF($A24&gt;NYears*12,"",$G24*$E24)</f>
        <v/>
      </c>
      <c r="I24" s="35">
        <f>IF($A24&gt;NYears*12,"",$F24-$H24)</f>
        <v/>
      </c>
      <c r="J24" s="35">
        <f>IF($A24&gt;NYears*12,"",$H24*RateB)</f>
        <v/>
      </c>
      <c r="K24" s="35">
        <f>IF($A24&gt;NYears*12,"",IF($D24=1,$J24,$K23+$J24))</f>
        <v/>
      </c>
      <c r="L24" s="35">
        <f>IF($A24&gt;NYears*12,"",IF(MOD($D24,3)=0,SUM($J22:$J24),0))</f>
        <v/>
      </c>
      <c r="M24" s="35">
        <f>IF($A24&gt;NYears*12,"",IF(TaxFreq="Quarterly",$K24*12/$D24,$K24))</f>
        <v/>
      </c>
      <c r="N24" s="36">
        <f>IF($A24&gt;NYears*12,"",LOOKUP($M24,TaxLower,TaxRate))</f>
        <v/>
      </c>
      <c r="O24" s="35">
        <f>IF($A24&gt;NYears*12,"",IF(TaxFreq="Quarterly",IF(MOD($D24,3)=0,$L24*$N24,0),IF($D24=12,$K24*$N24,0)))</f>
        <v/>
      </c>
      <c r="P24" s="35">
        <f>IF($A24&gt;NYears*12,"",IF($D24=1,$O24,$P23+$O24))</f>
        <v/>
      </c>
      <c r="Q24" s="35">
        <f>IF($A24&gt;NYears*12,"",IF($D24=12,MIN(WdrPct*IF(WdrBase="Post-tax profit",$K24-$P24,$K24),WdrCap),0))</f>
        <v/>
      </c>
      <c r="R24" s="35">
        <f>IF($A24&gt;NYears*12,"",$F24+$J24-$O24-$Q24)</f>
        <v/>
      </c>
      <c r="S24" s="33">
        <f>IF($A24&gt;NYears*12,"",INT($R24/$E24))</f>
        <v/>
      </c>
    </row>
    <row r="25">
      <c r="A25" s="33">
        <f>21</f>
        <v/>
      </c>
      <c r="B25" s="34">
        <f>IF($A25&gt;NYears*12,"",EDATE(StartMonth,$A25-1))</f>
        <v/>
      </c>
      <c r="C25" s="33">
        <f>IF($A25&gt;NYears*12,"",INT(($A25-1)/12)+1)</f>
        <v/>
      </c>
      <c r="D25" s="33">
        <f>IF($A25&gt;NYears*12,"",MOD($A25-1,12)+1)</f>
        <v/>
      </c>
      <c r="E25" s="35">
        <f>IF($A25&gt;NYears*12,"",LotValue0*(1+LotGrowth)^($C25-1))</f>
        <v/>
      </c>
      <c r="F25" s="35">
        <f>IF($A25&gt;NYears*12,"",IF($A25=1,InitInvest,$R24))</f>
        <v/>
      </c>
      <c r="G25" s="33">
        <f>IF($A25&gt;NYears*12,"",INT($F25/$E25))</f>
        <v/>
      </c>
      <c r="H25" s="35">
        <f>IF($A25&gt;NYears*12,"",$G25*$E25)</f>
        <v/>
      </c>
      <c r="I25" s="35">
        <f>IF($A25&gt;NYears*12,"",$F25-$H25)</f>
        <v/>
      </c>
      <c r="J25" s="35">
        <f>IF($A25&gt;NYears*12,"",$H25*RateB)</f>
        <v/>
      </c>
      <c r="K25" s="35">
        <f>IF($A25&gt;NYears*12,"",IF($D25=1,$J25,$K24+$J25))</f>
        <v/>
      </c>
      <c r="L25" s="35">
        <f>IF($A25&gt;NYears*12,"",IF(MOD($D25,3)=0,SUM($J23:$J25),0))</f>
        <v/>
      </c>
      <c r="M25" s="35">
        <f>IF($A25&gt;NYears*12,"",IF(TaxFreq="Quarterly",$K25*12/$D25,$K25))</f>
        <v/>
      </c>
      <c r="N25" s="36">
        <f>IF($A25&gt;NYears*12,"",LOOKUP($M25,TaxLower,TaxRate))</f>
        <v/>
      </c>
      <c r="O25" s="35">
        <f>IF($A25&gt;NYears*12,"",IF(TaxFreq="Quarterly",IF(MOD($D25,3)=0,$L25*$N25,0),IF($D25=12,$K25*$N25,0)))</f>
        <v/>
      </c>
      <c r="P25" s="35">
        <f>IF($A25&gt;NYears*12,"",IF($D25=1,$O25,$P24+$O25))</f>
        <v/>
      </c>
      <c r="Q25" s="35">
        <f>IF($A25&gt;NYears*12,"",IF($D25=12,MIN(WdrPct*IF(WdrBase="Post-tax profit",$K25-$P25,$K25),WdrCap),0))</f>
        <v/>
      </c>
      <c r="R25" s="35">
        <f>IF($A25&gt;NYears*12,"",$F25+$J25-$O25-$Q25)</f>
        <v/>
      </c>
      <c r="S25" s="33">
        <f>IF($A25&gt;NYears*12,"",INT($R25/$E25))</f>
        <v/>
      </c>
    </row>
    <row r="26">
      <c r="A26" s="33">
        <f>22</f>
        <v/>
      </c>
      <c r="B26" s="34">
        <f>IF($A26&gt;NYears*12,"",EDATE(StartMonth,$A26-1))</f>
        <v/>
      </c>
      <c r="C26" s="33">
        <f>IF($A26&gt;NYears*12,"",INT(($A26-1)/12)+1)</f>
        <v/>
      </c>
      <c r="D26" s="33">
        <f>IF($A26&gt;NYears*12,"",MOD($A26-1,12)+1)</f>
        <v/>
      </c>
      <c r="E26" s="35">
        <f>IF($A26&gt;NYears*12,"",LotValue0*(1+LotGrowth)^($C26-1))</f>
        <v/>
      </c>
      <c r="F26" s="35">
        <f>IF($A26&gt;NYears*12,"",IF($A26=1,InitInvest,$R25))</f>
        <v/>
      </c>
      <c r="G26" s="33">
        <f>IF($A26&gt;NYears*12,"",INT($F26/$E26))</f>
        <v/>
      </c>
      <c r="H26" s="35">
        <f>IF($A26&gt;NYears*12,"",$G26*$E26)</f>
        <v/>
      </c>
      <c r="I26" s="35">
        <f>IF($A26&gt;NYears*12,"",$F26-$H26)</f>
        <v/>
      </c>
      <c r="J26" s="35">
        <f>IF($A26&gt;NYears*12,"",$H26*RateB)</f>
        <v/>
      </c>
      <c r="K26" s="35">
        <f>IF($A26&gt;NYears*12,"",IF($D26=1,$J26,$K25+$J26))</f>
        <v/>
      </c>
      <c r="L26" s="35">
        <f>IF($A26&gt;NYears*12,"",IF(MOD($D26,3)=0,SUM($J24:$J26),0))</f>
        <v/>
      </c>
      <c r="M26" s="35">
        <f>IF($A26&gt;NYears*12,"",IF(TaxFreq="Quarterly",$K26*12/$D26,$K26))</f>
        <v/>
      </c>
      <c r="N26" s="36">
        <f>IF($A26&gt;NYears*12,"",LOOKUP($M26,TaxLower,TaxRate))</f>
        <v/>
      </c>
      <c r="O26" s="35">
        <f>IF($A26&gt;NYears*12,"",IF(TaxFreq="Quarterly",IF(MOD($D26,3)=0,$L26*$N26,0),IF($D26=12,$K26*$N26,0)))</f>
        <v/>
      </c>
      <c r="P26" s="35">
        <f>IF($A26&gt;NYears*12,"",IF($D26=1,$O26,$P25+$O26))</f>
        <v/>
      </c>
      <c r="Q26" s="35">
        <f>IF($A26&gt;NYears*12,"",IF($D26=12,MIN(WdrPct*IF(WdrBase="Post-tax profit",$K26-$P26,$K26),WdrCap),0))</f>
        <v/>
      </c>
      <c r="R26" s="35">
        <f>IF($A26&gt;NYears*12,"",$F26+$J26-$O26-$Q26)</f>
        <v/>
      </c>
      <c r="S26" s="33">
        <f>IF($A26&gt;NYears*12,"",INT($R26/$E26))</f>
        <v/>
      </c>
    </row>
    <row r="27">
      <c r="A27" s="33">
        <f>23</f>
        <v/>
      </c>
      <c r="B27" s="34">
        <f>IF($A27&gt;NYears*12,"",EDATE(StartMonth,$A27-1))</f>
        <v/>
      </c>
      <c r="C27" s="33">
        <f>IF($A27&gt;NYears*12,"",INT(($A27-1)/12)+1)</f>
        <v/>
      </c>
      <c r="D27" s="33">
        <f>IF($A27&gt;NYears*12,"",MOD($A27-1,12)+1)</f>
        <v/>
      </c>
      <c r="E27" s="35">
        <f>IF($A27&gt;NYears*12,"",LotValue0*(1+LotGrowth)^($C27-1))</f>
        <v/>
      </c>
      <c r="F27" s="35">
        <f>IF($A27&gt;NYears*12,"",IF($A27=1,InitInvest,$R26))</f>
        <v/>
      </c>
      <c r="G27" s="33">
        <f>IF($A27&gt;NYears*12,"",INT($F27/$E27))</f>
        <v/>
      </c>
      <c r="H27" s="35">
        <f>IF($A27&gt;NYears*12,"",$G27*$E27)</f>
        <v/>
      </c>
      <c r="I27" s="35">
        <f>IF($A27&gt;NYears*12,"",$F27-$H27)</f>
        <v/>
      </c>
      <c r="J27" s="35">
        <f>IF($A27&gt;NYears*12,"",$H27*RateB)</f>
        <v/>
      </c>
      <c r="K27" s="35">
        <f>IF($A27&gt;NYears*12,"",IF($D27=1,$J27,$K26+$J27))</f>
        <v/>
      </c>
      <c r="L27" s="35">
        <f>IF($A27&gt;NYears*12,"",IF(MOD($D27,3)=0,SUM($J25:$J27),0))</f>
        <v/>
      </c>
      <c r="M27" s="35">
        <f>IF($A27&gt;NYears*12,"",IF(TaxFreq="Quarterly",$K27*12/$D27,$K27))</f>
        <v/>
      </c>
      <c r="N27" s="36">
        <f>IF($A27&gt;NYears*12,"",LOOKUP($M27,TaxLower,TaxRate))</f>
        <v/>
      </c>
      <c r="O27" s="35">
        <f>IF($A27&gt;NYears*12,"",IF(TaxFreq="Quarterly",IF(MOD($D27,3)=0,$L27*$N27,0),IF($D27=12,$K27*$N27,0)))</f>
        <v/>
      </c>
      <c r="P27" s="35">
        <f>IF($A27&gt;NYears*12,"",IF($D27=1,$O27,$P26+$O27))</f>
        <v/>
      </c>
      <c r="Q27" s="35">
        <f>IF($A27&gt;NYears*12,"",IF($D27=12,MIN(WdrPct*IF(WdrBase="Post-tax profit",$K27-$P27,$K27),WdrCap),0))</f>
        <v/>
      </c>
      <c r="R27" s="35">
        <f>IF($A27&gt;NYears*12,"",$F27+$J27-$O27-$Q27)</f>
        <v/>
      </c>
      <c r="S27" s="33">
        <f>IF($A27&gt;NYears*12,"",INT($R27/$E27))</f>
        <v/>
      </c>
    </row>
    <row r="28">
      <c r="A28" s="37">
        <f>24</f>
        <v/>
      </c>
      <c r="B28" s="38">
        <f>IF($A28&gt;NYears*12,"",EDATE(StartMonth,$A28-1))</f>
        <v/>
      </c>
      <c r="C28" s="37">
        <f>IF($A28&gt;NYears*12,"",INT(($A28-1)/12)+1)</f>
        <v/>
      </c>
      <c r="D28" s="37">
        <f>IF($A28&gt;NYears*12,"",MOD($A28-1,12)+1)</f>
        <v/>
      </c>
      <c r="E28" s="39">
        <f>IF($A28&gt;NYears*12,"",LotValue0*(1+LotGrowth)^($C28-1))</f>
        <v/>
      </c>
      <c r="F28" s="39">
        <f>IF($A28&gt;NYears*12,"",IF($A28=1,InitInvest,$R27))</f>
        <v/>
      </c>
      <c r="G28" s="37">
        <f>IF($A28&gt;NYears*12,"",INT($F28/$E28))</f>
        <v/>
      </c>
      <c r="H28" s="39">
        <f>IF($A28&gt;NYears*12,"",$G28*$E28)</f>
        <v/>
      </c>
      <c r="I28" s="39">
        <f>IF($A28&gt;NYears*12,"",$F28-$H28)</f>
        <v/>
      </c>
      <c r="J28" s="39">
        <f>IF($A28&gt;NYears*12,"",$H28*RateB)</f>
        <v/>
      </c>
      <c r="K28" s="39">
        <f>IF($A28&gt;NYears*12,"",IF($D28=1,$J28,$K27+$J28))</f>
        <v/>
      </c>
      <c r="L28" s="39">
        <f>IF($A28&gt;NYears*12,"",IF(MOD($D28,3)=0,SUM($J26:$J28),0))</f>
        <v/>
      </c>
      <c r="M28" s="39">
        <f>IF($A28&gt;NYears*12,"",IF(TaxFreq="Quarterly",$K28*12/$D28,$K28))</f>
        <v/>
      </c>
      <c r="N28" s="40">
        <f>IF($A28&gt;NYears*12,"",LOOKUP($M28,TaxLower,TaxRate))</f>
        <v/>
      </c>
      <c r="O28" s="39">
        <f>IF($A28&gt;NYears*12,"",IF(TaxFreq="Quarterly",IF(MOD($D28,3)=0,$L28*$N28,0),IF($D28=12,$K28*$N28,0)))</f>
        <v/>
      </c>
      <c r="P28" s="39">
        <f>IF($A28&gt;NYears*12,"",IF($D28=1,$O28,$P27+$O28))</f>
        <v/>
      </c>
      <c r="Q28" s="39">
        <f>IF($A28&gt;NYears*12,"",IF($D28=12,MIN(WdrPct*IF(WdrBase="Post-tax profit",$K28-$P28,$K28),WdrCap),0))</f>
        <v/>
      </c>
      <c r="R28" s="39">
        <f>IF($A28&gt;NYears*12,"",$F28+$J28-$O28-$Q28)</f>
        <v/>
      </c>
      <c r="S28" s="37">
        <f>IF($A28&gt;NYears*12,"",INT($R28/$E28))</f>
        <v/>
      </c>
    </row>
    <row r="29">
      <c r="A29" s="33">
        <f>25</f>
        <v/>
      </c>
      <c r="B29" s="34">
        <f>IF($A29&gt;NYears*12,"",EDATE(StartMonth,$A29-1))</f>
        <v/>
      </c>
      <c r="C29" s="33">
        <f>IF($A29&gt;NYears*12,"",INT(($A29-1)/12)+1)</f>
        <v/>
      </c>
      <c r="D29" s="33">
        <f>IF($A29&gt;NYears*12,"",MOD($A29-1,12)+1)</f>
        <v/>
      </c>
      <c r="E29" s="35">
        <f>IF($A29&gt;NYears*12,"",LotValue0*(1+LotGrowth)^($C29-1))</f>
        <v/>
      </c>
      <c r="F29" s="35">
        <f>IF($A29&gt;NYears*12,"",IF($A29=1,InitInvest,$R28))</f>
        <v/>
      </c>
      <c r="G29" s="33">
        <f>IF($A29&gt;NYears*12,"",INT($F29/$E29))</f>
        <v/>
      </c>
      <c r="H29" s="35">
        <f>IF($A29&gt;NYears*12,"",$G29*$E29)</f>
        <v/>
      </c>
      <c r="I29" s="35">
        <f>IF($A29&gt;NYears*12,"",$F29-$H29)</f>
        <v/>
      </c>
      <c r="J29" s="35">
        <f>IF($A29&gt;NYears*12,"",$H29*RateB)</f>
        <v/>
      </c>
      <c r="K29" s="35">
        <f>IF($A29&gt;NYears*12,"",IF($D29=1,$J29,$K28+$J29))</f>
        <v/>
      </c>
      <c r="L29" s="35">
        <f>IF($A29&gt;NYears*12,"",IF(MOD($D29,3)=0,SUM($J27:$J29),0))</f>
        <v/>
      </c>
      <c r="M29" s="35">
        <f>IF($A29&gt;NYears*12,"",IF(TaxFreq="Quarterly",$K29*12/$D29,$K29))</f>
        <v/>
      </c>
      <c r="N29" s="36">
        <f>IF($A29&gt;NYears*12,"",LOOKUP($M29,TaxLower,TaxRate))</f>
        <v/>
      </c>
      <c r="O29" s="35">
        <f>IF($A29&gt;NYears*12,"",IF(TaxFreq="Quarterly",IF(MOD($D29,3)=0,$L29*$N29,0),IF($D29=12,$K29*$N29,0)))</f>
        <v/>
      </c>
      <c r="P29" s="35">
        <f>IF($A29&gt;NYears*12,"",IF($D29=1,$O29,$P28+$O29))</f>
        <v/>
      </c>
      <c r="Q29" s="35">
        <f>IF($A29&gt;NYears*12,"",IF($D29=12,MIN(WdrPct*IF(WdrBase="Post-tax profit",$K29-$P29,$K29),WdrCap),0))</f>
        <v/>
      </c>
      <c r="R29" s="35">
        <f>IF($A29&gt;NYears*12,"",$F29+$J29-$O29-$Q29)</f>
        <v/>
      </c>
      <c r="S29" s="33">
        <f>IF($A29&gt;NYears*12,"",INT($R29/$E29))</f>
        <v/>
      </c>
    </row>
    <row r="30">
      <c r="A30" s="33">
        <f>26</f>
        <v/>
      </c>
      <c r="B30" s="34">
        <f>IF($A30&gt;NYears*12,"",EDATE(StartMonth,$A30-1))</f>
        <v/>
      </c>
      <c r="C30" s="33">
        <f>IF($A30&gt;NYears*12,"",INT(($A30-1)/12)+1)</f>
        <v/>
      </c>
      <c r="D30" s="33">
        <f>IF($A30&gt;NYears*12,"",MOD($A30-1,12)+1)</f>
        <v/>
      </c>
      <c r="E30" s="35">
        <f>IF($A30&gt;NYears*12,"",LotValue0*(1+LotGrowth)^($C30-1))</f>
        <v/>
      </c>
      <c r="F30" s="35">
        <f>IF($A30&gt;NYears*12,"",IF($A30=1,InitInvest,$R29))</f>
        <v/>
      </c>
      <c r="G30" s="33">
        <f>IF($A30&gt;NYears*12,"",INT($F30/$E30))</f>
        <v/>
      </c>
      <c r="H30" s="35">
        <f>IF($A30&gt;NYears*12,"",$G30*$E30)</f>
        <v/>
      </c>
      <c r="I30" s="35">
        <f>IF($A30&gt;NYears*12,"",$F30-$H30)</f>
        <v/>
      </c>
      <c r="J30" s="35">
        <f>IF($A30&gt;NYears*12,"",$H30*RateB)</f>
        <v/>
      </c>
      <c r="K30" s="35">
        <f>IF($A30&gt;NYears*12,"",IF($D30=1,$J30,$K29+$J30))</f>
        <v/>
      </c>
      <c r="L30" s="35">
        <f>IF($A30&gt;NYears*12,"",IF(MOD($D30,3)=0,SUM($J28:$J30),0))</f>
        <v/>
      </c>
      <c r="M30" s="35">
        <f>IF($A30&gt;NYears*12,"",IF(TaxFreq="Quarterly",$K30*12/$D30,$K30))</f>
        <v/>
      </c>
      <c r="N30" s="36">
        <f>IF($A30&gt;NYears*12,"",LOOKUP($M30,TaxLower,TaxRate))</f>
        <v/>
      </c>
      <c r="O30" s="35">
        <f>IF($A30&gt;NYears*12,"",IF(TaxFreq="Quarterly",IF(MOD($D30,3)=0,$L30*$N30,0),IF($D30=12,$K30*$N30,0)))</f>
        <v/>
      </c>
      <c r="P30" s="35">
        <f>IF($A30&gt;NYears*12,"",IF($D30=1,$O30,$P29+$O30))</f>
        <v/>
      </c>
      <c r="Q30" s="35">
        <f>IF($A30&gt;NYears*12,"",IF($D30=12,MIN(WdrPct*IF(WdrBase="Post-tax profit",$K30-$P30,$K30),WdrCap),0))</f>
        <v/>
      </c>
      <c r="R30" s="35">
        <f>IF($A30&gt;NYears*12,"",$F30+$J30-$O30-$Q30)</f>
        <v/>
      </c>
      <c r="S30" s="33">
        <f>IF($A30&gt;NYears*12,"",INT($R30/$E30))</f>
        <v/>
      </c>
    </row>
    <row r="31">
      <c r="A31" s="33">
        <f>27</f>
        <v/>
      </c>
      <c r="B31" s="34">
        <f>IF($A31&gt;NYears*12,"",EDATE(StartMonth,$A31-1))</f>
        <v/>
      </c>
      <c r="C31" s="33">
        <f>IF($A31&gt;NYears*12,"",INT(($A31-1)/12)+1)</f>
        <v/>
      </c>
      <c r="D31" s="33">
        <f>IF($A31&gt;NYears*12,"",MOD($A31-1,12)+1)</f>
        <v/>
      </c>
      <c r="E31" s="35">
        <f>IF($A31&gt;NYears*12,"",LotValue0*(1+LotGrowth)^($C31-1))</f>
        <v/>
      </c>
      <c r="F31" s="35">
        <f>IF($A31&gt;NYears*12,"",IF($A31=1,InitInvest,$R30))</f>
        <v/>
      </c>
      <c r="G31" s="33">
        <f>IF($A31&gt;NYears*12,"",INT($F31/$E31))</f>
        <v/>
      </c>
      <c r="H31" s="35">
        <f>IF($A31&gt;NYears*12,"",$G31*$E31)</f>
        <v/>
      </c>
      <c r="I31" s="35">
        <f>IF($A31&gt;NYears*12,"",$F31-$H31)</f>
        <v/>
      </c>
      <c r="J31" s="35">
        <f>IF($A31&gt;NYears*12,"",$H31*RateB)</f>
        <v/>
      </c>
      <c r="K31" s="35">
        <f>IF($A31&gt;NYears*12,"",IF($D31=1,$J31,$K30+$J31))</f>
        <v/>
      </c>
      <c r="L31" s="35">
        <f>IF($A31&gt;NYears*12,"",IF(MOD($D31,3)=0,SUM($J29:$J31),0))</f>
        <v/>
      </c>
      <c r="M31" s="35">
        <f>IF($A31&gt;NYears*12,"",IF(TaxFreq="Quarterly",$K31*12/$D31,$K31))</f>
        <v/>
      </c>
      <c r="N31" s="36">
        <f>IF($A31&gt;NYears*12,"",LOOKUP($M31,TaxLower,TaxRate))</f>
        <v/>
      </c>
      <c r="O31" s="35">
        <f>IF($A31&gt;NYears*12,"",IF(TaxFreq="Quarterly",IF(MOD($D31,3)=0,$L31*$N31,0),IF($D31=12,$K31*$N31,0)))</f>
        <v/>
      </c>
      <c r="P31" s="35">
        <f>IF($A31&gt;NYears*12,"",IF($D31=1,$O31,$P30+$O31))</f>
        <v/>
      </c>
      <c r="Q31" s="35">
        <f>IF($A31&gt;NYears*12,"",IF($D31=12,MIN(WdrPct*IF(WdrBase="Post-tax profit",$K31-$P31,$K31),WdrCap),0))</f>
        <v/>
      </c>
      <c r="R31" s="35">
        <f>IF($A31&gt;NYears*12,"",$F31+$J31-$O31-$Q31)</f>
        <v/>
      </c>
      <c r="S31" s="33">
        <f>IF($A31&gt;NYears*12,"",INT($R31/$E31))</f>
        <v/>
      </c>
    </row>
    <row r="32">
      <c r="A32" s="33">
        <f>28</f>
        <v/>
      </c>
      <c r="B32" s="34">
        <f>IF($A32&gt;NYears*12,"",EDATE(StartMonth,$A32-1))</f>
        <v/>
      </c>
      <c r="C32" s="33">
        <f>IF($A32&gt;NYears*12,"",INT(($A32-1)/12)+1)</f>
        <v/>
      </c>
      <c r="D32" s="33">
        <f>IF($A32&gt;NYears*12,"",MOD($A32-1,12)+1)</f>
        <v/>
      </c>
      <c r="E32" s="35">
        <f>IF($A32&gt;NYears*12,"",LotValue0*(1+LotGrowth)^($C32-1))</f>
        <v/>
      </c>
      <c r="F32" s="35">
        <f>IF($A32&gt;NYears*12,"",IF($A32=1,InitInvest,$R31))</f>
        <v/>
      </c>
      <c r="G32" s="33">
        <f>IF($A32&gt;NYears*12,"",INT($F32/$E32))</f>
        <v/>
      </c>
      <c r="H32" s="35">
        <f>IF($A32&gt;NYears*12,"",$G32*$E32)</f>
        <v/>
      </c>
      <c r="I32" s="35">
        <f>IF($A32&gt;NYears*12,"",$F32-$H32)</f>
        <v/>
      </c>
      <c r="J32" s="35">
        <f>IF($A32&gt;NYears*12,"",$H32*RateB)</f>
        <v/>
      </c>
      <c r="K32" s="35">
        <f>IF($A32&gt;NYears*12,"",IF($D32=1,$J32,$K31+$J32))</f>
        <v/>
      </c>
      <c r="L32" s="35">
        <f>IF($A32&gt;NYears*12,"",IF(MOD($D32,3)=0,SUM($J30:$J32),0))</f>
        <v/>
      </c>
      <c r="M32" s="35">
        <f>IF($A32&gt;NYears*12,"",IF(TaxFreq="Quarterly",$K32*12/$D32,$K32))</f>
        <v/>
      </c>
      <c r="N32" s="36">
        <f>IF($A32&gt;NYears*12,"",LOOKUP($M32,TaxLower,TaxRate))</f>
        <v/>
      </c>
      <c r="O32" s="35">
        <f>IF($A32&gt;NYears*12,"",IF(TaxFreq="Quarterly",IF(MOD($D32,3)=0,$L32*$N32,0),IF($D32=12,$K32*$N32,0)))</f>
        <v/>
      </c>
      <c r="P32" s="35">
        <f>IF($A32&gt;NYears*12,"",IF($D32=1,$O32,$P31+$O32))</f>
        <v/>
      </c>
      <c r="Q32" s="35">
        <f>IF($A32&gt;NYears*12,"",IF($D32=12,MIN(WdrPct*IF(WdrBase="Post-tax profit",$K32-$P32,$K32),WdrCap),0))</f>
        <v/>
      </c>
      <c r="R32" s="35">
        <f>IF($A32&gt;NYears*12,"",$F32+$J32-$O32-$Q32)</f>
        <v/>
      </c>
      <c r="S32" s="33">
        <f>IF($A32&gt;NYears*12,"",INT($R32/$E32))</f>
        <v/>
      </c>
    </row>
    <row r="33">
      <c r="A33" s="33">
        <f>29</f>
        <v/>
      </c>
      <c r="B33" s="34">
        <f>IF($A33&gt;NYears*12,"",EDATE(StartMonth,$A33-1))</f>
        <v/>
      </c>
      <c r="C33" s="33">
        <f>IF($A33&gt;NYears*12,"",INT(($A33-1)/12)+1)</f>
        <v/>
      </c>
      <c r="D33" s="33">
        <f>IF($A33&gt;NYears*12,"",MOD($A33-1,12)+1)</f>
        <v/>
      </c>
      <c r="E33" s="35">
        <f>IF($A33&gt;NYears*12,"",LotValue0*(1+LotGrowth)^($C33-1))</f>
        <v/>
      </c>
      <c r="F33" s="35">
        <f>IF($A33&gt;NYears*12,"",IF($A33=1,InitInvest,$R32))</f>
        <v/>
      </c>
      <c r="G33" s="33">
        <f>IF($A33&gt;NYears*12,"",INT($F33/$E33))</f>
        <v/>
      </c>
      <c r="H33" s="35">
        <f>IF($A33&gt;NYears*12,"",$G33*$E33)</f>
        <v/>
      </c>
      <c r="I33" s="35">
        <f>IF($A33&gt;NYears*12,"",$F33-$H33)</f>
        <v/>
      </c>
      <c r="J33" s="35">
        <f>IF($A33&gt;NYears*12,"",$H33*RateB)</f>
        <v/>
      </c>
      <c r="K33" s="35">
        <f>IF($A33&gt;NYears*12,"",IF($D33=1,$J33,$K32+$J33))</f>
        <v/>
      </c>
      <c r="L33" s="35">
        <f>IF($A33&gt;NYears*12,"",IF(MOD($D33,3)=0,SUM($J31:$J33),0))</f>
        <v/>
      </c>
      <c r="M33" s="35">
        <f>IF($A33&gt;NYears*12,"",IF(TaxFreq="Quarterly",$K33*12/$D33,$K33))</f>
        <v/>
      </c>
      <c r="N33" s="36">
        <f>IF($A33&gt;NYears*12,"",LOOKUP($M33,TaxLower,TaxRate))</f>
        <v/>
      </c>
      <c r="O33" s="35">
        <f>IF($A33&gt;NYears*12,"",IF(TaxFreq="Quarterly",IF(MOD($D33,3)=0,$L33*$N33,0),IF($D33=12,$K33*$N33,0)))</f>
        <v/>
      </c>
      <c r="P33" s="35">
        <f>IF($A33&gt;NYears*12,"",IF($D33=1,$O33,$P32+$O33))</f>
        <v/>
      </c>
      <c r="Q33" s="35">
        <f>IF($A33&gt;NYears*12,"",IF($D33=12,MIN(WdrPct*IF(WdrBase="Post-tax profit",$K33-$P33,$K33),WdrCap),0))</f>
        <v/>
      </c>
      <c r="R33" s="35">
        <f>IF($A33&gt;NYears*12,"",$F33+$J33-$O33-$Q33)</f>
        <v/>
      </c>
      <c r="S33" s="33">
        <f>IF($A33&gt;NYears*12,"",INT($R33/$E33))</f>
        <v/>
      </c>
    </row>
    <row r="34">
      <c r="A34" s="33">
        <f>30</f>
        <v/>
      </c>
      <c r="B34" s="34">
        <f>IF($A34&gt;NYears*12,"",EDATE(StartMonth,$A34-1))</f>
        <v/>
      </c>
      <c r="C34" s="33">
        <f>IF($A34&gt;NYears*12,"",INT(($A34-1)/12)+1)</f>
        <v/>
      </c>
      <c r="D34" s="33">
        <f>IF($A34&gt;NYears*12,"",MOD($A34-1,12)+1)</f>
        <v/>
      </c>
      <c r="E34" s="35">
        <f>IF($A34&gt;NYears*12,"",LotValue0*(1+LotGrowth)^($C34-1))</f>
        <v/>
      </c>
      <c r="F34" s="35">
        <f>IF($A34&gt;NYears*12,"",IF($A34=1,InitInvest,$R33))</f>
        <v/>
      </c>
      <c r="G34" s="33">
        <f>IF($A34&gt;NYears*12,"",INT($F34/$E34))</f>
        <v/>
      </c>
      <c r="H34" s="35">
        <f>IF($A34&gt;NYears*12,"",$G34*$E34)</f>
        <v/>
      </c>
      <c r="I34" s="35">
        <f>IF($A34&gt;NYears*12,"",$F34-$H34)</f>
        <v/>
      </c>
      <c r="J34" s="35">
        <f>IF($A34&gt;NYears*12,"",$H34*RateB)</f>
        <v/>
      </c>
      <c r="K34" s="35">
        <f>IF($A34&gt;NYears*12,"",IF($D34=1,$J34,$K33+$J34))</f>
        <v/>
      </c>
      <c r="L34" s="35">
        <f>IF($A34&gt;NYears*12,"",IF(MOD($D34,3)=0,SUM($J32:$J34),0))</f>
        <v/>
      </c>
      <c r="M34" s="35">
        <f>IF($A34&gt;NYears*12,"",IF(TaxFreq="Quarterly",$K34*12/$D34,$K34))</f>
        <v/>
      </c>
      <c r="N34" s="36">
        <f>IF($A34&gt;NYears*12,"",LOOKUP($M34,TaxLower,TaxRate))</f>
        <v/>
      </c>
      <c r="O34" s="35">
        <f>IF($A34&gt;NYears*12,"",IF(TaxFreq="Quarterly",IF(MOD($D34,3)=0,$L34*$N34,0),IF($D34=12,$K34*$N34,0)))</f>
        <v/>
      </c>
      <c r="P34" s="35">
        <f>IF($A34&gt;NYears*12,"",IF($D34=1,$O34,$P33+$O34))</f>
        <v/>
      </c>
      <c r="Q34" s="35">
        <f>IF($A34&gt;NYears*12,"",IF($D34=12,MIN(WdrPct*IF(WdrBase="Post-tax profit",$K34-$P34,$K34),WdrCap),0))</f>
        <v/>
      </c>
      <c r="R34" s="35">
        <f>IF($A34&gt;NYears*12,"",$F34+$J34-$O34-$Q34)</f>
        <v/>
      </c>
      <c r="S34" s="33">
        <f>IF($A34&gt;NYears*12,"",INT($R34/$E34))</f>
        <v/>
      </c>
    </row>
    <row r="35">
      <c r="A35" s="33">
        <f>31</f>
        <v/>
      </c>
      <c r="B35" s="34">
        <f>IF($A35&gt;NYears*12,"",EDATE(StartMonth,$A35-1))</f>
        <v/>
      </c>
      <c r="C35" s="33">
        <f>IF($A35&gt;NYears*12,"",INT(($A35-1)/12)+1)</f>
        <v/>
      </c>
      <c r="D35" s="33">
        <f>IF($A35&gt;NYears*12,"",MOD($A35-1,12)+1)</f>
        <v/>
      </c>
      <c r="E35" s="35">
        <f>IF($A35&gt;NYears*12,"",LotValue0*(1+LotGrowth)^($C35-1))</f>
        <v/>
      </c>
      <c r="F35" s="35">
        <f>IF($A35&gt;NYears*12,"",IF($A35=1,InitInvest,$R34))</f>
        <v/>
      </c>
      <c r="G35" s="33">
        <f>IF($A35&gt;NYears*12,"",INT($F35/$E35))</f>
        <v/>
      </c>
      <c r="H35" s="35">
        <f>IF($A35&gt;NYears*12,"",$G35*$E35)</f>
        <v/>
      </c>
      <c r="I35" s="35">
        <f>IF($A35&gt;NYears*12,"",$F35-$H35)</f>
        <v/>
      </c>
      <c r="J35" s="35">
        <f>IF($A35&gt;NYears*12,"",$H35*RateB)</f>
        <v/>
      </c>
      <c r="K35" s="35">
        <f>IF($A35&gt;NYears*12,"",IF($D35=1,$J35,$K34+$J35))</f>
        <v/>
      </c>
      <c r="L35" s="35">
        <f>IF($A35&gt;NYears*12,"",IF(MOD($D35,3)=0,SUM($J33:$J35),0))</f>
        <v/>
      </c>
      <c r="M35" s="35">
        <f>IF($A35&gt;NYears*12,"",IF(TaxFreq="Quarterly",$K35*12/$D35,$K35))</f>
        <v/>
      </c>
      <c r="N35" s="36">
        <f>IF($A35&gt;NYears*12,"",LOOKUP($M35,TaxLower,TaxRate))</f>
        <v/>
      </c>
      <c r="O35" s="35">
        <f>IF($A35&gt;NYears*12,"",IF(TaxFreq="Quarterly",IF(MOD($D35,3)=0,$L35*$N35,0),IF($D35=12,$K35*$N35,0)))</f>
        <v/>
      </c>
      <c r="P35" s="35">
        <f>IF($A35&gt;NYears*12,"",IF($D35=1,$O35,$P34+$O35))</f>
        <v/>
      </c>
      <c r="Q35" s="35">
        <f>IF($A35&gt;NYears*12,"",IF($D35=12,MIN(WdrPct*IF(WdrBase="Post-tax profit",$K35-$P35,$K35),WdrCap),0))</f>
        <v/>
      </c>
      <c r="R35" s="35">
        <f>IF($A35&gt;NYears*12,"",$F35+$J35-$O35-$Q35)</f>
        <v/>
      </c>
      <c r="S35" s="33">
        <f>IF($A35&gt;NYears*12,"",INT($R35/$E35))</f>
        <v/>
      </c>
    </row>
    <row r="36">
      <c r="A36" s="33">
        <f>32</f>
        <v/>
      </c>
      <c r="B36" s="34">
        <f>IF($A36&gt;NYears*12,"",EDATE(StartMonth,$A36-1))</f>
        <v/>
      </c>
      <c r="C36" s="33">
        <f>IF($A36&gt;NYears*12,"",INT(($A36-1)/12)+1)</f>
        <v/>
      </c>
      <c r="D36" s="33">
        <f>IF($A36&gt;NYears*12,"",MOD($A36-1,12)+1)</f>
        <v/>
      </c>
      <c r="E36" s="35">
        <f>IF($A36&gt;NYears*12,"",LotValue0*(1+LotGrowth)^($C36-1))</f>
        <v/>
      </c>
      <c r="F36" s="35">
        <f>IF($A36&gt;NYears*12,"",IF($A36=1,InitInvest,$R35))</f>
        <v/>
      </c>
      <c r="G36" s="33">
        <f>IF($A36&gt;NYears*12,"",INT($F36/$E36))</f>
        <v/>
      </c>
      <c r="H36" s="35">
        <f>IF($A36&gt;NYears*12,"",$G36*$E36)</f>
        <v/>
      </c>
      <c r="I36" s="35">
        <f>IF($A36&gt;NYears*12,"",$F36-$H36)</f>
        <v/>
      </c>
      <c r="J36" s="35">
        <f>IF($A36&gt;NYears*12,"",$H36*RateB)</f>
        <v/>
      </c>
      <c r="K36" s="35">
        <f>IF($A36&gt;NYears*12,"",IF($D36=1,$J36,$K35+$J36))</f>
        <v/>
      </c>
      <c r="L36" s="35">
        <f>IF($A36&gt;NYears*12,"",IF(MOD($D36,3)=0,SUM($J34:$J36),0))</f>
        <v/>
      </c>
      <c r="M36" s="35">
        <f>IF($A36&gt;NYears*12,"",IF(TaxFreq="Quarterly",$K36*12/$D36,$K36))</f>
        <v/>
      </c>
      <c r="N36" s="36">
        <f>IF($A36&gt;NYears*12,"",LOOKUP($M36,TaxLower,TaxRate))</f>
        <v/>
      </c>
      <c r="O36" s="35">
        <f>IF($A36&gt;NYears*12,"",IF(TaxFreq="Quarterly",IF(MOD($D36,3)=0,$L36*$N36,0),IF($D36=12,$K36*$N36,0)))</f>
        <v/>
      </c>
      <c r="P36" s="35">
        <f>IF($A36&gt;NYears*12,"",IF($D36=1,$O36,$P35+$O36))</f>
        <v/>
      </c>
      <c r="Q36" s="35">
        <f>IF($A36&gt;NYears*12,"",IF($D36=12,MIN(WdrPct*IF(WdrBase="Post-tax profit",$K36-$P36,$K36),WdrCap),0))</f>
        <v/>
      </c>
      <c r="R36" s="35">
        <f>IF($A36&gt;NYears*12,"",$F36+$J36-$O36-$Q36)</f>
        <v/>
      </c>
      <c r="S36" s="33">
        <f>IF($A36&gt;NYears*12,"",INT($R36/$E36))</f>
        <v/>
      </c>
    </row>
    <row r="37">
      <c r="A37" s="33">
        <f>33</f>
        <v/>
      </c>
      <c r="B37" s="34">
        <f>IF($A37&gt;NYears*12,"",EDATE(StartMonth,$A37-1))</f>
        <v/>
      </c>
      <c r="C37" s="33">
        <f>IF($A37&gt;NYears*12,"",INT(($A37-1)/12)+1)</f>
        <v/>
      </c>
      <c r="D37" s="33">
        <f>IF($A37&gt;NYears*12,"",MOD($A37-1,12)+1)</f>
        <v/>
      </c>
      <c r="E37" s="35">
        <f>IF($A37&gt;NYears*12,"",LotValue0*(1+LotGrowth)^($C37-1))</f>
        <v/>
      </c>
      <c r="F37" s="35">
        <f>IF($A37&gt;NYears*12,"",IF($A37=1,InitInvest,$R36))</f>
        <v/>
      </c>
      <c r="G37" s="33">
        <f>IF($A37&gt;NYears*12,"",INT($F37/$E37))</f>
        <v/>
      </c>
      <c r="H37" s="35">
        <f>IF($A37&gt;NYears*12,"",$G37*$E37)</f>
        <v/>
      </c>
      <c r="I37" s="35">
        <f>IF($A37&gt;NYears*12,"",$F37-$H37)</f>
        <v/>
      </c>
      <c r="J37" s="35">
        <f>IF($A37&gt;NYears*12,"",$H37*RateB)</f>
        <v/>
      </c>
      <c r="K37" s="35">
        <f>IF($A37&gt;NYears*12,"",IF($D37=1,$J37,$K36+$J37))</f>
        <v/>
      </c>
      <c r="L37" s="35">
        <f>IF($A37&gt;NYears*12,"",IF(MOD($D37,3)=0,SUM($J35:$J37),0))</f>
        <v/>
      </c>
      <c r="M37" s="35">
        <f>IF($A37&gt;NYears*12,"",IF(TaxFreq="Quarterly",$K37*12/$D37,$K37))</f>
        <v/>
      </c>
      <c r="N37" s="36">
        <f>IF($A37&gt;NYears*12,"",LOOKUP($M37,TaxLower,TaxRate))</f>
        <v/>
      </c>
      <c r="O37" s="35">
        <f>IF($A37&gt;NYears*12,"",IF(TaxFreq="Quarterly",IF(MOD($D37,3)=0,$L37*$N37,0),IF($D37=12,$K37*$N37,0)))</f>
        <v/>
      </c>
      <c r="P37" s="35">
        <f>IF($A37&gt;NYears*12,"",IF($D37=1,$O37,$P36+$O37))</f>
        <v/>
      </c>
      <c r="Q37" s="35">
        <f>IF($A37&gt;NYears*12,"",IF($D37=12,MIN(WdrPct*IF(WdrBase="Post-tax profit",$K37-$P37,$K37),WdrCap),0))</f>
        <v/>
      </c>
      <c r="R37" s="35">
        <f>IF($A37&gt;NYears*12,"",$F37+$J37-$O37-$Q37)</f>
        <v/>
      </c>
      <c r="S37" s="33">
        <f>IF($A37&gt;NYears*12,"",INT($R37/$E37))</f>
        <v/>
      </c>
    </row>
    <row r="38">
      <c r="A38" s="33">
        <f>34</f>
        <v/>
      </c>
      <c r="B38" s="34">
        <f>IF($A38&gt;NYears*12,"",EDATE(StartMonth,$A38-1))</f>
        <v/>
      </c>
      <c r="C38" s="33">
        <f>IF($A38&gt;NYears*12,"",INT(($A38-1)/12)+1)</f>
        <v/>
      </c>
      <c r="D38" s="33">
        <f>IF($A38&gt;NYears*12,"",MOD($A38-1,12)+1)</f>
        <v/>
      </c>
      <c r="E38" s="35">
        <f>IF($A38&gt;NYears*12,"",LotValue0*(1+LotGrowth)^($C38-1))</f>
        <v/>
      </c>
      <c r="F38" s="35">
        <f>IF($A38&gt;NYears*12,"",IF($A38=1,InitInvest,$R37))</f>
        <v/>
      </c>
      <c r="G38" s="33">
        <f>IF($A38&gt;NYears*12,"",INT($F38/$E38))</f>
        <v/>
      </c>
      <c r="H38" s="35">
        <f>IF($A38&gt;NYears*12,"",$G38*$E38)</f>
        <v/>
      </c>
      <c r="I38" s="35">
        <f>IF($A38&gt;NYears*12,"",$F38-$H38)</f>
        <v/>
      </c>
      <c r="J38" s="35">
        <f>IF($A38&gt;NYears*12,"",$H38*RateB)</f>
        <v/>
      </c>
      <c r="K38" s="35">
        <f>IF($A38&gt;NYears*12,"",IF($D38=1,$J38,$K37+$J38))</f>
        <v/>
      </c>
      <c r="L38" s="35">
        <f>IF($A38&gt;NYears*12,"",IF(MOD($D38,3)=0,SUM($J36:$J38),0))</f>
        <v/>
      </c>
      <c r="M38" s="35">
        <f>IF($A38&gt;NYears*12,"",IF(TaxFreq="Quarterly",$K38*12/$D38,$K38))</f>
        <v/>
      </c>
      <c r="N38" s="36">
        <f>IF($A38&gt;NYears*12,"",LOOKUP($M38,TaxLower,TaxRate))</f>
        <v/>
      </c>
      <c r="O38" s="35">
        <f>IF($A38&gt;NYears*12,"",IF(TaxFreq="Quarterly",IF(MOD($D38,3)=0,$L38*$N38,0),IF($D38=12,$K38*$N38,0)))</f>
        <v/>
      </c>
      <c r="P38" s="35">
        <f>IF($A38&gt;NYears*12,"",IF($D38=1,$O38,$P37+$O38))</f>
        <v/>
      </c>
      <c r="Q38" s="35">
        <f>IF($A38&gt;NYears*12,"",IF($D38=12,MIN(WdrPct*IF(WdrBase="Post-tax profit",$K38-$P38,$K38),WdrCap),0))</f>
        <v/>
      </c>
      <c r="R38" s="35">
        <f>IF($A38&gt;NYears*12,"",$F38+$J38-$O38-$Q38)</f>
        <v/>
      </c>
      <c r="S38" s="33">
        <f>IF($A38&gt;NYears*12,"",INT($R38/$E38))</f>
        <v/>
      </c>
    </row>
    <row r="39">
      <c r="A39" s="33">
        <f>35</f>
        <v/>
      </c>
      <c r="B39" s="34">
        <f>IF($A39&gt;NYears*12,"",EDATE(StartMonth,$A39-1))</f>
        <v/>
      </c>
      <c r="C39" s="33">
        <f>IF($A39&gt;NYears*12,"",INT(($A39-1)/12)+1)</f>
        <v/>
      </c>
      <c r="D39" s="33">
        <f>IF($A39&gt;NYears*12,"",MOD($A39-1,12)+1)</f>
        <v/>
      </c>
      <c r="E39" s="35">
        <f>IF($A39&gt;NYears*12,"",LotValue0*(1+LotGrowth)^($C39-1))</f>
        <v/>
      </c>
      <c r="F39" s="35">
        <f>IF($A39&gt;NYears*12,"",IF($A39=1,InitInvest,$R38))</f>
        <v/>
      </c>
      <c r="G39" s="33">
        <f>IF($A39&gt;NYears*12,"",INT($F39/$E39))</f>
        <v/>
      </c>
      <c r="H39" s="35">
        <f>IF($A39&gt;NYears*12,"",$G39*$E39)</f>
        <v/>
      </c>
      <c r="I39" s="35">
        <f>IF($A39&gt;NYears*12,"",$F39-$H39)</f>
        <v/>
      </c>
      <c r="J39" s="35">
        <f>IF($A39&gt;NYears*12,"",$H39*RateB)</f>
        <v/>
      </c>
      <c r="K39" s="35">
        <f>IF($A39&gt;NYears*12,"",IF($D39=1,$J39,$K38+$J39))</f>
        <v/>
      </c>
      <c r="L39" s="35">
        <f>IF($A39&gt;NYears*12,"",IF(MOD($D39,3)=0,SUM($J37:$J39),0))</f>
        <v/>
      </c>
      <c r="M39" s="35">
        <f>IF($A39&gt;NYears*12,"",IF(TaxFreq="Quarterly",$K39*12/$D39,$K39))</f>
        <v/>
      </c>
      <c r="N39" s="36">
        <f>IF($A39&gt;NYears*12,"",LOOKUP($M39,TaxLower,TaxRate))</f>
        <v/>
      </c>
      <c r="O39" s="35">
        <f>IF($A39&gt;NYears*12,"",IF(TaxFreq="Quarterly",IF(MOD($D39,3)=0,$L39*$N39,0),IF($D39=12,$K39*$N39,0)))</f>
        <v/>
      </c>
      <c r="P39" s="35">
        <f>IF($A39&gt;NYears*12,"",IF($D39=1,$O39,$P38+$O39))</f>
        <v/>
      </c>
      <c r="Q39" s="35">
        <f>IF($A39&gt;NYears*12,"",IF($D39=12,MIN(WdrPct*IF(WdrBase="Post-tax profit",$K39-$P39,$K39),WdrCap),0))</f>
        <v/>
      </c>
      <c r="R39" s="35">
        <f>IF($A39&gt;NYears*12,"",$F39+$J39-$O39-$Q39)</f>
        <v/>
      </c>
      <c r="S39" s="33">
        <f>IF($A39&gt;NYears*12,"",INT($R39/$E39))</f>
        <v/>
      </c>
    </row>
    <row r="40">
      <c r="A40" s="37">
        <f>36</f>
        <v/>
      </c>
      <c r="B40" s="38">
        <f>IF($A40&gt;NYears*12,"",EDATE(StartMonth,$A40-1))</f>
        <v/>
      </c>
      <c r="C40" s="37">
        <f>IF($A40&gt;NYears*12,"",INT(($A40-1)/12)+1)</f>
        <v/>
      </c>
      <c r="D40" s="37">
        <f>IF($A40&gt;NYears*12,"",MOD($A40-1,12)+1)</f>
        <v/>
      </c>
      <c r="E40" s="39">
        <f>IF($A40&gt;NYears*12,"",LotValue0*(1+LotGrowth)^($C40-1))</f>
        <v/>
      </c>
      <c r="F40" s="39">
        <f>IF($A40&gt;NYears*12,"",IF($A40=1,InitInvest,$R39))</f>
        <v/>
      </c>
      <c r="G40" s="37">
        <f>IF($A40&gt;NYears*12,"",INT($F40/$E40))</f>
        <v/>
      </c>
      <c r="H40" s="39">
        <f>IF($A40&gt;NYears*12,"",$G40*$E40)</f>
        <v/>
      </c>
      <c r="I40" s="39">
        <f>IF($A40&gt;NYears*12,"",$F40-$H40)</f>
        <v/>
      </c>
      <c r="J40" s="39">
        <f>IF($A40&gt;NYears*12,"",$H40*RateB)</f>
        <v/>
      </c>
      <c r="K40" s="39">
        <f>IF($A40&gt;NYears*12,"",IF($D40=1,$J40,$K39+$J40))</f>
        <v/>
      </c>
      <c r="L40" s="39">
        <f>IF($A40&gt;NYears*12,"",IF(MOD($D40,3)=0,SUM($J38:$J40),0))</f>
        <v/>
      </c>
      <c r="M40" s="39">
        <f>IF($A40&gt;NYears*12,"",IF(TaxFreq="Quarterly",$K40*12/$D40,$K40))</f>
        <v/>
      </c>
      <c r="N40" s="40">
        <f>IF($A40&gt;NYears*12,"",LOOKUP($M40,TaxLower,TaxRate))</f>
        <v/>
      </c>
      <c r="O40" s="39">
        <f>IF($A40&gt;NYears*12,"",IF(TaxFreq="Quarterly",IF(MOD($D40,3)=0,$L40*$N40,0),IF($D40=12,$K40*$N40,0)))</f>
        <v/>
      </c>
      <c r="P40" s="39">
        <f>IF($A40&gt;NYears*12,"",IF($D40=1,$O40,$P39+$O40))</f>
        <v/>
      </c>
      <c r="Q40" s="39">
        <f>IF($A40&gt;NYears*12,"",IF($D40=12,MIN(WdrPct*IF(WdrBase="Post-tax profit",$K40-$P40,$K40),WdrCap),0))</f>
        <v/>
      </c>
      <c r="R40" s="39">
        <f>IF($A40&gt;NYears*12,"",$F40+$J40-$O40-$Q40)</f>
        <v/>
      </c>
      <c r="S40" s="37">
        <f>IF($A40&gt;NYears*12,"",INT($R40/$E40))</f>
        <v/>
      </c>
    </row>
    <row r="41">
      <c r="A41" s="33">
        <f>37</f>
        <v/>
      </c>
      <c r="B41" s="34">
        <f>IF($A41&gt;NYears*12,"",EDATE(StartMonth,$A41-1))</f>
        <v/>
      </c>
      <c r="C41" s="33">
        <f>IF($A41&gt;NYears*12,"",INT(($A41-1)/12)+1)</f>
        <v/>
      </c>
      <c r="D41" s="33">
        <f>IF($A41&gt;NYears*12,"",MOD($A41-1,12)+1)</f>
        <v/>
      </c>
      <c r="E41" s="35">
        <f>IF($A41&gt;NYears*12,"",LotValue0*(1+LotGrowth)^($C41-1))</f>
        <v/>
      </c>
      <c r="F41" s="35">
        <f>IF($A41&gt;NYears*12,"",IF($A41=1,InitInvest,$R40))</f>
        <v/>
      </c>
      <c r="G41" s="33">
        <f>IF($A41&gt;NYears*12,"",INT($F41/$E41))</f>
        <v/>
      </c>
      <c r="H41" s="35">
        <f>IF($A41&gt;NYears*12,"",$G41*$E41)</f>
        <v/>
      </c>
      <c r="I41" s="35">
        <f>IF($A41&gt;NYears*12,"",$F41-$H41)</f>
        <v/>
      </c>
      <c r="J41" s="35">
        <f>IF($A41&gt;NYears*12,"",$H41*RateB)</f>
        <v/>
      </c>
      <c r="K41" s="35">
        <f>IF($A41&gt;NYears*12,"",IF($D41=1,$J41,$K40+$J41))</f>
        <v/>
      </c>
      <c r="L41" s="35">
        <f>IF($A41&gt;NYears*12,"",IF(MOD($D41,3)=0,SUM($J39:$J41),0))</f>
        <v/>
      </c>
      <c r="M41" s="35">
        <f>IF($A41&gt;NYears*12,"",IF(TaxFreq="Quarterly",$K41*12/$D41,$K41))</f>
        <v/>
      </c>
      <c r="N41" s="36">
        <f>IF($A41&gt;NYears*12,"",LOOKUP($M41,TaxLower,TaxRate))</f>
        <v/>
      </c>
      <c r="O41" s="35">
        <f>IF($A41&gt;NYears*12,"",IF(TaxFreq="Quarterly",IF(MOD($D41,3)=0,$L41*$N41,0),IF($D41=12,$K41*$N41,0)))</f>
        <v/>
      </c>
      <c r="P41" s="35">
        <f>IF($A41&gt;NYears*12,"",IF($D41=1,$O41,$P40+$O41))</f>
        <v/>
      </c>
      <c r="Q41" s="35">
        <f>IF($A41&gt;NYears*12,"",IF($D41=12,MIN(WdrPct*IF(WdrBase="Post-tax profit",$K41-$P41,$K41),WdrCap),0))</f>
        <v/>
      </c>
      <c r="R41" s="35">
        <f>IF($A41&gt;NYears*12,"",$F41+$J41-$O41-$Q41)</f>
        <v/>
      </c>
      <c r="S41" s="33">
        <f>IF($A41&gt;NYears*12,"",INT($R41/$E41))</f>
        <v/>
      </c>
    </row>
    <row r="42">
      <c r="A42" s="33">
        <f>38</f>
        <v/>
      </c>
      <c r="B42" s="34">
        <f>IF($A42&gt;NYears*12,"",EDATE(StartMonth,$A42-1))</f>
        <v/>
      </c>
      <c r="C42" s="33">
        <f>IF($A42&gt;NYears*12,"",INT(($A42-1)/12)+1)</f>
        <v/>
      </c>
      <c r="D42" s="33">
        <f>IF($A42&gt;NYears*12,"",MOD($A42-1,12)+1)</f>
        <v/>
      </c>
      <c r="E42" s="35">
        <f>IF($A42&gt;NYears*12,"",LotValue0*(1+LotGrowth)^($C42-1))</f>
        <v/>
      </c>
      <c r="F42" s="35">
        <f>IF($A42&gt;NYears*12,"",IF($A42=1,InitInvest,$R41))</f>
        <v/>
      </c>
      <c r="G42" s="33">
        <f>IF($A42&gt;NYears*12,"",INT($F42/$E42))</f>
        <v/>
      </c>
      <c r="H42" s="35">
        <f>IF($A42&gt;NYears*12,"",$G42*$E42)</f>
        <v/>
      </c>
      <c r="I42" s="35">
        <f>IF($A42&gt;NYears*12,"",$F42-$H42)</f>
        <v/>
      </c>
      <c r="J42" s="35">
        <f>IF($A42&gt;NYears*12,"",$H42*RateB)</f>
        <v/>
      </c>
      <c r="K42" s="35">
        <f>IF($A42&gt;NYears*12,"",IF($D42=1,$J42,$K41+$J42))</f>
        <v/>
      </c>
      <c r="L42" s="35">
        <f>IF($A42&gt;NYears*12,"",IF(MOD($D42,3)=0,SUM($J40:$J42),0))</f>
        <v/>
      </c>
      <c r="M42" s="35">
        <f>IF($A42&gt;NYears*12,"",IF(TaxFreq="Quarterly",$K42*12/$D42,$K42))</f>
        <v/>
      </c>
      <c r="N42" s="36">
        <f>IF($A42&gt;NYears*12,"",LOOKUP($M42,TaxLower,TaxRate))</f>
        <v/>
      </c>
      <c r="O42" s="35">
        <f>IF($A42&gt;NYears*12,"",IF(TaxFreq="Quarterly",IF(MOD($D42,3)=0,$L42*$N42,0),IF($D42=12,$K42*$N42,0)))</f>
        <v/>
      </c>
      <c r="P42" s="35">
        <f>IF($A42&gt;NYears*12,"",IF($D42=1,$O42,$P41+$O42))</f>
        <v/>
      </c>
      <c r="Q42" s="35">
        <f>IF($A42&gt;NYears*12,"",IF($D42=12,MIN(WdrPct*IF(WdrBase="Post-tax profit",$K42-$P42,$K42),WdrCap),0))</f>
        <v/>
      </c>
      <c r="R42" s="35">
        <f>IF($A42&gt;NYears*12,"",$F42+$J42-$O42-$Q42)</f>
        <v/>
      </c>
      <c r="S42" s="33">
        <f>IF($A42&gt;NYears*12,"",INT($R42/$E42))</f>
        <v/>
      </c>
    </row>
    <row r="43">
      <c r="A43" s="33">
        <f>39</f>
        <v/>
      </c>
      <c r="B43" s="34">
        <f>IF($A43&gt;NYears*12,"",EDATE(StartMonth,$A43-1))</f>
        <v/>
      </c>
      <c r="C43" s="33">
        <f>IF($A43&gt;NYears*12,"",INT(($A43-1)/12)+1)</f>
        <v/>
      </c>
      <c r="D43" s="33">
        <f>IF($A43&gt;NYears*12,"",MOD($A43-1,12)+1)</f>
        <v/>
      </c>
      <c r="E43" s="35">
        <f>IF($A43&gt;NYears*12,"",LotValue0*(1+LotGrowth)^($C43-1))</f>
        <v/>
      </c>
      <c r="F43" s="35">
        <f>IF($A43&gt;NYears*12,"",IF($A43=1,InitInvest,$R42))</f>
        <v/>
      </c>
      <c r="G43" s="33">
        <f>IF($A43&gt;NYears*12,"",INT($F43/$E43))</f>
        <v/>
      </c>
      <c r="H43" s="35">
        <f>IF($A43&gt;NYears*12,"",$G43*$E43)</f>
        <v/>
      </c>
      <c r="I43" s="35">
        <f>IF($A43&gt;NYears*12,"",$F43-$H43)</f>
        <v/>
      </c>
      <c r="J43" s="35">
        <f>IF($A43&gt;NYears*12,"",$H43*RateB)</f>
        <v/>
      </c>
      <c r="K43" s="35">
        <f>IF($A43&gt;NYears*12,"",IF($D43=1,$J43,$K42+$J43))</f>
        <v/>
      </c>
      <c r="L43" s="35">
        <f>IF($A43&gt;NYears*12,"",IF(MOD($D43,3)=0,SUM($J41:$J43),0))</f>
        <v/>
      </c>
      <c r="M43" s="35">
        <f>IF($A43&gt;NYears*12,"",IF(TaxFreq="Quarterly",$K43*12/$D43,$K43))</f>
        <v/>
      </c>
      <c r="N43" s="36">
        <f>IF($A43&gt;NYears*12,"",LOOKUP($M43,TaxLower,TaxRate))</f>
        <v/>
      </c>
      <c r="O43" s="35">
        <f>IF($A43&gt;NYears*12,"",IF(TaxFreq="Quarterly",IF(MOD($D43,3)=0,$L43*$N43,0),IF($D43=12,$K43*$N43,0)))</f>
        <v/>
      </c>
      <c r="P43" s="35">
        <f>IF($A43&gt;NYears*12,"",IF($D43=1,$O43,$P42+$O43))</f>
        <v/>
      </c>
      <c r="Q43" s="35">
        <f>IF($A43&gt;NYears*12,"",IF($D43=12,MIN(WdrPct*IF(WdrBase="Post-tax profit",$K43-$P43,$K43),WdrCap),0))</f>
        <v/>
      </c>
      <c r="R43" s="35">
        <f>IF($A43&gt;NYears*12,"",$F43+$J43-$O43-$Q43)</f>
        <v/>
      </c>
      <c r="S43" s="33">
        <f>IF($A43&gt;NYears*12,"",INT($R43/$E43))</f>
        <v/>
      </c>
    </row>
    <row r="44">
      <c r="A44" s="33">
        <f>40</f>
        <v/>
      </c>
      <c r="B44" s="34">
        <f>IF($A44&gt;NYears*12,"",EDATE(StartMonth,$A44-1))</f>
        <v/>
      </c>
      <c r="C44" s="33">
        <f>IF($A44&gt;NYears*12,"",INT(($A44-1)/12)+1)</f>
        <v/>
      </c>
      <c r="D44" s="33">
        <f>IF($A44&gt;NYears*12,"",MOD($A44-1,12)+1)</f>
        <v/>
      </c>
      <c r="E44" s="35">
        <f>IF($A44&gt;NYears*12,"",LotValue0*(1+LotGrowth)^($C44-1))</f>
        <v/>
      </c>
      <c r="F44" s="35">
        <f>IF($A44&gt;NYears*12,"",IF($A44=1,InitInvest,$R43))</f>
        <v/>
      </c>
      <c r="G44" s="33">
        <f>IF($A44&gt;NYears*12,"",INT($F44/$E44))</f>
        <v/>
      </c>
      <c r="H44" s="35">
        <f>IF($A44&gt;NYears*12,"",$G44*$E44)</f>
        <v/>
      </c>
      <c r="I44" s="35">
        <f>IF($A44&gt;NYears*12,"",$F44-$H44)</f>
        <v/>
      </c>
      <c r="J44" s="35">
        <f>IF($A44&gt;NYears*12,"",$H44*RateB)</f>
        <v/>
      </c>
      <c r="K44" s="35">
        <f>IF($A44&gt;NYears*12,"",IF($D44=1,$J44,$K43+$J44))</f>
        <v/>
      </c>
      <c r="L44" s="35">
        <f>IF($A44&gt;NYears*12,"",IF(MOD($D44,3)=0,SUM($J42:$J44),0))</f>
        <v/>
      </c>
      <c r="M44" s="35">
        <f>IF($A44&gt;NYears*12,"",IF(TaxFreq="Quarterly",$K44*12/$D44,$K44))</f>
        <v/>
      </c>
      <c r="N44" s="36">
        <f>IF($A44&gt;NYears*12,"",LOOKUP($M44,TaxLower,TaxRate))</f>
        <v/>
      </c>
      <c r="O44" s="35">
        <f>IF($A44&gt;NYears*12,"",IF(TaxFreq="Quarterly",IF(MOD($D44,3)=0,$L44*$N44,0),IF($D44=12,$K44*$N44,0)))</f>
        <v/>
      </c>
      <c r="P44" s="35">
        <f>IF($A44&gt;NYears*12,"",IF($D44=1,$O44,$P43+$O44))</f>
        <v/>
      </c>
      <c r="Q44" s="35">
        <f>IF($A44&gt;NYears*12,"",IF($D44=12,MIN(WdrPct*IF(WdrBase="Post-tax profit",$K44-$P44,$K44),WdrCap),0))</f>
        <v/>
      </c>
      <c r="R44" s="35">
        <f>IF($A44&gt;NYears*12,"",$F44+$J44-$O44-$Q44)</f>
        <v/>
      </c>
      <c r="S44" s="33">
        <f>IF($A44&gt;NYears*12,"",INT($R44/$E44))</f>
        <v/>
      </c>
    </row>
    <row r="45">
      <c r="A45" s="33">
        <f>41</f>
        <v/>
      </c>
      <c r="B45" s="34">
        <f>IF($A45&gt;NYears*12,"",EDATE(StartMonth,$A45-1))</f>
        <v/>
      </c>
      <c r="C45" s="33">
        <f>IF($A45&gt;NYears*12,"",INT(($A45-1)/12)+1)</f>
        <v/>
      </c>
      <c r="D45" s="33">
        <f>IF($A45&gt;NYears*12,"",MOD($A45-1,12)+1)</f>
        <v/>
      </c>
      <c r="E45" s="35">
        <f>IF($A45&gt;NYears*12,"",LotValue0*(1+LotGrowth)^($C45-1))</f>
        <v/>
      </c>
      <c r="F45" s="35">
        <f>IF($A45&gt;NYears*12,"",IF($A45=1,InitInvest,$R44))</f>
        <v/>
      </c>
      <c r="G45" s="33">
        <f>IF($A45&gt;NYears*12,"",INT($F45/$E45))</f>
        <v/>
      </c>
      <c r="H45" s="35">
        <f>IF($A45&gt;NYears*12,"",$G45*$E45)</f>
        <v/>
      </c>
      <c r="I45" s="35">
        <f>IF($A45&gt;NYears*12,"",$F45-$H45)</f>
        <v/>
      </c>
      <c r="J45" s="35">
        <f>IF($A45&gt;NYears*12,"",$H45*RateB)</f>
        <v/>
      </c>
      <c r="K45" s="35">
        <f>IF($A45&gt;NYears*12,"",IF($D45=1,$J45,$K44+$J45))</f>
        <v/>
      </c>
      <c r="L45" s="35">
        <f>IF($A45&gt;NYears*12,"",IF(MOD($D45,3)=0,SUM($J43:$J45),0))</f>
        <v/>
      </c>
      <c r="M45" s="35">
        <f>IF($A45&gt;NYears*12,"",IF(TaxFreq="Quarterly",$K45*12/$D45,$K45))</f>
        <v/>
      </c>
      <c r="N45" s="36">
        <f>IF($A45&gt;NYears*12,"",LOOKUP($M45,TaxLower,TaxRate))</f>
        <v/>
      </c>
      <c r="O45" s="35">
        <f>IF($A45&gt;NYears*12,"",IF(TaxFreq="Quarterly",IF(MOD($D45,3)=0,$L45*$N45,0),IF($D45=12,$K45*$N45,0)))</f>
        <v/>
      </c>
      <c r="P45" s="35">
        <f>IF($A45&gt;NYears*12,"",IF($D45=1,$O45,$P44+$O45))</f>
        <v/>
      </c>
      <c r="Q45" s="35">
        <f>IF($A45&gt;NYears*12,"",IF($D45=12,MIN(WdrPct*IF(WdrBase="Post-tax profit",$K45-$P45,$K45),WdrCap),0))</f>
        <v/>
      </c>
      <c r="R45" s="35">
        <f>IF($A45&gt;NYears*12,"",$F45+$J45-$O45-$Q45)</f>
        <v/>
      </c>
      <c r="S45" s="33">
        <f>IF($A45&gt;NYears*12,"",INT($R45/$E45))</f>
        <v/>
      </c>
    </row>
    <row r="46">
      <c r="A46" s="33">
        <f>42</f>
        <v/>
      </c>
      <c r="B46" s="34">
        <f>IF($A46&gt;NYears*12,"",EDATE(StartMonth,$A46-1))</f>
        <v/>
      </c>
      <c r="C46" s="33">
        <f>IF($A46&gt;NYears*12,"",INT(($A46-1)/12)+1)</f>
        <v/>
      </c>
      <c r="D46" s="33">
        <f>IF($A46&gt;NYears*12,"",MOD($A46-1,12)+1)</f>
        <v/>
      </c>
      <c r="E46" s="35">
        <f>IF($A46&gt;NYears*12,"",LotValue0*(1+LotGrowth)^($C46-1))</f>
        <v/>
      </c>
      <c r="F46" s="35">
        <f>IF($A46&gt;NYears*12,"",IF($A46=1,InitInvest,$R45))</f>
        <v/>
      </c>
      <c r="G46" s="33">
        <f>IF($A46&gt;NYears*12,"",INT($F46/$E46))</f>
        <v/>
      </c>
      <c r="H46" s="35">
        <f>IF($A46&gt;NYears*12,"",$G46*$E46)</f>
        <v/>
      </c>
      <c r="I46" s="35">
        <f>IF($A46&gt;NYears*12,"",$F46-$H46)</f>
        <v/>
      </c>
      <c r="J46" s="35">
        <f>IF($A46&gt;NYears*12,"",$H46*RateB)</f>
        <v/>
      </c>
      <c r="K46" s="35">
        <f>IF($A46&gt;NYears*12,"",IF($D46=1,$J46,$K45+$J46))</f>
        <v/>
      </c>
      <c r="L46" s="35">
        <f>IF($A46&gt;NYears*12,"",IF(MOD($D46,3)=0,SUM($J44:$J46),0))</f>
        <v/>
      </c>
      <c r="M46" s="35">
        <f>IF($A46&gt;NYears*12,"",IF(TaxFreq="Quarterly",$K46*12/$D46,$K46))</f>
        <v/>
      </c>
      <c r="N46" s="36">
        <f>IF($A46&gt;NYears*12,"",LOOKUP($M46,TaxLower,TaxRate))</f>
        <v/>
      </c>
      <c r="O46" s="35">
        <f>IF($A46&gt;NYears*12,"",IF(TaxFreq="Quarterly",IF(MOD($D46,3)=0,$L46*$N46,0),IF($D46=12,$K46*$N46,0)))</f>
        <v/>
      </c>
      <c r="P46" s="35">
        <f>IF($A46&gt;NYears*12,"",IF($D46=1,$O46,$P45+$O46))</f>
        <v/>
      </c>
      <c r="Q46" s="35">
        <f>IF($A46&gt;NYears*12,"",IF($D46=12,MIN(WdrPct*IF(WdrBase="Post-tax profit",$K46-$P46,$K46),WdrCap),0))</f>
        <v/>
      </c>
      <c r="R46" s="35">
        <f>IF($A46&gt;NYears*12,"",$F46+$J46-$O46-$Q46)</f>
        <v/>
      </c>
      <c r="S46" s="33">
        <f>IF($A46&gt;NYears*12,"",INT($R46/$E46))</f>
        <v/>
      </c>
    </row>
    <row r="47">
      <c r="A47" s="33">
        <f>43</f>
        <v/>
      </c>
      <c r="B47" s="34">
        <f>IF($A47&gt;NYears*12,"",EDATE(StartMonth,$A47-1))</f>
        <v/>
      </c>
      <c r="C47" s="33">
        <f>IF($A47&gt;NYears*12,"",INT(($A47-1)/12)+1)</f>
        <v/>
      </c>
      <c r="D47" s="33">
        <f>IF($A47&gt;NYears*12,"",MOD($A47-1,12)+1)</f>
        <v/>
      </c>
      <c r="E47" s="35">
        <f>IF($A47&gt;NYears*12,"",LotValue0*(1+LotGrowth)^($C47-1))</f>
        <v/>
      </c>
      <c r="F47" s="35">
        <f>IF($A47&gt;NYears*12,"",IF($A47=1,InitInvest,$R46))</f>
        <v/>
      </c>
      <c r="G47" s="33">
        <f>IF($A47&gt;NYears*12,"",INT($F47/$E47))</f>
        <v/>
      </c>
      <c r="H47" s="35">
        <f>IF($A47&gt;NYears*12,"",$G47*$E47)</f>
        <v/>
      </c>
      <c r="I47" s="35">
        <f>IF($A47&gt;NYears*12,"",$F47-$H47)</f>
        <v/>
      </c>
      <c r="J47" s="35">
        <f>IF($A47&gt;NYears*12,"",$H47*RateB)</f>
        <v/>
      </c>
      <c r="K47" s="35">
        <f>IF($A47&gt;NYears*12,"",IF($D47=1,$J47,$K46+$J47))</f>
        <v/>
      </c>
      <c r="L47" s="35">
        <f>IF($A47&gt;NYears*12,"",IF(MOD($D47,3)=0,SUM($J45:$J47),0))</f>
        <v/>
      </c>
      <c r="M47" s="35">
        <f>IF($A47&gt;NYears*12,"",IF(TaxFreq="Quarterly",$K47*12/$D47,$K47))</f>
        <v/>
      </c>
      <c r="N47" s="36">
        <f>IF($A47&gt;NYears*12,"",LOOKUP($M47,TaxLower,TaxRate))</f>
        <v/>
      </c>
      <c r="O47" s="35">
        <f>IF($A47&gt;NYears*12,"",IF(TaxFreq="Quarterly",IF(MOD($D47,3)=0,$L47*$N47,0),IF($D47=12,$K47*$N47,0)))</f>
        <v/>
      </c>
      <c r="P47" s="35">
        <f>IF($A47&gt;NYears*12,"",IF($D47=1,$O47,$P46+$O47))</f>
        <v/>
      </c>
      <c r="Q47" s="35">
        <f>IF($A47&gt;NYears*12,"",IF($D47=12,MIN(WdrPct*IF(WdrBase="Post-tax profit",$K47-$P47,$K47),WdrCap),0))</f>
        <v/>
      </c>
      <c r="R47" s="35">
        <f>IF($A47&gt;NYears*12,"",$F47+$J47-$O47-$Q47)</f>
        <v/>
      </c>
      <c r="S47" s="33">
        <f>IF($A47&gt;NYears*12,"",INT($R47/$E47))</f>
        <v/>
      </c>
    </row>
    <row r="48">
      <c r="A48" s="33">
        <f>44</f>
        <v/>
      </c>
      <c r="B48" s="34">
        <f>IF($A48&gt;NYears*12,"",EDATE(StartMonth,$A48-1))</f>
        <v/>
      </c>
      <c r="C48" s="33">
        <f>IF($A48&gt;NYears*12,"",INT(($A48-1)/12)+1)</f>
        <v/>
      </c>
      <c r="D48" s="33">
        <f>IF($A48&gt;NYears*12,"",MOD($A48-1,12)+1)</f>
        <v/>
      </c>
      <c r="E48" s="35">
        <f>IF($A48&gt;NYears*12,"",LotValue0*(1+LotGrowth)^($C48-1))</f>
        <v/>
      </c>
      <c r="F48" s="35">
        <f>IF($A48&gt;NYears*12,"",IF($A48=1,InitInvest,$R47))</f>
        <v/>
      </c>
      <c r="G48" s="33">
        <f>IF($A48&gt;NYears*12,"",INT($F48/$E48))</f>
        <v/>
      </c>
      <c r="H48" s="35">
        <f>IF($A48&gt;NYears*12,"",$G48*$E48)</f>
        <v/>
      </c>
      <c r="I48" s="35">
        <f>IF($A48&gt;NYears*12,"",$F48-$H48)</f>
        <v/>
      </c>
      <c r="J48" s="35">
        <f>IF($A48&gt;NYears*12,"",$H48*RateB)</f>
        <v/>
      </c>
      <c r="K48" s="35">
        <f>IF($A48&gt;NYears*12,"",IF($D48=1,$J48,$K47+$J48))</f>
        <v/>
      </c>
      <c r="L48" s="35">
        <f>IF($A48&gt;NYears*12,"",IF(MOD($D48,3)=0,SUM($J46:$J48),0))</f>
        <v/>
      </c>
      <c r="M48" s="35">
        <f>IF($A48&gt;NYears*12,"",IF(TaxFreq="Quarterly",$K48*12/$D48,$K48))</f>
        <v/>
      </c>
      <c r="N48" s="36">
        <f>IF($A48&gt;NYears*12,"",LOOKUP($M48,TaxLower,TaxRate))</f>
        <v/>
      </c>
      <c r="O48" s="35">
        <f>IF($A48&gt;NYears*12,"",IF(TaxFreq="Quarterly",IF(MOD($D48,3)=0,$L48*$N48,0),IF($D48=12,$K48*$N48,0)))</f>
        <v/>
      </c>
      <c r="P48" s="35">
        <f>IF($A48&gt;NYears*12,"",IF($D48=1,$O48,$P47+$O48))</f>
        <v/>
      </c>
      <c r="Q48" s="35">
        <f>IF($A48&gt;NYears*12,"",IF($D48=12,MIN(WdrPct*IF(WdrBase="Post-tax profit",$K48-$P48,$K48),WdrCap),0))</f>
        <v/>
      </c>
      <c r="R48" s="35">
        <f>IF($A48&gt;NYears*12,"",$F48+$J48-$O48-$Q48)</f>
        <v/>
      </c>
      <c r="S48" s="33">
        <f>IF($A48&gt;NYears*12,"",INT($R48/$E48))</f>
        <v/>
      </c>
    </row>
    <row r="49">
      <c r="A49" s="33">
        <f>45</f>
        <v/>
      </c>
      <c r="B49" s="34">
        <f>IF($A49&gt;NYears*12,"",EDATE(StartMonth,$A49-1))</f>
        <v/>
      </c>
      <c r="C49" s="33">
        <f>IF($A49&gt;NYears*12,"",INT(($A49-1)/12)+1)</f>
        <v/>
      </c>
      <c r="D49" s="33">
        <f>IF($A49&gt;NYears*12,"",MOD($A49-1,12)+1)</f>
        <v/>
      </c>
      <c r="E49" s="35">
        <f>IF($A49&gt;NYears*12,"",LotValue0*(1+LotGrowth)^($C49-1))</f>
        <v/>
      </c>
      <c r="F49" s="35">
        <f>IF($A49&gt;NYears*12,"",IF($A49=1,InitInvest,$R48))</f>
        <v/>
      </c>
      <c r="G49" s="33">
        <f>IF($A49&gt;NYears*12,"",INT($F49/$E49))</f>
        <v/>
      </c>
      <c r="H49" s="35">
        <f>IF($A49&gt;NYears*12,"",$G49*$E49)</f>
        <v/>
      </c>
      <c r="I49" s="35">
        <f>IF($A49&gt;NYears*12,"",$F49-$H49)</f>
        <v/>
      </c>
      <c r="J49" s="35">
        <f>IF($A49&gt;NYears*12,"",$H49*RateB)</f>
        <v/>
      </c>
      <c r="K49" s="35">
        <f>IF($A49&gt;NYears*12,"",IF($D49=1,$J49,$K48+$J49))</f>
        <v/>
      </c>
      <c r="L49" s="35">
        <f>IF($A49&gt;NYears*12,"",IF(MOD($D49,3)=0,SUM($J47:$J49),0))</f>
        <v/>
      </c>
      <c r="M49" s="35">
        <f>IF($A49&gt;NYears*12,"",IF(TaxFreq="Quarterly",$K49*12/$D49,$K49))</f>
        <v/>
      </c>
      <c r="N49" s="36">
        <f>IF($A49&gt;NYears*12,"",LOOKUP($M49,TaxLower,TaxRate))</f>
        <v/>
      </c>
      <c r="O49" s="35">
        <f>IF($A49&gt;NYears*12,"",IF(TaxFreq="Quarterly",IF(MOD($D49,3)=0,$L49*$N49,0),IF($D49=12,$K49*$N49,0)))</f>
        <v/>
      </c>
      <c r="P49" s="35">
        <f>IF($A49&gt;NYears*12,"",IF($D49=1,$O49,$P48+$O49))</f>
        <v/>
      </c>
      <c r="Q49" s="35">
        <f>IF($A49&gt;NYears*12,"",IF($D49=12,MIN(WdrPct*IF(WdrBase="Post-tax profit",$K49-$P49,$K49),WdrCap),0))</f>
        <v/>
      </c>
      <c r="R49" s="35">
        <f>IF($A49&gt;NYears*12,"",$F49+$J49-$O49-$Q49)</f>
        <v/>
      </c>
      <c r="S49" s="33">
        <f>IF($A49&gt;NYears*12,"",INT($R49/$E49))</f>
        <v/>
      </c>
    </row>
    <row r="50">
      <c r="A50" s="33">
        <f>46</f>
        <v/>
      </c>
      <c r="B50" s="34">
        <f>IF($A50&gt;NYears*12,"",EDATE(StartMonth,$A50-1))</f>
        <v/>
      </c>
      <c r="C50" s="33">
        <f>IF($A50&gt;NYears*12,"",INT(($A50-1)/12)+1)</f>
        <v/>
      </c>
      <c r="D50" s="33">
        <f>IF($A50&gt;NYears*12,"",MOD($A50-1,12)+1)</f>
        <v/>
      </c>
      <c r="E50" s="35">
        <f>IF($A50&gt;NYears*12,"",LotValue0*(1+LotGrowth)^($C50-1))</f>
        <v/>
      </c>
      <c r="F50" s="35">
        <f>IF($A50&gt;NYears*12,"",IF($A50=1,InitInvest,$R49))</f>
        <v/>
      </c>
      <c r="G50" s="33">
        <f>IF($A50&gt;NYears*12,"",INT($F50/$E50))</f>
        <v/>
      </c>
      <c r="H50" s="35">
        <f>IF($A50&gt;NYears*12,"",$G50*$E50)</f>
        <v/>
      </c>
      <c r="I50" s="35">
        <f>IF($A50&gt;NYears*12,"",$F50-$H50)</f>
        <v/>
      </c>
      <c r="J50" s="35">
        <f>IF($A50&gt;NYears*12,"",$H50*RateB)</f>
        <v/>
      </c>
      <c r="K50" s="35">
        <f>IF($A50&gt;NYears*12,"",IF($D50=1,$J50,$K49+$J50))</f>
        <v/>
      </c>
      <c r="L50" s="35">
        <f>IF($A50&gt;NYears*12,"",IF(MOD($D50,3)=0,SUM($J48:$J50),0))</f>
        <v/>
      </c>
      <c r="M50" s="35">
        <f>IF($A50&gt;NYears*12,"",IF(TaxFreq="Quarterly",$K50*12/$D50,$K50))</f>
        <v/>
      </c>
      <c r="N50" s="36">
        <f>IF($A50&gt;NYears*12,"",LOOKUP($M50,TaxLower,TaxRate))</f>
        <v/>
      </c>
      <c r="O50" s="35">
        <f>IF($A50&gt;NYears*12,"",IF(TaxFreq="Quarterly",IF(MOD($D50,3)=0,$L50*$N50,0),IF($D50=12,$K50*$N50,0)))</f>
        <v/>
      </c>
      <c r="P50" s="35">
        <f>IF($A50&gt;NYears*12,"",IF($D50=1,$O50,$P49+$O50))</f>
        <v/>
      </c>
      <c r="Q50" s="35">
        <f>IF($A50&gt;NYears*12,"",IF($D50=12,MIN(WdrPct*IF(WdrBase="Post-tax profit",$K50-$P50,$K50),WdrCap),0))</f>
        <v/>
      </c>
      <c r="R50" s="35">
        <f>IF($A50&gt;NYears*12,"",$F50+$J50-$O50-$Q50)</f>
        <v/>
      </c>
      <c r="S50" s="33">
        <f>IF($A50&gt;NYears*12,"",INT($R50/$E50))</f>
        <v/>
      </c>
    </row>
    <row r="51">
      <c r="A51" s="33">
        <f>47</f>
        <v/>
      </c>
      <c r="B51" s="34">
        <f>IF($A51&gt;NYears*12,"",EDATE(StartMonth,$A51-1))</f>
        <v/>
      </c>
      <c r="C51" s="33">
        <f>IF($A51&gt;NYears*12,"",INT(($A51-1)/12)+1)</f>
        <v/>
      </c>
      <c r="D51" s="33">
        <f>IF($A51&gt;NYears*12,"",MOD($A51-1,12)+1)</f>
        <v/>
      </c>
      <c r="E51" s="35">
        <f>IF($A51&gt;NYears*12,"",LotValue0*(1+LotGrowth)^($C51-1))</f>
        <v/>
      </c>
      <c r="F51" s="35">
        <f>IF($A51&gt;NYears*12,"",IF($A51=1,InitInvest,$R50))</f>
        <v/>
      </c>
      <c r="G51" s="33">
        <f>IF($A51&gt;NYears*12,"",INT($F51/$E51))</f>
        <v/>
      </c>
      <c r="H51" s="35">
        <f>IF($A51&gt;NYears*12,"",$G51*$E51)</f>
        <v/>
      </c>
      <c r="I51" s="35">
        <f>IF($A51&gt;NYears*12,"",$F51-$H51)</f>
        <v/>
      </c>
      <c r="J51" s="35">
        <f>IF($A51&gt;NYears*12,"",$H51*RateB)</f>
        <v/>
      </c>
      <c r="K51" s="35">
        <f>IF($A51&gt;NYears*12,"",IF($D51=1,$J51,$K50+$J51))</f>
        <v/>
      </c>
      <c r="L51" s="35">
        <f>IF($A51&gt;NYears*12,"",IF(MOD($D51,3)=0,SUM($J49:$J51),0))</f>
        <v/>
      </c>
      <c r="M51" s="35">
        <f>IF($A51&gt;NYears*12,"",IF(TaxFreq="Quarterly",$K51*12/$D51,$K51))</f>
        <v/>
      </c>
      <c r="N51" s="36">
        <f>IF($A51&gt;NYears*12,"",LOOKUP($M51,TaxLower,TaxRate))</f>
        <v/>
      </c>
      <c r="O51" s="35">
        <f>IF($A51&gt;NYears*12,"",IF(TaxFreq="Quarterly",IF(MOD($D51,3)=0,$L51*$N51,0),IF($D51=12,$K51*$N51,0)))</f>
        <v/>
      </c>
      <c r="P51" s="35">
        <f>IF($A51&gt;NYears*12,"",IF($D51=1,$O51,$P50+$O51))</f>
        <v/>
      </c>
      <c r="Q51" s="35">
        <f>IF($A51&gt;NYears*12,"",IF($D51=12,MIN(WdrPct*IF(WdrBase="Post-tax profit",$K51-$P51,$K51),WdrCap),0))</f>
        <v/>
      </c>
      <c r="R51" s="35">
        <f>IF($A51&gt;NYears*12,"",$F51+$J51-$O51-$Q51)</f>
        <v/>
      </c>
      <c r="S51" s="33">
        <f>IF($A51&gt;NYears*12,"",INT($R51/$E51))</f>
        <v/>
      </c>
    </row>
    <row r="52">
      <c r="A52" s="37">
        <f>48</f>
        <v/>
      </c>
      <c r="B52" s="38">
        <f>IF($A52&gt;NYears*12,"",EDATE(StartMonth,$A52-1))</f>
        <v/>
      </c>
      <c r="C52" s="37">
        <f>IF($A52&gt;NYears*12,"",INT(($A52-1)/12)+1)</f>
        <v/>
      </c>
      <c r="D52" s="37">
        <f>IF($A52&gt;NYears*12,"",MOD($A52-1,12)+1)</f>
        <v/>
      </c>
      <c r="E52" s="39">
        <f>IF($A52&gt;NYears*12,"",LotValue0*(1+LotGrowth)^($C52-1))</f>
        <v/>
      </c>
      <c r="F52" s="39">
        <f>IF($A52&gt;NYears*12,"",IF($A52=1,InitInvest,$R51))</f>
        <v/>
      </c>
      <c r="G52" s="37">
        <f>IF($A52&gt;NYears*12,"",INT($F52/$E52))</f>
        <v/>
      </c>
      <c r="H52" s="39">
        <f>IF($A52&gt;NYears*12,"",$G52*$E52)</f>
        <v/>
      </c>
      <c r="I52" s="39">
        <f>IF($A52&gt;NYears*12,"",$F52-$H52)</f>
        <v/>
      </c>
      <c r="J52" s="39">
        <f>IF($A52&gt;NYears*12,"",$H52*RateB)</f>
        <v/>
      </c>
      <c r="K52" s="39">
        <f>IF($A52&gt;NYears*12,"",IF($D52=1,$J52,$K51+$J52))</f>
        <v/>
      </c>
      <c r="L52" s="39">
        <f>IF($A52&gt;NYears*12,"",IF(MOD($D52,3)=0,SUM($J50:$J52),0))</f>
        <v/>
      </c>
      <c r="M52" s="39">
        <f>IF($A52&gt;NYears*12,"",IF(TaxFreq="Quarterly",$K52*12/$D52,$K52))</f>
        <v/>
      </c>
      <c r="N52" s="40">
        <f>IF($A52&gt;NYears*12,"",LOOKUP($M52,TaxLower,TaxRate))</f>
        <v/>
      </c>
      <c r="O52" s="39">
        <f>IF($A52&gt;NYears*12,"",IF(TaxFreq="Quarterly",IF(MOD($D52,3)=0,$L52*$N52,0),IF($D52=12,$K52*$N52,0)))</f>
        <v/>
      </c>
      <c r="P52" s="39">
        <f>IF($A52&gt;NYears*12,"",IF($D52=1,$O52,$P51+$O52))</f>
        <v/>
      </c>
      <c r="Q52" s="39">
        <f>IF($A52&gt;NYears*12,"",IF($D52=12,MIN(WdrPct*IF(WdrBase="Post-tax profit",$K52-$P52,$K52),WdrCap),0))</f>
        <v/>
      </c>
      <c r="R52" s="39">
        <f>IF($A52&gt;NYears*12,"",$F52+$J52-$O52-$Q52)</f>
        <v/>
      </c>
      <c r="S52" s="37">
        <f>IF($A52&gt;NYears*12,"",INT($R52/$E52))</f>
        <v/>
      </c>
    </row>
    <row r="53">
      <c r="A53" s="33">
        <f>49</f>
        <v/>
      </c>
      <c r="B53" s="34">
        <f>IF($A53&gt;NYears*12,"",EDATE(StartMonth,$A53-1))</f>
        <v/>
      </c>
      <c r="C53" s="33">
        <f>IF($A53&gt;NYears*12,"",INT(($A53-1)/12)+1)</f>
        <v/>
      </c>
      <c r="D53" s="33">
        <f>IF($A53&gt;NYears*12,"",MOD($A53-1,12)+1)</f>
        <v/>
      </c>
      <c r="E53" s="35">
        <f>IF($A53&gt;NYears*12,"",LotValue0*(1+LotGrowth)^($C53-1))</f>
        <v/>
      </c>
      <c r="F53" s="35">
        <f>IF($A53&gt;NYears*12,"",IF($A53=1,InitInvest,$R52))</f>
        <v/>
      </c>
      <c r="G53" s="33">
        <f>IF($A53&gt;NYears*12,"",INT($F53/$E53))</f>
        <v/>
      </c>
      <c r="H53" s="35">
        <f>IF($A53&gt;NYears*12,"",$G53*$E53)</f>
        <v/>
      </c>
      <c r="I53" s="35">
        <f>IF($A53&gt;NYears*12,"",$F53-$H53)</f>
        <v/>
      </c>
      <c r="J53" s="35">
        <f>IF($A53&gt;NYears*12,"",$H53*RateB)</f>
        <v/>
      </c>
      <c r="K53" s="35">
        <f>IF($A53&gt;NYears*12,"",IF($D53=1,$J53,$K52+$J53))</f>
        <v/>
      </c>
      <c r="L53" s="35">
        <f>IF($A53&gt;NYears*12,"",IF(MOD($D53,3)=0,SUM($J51:$J53),0))</f>
        <v/>
      </c>
      <c r="M53" s="35">
        <f>IF($A53&gt;NYears*12,"",IF(TaxFreq="Quarterly",$K53*12/$D53,$K53))</f>
        <v/>
      </c>
      <c r="N53" s="36">
        <f>IF($A53&gt;NYears*12,"",LOOKUP($M53,TaxLower,TaxRate))</f>
        <v/>
      </c>
      <c r="O53" s="35">
        <f>IF($A53&gt;NYears*12,"",IF(TaxFreq="Quarterly",IF(MOD($D53,3)=0,$L53*$N53,0),IF($D53=12,$K53*$N53,0)))</f>
        <v/>
      </c>
      <c r="P53" s="35">
        <f>IF($A53&gt;NYears*12,"",IF($D53=1,$O53,$P52+$O53))</f>
        <v/>
      </c>
      <c r="Q53" s="35">
        <f>IF($A53&gt;NYears*12,"",IF($D53=12,MIN(WdrPct*IF(WdrBase="Post-tax profit",$K53-$P53,$K53),WdrCap),0))</f>
        <v/>
      </c>
      <c r="R53" s="35">
        <f>IF($A53&gt;NYears*12,"",$F53+$J53-$O53-$Q53)</f>
        <v/>
      </c>
      <c r="S53" s="33">
        <f>IF($A53&gt;NYears*12,"",INT($R53/$E53))</f>
        <v/>
      </c>
    </row>
    <row r="54">
      <c r="A54" s="33">
        <f>50</f>
        <v/>
      </c>
      <c r="B54" s="34">
        <f>IF($A54&gt;NYears*12,"",EDATE(StartMonth,$A54-1))</f>
        <v/>
      </c>
      <c r="C54" s="33">
        <f>IF($A54&gt;NYears*12,"",INT(($A54-1)/12)+1)</f>
        <v/>
      </c>
      <c r="D54" s="33">
        <f>IF($A54&gt;NYears*12,"",MOD($A54-1,12)+1)</f>
        <v/>
      </c>
      <c r="E54" s="35">
        <f>IF($A54&gt;NYears*12,"",LotValue0*(1+LotGrowth)^($C54-1))</f>
        <v/>
      </c>
      <c r="F54" s="35">
        <f>IF($A54&gt;NYears*12,"",IF($A54=1,InitInvest,$R53))</f>
        <v/>
      </c>
      <c r="G54" s="33">
        <f>IF($A54&gt;NYears*12,"",INT($F54/$E54))</f>
        <v/>
      </c>
      <c r="H54" s="35">
        <f>IF($A54&gt;NYears*12,"",$G54*$E54)</f>
        <v/>
      </c>
      <c r="I54" s="35">
        <f>IF($A54&gt;NYears*12,"",$F54-$H54)</f>
        <v/>
      </c>
      <c r="J54" s="35">
        <f>IF($A54&gt;NYears*12,"",$H54*RateB)</f>
        <v/>
      </c>
      <c r="K54" s="35">
        <f>IF($A54&gt;NYears*12,"",IF($D54=1,$J54,$K53+$J54))</f>
        <v/>
      </c>
      <c r="L54" s="35">
        <f>IF($A54&gt;NYears*12,"",IF(MOD($D54,3)=0,SUM($J52:$J54),0))</f>
        <v/>
      </c>
      <c r="M54" s="35">
        <f>IF($A54&gt;NYears*12,"",IF(TaxFreq="Quarterly",$K54*12/$D54,$K54))</f>
        <v/>
      </c>
      <c r="N54" s="36">
        <f>IF($A54&gt;NYears*12,"",LOOKUP($M54,TaxLower,TaxRate))</f>
        <v/>
      </c>
      <c r="O54" s="35">
        <f>IF($A54&gt;NYears*12,"",IF(TaxFreq="Quarterly",IF(MOD($D54,3)=0,$L54*$N54,0),IF($D54=12,$K54*$N54,0)))</f>
        <v/>
      </c>
      <c r="P54" s="35">
        <f>IF($A54&gt;NYears*12,"",IF($D54=1,$O54,$P53+$O54))</f>
        <v/>
      </c>
      <c r="Q54" s="35">
        <f>IF($A54&gt;NYears*12,"",IF($D54=12,MIN(WdrPct*IF(WdrBase="Post-tax profit",$K54-$P54,$K54),WdrCap),0))</f>
        <v/>
      </c>
      <c r="R54" s="35">
        <f>IF($A54&gt;NYears*12,"",$F54+$J54-$O54-$Q54)</f>
        <v/>
      </c>
      <c r="S54" s="33">
        <f>IF($A54&gt;NYears*12,"",INT($R54/$E54))</f>
        <v/>
      </c>
    </row>
    <row r="55">
      <c r="A55" s="33">
        <f>51</f>
        <v/>
      </c>
      <c r="B55" s="34">
        <f>IF($A55&gt;NYears*12,"",EDATE(StartMonth,$A55-1))</f>
        <v/>
      </c>
      <c r="C55" s="33">
        <f>IF($A55&gt;NYears*12,"",INT(($A55-1)/12)+1)</f>
        <v/>
      </c>
      <c r="D55" s="33">
        <f>IF($A55&gt;NYears*12,"",MOD($A55-1,12)+1)</f>
        <v/>
      </c>
      <c r="E55" s="35">
        <f>IF($A55&gt;NYears*12,"",LotValue0*(1+LotGrowth)^($C55-1))</f>
        <v/>
      </c>
      <c r="F55" s="35">
        <f>IF($A55&gt;NYears*12,"",IF($A55=1,InitInvest,$R54))</f>
        <v/>
      </c>
      <c r="G55" s="33">
        <f>IF($A55&gt;NYears*12,"",INT($F55/$E55))</f>
        <v/>
      </c>
      <c r="H55" s="35">
        <f>IF($A55&gt;NYears*12,"",$G55*$E55)</f>
        <v/>
      </c>
      <c r="I55" s="35">
        <f>IF($A55&gt;NYears*12,"",$F55-$H55)</f>
        <v/>
      </c>
      <c r="J55" s="35">
        <f>IF($A55&gt;NYears*12,"",$H55*RateB)</f>
        <v/>
      </c>
      <c r="K55" s="35">
        <f>IF($A55&gt;NYears*12,"",IF($D55=1,$J55,$K54+$J55))</f>
        <v/>
      </c>
      <c r="L55" s="35">
        <f>IF($A55&gt;NYears*12,"",IF(MOD($D55,3)=0,SUM($J53:$J55),0))</f>
        <v/>
      </c>
      <c r="M55" s="35">
        <f>IF($A55&gt;NYears*12,"",IF(TaxFreq="Quarterly",$K55*12/$D55,$K55))</f>
        <v/>
      </c>
      <c r="N55" s="36">
        <f>IF($A55&gt;NYears*12,"",LOOKUP($M55,TaxLower,TaxRate))</f>
        <v/>
      </c>
      <c r="O55" s="35">
        <f>IF($A55&gt;NYears*12,"",IF(TaxFreq="Quarterly",IF(MOD($D55,3)=0,$L55*$N55,0),IF($D55=12,$K55*$N55,0)))</f>
        <v/>
      </c>
      <c r="P55" s="35">
        <f>IF($A55&gt;NYears*12,"",IF($D55=1,$O55,$P54+$O55))</f>
        <v/>
      </c>
      <c r="Q55" s="35">
        <f>IF($A55&gt;NYears*12,"",IF($D55=12,MIN(WdrPct*IF(WdrBase="Post-tax profit",$K55-$P55,$K55),WdrCap),0))</f>
        <v/>
      </c>
      <c r="R55" s="35">
        <f>IF($A55&gt;NYears*12,"",$F55+$J55-$O55-$Q55)</f>
        <v/>
      </c>
      <c r="S55" s="33">
        <f>IF($A55&gt;NYears*12,"",INT($R55/$E55))</f>
        <v/>
      </c>
    </row>
    <row r="56">
      <c r="A56" s="33">
        <f>52</f>
        <v/>
      </c>
      <c r="B56" s="34">
        <f>IF($A56&gt;NYears*12,"",EDATE(StartMonth,$A56-1))</f>
        <v/>
      </c>
      <c r="C56" s="33">
        <f>IF($A56&gt;NYears*12,"",INT(($A56-1)/12)+1)</f>
        <v/>
      </c>
      <c r="D56" s="33">
        <f>IF($A56&gt;NYears*12,"",MOD($A56-1,12)+1)</f>
        <v/>
      </c>
      <c r="E56" s="35">
        <f>IF($A56&gt;NYears*12,"",LotValue0*(1+LotGrowth)^($C56-1))</f>
        <v/>
      </c>
      <c r="F56" s="35">
        <f>IF($A56&gt;NYears*12,"",IF($A56=1,InitInvest,$R55))</f>
        <v/>
      </c>
      <c r="G56" s="33">
        <f>IF($A56&gt;NYears*12,"",INT($F56/$E56))</f>
        <v/>
      </c>
      <c r="H56" s="35">
        <f>IF($A56&gt;NYears*12,"",$G56*$E56)</f>
        <v/>
      </c>
      <c r="I56" s="35">
        <f>IF($A56&gt;NYears*12,"",$F56-$H56)</f>
        <v/>
      </c>
      <c r="J56" s="35">
        <f>IF($A56&gt;NYears*12,"",$H56*RateB)</f>
        <v/>
      </c>
      <c r="K56" s="35">
        <f>IF($A56&gt;NYears*12,"",IF($D56=1,$J56,$K55+$J56))</f>
        <v/>
      </c>
      <c r="L56" s="35">
        <f>IF($A56&gt;NYears*12,"",IF(MOD($D56,3)=0,SUM($J54:$J56),0))</f>
        <v/>
      </c>
      <c r="M56" s="35">
        <f>IF($A56&gt;NYears*12,"",IF(TaxFreq="Quarterly",$K56*12/$D56,$K56))</f>
        <v/>
      </c>
      <c r="N56" s="36">
        <f>IF($A56&gt;NYears*12,"",LOOKUP($M56,TaxLower,TaxRate))</f>
        <v/>
      </c>
      <c r="O56" s="35">
        <f>IF($A56&gt;NYears*12,"",IF(TaxFreq="Quarterly",IF(MOD($D56,3)=0,$L56*$N56,0),IF($D56=12,$K56*$N56,0)))</f>
        <v/>
      </c>
      <c r="P56" s="35">
        <f>IF($A56&gt;NYears*12,"",IF($D56=1,$O56,$P55+$O56))</f>
        <v/>
      </c>
      <c r="Q56" s="35">
        <f>IF($A56&gt;NYears*12,"",IF($D56=12,MIN(WdrPct*IF(WdrBase="Post-tax profit",$K56-$P56,$K56),WdrCap),0))</f>
        <v/>
      </c>
      <c r="R56" s="35">
        <f>IF($A56&gt;NYears*12,"",$F56+$J56-$O56-$Q56)</f>
        <v/>
      </c>
      <c r="S56" s="33">
        <f>IF($A56&gt;NYears*12,"",INT($R56/$E56))</f>
        <v/>
      </c>
    </row>
    <row r="57">
      <c r="A57" s="33">
        <f>53</f>
        <v/>
      </c>
      <c r="B57" s="34">
        <f>IF($A57&gt;NYears*12,"",EDATE(StartMonth,$A57-1))</f>
        <v/>
      </c>
      <c r="C57" s="33">
        <f>IF($A57&gt;NYears*12,"",INT(($A57-1)/12)+1)</f>
        <v/>
      </c>
      <c r="D57" s="33">
        <f>IF($A57&gt;NYears*12,"",MOD($A57-1,12)+1)</f>
        <v/>
      </c>
      <c r="E57" s="35">
        <f>IF($A57&gt;NYears*12,"",LotValue0*(1+LotGrowth)^($C57-1))</f>
        <v/>
      </c>
      <c r="F57" s="35">
        <f>IF($A57&gt;NYears*12,"",IF($A57=1,InitInvest,$R56))</f>
        <v/>
      </c>
      <c r="G57" s="33">
        <f>IF($A57&gt;NYears*12,"",INT($F57/$E57))</f>
        <v/>
      </c>
      <c r="H57" s="35">
        <f>IF($A57&gt;NYears*12,"",$G57*$E57)</f>
        <v/>
      </c>
      <c r="I57" s="35">
        <f>IF($A57&gt;NYears*12,"",$F57-$H57)</f>
        <v/>
      </c>
      <c r="J57" s="35">
        <f>IF($A57&gt;NYears*12,"",$H57*RateB)</f>
        <v/>
      </c>
      <c r="K57" s="35">
        <f>IF($A57&gt;NYears*12,"",IF($D57=1,$J57,$K56+$J57))</f>
        <v/>
      </c>
      <c r="L57" s="35">
        <f>IF($A57&gt;NYears*12,"",IF(MOD($D57,3)=0,SUM($J55:$J57),0))</f>
        <v/>
      </c>
      <c r="M57" s="35">
        <f>IF($A57&gt;NYears*12,"",IF(TaxFreq="Quarterly",$K57*12/$D57,$K57))</f>
        <v/>
      </c>
      <c r="N57" s="36">
        <f>IF($A57&gt;NYears*12,"",LOOKUP($M57,TaxLower,TaxRate))</f>
        <v/>
      </c>
      <c r="O57" s="35">
        <f>IF($A57&gt;NYears*12,"",IF(TaxFreq="Quarterly",IF(MOD($D57,3)=0,$L57*$N57,0),IF($D57=12,$K57*$N57,0)))</f>
        <v/>
      </c>
      <c r="P57" s="35">
        <f>IF($A57&gt;NYears*12,"",IF($D57=1,$O57,$P56+$O57))</f>
        <v/>
      </c>
      <c r="Q57" s="35">
        <f>IF($A57&gt;NYears*12,"",IF($D57=12,MIN(WdrPct*IF(WdrBase="Post-tax profit",$K57-$P57,$K57),WdrCap),0))</f>
        <v/>
      </c>
      <c r="R57" s="35">
        <f>IF($A57&gt;NYears*12,"",$F57+$J57-$O57-$Q57)</f>
        <v/>
      </c>
      <c r="S57" s="33">
        <f>IF($A57&gt;NYears*12,"",INT($R57/$E57))</f>
        <v/>
      </c>
    </row>
    <row r="58">
      <c r="A58" s="33">
        <f>54</f>
        <v/>
      </c>
      <c r="B58" s="34">
        <f>IF($A58&gt;NYears*12,"",EDATE(StartMonth,$A58-1))</f>
        <v/>
      </c>
      <c r="C58" s="33">
        <f>IF($A58&gt;NYears*12,"",INT(($A58-1)/12)+1)</f>
        <v/>
      </c>
      <c r="D58" s="33">
        <f>IF($A58&gt;NYears*12,"",MOD($A58-1,12)+1)</f>
        <v/>
      </c>
      <c r="E58" s="35">
        <f>IF($A58&gt;NYears*12,"",LotValue0*(1+LotGrowth)^($C58-1))</f>
        <v/>
      </c>
      <c r="F58" s="35">
        <f>IF($A58&gt;NYears*12,"",IF($A58=1,InitInvest,$R57))</f>
        <v/>
      </c>
      <c r="G58" s="33">
        <f>IF($A58&gt;NYears*12,"",INT($F58/$E58))</f>
        <v/>
      </c>
      <c r="H58" s="35">
        <f>IF($A58&gt;NYears*12,"",$G58*$E58)</f>
        <v/>
      </c>
      <c r="I58" s="35">
        <f>IF($A58&gt;NYears*12,"",$F58-$H58)</f>
        <v/>
      </c>
      <c r="J58" s="35">
        <f>IF($A58&gt;NYears*12,"",$H58*RateB)</f>
        <v/>
      </c>
      <c r="K58" s="35">
        <f>IF($A58&gt;NYears*12,"",IF($D58=1,$J58,$K57+$J58))</f>
        <v/>
      </c>
      <c r="L58" s="35">
        <f>IF($A58&gt;NYears*12,"",IF(MOD($D58,3)=0,SUM($J56:$J58),0))</f>
        <v/>
      </c>
      <c r="M58" s="35">
        <f>IF($A58&gt;NYears*12,"",IF(TaxFreq="Quarterly",$K58*12/$D58,$K58))</f>
        <v/>
      </c>
      <c r="N58" s="36">
        <f>IF($A58&gt;NYears*12,"",LOOKUP($M58,TaxLower,TaxRate))</f>
        <v/>
      </c>
      <c r="O58" s="35">
        <f>IF($A58&gt;NYears*12,"",IF(TaxFreq="Quarterly",IF(MOD($D58,3)=0,$L58*$N58,0),IF($D58=12,$K58*$N58,0)))</f>
        <v/>
      </c>
      <c r="P58" s="35">
        <f>IF($A58&gt;NYears*12,"",IF($D58=1,$O58,$P57+$O58))</f>
        <v/>
      </c>
      <c r="Q58" s="35">
        <f>IF($A58&gt;NYears*12,"",IF($D58=12,MIN(WdrPct*IF(WdrBase="Post-tax profit",$K58-$P58,$K58),WdrCap),0))</f>
        <v/>
      </c>
      <c r="R58" s="35">
        <f>IF($A58&gt;NYears*12,"",$F58+$J58-$O58-$Q58)</f>
        <v/>
      </c>
      <c r="S58" s="33">
        <f>IF($A58&gt;NYears*12,"",INT($R58/$E58))</f>
        <v/>
      </c>
    </row>
    <row r="59">
      <c r="A59" s="33">
        <f>55</f>
        <v/>
      </c>
      <c r="B59" s="34">
        <f>IF($A59&gt;NYears*12,"",EDATE(StartMonth,$A59-1))</f>
        <v/>
      </c>
      <c r="C59" s="33">
        <f>IF($A59&gt;NYears*12,"",INT(($A59-1)/12)+1)</f>
        <v/>
      </c>
      <c r="D59" s="33">
        <f>IF($A59&gt;NYears*12,"",MOD($A59-1,12)+1)</f>
        <v/>
      </c>
      <c r="E59" s="35">
        <f>IF($A59&gt;NYears*12,"",LotValue0*(1+LotGrowth)^($C59-1))</f>
        <v/>
      </c>
      <c r="F59" s="35">
        <f>IF($A59&gt;NYears*12,"",IF($A59=1,InitInvest,$R58))</f>
        <v/>
      </c>
      <c r="G59" s="33">
        <f>IF($A59&gt;NYears*12,"",INT($F59/$E59))</f>
        <v/>
      </c>
      <c r="H59" s="35">
        <f>IF($A59&gt;NYears*12,"",$G59*$E59)</f>
        <v/>
      </c>
      <c r="I59" s="35">
        <f>IF($A59&gt;NYears*12,"",$F59-$H59)</f>
        <v/>
      </c>
      <c r="J59" s="35">
        <f>IF($A59&gt;NYears*12,"",$H59*RateB)</f>
        <v/>
      </c>
      <c r="K59" s="35">
        <f>IF($A59&gt;NYears*12,"",IF($D59=1,$J59,$K58+$J59))</f>
        <v/>
      </c>
      <c r="L59" s="35">
        <f>IF($A59&gt;NYears*12,"",IF(MOD($D59,3)=0,SUM($J57:$J59),0))</f>
        <v/>
      </c>
      <c r="M59" s="35">
        <f>IF($A59&gt;NYears*12,"",IF(TaxFreq="Quarterly",$K59*12/$D59,$K59))</f>
        <v/>
      </c>
      <c r="N59" s="36">
        <f>IF($A59&gt;NYears*12,"",LOOKUP($M59,TaxLower,TaxRate))</f>
        <v/>
      </c>
      <c r="O59" s="35">
        <f>IF($A59&gt;NYears*12,"",IF(TaxFreq="Quarterly",IF(MOD($D59,3)=0,$L59*$N59,0),IF($D59=12,$K59*$N59,0)))</f>
        <v/>
      </c>
      <c r="P59" s="35">
        <f>IF($A59&gt;NYears*12,"",IF($D59=1,$O59,$P58+$O59))</f>
        <v/>
      </c>
      <c r="Q59" s="35">
        <f>IF($A59&gt;NYears*12,"",IF($D59=12,MIN(WdrPct*IF(WdrBase="Post-tax profit",$K59-$P59,$K59),WdrCap),0))</f>
        <v/>
      </c>
      <c r="R59" s="35">
        <f>IF($A59&gt;NYears*12,"",$F59+$J59-$O59-$Q59)</f>
        <v/>
      </c>
      <c r="S59" s="33">
        <f>IF($A59&gt;NYears*12,"",INT($R59/$E59))</f>
        <v/>
      </c>
    </row>
    <row r="60">
      <c r="A60" s="33">
        <f>56</f>
        <v/>
      </c>
      <c r="B60" s="34">
        <f>IF($A60&gt;NYears*12,"",EDATE(StartMonth,$A60-1))</f>
        <v/>
      </c>
      <c r="C60" s="33">
        <f>IF($A60&gt;NYears*12,"",INT(($A60-1)/12)+1)</f>
        <v/>
      </c>
      <c r="D60" s="33">
        <f>IF($A60&gt;NYears*12,"",MOD($A60-1,12)+1)</f>
        <v/>
      </c>
      <c r="E60" s="35">
        <f>IF($A60&gt;NYears*12,"",LotValue0*(1+LotGrowth)^($C60-1))</f>
        <v/>
      </c>
      <c r="F60" s="35">
        <f>IF($A60&gt;NYears*12,"",IF($A60=1,InitInvest,$R59))</f>
        <v/>
      </c>
      <c r="G60" s="33">
        <f>IF($A60&gt;NYears*12,"",INT($F60/$E60))</f>
        <v/>
      </c>
      <c r="H60" s="35">
        <f>IF($A60&gt;NYears*12,"",$G60*$E60)</f>
        <v/>
      </c>
      <c r="I60" s="35">
        <f>IF($A60&gt;NYears*12,"",$F60-$H60)</f>
        <v/>
      </c>
      <c r="J60" s="35">
        <f>IF($A60&gt;NYears*12,"",$H60*RateB)</f>
        <v/>
      </c>
      <c r="K60" s="35">
        <f>IF($A60&gt;NYears*12,"",IF($D60=1,$J60,$K59+$J60))</f>
        <v/>
      </c>
      <c r="L60" s="35">
        <f>IF($A60&gt;NYears*12,"",IF(MOD($D60,3)=0,SUM($J58:$J60),0))</f>
        <v/>
      </c>
      <c r="M60" s="35">
        <f>IF($A60&gt;NYears*12,"",IF(TaxFreq="Quarterly",$K60*12/$D60,$K60))</f>
        <v/>
      </c>
      <c r="N60" s="36">
        <f>IF($A60&gt;NYears*12,"",LOOKUP($M60,TaxLower,TaxRate))</f>
        <v/>
      </c>
      <c r="O60" s="35">
        <f>IF($A60&gt;NYears*12,"",IF(TaxFreq="Quarterly",IF(MOD($D60,3)=0,$L60*$N60,0),IF($D60=12,$K60*$N60,0)))</f>
        <v/>
      </c>
      <c r="P60" s="35">
        <f>IF($A60&gt;NYears*12,"",IF($D60=1,$O60,$P59+$O60))</f>
        <v/>
      </c>
      <c r="Q60" s="35">
        <f>IF($A60&gt;NYears*12,"",IF($D60=12,MIN(WdrPct*IF(WdrBase="Post-tax profit",$K60-$P60,$K60),WdrCap),0))</f>
        <v/>
      </c>
      <c r="R60" s="35">
        <f>IF($A60&gt;NYears*12,"",$F60+$J60-$O60-$Q60)</f>
        <v/>
      </c>
      <c r="S60" s="33">
        <f>IF($A60&gt;NYears*12,"",INT($R60/$E60))</f>
        <v/>
      </c>
    </row>
    <row r="61">
      <c r="A61" s="33">
        <f>57</f>
        <v/>
      </c>
      <c r="B61" s="34">
        <f>IF($A61&gt;NYears*12,"",EDATE(StartMonth,$A61-1))</f>
        <v/>
      </c>
      <c r="C61" s="33">
        <f>IF($A61&gt;NYears*12,"",INT(($A61-1)/12)+1)</f>
        <v/>
      </c>
      <c r="D61" s="33">
        <f>IF($A61&gt;NYears*12,"",MOD($A61-1,12)+1)</f>
        <v/>
      </c>
      <c r="E61" s="35">
        <f>IF($A61&gt;NYears*12,"",LotValue0*(1+LotGrowth)^($C61-1))</f>
        <v/>
      </c>
      <c r="F61" s="35">
        <f>IF($A61&gt;NYears*12,"",IF($A61=1,InitInvest,$R60))</f>
        <v/>
      </c>
      <c r="G61" s="33">
        <f>IF($A61&gt;NYears*12,"",INT($F61/$E61))</f>
        <v/>
      </c>
      <c r="H61" s="35">
        <f>IF($A61&gt;NYears*12,"",$G61*$E61)</f>
        <v/>
      </c>
      <c r="I61" s="35">
        <f>IF($A61&gt;NYears*12,"",$F61-$H61)</f>
        <v/>
      </c>
      <c r="J61" s="35">
        <f>IF($A61&gt;NYears*12,"",$H61*RateB)</f>
        <v/>
      </c>
      <c r="K61" s="35">
        <f>IF($A61&gt;NYears*12,"",IF($D61=1,$J61,$K60+$J61))</f>
        <v/>
      </c>
      <c r="L61" s="35">
        <f>IF($A61&gt;NYears*12,"",IF(MOD($D61,3)=0,SUM($J59:$J61),0))</f>
        <v/>
      </c>
      <c r="M61" s="35">
        <f>IF($A61&gt;NYears*12,"",IF(TaxFreq="Quarterly",$K61*12/$D61,$K61))</f>
        <v/>
      </c>
      <c r="N61" s="36">
        <f>IF($A61&gt;NYears*12,"",LOOKUP($M61,TaxLower,TaxRate))</f>
        <v/>
      </c>
      <c r="O61" s="35">
        <f>IF($A61&gt;NYears*12,"",IF(TaxFreq="Quarterly",IF(MOD($D61,3)=0,$L61*$N61,0),IF($D61=12,$K61*$N61,0)))</f>
        <v/>
      </c>
      <c r="P61" s="35">
        <f>IF($A61&gt;NYears*12,"",IF($D61=1,$O61,$P60+$O61))</f>
        <v/>
      </c>
      <c r="Q61" s="35">
        <f>IF($A61&gt;NYears*12,"",IF($D61=12,MIN(WdrPct*IF(WdrBase="Post-tax profit",$K61-$P61,$K61),WdrCap),0))</f>
        <v/>
      </c>
      <c r="R61" s="35">
        <f>IF($A61&gt;NYears*12,"",$F61+$J61-$O61-$Q61)</f>
        <v/>
      </c>
      <c r="S61" s="33">
        <f>IF($A61&gt;NYears*12,"",INT($R61/$E61))</f>
        <v/>
      </c>
    </row>
    <row r="62">
      <c r="A62" s="33">
        <f>58</f>
        <v/>
      </c>
      <c r="B62" s="34">
        <f>IF($A62&gt;NYears*12,"",EDATE(StartMonth,$A62-1))</f>
        <v/>
      </c>
      <c r="C62" s="33">
        <f>IF($A62&gt;NYears*12,"",INT(($A62-1)/12)+1)</f>
        <v/>
      </c>
      <c r="D62" s="33">
        <f>IF($A62&gt;NYears*12,"",MOD($A62-1,12)+1)</f>
        <v/>
      </c>
      <c r="E62" s="35">
        <f>IF($A62&gt;NYears*12,"",LotValue0*(1+LotGrowth)^($C62-1))</f>
        <v/>
      </c>
      <c r="F62" s="35">
        <f>IF($A62&gt;NYears*12,"",IF($A62=1,InitInvest,$R61))</f>
        <v/>
      </c>
      <c r="G62" s="33">
        <f>IF($A62&gt;NYears*12,"",INT($F62/$E62))</f>
        <v/>
      </c>
      <c r="H62" s="35">
        <f>IF($A62&gt;NYears*12,"",$G62*$E62)</f>
        <v/>
      </c>
      <c r="I62" s="35">
        <f>IF($A62&gt;NYears*12,"",$F62-$H62)</f>
        <v/>
      </c>
      <c r="J62" s="35">
        <f>IF($A62&gt;NYears*12,"",$H62*RateB)</f>
        <v/>
      </c>
      <c r="K62" s="35">
        <f>IF($A62&gt;NYears*12,"",IF($D62=1,$J62,$K61+$J62))</f>
        <v/>
      </c>
      <c r="L62" s="35">
        <f>IF($A62&gt;NYears*12,"",IF(MOD($D62,3)=0,SUM($J60:$J62),0))</f>
        <v/>
      </c>
      <c r="M62" s="35">
        <f>IF($A62&gt;NYears*12,"",IF(TaxFreq="Quarterly",$K62*12/$D62,$K62))</f>
        <v/>
      </c>
      <c r="N62" s="36">
        <f>IF($A62&gt;NYears*12,"",LOOKUP($M62,TaxLower,TaxRate))</f>
        <v/>
      </c>
      <c r="O62" s="35">
        <f>IF($A62&gt;NYears*12,"",IF(TaxFreq="Quarterly",IF(MOD($D62,3)=0,$L62*$N62,0),IF($D62=12,$K62*$N62,0)))</f>
        <v/>
      </c>
      <c r="P62" s="35">
        <f>IF($A62&gt;NYears*12,"",IF($D62=1,$O62,$P61+$O62))</f>
        <v/>
      </c>
      <c r="Q62" s="35">
        <f>IF($A62&gt;NYears*12,"",IF($D62=12,MIN(WdrPct*IF(WdrBase="Post-tax profit",$K62-$P62,$K62),WdrCap),0))</f>
        <v/>
      </c>
      <c r="R62" s="35">
        <f>IF($A62&gt;NYears*12,"",$F62+$J62-$O62-$Q62)</f>
        <v/>
      </c>
      <c r="S62" s="33">
        <f>IF($A62&gt;NYears*12,"",INT($R62/$E62))</f>
        <v/>
      </c>
    </row>
    <row r="63">
      <c r="A63" s="33">
        <f>59</f>
        <v/>
      </c>
      <c r="B63" s="34">
        <f>IF($A63&gt;NYears*12,"",EDATE(StartMonth,$A63-1))</f>
        <v/>
      </c>
      <c r="C63" s="33">
        <f>IF($A63&gt;NYears*12,"",INT(($A63-1)/12)+1)</f>
        <v/>
      </c>
      <c r="D63" s="33">
        <f>IF($A63&gt;NYears*12,"",MOD($A63-1,12)+1)</f>
        <v/>
      </c>
      <c r="E63" s="35">
        <f>IF($A63&gt;NYears*12,"",LotValue0*(1+LotGrowth)^($C63-1))</f>
        <v/>
      </c>
      <c r="F63" s="35">
        <f>IF($A63&gt;NYears*12,"",IF($A63=1,InitInvest,$R62))</f>
        <v/>
      </c>
      <c r="G63" s="33">
        <f>IF($A63&gt;NYears*12,"",INT($F63/$E63))</f>
        <v/>
      </c>
      <c r="H63" s="35">
        <f>IF($A63&gt;NYears*12,"",$G63*$E63)</f>
        <v/>
      </c>
      <c r="I63" s="35">
        <f>IF($A63&gt;NYears*12,"",$F63-$H63)</f>
        <v/>
      </c>
      <c r="J63" s="35">
        <f>IF($A63&gt;NYears*12,"",$H63*RateB)</f>
        <v/>
      </c>
      <c r="K63" s="35">
        <f>IF($A63&gt;NYears*12,"",IF($D63=1,$J63,$K62+$J63))</f>
        <v/>
      </c>
      <c r="L63" s="35">
        <f>IF($A63&gt;NYears*12,"",IF(MOD($D63,3)=0,SUM($J61:$J63),0))</f>
        <v/>
      </c>
      <c r="M63" s="35">
        <f>IF($A63&gt;NYears*12,"",IF(TaxFreq="Quarterly",$K63*12/$D63,$K63))</f>
        <v/>
      </c>
      <c r="N63" s="36">
        <f>IF($A63&gt;NYears*12,"",LOOKUP($M63,TaxLower,TaxRate))</f>
        <v/>
      </c>
      <c r="O63" s="35">
        <f>IF($A63&gt;NYears*12,"",IF(TaxFreq="Quarterly",IF(MOD($D63,3)=0,$L63*$N63,0),IF($D63=12,$K63*$N63,0)))</f>
        <v/>
      </c>
      <c r="P63" s="35">
        <f>IF($A63&gt;NYears*12,"",IF($D63=1,$O63,$P62+$O63))</f>
        <v/>
      </c>
      <c r="Q63" s="35">
        <f>IF($A63&gt;NYears*12,"",IF($D63=12,MIN(WdrPct*IF(WdrBase="Post-tax profit",$K63-$P63,$K63),WdrCap),0))</f>
        <v/>
      </c>
      <c r="R63" s="35">
        <f>IF($A63&gt;NYears*12,"",$F63+$J63-$O63-$Q63)</f>
        <v/>
      </c>
      <c r="S63" s="33">
        <f>IF($A63&gt;NYears*12,"",INT($R63/$E63))</f>
        <v/>
      </c>
    </row>
    <row r="64">
      <c r="A64" s="37">
        <f>60</f>
        <v/>
      </c>
      <c r="B64" s="38">
        <f>IF($A64&gt;NYears*12,"",EDATE(StartMonth,$A64-1))</f>
        <v/>
      </c>
      <c r="C64" s="37">
        <f>IF($A64&gt;NYears*12,"",INT(($A64-1)/12)+1)</f>
        <v/>
      </c>
      <c r="D64" s="37">
        <f>IF($A64&gt;NYears*12,"",MOD($A64-1,12)+1)</f>
        <v/>
      </c>
      <c r="E64" s="39">
        <f>IF($A64&gt;NYears*12,"",LotValue0*(1+LotGrowth)^($C64-1))</f>
        <v/>
      </c>
      <c r="F64" s="39">
        <f>IF($A64&gt;NYears*12,"",IF($A64=1,InitInvest,$R63))</f>
        <v/>
      </c>
      <c r="G64" s="37">
        <f>IF($A64&gt;NYears*12,"",INT($F64/$E64))</f>
        <v/>
      </c>
      <c r="H64" s="39">
        <f>IF($A64&gt;NYears*12,"",$G64*$E64)</f>
        <v/>
      </c>
      <c r="I64" s="39">
        <f>IF($A64&gt;NYears*12,"",$F64-$H64)</f>
        <v/>
      </c>
      <c r="J64" s="39">
        <f>IF($A64&gt;NYears*12,"",$H64*RateB)</f>
        <v/>
      </c>
      <c r="K64" s="39">
        <f>IF($A64&gt;NYears*12,"",IF($D64=1,$J64,$K63+$J64))</f>
        <v/>
      </c>
      <c r="L64" s="39">
        <f>IF($A64&gt;NYears*12,"",IF(MOD($D64,3)=0,SUM($J62:$J64),0))</f>
        <v/>
      </c>
      <c r="M64" s="39">
        <f>IF($A64&gt;NYears*12,"",IF(TaxFreq="Quarterly",$K64*12/$D64,$K64))</f>
        <v/>
      </c>
      <c r="N64" s="40">
        <f>IF($A64&gt;NYears*12,"",LOOKUP($M64,TaxLower,TaxRate))</f>
        <v/>
      </c>
      <c r="O64" s="39">
        <f>IF($A64&gt;NYears*12,"",IF(TaxFreq="Quarterly",IF(MOD($D64,3)=0,$L64*$N64,0),IF($D64=12,$K64*$N64,0)))</f>
        <v/>
      </c>
      <c r="P64" s="39">
        <f>IF($A64&gt;NYears*12,"",IF($D64=1,$O64,$P63+$O64))</f>
        <v/>
      </c>
      <c r="Q64" s="39">
        <f>IF($A64&gt;NYears*12,"",IF($D64=12,MIN(WdrPct*IF(WdrBase="Post-tax profit",$K64-$P64,$K64),WdrCap),0))</f>
        <v/>
      </c>
      <c r="R64" s="39">
        <f>IF($A64&gt;NYears*12,"",$F64+$J64-$O64-$Q64)</f>
        <v/>
      </c>
      <c r="S64" s="37">
        <f>IF($A64&gt;NYears*12,"",INT($R64/$E64))</f>
        <v/>
      </c>
    </row>
    <row r="65">
      <c r="A65" s="33">
        <f>61</f>
        <v/>
      </c>
      <c r="B65" s="34">
        <f>IF($A65&gt;NYears*12,"",EDATE(StartMonth,$A65-1))</f>
        <v/>
      </c>
      <c r="C65" s="33">
        <f>IF($A65&gt;NYears*12,"",INT(($A65-1)/12)+1)</f>
        <v/>
      </c>
      <c r="D65" s="33">
        <f>IF($A65&gt;NYears*12,"",MOD($A65-1,12)+1)</f>
        <v/>
      </c>
      <c r="E65" s="35">
        <f>IF($A65&gt;NYears*12,"",LotValue0*(1+LotGrowth)^($C65-1))</f>
        <v/>
      </c>
      <c r="F65" s="35">
        <f>IF($A65&gt;NYears*12,"",IF($A65=1,InitInvest,$R64))</f>
        <v/>
      </c>
      <c r="G65" s="33">
        <f>IF($A65&gt;NYears*12,"",INT($F65/$E65))</f>
        <v/>
      </c>
      <c r="H65" s="35">
        <f>IF($A65&gt;NYears*12,"",$G65*$E65)</f>
        <v/>
      </c>
      <c r="I65" s="35">
        <f>IF($A65&gt;NYears*12,"",$F65-$H65)</f>
        <v/>
      </c>
      <c r="J65" s="35">
        <f>IF($A65&gt;NYears*12,"",$H65*RateB)</f>
        <v/>
      </c>
      <c r="K65" s="35">
        <f>IF($A65&gt;NYears*12,"",IF($D65=1,$J65,$K64+$J65))</f>
        <v/>
      </c>
      <c r="L65" s="35">
        <f>IF($A65&gt;NYears*12,"",IF(MOD($D65,3)=0,SUM($J63:$J65),0))</f>
        <v/>
      </c>
      <c r="M65" s="35">
        <f>IF($A65&gt;NYears*12,"",IF(TaxFreq="Quarterly",$K65*12/$D65,$K65))</f>
        <v/>
      </c>
      <c r="N65" s="36">
        <f>IF($A65&gt;NYears*12,"",LOOKUP($M65,TaxLower,TaxRate))</f>
        <v/>
      </c>
      <c r="O65" s="35">
        <f>IF($A65&gt;NYears*12,"",IF(TaxFreq="Quarterly",IF(MOD($D65,3)=0,$L65*$N65,0),IF($D65=12,$K65*$N65,0)))</f>
        <v/>
      </c>
      <c r="P65" s="35">
        <f>IF($A65&gt;NYears*12,"",IF($D65=1,$O65,$P64+$O65))</f>
        <v/>
      </c>
      <c r="Q65" s="35">
        <f>IF($A65&gt;NYears*12,"",IF($D65=12,MIN(WdrPct*IF(WdrBase="Post-tax profit",$K65-$P65,$K65),WdrCap),0))</f>
        <v/>
      </c>
      <c r="R65" s="35">
        <f>IF($A65&gt;NYears*12,"",$F65+$J65-$O65-$Q65)</f>
        <v/>
      </c>
      <c r="S65" s="33">
        <f>IF($A65&gt;NYears*12,"",INT($R65/$E65))</f>
        <v/>
      </c>
    </row>
    <row r="66">
      <c r="A66" s="33">
        <f>62</f>
        <v/>
      </c>
      <c r="B66" s="34">
        <f>IF($A66&gt;NYears*12,"",EDATE(StartMonth,$A66-1))</f>
        <v/>
      </c>
      <c r="C66" s="33">
        <f>IF($A66&gt;NYears*12,"",INT(($A66-1)/12)+1)</f>
        <v/>
      </c>
      <c r="D66" s="33">
        <f>IF($A66&gt;NYears*12,"",MOD($A66-1,12)+1)</f>
        <v/>
      </c>
      <c r="E66" s="35">
        <f>IF($A66&gt;NYears*12,"",LotValue0*(1+LotGrowth)^($C66-1))</f>
        <v/>
      </c>
      <c r="F66" s="35">
        <f>IF($A66&gt;NYears*12,"",IF($A66=1,InitInvest,$R65))</f>
        <v/>
      </c>
      <c r="G66" s="33">
        <f>IF($A66&gt;NYears*12,"",INT($F66/$E66))</f>
        <v/>
      </c>
      <c r="H66" s="35">
        <f>IF($A66&gt;NYears*12,"",$G66*$E66)</f>
        <v/>
      </c>
      <c r="I66" s="35">
        <f>IF($A66&gt;NYears*12,"",$F66-$H66)</f>
        <v/>
      </c>
      <c r="J66" s="35">
        <f>IF($A66&gt;NYears*12,"",$H66*RateB)</f>
        <v/>
      </c>
      <c r="K66" s="35">
        <f>IF($A66&gt;NYears*12,"",IF($D66=1,$J66,$K65+$J66))</f>
        <v/>
      </c>
      <c r="L66" s="35">
        <f>IF($A66&gt;NYears*12,"",IF(MOD($D66,3)=0,SUM($J64:$J66),0))</f>
        <v/>
      </c>
      <c r="M66" s="35">
        <f>IF($A66&gt;NYears*12,"",IF(TaxFreq="Quarterly",$K66*12/$D66,$K66))</f>
        <v/>
      </c>
      <c r="N66" s="36">
        <f>IF($A66&gt;NYears*12,"",LOOKUP($M66,TaxLower,TaxRate))</f>
        <v/>
      </c>
      <c r="O66" s="35">
        <f>IF($A66&gt;NYears*12,"",IF(TaxFreq="Quarterly",IF(MOD($D66,3)=0,$L66*$N66,0),IF($D66=12,$K66*$N66,0)))</f>
        <v/>
      </c>
      <c r="P66" s="35">
        <f>IF($A66&gt;NYears*12,"",IF($D66=1,$O66,$P65+$O66))</f>
        <v/>
      </c>
      <c r="Q66" s="35">
        <f>IF($A66&gt;NYears*12,"",IF($D66=12,MIN(WdrPct*IF(WdrBase="Post-tax profit",$K66-$P66,$K66),WdrCap),0))</f>
        <v/>
      </c>
      <c r="R66" s="35">
        <f>IF($A66&gt;NYears*12,"",$F66+$J66-$O66-$Q66)</f>
        <v/>
      </c>
      <c r="S66" s="33">
        <f>IF($A66&gt;NYears*12,"",INT($R66/$E66))</f>
        <v/>
      </c>
    </row>
    <row r="67">
      <c r="A67" s="33">
        <f>63</f>
        <v/>
      </c>
      <c r="B67" s="34">
        <f>IF($A67&gt;NYears*12,"",EDATE(StartMonth,$A67-1))</f>
        <v/>
      </c>
      <c r="C67" s="33">
        <f>IF($A67&gt;NYears*12,"",INT(($A67-1)/12)+1)</f>
        <v/>
      </c>
      <c r="D67" s="33">
        <f>IF($A67&gt;NYears*12,"",MOD($A67-1,12)+1)</f>
        <v/>
      </c>
      <c r="E67" s="35">
        <f>IF($A67&gt;NYears*12,"",LotValue0*(1+LotGrowth)^($C67-1))</f>
        <v/>
      </c>
      <c r="F67" s="35">
        <f>IF($A67&gt;NYears*12,"",IF($A67=1,InitInvest,$R66))</f>
        <v/>
      </c>
      <c r="G67" s="33">
        <f>IF($A67&gt;NYears*12,"",INT($F67/$E67))</f>
        <v/>
      </c>
      <c r="H67" s="35">
        <f>IF($A67&gt;NYears*12,"",$G67*$E67)</f>
        <v/>
      </c>
      <c r="I67" s="35">
        <f>IF($A67&gt;NYears*12,"",$F67-$H67)</f>
        <v/>
      </c>
      <c r="J67" s="35">
        <f>IF($A67&gt;NYears*12,"",$H67*RateB)</f>
        <v/>
      </c>
      <c r="K67" s="35">
        <f>IF($A67&gt;NYears*12,"",IF($D67=1,$J67,$K66+$J67))</f>
        <v/>
      </c>
      <c r="L67" s="35">
        <f>IF($A67&gt;NYears*12,"",IF(MOD($D67,3)=0,SUM($J65:$J67),0))</f>
        <v/>
      </c>
      <c r="M67" s="35">
        <f>IF($A67&gt;NYears*12,"",IF(TaxFreq="Quarterly",$K67*12/$D67,$K67))</f>
        <v/>
      </c>
      <c r="N67" s="36">
        <f>IF($A67&gt;NYears*12,"",LOOKUP($M67,TaxLower,TaxRate))</f>
        <v/>
      </c>
      <c r="O67" s="35">
        <f>IF($A67&gt;NYears*12,"",IF(TaxFreq="Quarterly",IF(MOD($D67,3)=0,$L67*$N67,0),IF($D67=12,$K67*$N67,0)))</f>
        <v/>
      </c>
      <c r="P67" s="35">
        <f>IF($A67&gt;NYears*12,"",IF($D67=1,$O67,$P66+$O67))</f>
        <v/>
      </c>
      <c r="Q67" s="35">
        <f>IF($A67&gt;NYears*12,"",IF($D67=12,MIN(WdrPct*IF(WdrBase="Post-tax profit",$K67-$P67,$K67),WdrCap),0))</f>
        <v/>
      </c>
      <c r="R67" s="35">
        <f>IF($A67&gt;NYears*12,"",$F67+$J67-$O67-$Q67)</f>
        <v/>
      </c>
      <c r="S67" s="33">
        <f>IF($A67&gt;NYears*12,"",INT($R67/$E67))</f>
        <v/>
      </c>
    </row>
    <row r="68">
      <c r="A68" s="33">
        <f>64</f>
        <v/>
      </c>
      <c r="B68" s="34">
        <f>IF($A68&gt;NYears*12,"",EDATE(StartMonth,$A68-1))</f>
        <v/>
      </c>
      <c r="C68" s="33">
        <f>IF($A68&gt;NYears*12,"",INT(($A68-1)/12)+1)</f>
        <v/>
      </c>
      <c r="D68" s="33">
        <f>IF($A68&gt;NYears*12,"",MOD($A68-1,12)+1)</f>
        <v/>
      </c>
      <c r="E68" s="35">
        <f>IF($A68&gt;NYears*12,"",LotValue0*(1+LotGrowth)^($C68-1))</f>
        <v/>
      </c>
      <c r="F68" s="35">
        <f>IF($A68&gt;NYears*12,"",IF($A68=1,InitInvest,$R67))</f>
        <v/>
      </c>
      <c r="G68" s="33">
        <f>IF($A68&gt;NYears*12,"",INT($F68/$E68))</f>
        <v/>
      </c>
      <c r="H68" s="35">
        <f>IF($A68&gt;NYears*12,"",$G68*$E68)</f>
        <v/>
      </c>
      <c r="I68" s="35">
        <f>IF($A68&gt;NYears*12,"",$F68-$H68)</f>
        <v/>
      </c>
      <c r="J68" s="35">
        <f>IF($A68&gt;NYears*12,"",$H68*RateB)</f>
        <v/>
      </c>
      <c r="K68" s="35">
        <f>IF($A68&gt;NYears*12,"",IF($D68=1,$J68,$K67+$J68))</f>
        <v/>
      </c>
      <c r="L68" s="35">
        <f>IF($A68&gt;NYears*12,"",IF(MOD($D68,3)=0,SUM($J66:$J68),0))</f>
        <v/>
      </c>
      <c r="M68" s="35">
        <f>IF($A68&gt;NYears*12,"",IF(TaxFreq="Quarterly",$K68*12/$D68,$K68))</f>
        <v/>
      </c>
      <c r="N68" s="36">
        <f>IF($A68&gt;NYears*12,"",LOOKUP($M68,TaxLower,TaxRate))</f>
        <v/>
      </c>
      <c r="O68" s="35">
        <f>IF($A68&gt;NYears*12,"",IF(TaxFreq="Quarterly",IF(MOD($D68,3)=0,$L68*$N68,0),IF($D68=12,$K68*$N68,0)))</f>
        <v/>
      </c>
      <c r="P68" s="35">
        <f>IF($A68&gt;NYears*12,"",IF($D68=1,$O68,$P67+$O68))</f>
        <v/>
      </c>
      <c r="Q68" s="35">
        <f>IF($A68&gt;NYears*12,"",IF($D68=12,MIN(WdrPct*IF(WdrBase="Post-tax profit",$K68-$P68,$K68),WdrCap),0))</f>
        <v/>
      </c>
      <c r="R68" s="35">
        <f>IF($A68&gt;NYears*12,"",$F68+$J68-$O68-$Q68)</f>
        <v/>
      </c>
      <c r="S68" s="33">
        <f>IF($A68&gt;NYears*12,"",INT($R68/$E68))</f>
        <v/>
      </c>
    </row>
    <row r="69">
      <c r="A69" s="33">
        <f>65</f>
        <v/>
      </c>
      <c r="B69" s="34">
        <f>IF($A69&gt;NYears*12,"",EDATE(StartMonth,$A69-1))</f>
        <v/>
      </c>
      <c r="C69" s="33">
        <f>IF($A69&gt;NYears*12,"",INT(($A69-1)/12)+1)</f>
        <v/>
      </c>
      <c r="D69" s="33">
        <f>IF($A69&gt;NYears*12,"",MOD($A69-1,12)+1)</f>
        <v/>
      </c>
      <c r="E69" s="35">
        <f>IF($A69&gt;NYears*12,"",LotValue0*(1+LotGrowth)^($C69-1))</f>
        <v/>
      </c>
      <c r="F69" s="35">
        <f>IF($A69&gt;NYears*12,"",IF($A69=1,InitInvest,$R68))</f>
        <v/>
      </c>
      <c r="G69" s="33">
        <f>IF($A69&gt;NYears*12,"",INT($F69/$E69))</f>
        <v/>
      </c>
      <c r="H69" s="35">
        <f>IF($A69&gt;NYears*12,"",$G69*$E69)</f>
        <v/>
      </c>
      <c r="I69" s="35">
        <f>IF($A69&gt;NYears*12,"",$F69-$H69)</f>
        <v/>
      </c>
      <c r="J69" s="35">
        <f>IF($A69&gt;NYears*12,"",$H69*RateB)</f>
        <v/>
      </c>
      <c r="K69" s="35">
        <f>IF($A69&gt;NYears*12,"",IF($D69=1,$J69,$K68+$J69))</f>
        <v/>
      </c>
      <c r="L69" s="35">
        <f>IF($A69&gt;NYears*12,"",IF(MOD($D69,3)=0,SUM($J67:$J69),0))</f>
        <v/>
      </c>
      <c r="M69" s="35">
        <f>IF($A69&gt;NYears*12,"",IF(TaxFreq="Quarterly",$K69*12/$D69,$K69))</f>
        <v/>
      </c>
      <c r="N69" s="36">
        <f>IF($A69&gt;NYears*12,"",LOOKUP($M69,TaxLower,TaxRate))</f>
        <v/>
      </c>
      <c r="O69" s="35">
        <f>IF($A69&gt;NYears*12,"",IF(TaxFreq="Quarterly",IF(MOD($D69,3)=0,$L69*$N69,0),IF($D69=12,$K69*$N69,0)))</f>
        <v/>
      </c>
      <c r="P69" s="35">
        <f>IF($A69&gt;NYears*12,"",IF($D69=1,$O69,$P68+$O69))</f>
        <v/>
      </c>
      <c r="Q69" s="35">
        <f>IF($A69&gt;NYears*12,"",IF($D69=12,MIN(WdrPct*IF(WdrBase="Post-tax profit",$K69-$P69,$K69),WdrCap),0))</f>
        <v/>
      </c>
      <c r="R69" s="35">
        <f>IF($A69&gt;NYears*12,"",$F69+$J69-$O69-$Q69)</f>
        <v/>
      </c>
      <c r="S69" s="33">
        <f>IF($A69&gt;NYears*12,"",INT($R69/$E69))</f>
        <v/>
      </c>
    </row>
    <row r="70">
      <c r="A70" s="33">
        <f>66</f>
        <v/>
      </c>
      <c r="B70" s="34">
        <f>IF($A70&gt;NYears*12,"",EDATE(StartMonth,$A70-1))</f>
        <v/>
      </c>
      <c r="C70" s="33">
        <f>IF($A70&gt;NYears*12,"",INT(($A70-1)/12)+1)</f>
        <v/>
      </c>
      <c r="D70" s="33">
        <f>IF($A70&gt;NYears*12,"",MOD($A70-1,12)+1)</f>
        <v/>
      </c>
      <c r="E70" s="35">
        <f>IF($A70&gt;NYears*12,"",LotValue0*(1+LotGrowth)^($C70-1))</f>
        <v/>
      </c>
      <c r="F70" s="35">
        <f>IF($A70&gt;NYears*12,"",IF($A70=1,InitInvest,$R69))</f>
        <v/>
      </c>
      <c r="G70" s="33">
        <f>IF($A70&gt;NYears*12,"",INT($F70/$E70))</f>
        <v/>
      </c>
      <c r="H70" s="35">
        <f>IF($A70&gt;NYears*12,"",$G70*$E70)</f>
        <v/>
      </c>
      <c r="I70" s="35">
        <f>IF($A70&gt;NYears*12,"",$F70-$H70)</f>
        <v/>
      </c>
      <c r="J70" s="35">
        <f>IF($A70&gt;NYears*12,"",$H70*RateB)</f>
        <v/>
      </c>
      <c r="K70" s="35">
        <f>IF($A70&gt;NYears*12,"",IF($D70=1,$J70,$K69+$J70))</f>
        <v/>
      </c>
      <c r="L70" s="35">
        <f>IF($A70&gt;NYears*12,"",IF(MOD($D70,3)=0,SUM($J68:$J70),0))</f>
        <v/>
      </c>
      <c r="M70" s="35">
        <f>IF($A70&gt;NYears*12,"",IF(TaxFreq="Quarterly",$K70*12/$D70,$K70))</f>
        <v/>
      </c>
      <c r="N70" s="36">
        <f>IF($A70&gt;NYears*12,"",LOOKUP($M70,TaxLower,TaxRate))</f>
        <v/>
      </c>
      <c r="O70" s="35">
        <f>IF($A70&gt;NYears*12,"",IF(TaxFreq="Quarterly",IF(MOD($D70,3)=0,$L70*$N70,0),IF($D70=12,$K70*$N70,0)))</f>
        <v/>
      </c>
      <c r="P70" s="35">
        <f>IF($A70&gt;NYears*12,"",IF($D70=1,$O70,$P69+$O70))</f>
        <v/>
      </c>
      <c r="Q70" s="35">
        <f>IF($A70&gt;NYears*12,"",IF($D70=12,MIN(WdrPct*IF(WdrBase="Post-tax profit",$K70-$P70,$K70),WdrCap),0))</f>
        <v/>
      </c>
      <c r="R70" s="35">
        <f>IF($A70&gt;NYears*12,"",$F70+$J70-$O70-$Q70)</f>
        <v/>
      </c>
      <c r="S70" s="33">
        <f>IF($A70&gt;NYears*12,"",INT($R70/$E70))</f>
        <v/>
      </c>
    </row>
    <row r="71">
      <c r="A71" s="33">
        <f>67</f>
        <v/>
      </c>
      <c r="B71" s="34">
        <f>IF($A71&gt;NYears*12,"",EDATE(StartMonth,$A71-1))</f>
        <v/>
      </c>
      <c r="C71" s="33">
        <f>IF($A71&gt;NYears*12,"",INT(($A71-1)/12)+1)</f>
        <v/>
      </c>
      <c r="D71" s="33">
        <f>IF($A71&gt;NYears*12,"",MOD($A71-1,12)+1)</f>
        <v/>
      </c>
      <c r="E71" s="35">
        <f>IF($A71&gt;NYears*12,"",LotValue0*(1+LotGrowth)^($C71-1))</f>
        <v/>
      </c>
      <c r="F71" s="35">
        <f>IF($A71&gt;NYears*12,"",IF($A71=1,InitInvest,$R70))</f>
        <v/>
      </c>
      <c r="G71" s="33">
        <f>IF($A71&gt;NYears*12,"",INT($F71/$E71))</f>
        <v/>
      </c>
      <c r="H71" s="35">
        <f>IF($A71&gt;NYears*12,"",$G71*$E71)</f>
        <v/>
      </c>
      <c r="I71" s="35">
        <f>IF($A71&gt;NYears*12,"",$F71-$H71)</f>
        <v/>
      </c>
      <c r="J71" s="35">
        <f>IF($A71&gt;NYears*12,"",$H71*RateB)</f>
        <v/>
      </c>
      <c r="K71" s="35">
        <f>IF($A71&gt;NYears*12,"",IF($D71=1,$J71,$K70+$J71))</f>
        <v/>
      </c>
      <c r="L71" s="35">
        <f>IF($A71&gt;NYears*12,"",IF(MOD($D71,3)=0,SUM($J69:$J71),0))</f>
        <v/>
      </c>
      <c r="M71" s="35">
        <f>IF($A71&gt;NYears*12,"",IF(TaxFreq="Quarterly",$K71*12/$D71,$K71))</f>
        <v/>
      </c>
      <c r="N71" s="36">
        <f>IF($A71&gt;NYears*12,"",LOOKUP($M71,TaxLower,TaxRate))</f>
        <v/>
      </c>
      <c r="O71" s="35">
        <f>IF($A71&gt;NYears*12,"",IF(TaxFreq="Quarterly",IF(MOD($D71,3)=0,$L71*$N71,0),IF($D71=12,$K71*$N71,0)))</f>
        <v/>
      </c>
      <c r="P71" s="35">
        <f>IF($A71&gt;NYears*12,"",IF($D71=1,$O71,$P70+$O71))</f>
        <v/>
      </c>
      <c r="Q71" s="35">
        <f>IF($A71&gt;NYears*12,"",IF($D71=12,MIN(WdrPct*IF(WdrBase="Post-tax profit",$K71-$P71,$K71),WdrCap),0))</f>
        <v/>
      </c>
      <c r="R71" s="35">
        <f>IF($A71&gt;NYears*12,"",$F71+$J71-$O71-$Q71)</f>
        <v/>
      </c>
      <c r="S71" s="33">
        <f>IF($A71&gt;NYears*12,"",INT($R71/$E71))</f>
        <v/>
      </c>
    </row>
    <row r="72">
      <c r="A72" s="33">
        <f>68</f>
        <v/>
      </c>
      <c r="B72" s="34">
        <f>IF($A72&gt;NYears*12,"",EDATE(StartMonth,$A72-1))</f>
        <v/>
      </c>
      <c r="C72" s="33">
        <f>IF($A72&gt;NYears*12,"",INT(($A72-1)/12)+1)</f>
        <v/>
      </c>
      <c r="D72" s="33">
        <f>IF($A72&gt;NYears*12,"",MOD($A72-1,12)+1)</f>
        <v/>
      </c>
      <c r="E72" s="35">
        <f>IF($A72&gt;NYears*12,"",LotValue0*(1+LotGrowth)^($C72-1))</f>
        <v/>
      </c>
      <c r="F72" s="35">
        <f>IF($A72&gt;NYears*12,"",IF($A72=1,InitInvest,$R71))</f>
        <v/>
      </c>
      <c r="G72" s="33">
        <f>IF($A72&gt;NYears*12,"",INT($F72/$E72))</f>
        <v/>
      </c>
      <c r="H72" s="35">
        <f>IF($A72&gt;NYears*12,"",$G72*$E72)</f>
        <v/>
      </c>
      <c r="I72" s="35">
        <f>IF($A72&gt;NYears*12,"",$F72-$H72)</f>
        <v/>
      </c>
      <c r="J72" s="35">
        <f>IF($A72&gt;NYears*12,"",$H72*RateB)</f>
        <v/>
      </c>
      <c r="K72" s="35">
        <f>IF($A72&gt;NYears*12,"",IF($D72=1,$J72,$K71+$J72))</f>
        <v/>
      </c>
      <c r="L72" s="35">
        <f>IF($A72&gt;NYears*12,"",IF(MOD($D72,3)=0,SUM($J70:$J72),0))</f>
        <v/>
      </c>
      <c r="M72" s="35">
        <f>IF($A72&gt;NYears*12,"",IF(TaxFreq="Quarterly",$K72*12/$D72,$K72))</f>
        <v/>
      </c>
      <c r="N72" s="36">
        <f>IF($A72&gt;NYears*12,"",LOOKUP($M72,TaxLower,TaxRate))</f>
        <v/>
      </c>
      <c r="O72" s="35">
        <f>IF($A72&gt;NYears*12,"",IF(TaxFreq="Quarterly",IF(MOD($D72,3)=0,$L72*$N72,0),IF($D72=12,$K72*$N72,0)))</f>
        <v/>
      </c>
      <c r="P72" s="35">
        <f>IF($A72&gt;NYears*12,"",IF($D72=1,$O72,$P71+$O72))</f>
        <v/>
      </c>
      <c r="Q72" s="35">
        <f>IF($A72&gt;NYears*12,"",IF($D72=12,MIN(WdrPct*IF(WdrBase="Post-tax profit",$K72-$P72,$K72),WdrCap),0))</f>
        <v/>
      </c>
      <c r="R72" s="35">
        <f>IF($A72&gt;NYears*12,"",$F72+$J72-$O72-$Q72)</f>
        <v/>
      </c>
      <c r="S72" s="33">
        <f>IF($A72&gt;NYears*12,"",INT($R72/$E72))</f>
        <v/>
      </c>
    </row>
    <row r="73">
      <c r="A73" s="33">
        <f>69</f>
        <v/>
      </c>
      <c r="B73" s="34">
        <f>IF($A73&gt;NYears*12,"",EDATE(StartMonth,$A73-1))</f>
        <v/>
      </c>
      <c r="C73" s="33">
        <f>IF($A73&gt;NYears*12,"",INT(($A73-1)/12)+1)</f>
        <v/>
      </c>
      <c r="D73" s="33">
        <f>IF($A73&gt;NYears*12,"",MOD($A73-1,12)+1)</f>
        <v/>
      </c>
      <c r="E73" s="35">
        <f>IF($A73&gt;NYears*12,"",LotValue0*(1+LotGrowth)^($C73-1))</f>
        <v/>
      </c>
      <c r="F73" s="35">
        <f>IF($A73&gt;NYears*12,"",IF($A73=1,InitInvest,$R72))</f>
        <v/>
      </c>
      <c r="G73" s="33">
        <f>IF($A73&gt;NYears*12,"",INT($F73/$E73))</f>
        <v/>
      </c>
      <c r="H73" s="35">
        <f>IF($A73&gt;NYears*12,"",$G73*$E73)</f>
        <v/>
      </c>
      <c r="I73" s="35">
        <f>IF($A73&gt;NYears*12,"",$F73-$H73)</f>
        <v/>
      </c>
      <c r="J73" s="35">
        <f>IF($A73&gt;NYears*12,"",$H73*RateB)</f>
        <v/>
      </c>
      <c r="K73" s="35">
        <f>IF($A73&gt;NYears*12,"",IF($D73=1,$J73,$K72+$J73))</f>
        <v/>
      </c>
      <c r="L73" s="35">
        <f>IF($A73&gt;NYears*12,"",IF(MOD($D73,3)=0,SUM($J71:$J73),0))</f>
        <v/>
      </c>
      <c r="M73" s="35">
        <f>IF($A73&gt;NYears*12,"",IF(TaxFreq="Quarterly",$K73*12/$D73,$K73))</f>
        <v/>
      </c>
      <c r="N73" s="36">
        <f>IF($A73&gt;NYears*12,"",LOOKUP($M73,TaxLower,TaxRate))</f>
        <v/>
      </c>
      <c r="O73" s="35">
        <f>IF($A73&gt;NYears*12,"",IF(TaxFreq="Quarterly",IF(MOD($D73,3)=0,$L73*$N73,0),IF($D73=12,$K73*$N73,0)))</f>
        <v/>
      </c>
      <c r="P73" s="35">
        <f>IF($A73&gt;NYears*12,"",IF($D73=1,$O73,$P72+$O73))</f>
        <v/>
      </c>
      <c r="Q73" s="35">
        <f>IF($A73&gt;NYears*12,"",IF($D73=12,MIN(WdrPct*IF(WdrBase="Post-tax profit",$K73-$P73,$K73),WdrCap),0))</f>
        <v/>
      </c>
      <c r="R73" s="35">
        <f>IF($A73&gt;NYears*12,"",$F73+$J73-$O73-$Q73)</f>
        <v/>
      </c>
      <c r="S73" s="33">
        <f>IF($A73&gt;NYears*12,"",INT($R73/$E73))</f>
        <v/>
      </c>
    </row>
    <row r="74">
      <c r="A74" s="33">
        <f>70</f>
        <v/>
      </c>
      <c r="B74" s="34">
        <f>IF($A74&gt;NYears*12,"",EDATE(StartMonth,$A74-1))</f>
        <v/>
      </c>
      <c r="C74" s="33">
        <f>IF($A74&gt;NYears*12,"",INT(($A74-1)/12)+1)</f>
        <v/>
      </c>
      <c r="D74" s="33">
        <f>IF($A74&gt;NYears*12,"",MOD($A74-1,12)+1)</f>
        <v/>
      </c>
      <c r="E74" s="35">
        <f>IF($A74&gt;NYears*12,"",LotValue0*(1+LotGrowth)^($C74-1))</f>
        <v/>
      </c>
      <c r="F74" s="35">
        <f>IF($A74&gt;NYears*12,"",IF($A74=1,InitInvest,$R73))</f>
        <v/>
      </c>
      <c r="G74" s="33">
        <f>IF($A74&gt;NYears*12,"",INT($F74/$E74))</f>
        <v/>
      </c>
      <c r="H74" s="35">
        <f>IF($A74&gt;NYears*12,"",$G74*$E74)</f>
        <v/>
      </c>
      <c r="I74" s="35">
        <f>IF($A74&gt;NYears*12,"",$F74-$H74)</f>
        <v/>
      </c>
      <c r="J74" s="35">
        <f>IF($A74&gt;NYears*12,"",$H74*RateB)</f>
        <v/>
      </c>
      <c r="K74" s="35">
        <f>IF($A74&gt;NYears*12,"",IF($D74=1,$J74,$K73+$J74))</f>
        <v/>
      </c>
      <c r="L74" s="35">
        <f>IF($A74&gt;NYears*12,"",IF(MOD($D74,3)=0,SUM($J72:$J74),0))</f>
        <v/>
      </c>
      <c r="M74" s="35">
        <f>IF($A74&gt;NYears*12,"",IF(TaxFreq="Quarterly",$K74*12/$D74,$K74))</f>
        <v/>
      </c>
      <c r="N74" s="36">
        <f>IF($A74&gt;NYears*12,"",LOOKUP($M74,TaxLower,TaxRate))</f>
        <v/>
      </c>
      <c r="O74" s="35">
        <f>IF($A74&gt;NYears*12,"",IF(TaxFreq="Quarterly",IF(MOD($D74,3)=0,$L74*$N74,0),IF($D74=12,$K74*$N74,0)))</f>
        <v/>
      </c>
      <c r="P74" s="35">
        <f>IF($A74&gt;NYears*12,"",IF($D74=1,$O74,$P73+$O74))</f>
        <v/>
      </c>
      <c r="Q74" s="35">
        <f>IF($A74&gt;NYears*12,"",IF($D74=12,MIN(WdrPct*IF(WdrBase="Post-tax profit",$K74-$P74,$K74),WdrCap),0))</f>
        <v/>
      </c>
      <c r="R74" s="35">
        <f>IF($A74&gt;NYears*12,"",$F74+$J74-$O74-$Q74)</f>
        <v/>
      </c>
      <c r="S74" s="33">
        <f>IF($A74&gt;NYears*12,"",INT($R74/$E74))</f>
        <v/>
      </c>
    </row>
    <row r="75">
      <c r="A75" s="33">
        <f>71</f>
        <v/>
      </c>
      <c r="B75" s="34">
        <f>IF($A75&gt;NYears*12,"",EDATE(StartMonth,$A75-1))</f>
        <v/>
      </c>
      <c r="C75" s="33">
        <f>IF($A75&gt;NYears*12,"",INT(($A75-1)/12)+1)</f>
        <v/>
      </c>
      <c r="D75" s="33">
        <f>IF($A75&gt;NYears*12,"",MOD($A75-1,12)+1)</f>
        <v/>
      </c>
      <c r="E75" s="35">
        <f>IF($A75&gt;NYears*12,"",LotValue0*(1+LotGrowth)^($C75-1))</f>
        <v/>
      </c>
      <c r="F75" s="35">
        <f>IF($A75&gt;NYears*12,"",IF($A75=1,InitInvest,$R74))</f>
        <v/>
      </c>
      <c r="G75" s="33">
        <f>IF($A75&gt;NYears*12,"",INT($F75/$E75))</f>
        <v/>
      </c>
      <c r="H75" s="35">
        <f>IF($A75&gt;NYears*12,"",$G75*$E75)</f>
        <v/>
      </c>
      <c r="I75" s="35">
        <f>IF($A75&gt;NYears*12,"",$F75-$H75)</f>
        <v/>
      </c>
      <c r="J75" s="35">
        <f>IF($A75&gt;NYears*12,"",$H75*RateB)</f>
        <v/>
      </c>
      <c r="K75" s="35">
        <f>IF($A75&gt;NYears*12,"",IF($D75=1,$J75,$K74+$J75))</f>
        <v/>
      </c>
      <c r="L75" s="35">
        <f>IF($A75&gt;NYears*12,"",IF(MOD($D75,3)=0,SUM($J73:$J75),0))</f>
        <v/>
      </c>
      <c r="M75" s="35">
        <f>IF($A75&gt;NYears*12,"",IF(TaxFreq="Quarterly",$K75*12/$D75,$K75))</f>
        <v/>
      </c>
      <c r="N75" s="36">
        <f>IF($A75&gt;NYears*12,"",LOOKUP($M75,TaxLower,TaxRate))</f>
        <v/>
      </c>
      <c r="O75" s="35">
        <f>IF($A75&gt;NYears*12,"",IF(TaxFreq="Quarterly",IF(MOD($D75,3)=0,$L75*$N75,0),IF($D75=12,$K75*$N75,0)))</f>
        <v/>
      </c>
      <c r="P75" s="35">
        <f>IF($A75&gt;NYears*12,"",IF($D75=1,$O75,$P74+$O75))</f>
        <v/>
      </c>
      <c r="Q75" s="35">
        <f>IF($A75&gt;NYears*12,"",IF($D75=12,MIN(WdrPct*IF(WdrBase="Post-tax profit",$K75-$P75,$K75),WdrCap),0))</f>
        <v/>
      </c>
      <c r="R75" s="35">
        <f>IF($A75&gt;NYears*12,"",$F75+$J75-$O75-$Q75)</f>
        <v/>
      </c>
      <c r="S75" s="33">
        <f>IF($A75&gt;NYears*12,"",INT($R75/$E75))</f>
        <v/>
      </c>
    </row>
    <row r="76">
      <c r="A76" s="37">
        <f>72</f>
        <v/>
      </c>
      <c r="B76" s="38">
        <f>IF($A76&gt;NYears*12,"",EDATE(StartMonth,$A76-1))</f>
        <v/>
      </c>
      <c r="C76" s="37">
        <f>IF($A76&gt;NYears*12,"",INT(($A76-1)/12)+1)</f>
        <v/>
      </c>
      <c r="D76" s="37">
        <f>IF($A76&gt;NYears*12,"",MOD($A76-1,12)+1)</f>
        <v/>
      </c>
      <c r="E76" s="39">
        <f>IF($A76&gt;NYears*12,"",LotValue0*(1+LotGrowth)^($C76-1))</f>
        <v/>
      </c>
      <c r="F76" s="39">
        <f>IF($A76&gt;NYears*12,"",IF($A76=1,InitInvest,$R75))</f>
        <v/>
      </c>
      <c r="G76" s="37">
        <f>IF($A76&gt;NYears*12,"",INT($F76/$E76))</f>
        <v/>
      </c>
      <c r="H76" s="39">
        <f>IF($A76&gt;NYears*12,"",$G76*$E76)</f>
        <v/>
      </c>
      <c r="I76" s="39">
        <f>IF($A76&gt;NYears*12,"",$F76-$H76)</f>
        <v/>
      </c>
      <c r="J76" s="39">
        <f>IF($A76&gt;NYears*12,"",$H76*RateB)</f>
        <v/>
      </c>
      <c r="K76" s="39">
        <f>IF($A76&gt;NYears*12,"",IF($D76=1,$J76,$K75+$J76))</f>
        <v/>
      </c>
      <c r="L76" s="39">
        <f>IF($A76&gt;NYears*12,"",IF(MOD($D76,3)=0,SUM($J74:$J76),0))</f>
        <v/>
      </c>
      <c r="M76" s="39">
        <f>IF($A76&gt;NYears*12,"",IF(TaxFreq="Quarterly",$K76*12/$D76,$K76))</f>
        <v/>
      </c>
      <c r="N76" s="40">
        <f>IF($A76&gt;NYears*12,"",LOOKUP($M76,TaxLower,TaxRate))</f>
        <v/>
      </c>
      <c r="O76" s="39">
        <f>IF($A76&gt;NYears*12,"",IF(TaxFreq="Quarterly",IF(MOD($D76,3)=0,$L76*$N76,0),IF($D76=12,$K76*$N76,0)))</f>
        <v/>
      </c>
      <c r="P76" s="39">
        <f>IF($A76&gt;NYears*12,"",IF($D76=1,$O76,$P75+$O76))</f>
        <v/>
      </c>
      <c r="Q76" s="39">
        <f>IF($A76&gt;NYears*12,"",IF($D76=12,MIN(WdrPct*IF(WdrBase="Post-tax profit",$K76-$P76,$K76),WdrCap),0))</f>
        <v/>
      </c>
      <c r="R76" s="39">
        <f>IF($A76&gt;NYears*12,"",$F76+$J76-$O76-$Q76)</f>
        <v/>
      </c>
      <c r="S76" s="37">
        <f>IF($A76&gt;NYears*12,"",INT($R76/$E76))</f>
        <v/>
      </c>
    </row>
    <row r="77">
      <c r="A77" s="33">
        <f>73</f>
        <v/>
      </c>
      <c r="B77" s="34">
        <f>IF($A77&gt;NYears*12,"",EDATE(StartMonth,$A77-1))</f>
        <v/>
      </c>
      <c r="C77" s="33">
        <f>IF($A77&gt;NYears*12,"",INT(($A77-1)/12)+1)</f>
        <v/>
      </c>
      <c r="D77" s="33">
        <f>IF($A77&gt;NYears*12,"",MOD($A77-1,12)+1)</f>
        <v/>
      </c>
      <c r="E77" s="35">
        <f>IF($A77&gt;NYears*12,"",LotValue0*(1+LotGrowth)^($C77-1))</f>
        <v/>
      </c>
      <c r="F77" s="35">
        <f>IF($A77&gt;NYears*12,"",IF($A77=1,InitInvest,$R76))</f>
        <v/>
      </c>
      <c r="G77" s="33">
        <f>IF($A77&gt;NYears*12,"",INT($F77/$E77))</f>
        <v/>
      </c>
      <c r="H77" s="35">
        <f>IF($A77&gt;NYears*12,"",$G77*$E77)</f>
        <v/>
      </c>
      <c r="I77" s="35">
        <f>IF($A77&gt;NYears*12,"",$F77-$H77)</f>
        <v/>
      </c>
      <c r="J77" s="35">
        <f>IF($A77&gt;NYears*12,"",$H77*RateB)</f>
        <v/>
      </c>
      <c r="K77" s="35">
        <f>IF($A77&gt;NYears*12,"",IF($D77=1,$J77,$K76+$J77))</f>
        <v/>
      </c>
      <c r="L77" s="35">
        <f>IF($A77&gt;NYears*12,"",IF(MOD($D77,3)=0,SUM($J75:$J77),0))</f>
        <v/>
      </c>
      <c r="M77" s="35">
        <f>IF($A77&gt;NYears*12,"",IF(TaxFreq="Quarterly",$K77*12/$D77,$K77))</f>
        <v/>
      </c>
      <c r="N77" s="36">
        <f>IF($A77&gt;NYears*12,"",LOOKUP($M77,TaxLower,TaxRate))</f>
        <v/>
      </c>
      <c r="O77" s="35">
        <f>IF($A77&gt;NYears*12,"",IF(TaxFreq="Quarterly",IF(MOD($D77,3)=0,$L77*$N77,0),IF($D77=12,$K77*$N77,0)))</f>
        <v/>
      </c>
      <c r="P77" s="35">
        <f>IF($A77&gt;NYears*12,"",IF($D77=1,$O77,$P76+$O77))</f>
        <v/>
      </c>
      <c r="Q77" s="35">
        <f>IF($A77&gt;NYears*12,"",IF($D77=12,MIN(WdrPct*IF(WdrBase="Post-tax profit",$K77-$P77,$K77),WdrCap),0))</f>
        <v/>
      </c>
      <c r="R77" s="35">
        <f>IF($A77&gt;NYears*12,"",$F77+$J77-$O77-$Q77)</f>
        <v/>
      </c>
      <c r="S77" s="33">
        <f>IF($A77&gt;NYears*12,"",INT($R77/$E77))</f>
        <v/>
      </c>
    </row>
    <row r="78">
      <c r="A78" s="33">
        <f>74</f>
        <v/>
      </c>
      <c r="B78" s="34">
        <f>IF($A78&gt;NYears*12,"",EDATE(StartMonth,$A78-1))</f>
        <v/>
      </c>
      <c r="C78" s="33">
        <f>IF($A78&gt;NYears*12,"",INT(($A78-1)/12)+1)</f>
        <v/>
      </c>
      <c r="D78" s="33">
        <f>IF($A78&gt;NYears*12,"",MOD($A78-1,12)+1)</f>
        <v/>
      </c>
      <c r="E78" s="35">
        <f>IF($A78&gt;NYears*12,"",LotValue0*(1+LotGrowth)^($C78-1))</f>
        <v/>
      </c>
      <c r="F78" s="35">
        <f>IF($A78&gt;NYears*12,"",IF($A78=1,InitInvest,$R77))</f>
        <v/>
      </c>
      <c r="G78" s="33">
        <f>IF($A78&gt;NYears*12,"",INT($F78/$E78))</f>
        <v/>
      </c>
      <c r="H78" s="35">
        <f>IF($A78&gt;NYears*12,"",$G78*$E78)</f>
        <v/>
      </c>
      <c r="I78" s="35">
        <f>IF($A78&gt;NYears*12,"",$F78-$H78)</f>
        <v/>
      </c>
      <c r="J78" s="35">
        <f>IF($A78&gt;NYears*12,"",$H78*RateB)</f>
        <v/>
      </c>
      <c r="K78" s="35">
        <f>IF($A78&gt;NYears*12,"",IF($D78=1,$J78,$K77+$J78))</f>
        <v/>
      </c>
      <c r="L78" s="35">
        <f>IF($A78&gt;NYears*12,"",IF(MOD($D78,3)=0,SUM($J76:$J78),0))</f>
        <v/>
      </c>
      <c r="M78" s="35">
        <f>IF($A78&gt;NYears*12,"",IF(TaxFreq="Quarterly",$K78*12/$D78,$K78))</f>
        <v/>
      </c>
      <c r="N78" s="36">
        <f>IF($A78&gt;NYears*12,"",LOOKUP($M78,TaxLower,TaxRate))</f>
        <v/>
      </c>
      <c r="O78" s="35">
        <f>IF($A78&gt;NYears*12,"",IF(TaxFreq="Quarterly",IF(MOD($D78,3)=0,$L78*$N78,0),IF($D78=12,$K78*$N78,0)))</f>
        <v/>
      </c>
      <c r="P78" s="35">
        <f>IF($A78&gt;NYears*12,"",IF($D78=1,$O78,$P77+$O78))</f>
        <v/>
      </c>
      <c r="Q78" s="35">
        <f>IF($A78&gt;NYears*12,"",IF($D78=12,MIN(WdrPct*IF(WdrBase="Post-tax profit",$K78-$P78,$K78),WdrCap),0))</f>
        <v/>
      </c>
      <c r="R78" s="35">
        <f>IF($A78&gt;NYears*12,"",$F78+$J78-$O78-$Q78)</f>
        <v/>
      </c>
      <c r="S78" s="33">
        <f>IF($A78&gt;NYears*12,"",INT($R78/$E78))</f>
        <v/>
      </c>
    </row>
    <row r="79">
      <c r="A79" s="33">
        <f>75</f>
        <v/>
      </c>
      <c r="B79" s="34">
        <f>IF($A79&gt;NYears*12,"",EDATE(StartMonth,$A79-1))</f>
        <v/>
      </c>
      <c r="C79" s="33">
        <f>IF($A79&gt;NYears*12,"",INT(($A79-1)/12)+1)</f>
        <v/>
      </c>
      <c r="D79" s="33">
        <f>IF($A79&gt;NYears*12,"",MOD($A79-1,12)+1)</f>
        <v/>
      </c>
      <c r="E79" s="35">
        <f>IF($A79&gt;NYears*12,"",LotValue0*(1+LotGrowth)^($C79-1))</f>
        <v/>
      </c>
      <c r="F79" s="35">
        <f>IF($A79&gt;NYears*12,"",IF($A79=1,InitInvest,$R78))</f>
        <v/>
      </c>
      <c r="G79" s="33">
        <f>IF($A79&gt;NYears*12,"",INT($F79/$E79))</f>
        <v/>
      </c>
      <c r="H79" s="35">
        <f>IF($A79&gt;NYears*12,"",$G79*$E79)</f>
        <v/>
      </c>
      <c r="I79" s="35">
        <f>IF($A79&gt;NYears*12,"",$F79-$H79)</f>
        <v/>
      </c>
      <c r="J79" s="35">
        <f>IF($A79&gt;NYears*12,"",$H79*RateB)</f>
        <v/>
      </c>
      <c r="K79" s="35">
        <f>IF($A79&gt;NYears*12,"",IF($D79=1,$J79,$K78+$J79))</f>
        <v/>
      </c>
      <c r="L79" s="35">
        <f>IF($A79&gt;NYears*12,"",IF(MOD($D79,3)=0,SUM($J77:$J79),0))</f>
        <v/>
      </c>
      <c r="M79" s="35">
        <f>IF($A79&gt;NYears*12,"",IF(TaxFreq="Quarterly",$K79*12/$D79,$K79))</f>
        <v/>
      </c>
      <c r="N79" s="36">
        <f>IF($A79&gt;NYears*12,"",LOOKUP($M79,TaxLower,TaxRate))</f>
        <v/>
      </c>
      <c r="O79" s="35">
        <f>IF($A79&gt;NYears*12,"",IF(TaxFreq="Quarterly",IF(MOD($D79,3)=0,$L79*$N79,0),IF($D79=12,$K79*$N79,0)))</f>
        <v/>
      </c>
      <c r="P79" s="35">
        <f>IF($A79&gt;NYears*12,"",IF($D79=1,$O79,$P78+$O79))</f>
        <v/>
      </c>
      <c r="Q79" s="35">
        <f>IF($A79&gt;NYears*12,"",IF($D79=12,MIN(WdrPct*IF(WdrBase="Post-tax profit",$K79-$P79,$K79),WdrCap),0))</f>
        <v/>
      </c>
      <c r="R79" s="35">
        <f>IF($A79&gt;NYears*12,"",$F79+$J79-$O79-$Q79)</f>
        <v/>
      </c>
      <c r="S79" s="33">
        <f>IF($A79&gt;NYears*12,"",INT($R79/$E79))</f>
        <v/>
      </c>
    </row>
    <row r="80">
      <c r="A80" s="33">
        <f>76</f>
        <v/>
      </c>
      <c r="B80" s="34">
        <f>IF($A80&gt;NYears*12,"",EDATE(StartMonth,$A80-1))</f>
        <v/>
      </c>
      <c r="C80" s="33">
        <f>IF($A80&gt;NYears*12,"",INT(($A80-1)/12)+1)</f>
        <v/>
      </c>
      <c r="D80" s="33">
        <f>IF($A80&gt;NYears*12,"",MOD($A80-1,12)+1)</f>
        <v/>
      </c>
      <c r="E80" s="35">
        <f>IF($A80&gt;NYears*12,"",LotValue0*(1+LotGrowth)^($C80-1))</f>
        <v/>
      </c>
      <c r="F80" s="35">
        <f>IF($A80&gt;NYears*12,"",IF($A80=1,InitInvest,$R79))</f>
        <v/>
      </c>
      <c r="G80" s="33">
        <f>IF($A80&gt;NYears*12,"",INT($F80/$E80))</f>
        <v/>
      </c>
      <c r="H80" s="35">
        <f>IF($A80&gt;NYears*12,"",$G80*$E80)</f>
        <v/>
      </c>
      <c r="I80" s="35">
        <f>IF($A80&gt;NYears*12,"",$F80-$H80)</f>
        <v/>
      </c>
      <c r="J80" s="35">
        <f>IF($A80&gt;NYears*12,"",$H80*RateB)</f>
        <v/>
      </c>
      <c r="K80" s="35">
        <f>IF($A80&gt;NYears*12,"",IF($D80=1,$J80,$K79+$J80))</f>
        <v/>
      </c>
      <c r="L80" s="35">
        <f>IF($A80&gt;NYears*12,"",IF(MOD($D80,3)=0,SUM($J78:$J80),0))</f>
        <v/>
      </c>
      <c r="M80" s="35">
        <f>IF($A80&gt;NYears*12,"",IF(TaxFreq="Quarterly",$K80*12/$D80,$K80))</f>
        <v/>
      </c>
      <c r="N80" s="36">
        <f>IF($A80&gt;NYears*12,"",LOOKUP($M80,TaxLower,TaxRate))</f>
        <v/>
      </c>
      <c r="O80" s="35">
        <f>IF($A80&gt;NYears*12,"",IF(TaxFreq="Quarterly",IF(MOD($D80,3)=0,$L80*$N80,0),IF($D80=12,$K80*$N80,0)))</f>
        <v/>
      </c>
      <c r="P80" s="35">
        <f>IF($A80&gt;NYears*12,"",IF($D80=1,$O80,$P79+$O80))</f>
        <v/>
      </c>
      <c r="Q80" s="35">
        <f>IF($A80&gt;NYears*12,"",IF($D80=12,MIN(WdrPct*IF(WdrBase="Post-tax profit",$K80-$P80,$K80),WdrCap),0))</f>
        <v/>
      </c>
      <c r="R80" s="35">
        <f>IF($A80&gt;NYears*12,"",$F80+$J80-$O80-$Q80)</f>
        <v/>
      </c>
      <c r="S80" s="33">
        <f>IF($A80&gt;NYears*12,"",INT($R80/$E80))</f>
        <v/>
      </c>
    </row>
    <row r="81">
      <c r="A81" s="33">
        <f>77</f>
        <v/>
      </c>
      <c r="B81" s="34">
        <f>IF($A81&gt;NYears*12,"",EDATE(StartMonth,$A81-1))</f>
        <v/>
      </c>
      <c r="C81" s="33">
        <f>IF($A81&gt;NYears*12,"",INT(($A81-1)/12)+1)</f>
        <v/>
      </c>
      <c r="D81" s="33">
        <f>IF($A81&gt;NYears*12,"",MOD($A81-1,12)+1)</f>
        <v/>
      </c>
      <c r="E81" s="35">
        <f>IF($A81&gt;NYears*12,"",LotValue0*(1+LotGrowth)^($C81-1))</f>
        <v/>
      </c>
      <c r="F81" s="35">
        <f>IF($A81&gt;NYears*12,"",IF($A81=1,InitInvest,$R80))</f>
        <v/>
      </c>
      <c r="G81" s="33">
        <f>IF($A81&gt;NYears*12,"",INT($F81/$E81))</f>
        <v/>
      </c>
      <c r="H81" s="35">
        <f>IF($A81&gt;NYears*12,"",$G81*$E81)</f>
        <v/>
      </c>
      <c r="I81" s="35">
        <f>IF($A81&gt;NYears*12,"",$F81-$H81)</f>
        <v/>
      </c>
      <c r="J81" s="35">
        <f>IF($A81&gt;NYears*12,"",$H81*RateB)</f>
        <v/>
      </c>
      <c r="K81" s="35">
        <f>IF($A81&gt;NYears*12,"",IF($D81=1,$J81,$K80+$J81))</f>
        <v/>
      </c>
      <c r="L81" s="35">
        <f>IF($A81&gt;NYears*12,"",IF(MOD($D81,3)=0,SUM($J79:$J81),0))</f>
        <v/>
      </c>
      <c r="M81" s="35">
        <f>IF($A81&gt;NYears*12,"",IF(TaxFreq="Quarterly",$K81*12/$D81,$K81))</f>
        <v/>
      </c>
      <c r="N81" s="36">
        <f>IF($A81&gt;NYears*12,"",LOOKUP($M81,TaxLower,TaxRate))</f>
        <v/>
      </c>
      <c r="O81" s="35">
        <f>IF($A81&gt;NYears*12,"",IF(TaxFreq="Quarterly",IF(MOD($D81,3)=0,$L81*$N81,0),IF($D81=12,$K81*$N81,0)))</f>
        <v/>
      </c>
      <c r="P81" s="35">
        <f>IF($A81&gt;NYears*12,"",IF($D81=1,$O81,$P80+$O81))</f>
        <v/>
      </c>
      <c r="Q81" s="35">
        <f>IF($A81&gt;NYears*12,"",IF($D81=12,MIN(WdrPct*IF(WdrBase="Post-tax profit",$K81-$P81,$K81),WdrCap),0))</f>
        <v/>
      </c>
      <c r="R81" s="35">
        <f>IF($A81&gt;NYears*12,"",$F81+$J81-$O81-$Q81)</f>
        <v/>
      </c>
      <c r="S81" s="33">
        <f>IF($A81&gt;NYears*12,"",INT($R81/$E81))</f>
        <v/>
      </c>
    </row>
    <row r="82">
      <c r="A82" s="33">
        <f>78</f>
        <v/>
      </c>
      <c r="B82" s="34">
        <f>IF($A82&gt;NYears*12,"",EDATE(StartMonth,$A82-1))</f>
        <v/>
      </c>
      <c r="C82" s="33">
        <f>IF($A82&gt;NYears*12,"",INT(($A82-1)/12)+1)</f>
        <v/>
      </c>
      <c r="D82" s="33">
        <f>IF($A82&gt;NYears*12,"",MOD($A82-1,12)+1)</f>
        <v/>
      </c>
      <c r="E82" s="35">
        <f>IF($A82&gt;NYears*12,"",LotValue0*(1+LotGrowth)^($C82-1))</f>
        <v/>
      </c>
      <c r="F82" s="35">
        <f>IF($A82&gt;NYears*12,"",IF($A82=1,InitInvest,$R81))</f>
        <v/>
      </c>
      <c r="G82" s="33">
        <f>IF($A82&gt;NYears*12,"",INT($F82/$E82))</f>
        <v/>
      </c>
      <c r="H82" s="35">
        <f>IF($A82&gt;NYears*12,"",$G82*$E82)</f>
        <v/>
      </c>
      <c r="I82" s="35">
        <f>IF($A82&gt;NYears*12,"",$F82-$H82)</f>
        <v/>
      </c>
      <c r="J82" s="35">
        <f>IF($A82&gt;NYears*12,"",$H82*RateB)</f>
        <v/>
      </c>
      <c r="K82" s="35">
        <f>IF($A82&gt;NYears*12,"",IF($D82=1,$J82,$K81+$J82))</f>
        <v/>
      </c>
      <c r="L82" s="35">
        <f>IF($A82&gt;NYears*12,"",IF(MOD($D82,3)=0,SUM($J80:$J82),0))</f>
        <v/>
      </c>
      <c r="M82" s="35">
        <f>IF($A82&gt;NYears*12,"",IF(TaxFreq="Quarterly",$K82*12/$D82,$K82))</f>
        <v/>
      </c>
      <c r="N82" s="36">
        <f>IF($A82&gt;NYears*12,"",LOOKUP($M82,TaxLower,TaxRate))</f>
        <v/>
      </c>
      <c r="O82" s="35">
        <f>IF($A82&gt;NYears*12,"",IF(TaxFreq="Quarterly",IF(MOD($D82,3)=0,$L82*$N82,0),IF($D82=12,$K82*$N82,0)))</f>
        <v/>
      </c>
      <c r="P82" s="35">
        <f>IF($A82&gt;NYears*12,"",IF($D82=1,$O82,$P81+$O82))</f>
        <v/>
      </c>
      <c r="Q82" s="35">
        <f>IF($A82&gt;NYears*12,"",IF($D82=12,MIN(WdrPct*IF(WdrBase="Post-tax profit",$K82-$P82,$K82),WdrCap),0))</f>
        <v/>
      </c>
      <c r="R82" s="35">
        <f>IF($A82&gt;NYears*12,"",$F82+$J82-$O82-$Q82)</f>
        <v/>
      </c>
      <c r="S82" s="33">
        <f>IF($A82&gt;NYears*12,"",INT($R82/$E82))</f>
        <v/>
      </c>
    </row>
    <row r="83">
      <c r="A83" s="33">
        <f>79</f>
        <v/>
      </c>
      <c r="B83" s="34">
        <f>IF($A83&gt;NYears*12,"",EDATE(StartMonth,$A83-1))</f>
        <v/>
      </c>
      <c r="C83" s="33">
        <f>IF($A83&gt;NYears*12,"",INT(($A83-1)/12)+1)</f>
        <v/>
      </c>
      <c r="D83" s="33">
        <f>IF($A83&gt;NYears*12,"",MOD($A83-1,12)+1)</f>
        <v/>
      </c>
      <c r="E83" s="35">
        <f>IF($A83&gt;NYears*12,"",LotValue0*(1+LotGrowth)^($C83-1))</f>
        <v/>
      </c>
      <c r="F83" s="35">
        <f>IF($A83&gt;NYears*12,"",IF($A83=1,InitInvest,$R82))</f>
        <v/>
      </c>
      <c r="G83" s="33">
        <f>IF($A83&gt;NYears*12,"",INT($F83/$E83))</f>
        <v/>
      </c>
      <c r="H83" s="35">
        <f>IF($A83&gt;NYears*12,"",$G83*$E83)</f>
        <v/>
      </c>
      <c r="I83" s="35">
        <f>IF($A83&gt;NYears*12,"",$F83-$H83)</f>
        <v/>
      </c>
      <c r="J83" s="35">
        <f>IF($A83&gt;NYears*12,"",$H83*RateB)</f>
        <v/>
      </c>
      <c r="K83" s="35">
        <f>IF($A83&gt;NYears*12,"",IF($D83=1,$J83,$K82+$J83))</f>
        <v/>
      </c>
      <c r="L83" s="35">
        <f>IF($A83&gt;NYears*12,"",IF(MOD($D83,3)=0,SUM($J81:$J83),0))</f>
        <v/>
      </c>
      <c r="M83" s="35">
        <f>IF($A83&gt;NYears*12,"",IF(TaxFreq="Quarterly",$K83*12/$D83,$K83))</f>
        <v/>
      </c>
      <c r="N83" s="36">
        <f>IF($A83&gt;NYears*12,"",LOOKUP($M83,TaxLower,TaxRate))</f>
        <v/>
      </c>
      <c r="O83" s="35">
        <f>IF($A83&gt;NYears*12,"",IF(TaxFreq="Quarterly",IF(MOD($D83,3)=0,$L83*$N83,0),IF($D83=12,$K83*$N83,0)))</f>
        <v/>
      </c>
      <c r="P83" s="35">
        <f>IF($A83&gt;NYears*12,"",IF($D83=1,$O83,$P82+$O83))</f>
        <v/>
      </c>
      <c r="Q83" s="35">
        <f>IF($A83&gt;NYears*12,"",IF($D83=12,MIN(WdrPct*IF(WdrBase="Post-tax profit",$K83-$P83,$K83),WdrCap),0))</f>
        <v/>
      </c>
      <c r="R83" s="35">
        <f>IF($A83&gt;NYears*12,"",$F83+$J83-$O83-$Q83)</f>
        <v/>
      </c>
      <c r="S83" s="33">
        <f>IF($A83&gt;NYears*12,"",INT($R83/$E83))</f>
        <v/>
      </c>
    </row>
    <row r="84">
      <c r="A84" s="33">
        <f>80</f>
        <v/>
      </c>
      <c r="B84" s="34">
        <f>IF($A84&gt;NYears*12,"",EDATE(StartMonth,$A84-1))</f>
        <v/>
      </c>
      <c r="C84" s="33">
        <f>IF($A84&gt;NYears*12,"",INT(($A84-1)/12)+1)</f>
        <v/>
      </c>
      <c r="D84" s="33">
        <f>IF($A84&gt;NYears*12,"",MOD($A84-1,12)+1)</f>
        <v/>
      </c>
      <c r="E84" s="35">
        <f>IF($A84&gt;NYears*12,"",LotValue0*(1+LotGrowth)^($C84-1))</f>
        <v/>
      </c>
      <c r="F84" s="35">
        <f>IF($A84&gt;NYears*12,"",IF($A84=1,InitInvest,$R83))</f>
        <v/>
      </c>
      <c r="G84" s="33">
        <f>IF($A84&gt;NYears*12,"",INT($F84/$E84))</f>
        <v/>
      </c>
      <c r="H84" s="35">
        <f>IF($A84&gt;NYears*12,"",$G84*$E84)</f>
        <v/>
      </c>
      <c r="I84" s="35">
        <f>IF($A84&gt;NYears*12,"",$F84-$H84)</f>
        <v/>
      </c>
      <c r="J84" s="35">
        <f>IF($A84&gt;NYears*12,"",$H84*RateB)</f>
        <v/>
      </c>
      <c r="K84" s="35">
        <f>IF($A84&gt;NYears*12,"",IF($D84=1,$J84,$K83+$J84))</f>
        <v/>
      </c>
      <c r="L84" s="35">
        <f>IF($A84&gt;NYears*12,"",IF(MOD($D84,3)=0,SUM($J82:$J84),0))</f>
        <v/>
      </c>
      <c r="M84" s="35">
        <f>IF($A84&gt;NYears*12,"",IF(TaxFreq="Quarterly",$K84*12/$D84,$K84))</f>
        <v/>
      </c>
      <c r="N84" s="36">
        <f>IF($A84&gt;NYears*12,"",LOOKUP($M84,TaxLower,TaxRate))</f>
        <v/>
      </c>
      <c r="O84" s="35">
        <f>IF($A84&gt;NYears*12,"",IF(TaxFreq="Quarterly",IF(MOD($D84,3)=0,$L84*$N84,0),IF($D84=12,$K84*$N84,0)))</f>
        <v/>
      </c>
      <c r="P84" s="35">
        <f>IF($A84&gt;NYears*12,"",IF($D84=1,$O84,$P83+$O84))</f>
        <v/>
      </c>
      <c r="Q84" s="35">
        <f>IF($A84&gt;NYears*12,"",IF($D84=12,MIN(WdrPct*IF(WdrBase="Post-tax profit",$K84-$P84,$K84),WdrCap),0))</f>
        <v/>
      </c>
      <c r="R84" s="35">
        <f>IF($A84&gt;NYears*12,"",$F84+$J84-$O84-$Q84)</f>
        <v/>
      </c>
      <c r="S84" s="33">
        <f>IF($A84&gt;NYears*12,"",INT($R84/$E84))</f>
        <v/>
      </c>
    </row>
    <row r="85">
      <c r="A85" s="33">
        <f>81</f>
        <v/>
      </c>
      <c r="B85" s="34">
        <f>IF($A85&gt;NYears*12,"",EDATE(StartMonth,$A85-1))</f>
        <v/>
      </c>
      <c r="C85" s="33">
        <f>IF($A85&gt;NYears*12,"",INT(($A85-1)/12)+1)</f>
        <v/>
      </c>
      <c r="D85" s="33">
        <f>IF($A85&gt;NYears*12,"",MOD($A85-1,12)+1)</f>
        <v/>
      </c>
      <c r="E85" s="35">
        <f>IF($A85&gt;NYears*12,"",LotValue0*(1+LotGrowth)^($C85-1))</f>
        <v/>
      </c>
      <c r="F85" s="35">
        <f>IF($A85&gt;NYears*12,"",IF($A85=1,InitInvest,$R84))</f>
        <v/>
      </c>
      <c r="G85" s="33">
        <f>IF($A85&gt;NYears*12,"",INT($F85/$E85))</f>
        <v/>
      </c>
      <c r="H85" s="35">
        <f>IF($A85&gt;NYears*12,"",$G85*$E85)</f>
        <v/>
      </c>
      <c r="I85" s="35">
        <f>IF($A85&gt;NYears*12,"",$F85-$H85)</f>
        <v/>
      </c>
      <c r="J85" s="35">
        <f>IF($A85&gt;NYears*12,"",$H85*RateB)</f>
        <v/>
      </c>
      <c r="K85" s="35">
        <f>IF($A85&gt;NYears*12,"",IF($D85=1,$J85,$K84+$J85))</f>
        <v/>
      </c>
      <c r="L85" s="35">
        <f>IF($A85&gt;NYears*12,"",IF(MOD($D85,3)=0,SUM($J83:$J85),0))</f>
        <v/>
      </c>
      <c r="M85" s="35">
        <f>IF($A85&gt;NYears*12,"",IF(TaxFreq="Quarterly",$K85*12/$D85,$K85))</f>
        <v/>
      </c>
      <c r="N85" s="36">
        <f>IF($A85&gt;NYears*12,"",LOOKUP($M85,TaxLower,TaxRate))</f>
        <v/>
      </c>
      <c r="O85" s="35">
        <f>IF($A85&gt;NYears*12,"",IF(TaxFreq="Quarterly",IF(MOD($D85,3)=0,$L85*$N85,0),IF($D85=12,$K85*$N85,0)))</f>
        <v/>
      </c>
      <c r="P85" s="35">
        <f>IF($A85&gt;NYears*12,"",IF($D85=1,$O85,$P84+$O85))</f>
        <v/>
      </c>
      <c r="Q85" s="35">
        <f>IF($A85&gt;NYears*12,"",IF($D85=12,MIN(WdrPct*IF(WdrBase="Post-tax profit",$K85-$P85,$K85),WdrCap),0))</f>
        <v/>
      </c>
      <c r="R85" s="35">
        <f>IF($A85&gt;NYears*12,"",$F85+$J85-$O85-$Q85)</f>
        <v/>
      </c>
      <c r="S85" s="33">
        <f>IF($A85&gt;NYears*12,"",INT($R85/$E85))</f>
        <v/>
      </c>
    </row>
    <row r="86">
      <c r="A86" s="33">
        <f>82</f>
        <v/>
      </c>
      <c r="B86" s="34">
        <f>IF($A86&gt;NYears*12,"",EDATE(StartMonth,$A86-1))</f>
        <v/>
      </c>
      <c r="C86" s="33">
        <f>IF($A86&gt;NYears*12,"",INT(($A86-1)/12)+1)</f>
        <v/>
      </c>
      <c r="D86" s="33">
        <f>IF($A86&gt;NYears*12,"",MOD($A86-1,12)+1)</f>
        <v/>
      </c>
      <c r="E86" s="35">
        <f>IF($A86&gt;NYears*12,"",LotValue0*(1+LotGrowth)^($C86-1))</f>
        <v/>
      </c>
      <c r="F86" s="35">
        <f>IF($A86&gt;NYears*12,"",IF($A86=1,InitInvest,$R85))</f>
        <v/>
      </c>
      <c r="G86" s="33">
        <f>IF($A86&gt;NYears*12,"",INT($F86/$E86))</f>
        <v/>
      </c>
      <c r="H86" s="35">
        <f>IF($A86&gt;NYears*12,"",$G86*$E86)</f>
        <v/>
      </c>
      <c r="I86" s="35">
        <f>IF($A86&gt;NYears*12,"",$F86-$H86)</f>
        <v/>
      </c>
      <c r="J86" s="35">
        <f>IF($A86&gt;NYears*12,"",$H86*RateB)</f>
        <v/>
      </c>
      <c r="K86" s="35">
        <f>IF($A86&gt;NYears*12,"",IF($D86=1,$J86,$K85+$J86))</f>
        <v/>
      </c>
      <c r="L86" s="35">
        <f>IF($A86&gt;NYears*12,"",IF(MOD($D86,3)=0,SUM($J84:$J86),0))</f>
        <v/>
      </c>
      <c r="M86" s="35">
        <f>IF($A86&gt;NYears*12,"",IF(TaxFreq="Quarterly",$K86*12/$D86,$K86))</f>
        <v/>
      </c>
      <c r="N86" s="36">
        <f>IF($A86&gt;NYears*12,"",LOOKUP($M86,TaxLower,TaxRate))</f>
        <v/>
      </c>
      <c r="O86" s="35">
        <f>IF($A86&gt;NYears*12,"",IF(TaxFreq="Quarterly",IF(MOD($D86,3)=0,$L86*$N86,0),IF($D86=12,$K86*$N86,0)))</f>
        <v/>
      </c>
      <c r="P86" s="35">
        <f>IF($A86&gt;NYears*12,"",IF($D86=1,$O86,$P85+$O86))</f>
        <v/>
      </c>
      <c r="Q86" s="35">
        <f>IF($A86&gt;NYears*12,"",IF($D86=12,MIN(WdrPct*IF(WdrBase="Post-tax profit",$K86-$P86,$K86),WdrCap),0))</f>
        <v/>
      </c>
      <c r="R86" s="35">
        <f>IF($A86&gt;NYears*12,"",$F86+$J86-$O86-$Q86)</f>
        <v/>
      </c>
      <c r="S86" s="33">
        <f>IF($A86&gt;NYears*12,"",INT($R86/$E86))</f>
        <v/>
      </c>
    </row>
    <row r="87">
      <c r="A87" s="33">
        <f>83</f>
        <v/>
      </c>
      <c r="B87" s="34">
        <f>IF($A87&gt;NYears*12,"",EDATE(StartMonth,$A87-1))</f>
        <v/>
      </c>
      <c r="C87" s="33">
        <f>IF($A87&gt;NYears*12,"",INT(($A87-1)/12)+1)</f>
        <v/>
      </c>
      <c r="D87" s="33">
        <f>IF($A87&gt;NYears*12,"",MOD($A87-1,12)+1)</f>
        <v/>
      </c>
      <c r="E87" s="35">
        <f>IF($A87&gt;NYears*12,"",LotValue0*(1+LotGrowth)^($C87-1))</f>
        <v/>
      </c>
      <c r="F87" s="35">
        <f>IF($A87&gt;NYears*12,"",IF($A87=1,InitInvest,$R86))</f>
        <v/>
      </c>
      <c r="G87" s="33">
        <f>IF($A87&gt;NYears*12,"",INT($F87/$E87))</f>
        <v/>
      </c>
      <c r="H87" s="35">
        <f>IF($A87&gt;NYears*12,"",$G87*$E87)</f>
        <v/>
      </c>
      <c r="I87" s="35">
        <f>IF($A87&gt;NYears*12,"",$F87-$H87)</f>
        <v/>
      </c>
      <c r="J87" s="35">
        <f>IF($A87&gt;NYears*12,"",$H87*RateB)</f>
        <v/>
      </c>
      <c r="K87" s="35">
        <f>IF($A87&gt;NYears*12,"",IF($D87=1,$J87,$K86+$J87))</f>
        <v/>
      </c>
      <c r="L87" s="35">
        <f>IF($A87&gt;NYears*12,"",IF(MOD($D87,3)=0,SUM($J85:$J87),0))</f>
        <v/>
      </c>
      <c r="M87" s="35">
        <f>IF($A87&gt;NYears*12,"",IF(TaxFreq="Quarterly",$K87*12/$D87,$K87))</f>
        <v/>
      </c>
      <c r="N87" s="36">
        <f>IF($A87&gt;NYears*12,"",LOOKUP($M87,TaxLower,TaxRate))</f>
        <v/>
      </c>
      <c r="O87" s="35">
        <f>IF($A87&gt;NYears*12,"",IF(TaxFreq="Quarterly",IF(MOD($D87,3)=0,$L87*$N87,0),IF($D87=12,$K87*$N87,0)))</f>
        <v/>
      </c>
      <c r="P87" s="35">
        <f>IF($A87&gt;NYears*12,"",IF($D87=1,$O87,$P86+$O87))</f>
        <v/>
      </c>
      <c r="Q87" s="35">
        <f>IF($A87&gt;NYears*12,"",IF($D87=12,MIN(WdrPct*IF(WdrBase="Post-tax profit",$K87-$P87,$K87),WdrCap),0))</f>
        <v/>
      </c>
      <c r="R87" s="35">
        <f>IF($A87&gt;NYears*12,"",$F87+$J87-$O87-$Q87)</f>
        <v/>
      </c>
      <c r="S87" s="33">
        <f>IF($A87&gt;NYears*12,"",INT($R87/$E87))</f>
        <v/>
      </c>
    </row>
    <row r="88">
      <c r="A88" s="37">
        <f>84</f>
        <v/>
      </c>
      <c r="B88" s="38">
        <f>IF($A88&gt;NYears*12,"",EDATE(StartMonth,$A88-1))</f>
        <v/>
      </c>
      <c r="C88" s="37">
        <f>IF($A88&gt;NYears*12,"",INT(($A88-1)/12)+1)</f>
        <v/>
      </c>
      <c r="D88" s="37">
        <f>IF($A88&gt;NYears*12,"",MOD($A88-1,12)+1)</f>
        <v/>
      </c>
      <c r="E88" s="39">
        <f>IF($A88&gt;NYears*12,"",LotValue0*(1+LotGrowth)^($C88-1))</f>
        <v/>
      </c>
      <c r="F88" s="39">
        <f>IF($A88&gt;NYears*12,"",IF($A88=1,InitInvest,$R87))</f>
        <v/>
      </c>
      <c r="G88" s="37">
        <f>IF($A88&gt;NYears*12,"",INT($F88/$E88))</f>
        <v/>
      </c>
      <c r="H88" s="39">
        <f>IF($A88&gt;NYears*12,"",$G88*$E88)</f>
        <v/>
      </c>
      <c r="I88" s="39">
        <f>IF($A88&gt;NYears*12,"",$F88-$H88)</f>
        <v/>
      </c>
      <c r="J88" s="39">
        <f>IF($A88&gt;NYears*12,"",$H88*RateB)</f>
        <v/>
      </c>
      <c r="K88" s="39">
        <f>IF($A88&gt;NYears*12,"",IF($D88=1,$J88,$K87+$J88))</f>
        <v/>
      </c>
      <c r="L88" s="39">
        <f>IF($A88&gt;NYears*12,"",IF(MOD($D88,3)=0,SUM($J86:$J88),0))</f>
        <v/>
      </c>
      <c r="M88" s="39">
        <f>IF($A88&gt;NYears*12,"",IF(TaxFreq="Quarterly",$K88*12/$D88,$K88))</f>
        <v/>
      </c>
      <c r="N88" s="40">
        <f>IF($A88&gt;NYears*12,"",LOOKUP($M88,TaxLower,TaxRate))</f>
        <v/>
      </c>
      <c r="O88" s="39">
        <f>IF($A88&gt;NYears*12,"",IF(TaxFreq="Quarterly",IF(MOD($D88,3)=0,$L88*$N88,0),IF($D88=12,$K88*$N88,0)))</f>
        <v/>
      </c>
      <c r="P88" s="39">
        <f>IF($A88&gt;NYears*12,"",IF($D88=1,$O88,$P87+$O88))</f>
        <v/>
      </c>
      <c r="Q88" s="39">
        <f>IF($A88&gt;NYears*12,"",IF($D88=12,MIN(WdrPct*IF(WdrBase="Post-tax profit",$K88-$P88,$K88),WdrCap),0))</f>
        <v/>
      </c>
      <c r="R88" s="39">
        <f>IF($A88&gt;NYears*12,"",$F88+$J88-$O88-$Q88)</f>
        <v/>
      </c>
      <c r="S88" s="37">
        <f>IF($A88&gt;NYears*12,"",INT($R88/$E88))</f>
        <v/>
      </c>
    </row>
    <row r="89">
      <c r="A89" s="33">
        <f>85</f>
        <v/>
      </c>
      <c r="B89" s="34">
        <f>IF($A89&gt;NYears*12,"",EDATE(StartMonth,$A89-1))</f>
        <v/>
      </c>
      <c r="C89" s="33">
        <f>IF($A89&gt;NYears*12,"",INT(($A89-1)/12)+1)</f>
        <v/>
      </c>
      <c r="D89" s="33">
        <f>IF($A89&gt;NYears*12,"",MOD($A89-1,12)+1)</f>
        <v/>
      </c>
      <c r="E89" s="35">
        <f>IF($A89&gt;NYears*12,"",LotValue0*(1+LotGrowth)^($C89-1))</f>
        <v/>
      </c>
      <c r="F89" s="35">
        <f>IF($A89&gt;NYears*12,"",IF($A89=1,InitInvest,$R88))</f>
        <v/>
      </c>
      <c r="G89" s="33">
        <f>IF($A89&gt;NYears*12,"",INT($F89/$E89))</f>
        <v/>
      </c>
      <c r="H89" s="35">
        <f>IF($A89&gt;NYears*12,"",$G89*$E89)</f>
        <v/>
      </c>
      <c r="I89" s="35">
        <f>IF($A89&gt;NYears*12,"",$F89-$H89)</f>
        <v/>
      </c>
      <c r="J89" s="35">
        <f>IF($A89&gt;NYears*12,"",$H89*RateB)</f>
        <v/>
      </c>
      <c r="K89" s="35">
        <f>IF($A89&gt;NYears*12,"",IF($D89=1,$J89,$K88+$J89))</f>
        <v/>
      </c>
      <c r="L89" s="35">
        <f>IF($A89&gt;NYears*12,"",IF(MOD($D89,3)=0,SUM($J87:$J89),0))</f>
        <v/>
      </c>
      <c r="M89" s="35">
        <f>IF($A89&gt;NYears*12,"",IF(TaxFreq="Quarterly",$K89*12/$D89,$K89))</f>
        <v/>
      </c>
      <c r="N89" s="36">
        <f>IF($A89&gt;NYears*12,"",LOOKUP($M89,TaxLower,TaxRate))</f>
        <v/>
      </c>
      <c r="O89" s="35">
        <f>IF($A89&gt;NYears*12,"",IF(TaxFreq="Quarterly",IF(MOD($D89,3)=0,$L89*$N89,0),IF($D89=12,$K89*$N89,0)))</f>
        <v/>
      </c>
      <c r="P89" s="35">
        <f>IF($A89&gt;NYears*12,"",IF($D89=1,$O89,$P88+$O89))</f>
        <v/>
      </c>
      <c r="Q89" s="35">
        <f>IF($A89&gt;NYears*12,"",IF($D89=12,MIN(WdrPct*IF(WdrBase="Post-tax profit",$K89-$P89,$K89),WdrCap),0))</f>
        <v/>
      </c>
      <c r="R89" s="35">
        <f>IF($A89&gt;NYears*12,"",$F89+$J89-$O89-$Q89)</f>
        <v/>
      </c>
      <c r="S89" s="33">
        <f>IF($A89&gt;NYears*12,"",INT($R89/$E89))</f>
        <v/>
      </c>
    </row>
    <row r="90">
      <c r="A90" s="33">
        <f>86</f>
        <v/>
      </c>
      <c r="B90" s="34">
        <f>IF($A90&gt;NYears*12,"",EDATE(StartMonth,$A90-1))</f>
        <v/>
      </c>
      <c r="C90" s="33">
        <f>IF($A90&gt;NYears*12,"",INT(($A90-1)/12)+1)</f>
        <v/>
      </c>
      <c r="D90" s="33">
        <f>IF($A90&gt;NYears*12,"",MOD($A90-1,12)+1)</f>
        <v/>
      </c>
      <c r="E90" s="35">
        <f>IF($A90&gt;NYears*12,"",LotValue0*(1+LotGrowth)^($C90-1))</f>
        <v/>
      </c>
      <c r="F90" s="35">
        <f>IF($A90&gt;NYears*12,"",IF($A90=1,InitInvest,$R89))</f>
        <v/>
      </c>
      <c r="G90" s="33">
        <f>IF($A90&gt;NYears*12,"",INT($F90/$E90))</f>
        <v/>
      </c>
      <c r="H90" s="35">
        <f>IF($A90&gt;NYears*12,"",$G90*$E90)</f>
        <v/>
      </c>
      <c r="I90" s="35">
        <f>IF($A90&gt;NYears*12,"",$F90-$H90)</f>
        <v/>
      </c>
      <c r="J90" s="35">
        <f>IF($A90&gt;NYears*12,"",$H90*RateB)</f>
        <v/>
      </c>
      <c r="K90" s="35">
        <f>IF($A90&gt;NYears*12,"",IF($D90=1,$J90,$K89+$J90))</f>
        <v/>
      </c>
      <c r="L90" s="35">
        <f>IF($A90&gt;NYears*12,"",IF(MOD($D90,3)=0,SUM($J88:$J90),0))</f>
        <v/>
      </c>
      <c r="M90" s="35">
        <f>IF($A90&gt;NYears*12,"",IF(TaxFreq="Quarterly",$K90*12/$D90,$K90))</f>
        <v/>
      </c>
      <c r="N90" s="36">
        <f>IF($A90&gt;NYears*12,"",LOOKUP($M90,TaxLower,TaxRate))</f>
        <v/>
      </c>
      <c r="O90" s="35">
        <f>IF($A90&gt;NYears*12,"",IF(TaxFreq="Quarterly",IF(MOD($D90,3)=0,$L90*$N90,0),IF($D90=12,$K90*$N90,0)))</f>
        <v/>
      </c>
      <c r="P90" s="35">
        <f>IF($A90&gt;NYears*12,"",IF($D90=1,$O90,$P89+$O90))</f>
        <v/>
      </c>
      <c r="Q90" s="35">
        <f>IF($A90&gt;NYears*12,"",IF($D90=12,MIN(WdrPct*IF(WdrBase="Post-tax profit",$K90-$P90,$K90),WdrCap),0))</f>
        <v/>
      </c>
      <c r="R90" s="35">
        <f>IF($A90&gt;NYears*12,"",$F90+$J90-$O90-$Q90)</f>
        <v/>
      </c>
      <c r="S90" s="33">
        <f>IF($A90&gt;NYears*12,"",INT($R90/$E90))</f>
        <v/>
      </c>
    </row>
    <row r="91">
      <c r="A91" s="33">
        <f>87</f>
        <v/>
      </c>
      <c r="B91" s="34">
        <f>IF($A91&gt;NYears*12,"",EDATE(StartMonth,$A91-1))</f>
        <v/>
      </c>
      <c r="C91" s="33">
        <f>IF($A91&gt;NYears*12,"",INT(($A91-1)/12)+1)</f>
        <v/>
      </c>
      <c r="D91" s="33">
        <f>IF($A91&gt;NYears*12,"",MOD($A91-1,12)+1)</f>
        <v/>
      </c>
      <c r="E91" s="35">
        <f>IF($A91&gt;NYears*12,"",LotValue0*(1+LotGrowth)^($C91-1))</f>
        <v/>
      </c>
      <c r="F91" s="35">
        <f>IF($A91&gt;NYears*12,"",IF($A91=1,InitInvest,$R90))</f>
        <v/>
      </c>
      <c r="G91" s="33">
        <f>IF($A91&gt;NYears*12,"",INT($F91/$E91))</f>
        <v/>
      </c>
      <c r="H91" s="35">
        <f>IF($A91&gt;NYears*12,"",$G91*$E91)</f>
        <v/>
      </c>
      <c r="I91" s="35">
        <f>IF($A91&gt;NYears*12,"",$F91-$H91)</f>
        <v/>
      </c>
      <c r="J91" s="35">
        <f>IF($A91&gt;NYears*12,"",$H91*RateB)</f>
        <v/>
      </c>
      <c r="K91" s="35">
        <f>IF($A91&gt;NYears*12,"",IF($D91=1,$J91,$K90+$J91))</f>
        <v/>
      </c>
      <c r="L91" s="35">
        <f>IF($A91&gt;NYears*12,"",IF(MOD($D91,3)=0,SUM($J89:$J91),0))</f>
        <v/>
      </c>
      <c r="M91" s="35">
        <f>IF($A91&gt;NYears*12,"",IF(TaxFreq="Quarterly",$K91*12/$D91,$K91))</f>
        <v/>
      </c>
      <c r="N91" s="36">
        <f>IF($A91&gt;NYears*12,"",LOOKUP($M91,TaxLower,TaxRate))</f>
        <v/>
      </c>
      <c r="O91" s="35">
        <f>IF($A91&gt;NYears*12,"",IF(TaxFreq="Quarterly",IF(MOD($D91,3)=0,$L91*$N91,0),IF($D91=12,$K91*$N91,0)))</f>
        <v/>
      </c>
      <c r="P91" s="35">
        <f>IF($A91&gt;NYears*12,"",IF($D91=1,$O91,$P90+$O91))</f>
        <v/>
      </c>
      <c r="Q91" s="35">
        <f>IF($A91&gt;NYears*12,"",IF($D91=12,MIN(WdrPct*IF(WdrBase="Post-tax profit",$K91-$P91,$K91),WdrCap),0))</f>
        <v/>
      </c>
      <c r="R91" s="35">
        <f>IF($A91&gt;NYears*12,"",$F91+$J91-$O91-$Q91)</f>
        <v/>
      </c>
      <c r="S91" s="33">
        <f>IF($A91&gt;NYears*12,"",INT($R91/$E91))</f>
        <v/>
      </c>
    </row>
    <row r="92">
      <c r="A92" s="33">
        <f>88</f>
        <v/>
      </c>
      <c r="B92" s="34">
        <f>IF($A92&gt;NYears*12,"",EDATE(StartMonth,$A92-1))</f>
        <v/>
      </c>
      <c r="C92" s="33">
        <f>IF($A92&gt;NYears*12,"",INT(($A92-1)/12)+1)</f>
        <v/>
      </c>
      <c r="D92" s="33">
        <f>IF($A92&gt;NYears*12,"",MOD($A92-1,12)+1)</f>
        <v/>
      </c>
      <c r="E92" s="35">
        <f>IF($A92&gt;NYears*12,"",LotValue0*(1+LotGrowth)^($C92-1))</f>
        <v/>
      </c>
      <c r="F92" s="35">
        <f>IF($A92&gt;NYears*12,"",IF($A92=1,InitInvest,$R91))</f>
        <v/>
      </c>
      <c r="G92" s="33">
        <f>IF($A92&gt;NYears*12,"",INT($F92/$E92))</f>
        <v/>
      </c>
      <c r="H92" s="35">
        <f>IF($A92&gt;NYears*12,"",$G92*$E92)</f>
        <v/>
      </c>
      <c r="I92" s="35">
        <f>IF($A92&gt;NYears*12,"",$F92-$H92)</f>
        <v/>
      </c>
      <c r="J92" s="35">
        <f>IF($A92&gt;NYears*12,"",$H92*RateB)</f>
        <v/>
      </c>
      <c r="K92" s="35">
        <f>IF($A92&gt;NYears*12,"",IF($D92=1,$J92,$K91+$J92))</f>
        <v/>
      </c>
      <c r="L92" s="35">
        <f>IF($A92&gt;NYears*12,"",IF(MOD($D92,3)=0,SUM($J90:$J92),0))</f>
        <v/>
      </c>
      <c r="M92" s="35">
        <f>IF($A92&gt;NYears*12,"",IF(TaxFreq="Quarterly",$K92*12/$D92,$K92))</f>
        <v/>
      </c>
      <c r="N92" s="36">
        <f>IF($A92&gt;NYears*12,"",LOOKUP($M92,TaxLower,TaxRate))</f>
        <v/>
      </c>
      <c r="O92" s="35">
        <f>IF($A92&gt;NYears*12,"",IF(TaxFreq="Quarterly",IF(MOD($D92,3)=0,$L92*$N92,0),IF($D92=12,$K92*$N92,0)))</f>
        <v/>
      </c>
      <c r="P92" s="35">
        <f>IF($A92&gt;NYears*12,"",IF($D92=1,$O92,$P91+$O92))</f>
        <v/>
      </c>
      <c r="Q92" s="35">
        <f>IF($A92&gt;NYears*12,"",IF($D92=12,MIN(WdrPct*IF(WdrBase="Post-tax profit",$K92-$P92,$K92),WdrCap),0))</f>
        <v/>
      </c>
      <c r="R92" s="35">
        <f>IF($A92&gt;NYears*12,"",$F92+$J92-$O92-$Q92)</f>
        <v/>
      </c>
      <c r="S92" s="33">
        <f>IF($A92&gt;NYears*12,"",INT($R92/$E92))</f>
        <v/>
      </c>
    </row>
    <row r="93">
      <c r="A93" s="33">
        <f>89</f>
        <v/>
      </c>
      <c r="B93" s="34">
        <f>IF($A93&gt;NYears*12,"",EDATE(StartMonth,$A93-1))</f>
        <v/>
      </c>
      <c r="C93" s="33">
        <f>IF($A93&gt;NYears*12,"",INT(($A93-1)/12)+1)</f>
        <v/>
      </c>
      <c r="D93" s="33">
        <f>IF($A93&gt;NYears*12,"",MOD($A93-1,12)+1)</f>
        <v/>
      </c>
      <c r="E93" s="35">
        <f>IF($A93&gt;NYears*12,"",LotValue0*(1+LotGrowth)^($C93-1))</f>
        <v/>
      </c>
      <c r="F93" s="35">
        <f>IF($A93&gt;NYears*12,"",IF($A93=1,InitInvest,$R92))</f>
        <v/>
      </c>
      <c r="G93" s="33">
        <f>IF($A93&gt;NYears*12,"",INT($F93/$E93))</f>
        <v/>
      </c>
      <c r="H93" s="35">
        <f>IF($A93&gt;NYears*12,"",$G93*$E93)</f>
        <v/>
      </c>
      <c r="I93" s="35">
        <f>IF($A93&gt;NYears*12,"",$F93-$H93)</f>
        <v/>
      </c>
      <c r="J93" s="35">
        <f>IF($A93&gt;NYears*12,"",$H93*RateB)</f>
        <v/>
      </c>
      <c r="K93" s="35">
        <f>IF($A93&gt;NYears*12,"",IF($D93=1,$J93,$K92+$J93))</f>
        <v/>
      </c>
      <c r="L93" s="35">
        <f>IF($A93&gt;NYears*12,"",IF(MOD($D93,3)=0,SUM($J91:$J93),0))</f>
        <v/>
      </c>
      <c r="M93" s="35">
        <f>IF($A93&gt;NYears*12,"",IF(TaxFreq="Quarterly",$K93*12/$D93,$K93))</f>
        <v/>
      </c>
      <c r="N93" s="36">
        <f>IF($A93&gt;NYears*12,"",LOOKUP($M93,TaxLower,TaxRate))</f>
        <v/>
      </c>
      <c r="O93" s="35">
        <f>IF($A93&gt;NYears*12,"",IF(TaxFreq="Quarterly",IF(MOD($D93,3)=0,$L93*$N93,0),IF($D93=12,$K93*$N93,0)))</f>
        <v/>
      </c>
      <c r="P93" s="35">
        <f>IF($A93&gt;NYears*12,"",IF($D93=1,$O93,$P92+$O93))</f>
        <v/>
      </c>
      <c r="Q93" s="35">
        <f>IF($A93&gt;NYears*12,"",IF($D93=12,MIN(WdrPct*IF(WdrBase="Post-tax profit",$K93-$P93,$K93),WdrCap),0))</f>
        <v/>
      </c>
      <c r="R93" s="35">
        <f>IF($A93&gt;NYears*12,"",$F93+$J93-$O93-$Q93)</f>
        <v/>
      </c>
      <c r="S93" s="33">
        <f>IF($A93&gt;NYears*12,"",INT($R93/$E93))</f>
        <v/>
      </c>
    </row>
    <row r="94">
      <c r="A94" s="33">
        <f>90</f>
        <v/>
      </c>
      <c r="B94" s="34">
        <f>IF($A94&gt;NYears*12,"",EDATE(StartMonth,$A94-1))</f>
        <v/>
      </c>
      <c r="C94" s="33">
        <f>IF($A94&gt;NYears*12,"",INT(($A94-1)/12)+1)</f>
        <v/>
      </c>
      <c r="D94" s="33">
        <f>IF($A94&gt;NYears*12,"",MOD($A94-1,12)+1)</f>
        <v/>
      </c>
      <c r="E94" s="35">
        <f>IF($A94&gt;NYears*12,"",LotValue0*(1+LotGrowth)^($C94-1))</f>
        <v/>
      </c>
      <c r="F94" s="35">
        <f>IF($A94&gt;NYears*12,"",IF($A94=1,InitInvest,$R93))</f>
        <v/>
      </c>
      <c r="G94" s="33">
        <f>IF($A94&gt;NYears*12,"",INT($F94/$E94))</f>
        <v/>
      </c>
      <c r="H94" s="35">
        <f>IF($A94&gt;NYears*12,"",$G94*$E94)</f>
        <v/>
      </c>
      <c r="I94" s="35">
        <f>IF($A94&gt;NYears*12,"",$F94-$H94)</f>
        <v/>
      </c>
      <c r="J94" s="35">
        <f>IF($A94&gt;NYears*12,"",$H94*RateB)</f>
        <v/>
      </c>
      <c r="K94" s="35">
        <f>IF($A94&gt;NYears*12,"",IF($D94=1,$J94,$K93+$J94))</f>
        <v/>
      </c>
      <c r="L94" s="35">
        <f>IF($A94&gt;NYears*12,"",IF(MOD($D94,3)=0,SUM($J92:$J94),0))</f>
        <v/>
      </c>
      <c r="M94" s="35">
        <f>IF($A94&gt;NYears*12,"",IF(TaxFreq="Quarterly",$K94*12/$D94,$K94))</f>
        <v/>
      </c>
      <c r="N94" s="36">
        <f>IF($A94&gt;NYears*12,"",LOOKUP($M94,TaxLower,TaxRate))</f>
        <v/>
      </c>
      <c r="O94" s="35">
        <f>IF($A94&gt;NYears*12,"",IF(TaxFreq="Quarterly",IF(MOD($D94,3)=0,$L94*$N94,0),IF($D94=12,$K94*$N94,0)))</f>
        <v/>
      </c>
      <c r="P94" s="35">
        <f>IF($A94&gt;NYears*12,"",IF($D94=1,$O94,$P93+$O94))</f>
        <v/>
      </c>
      <c r="Q94" s="35">
        <f>IF($A94&gt;NYears*12,"",IF($D94=12,MIN(WdrPct*IF(WdrBase="Post-tax profit",$K94-$P94,$K94),WdrCap),0))</f>
        <v/>
      </c>
      <c r="R94" s="35">
        <f>IF($A94&gt;NYears*12,"",$F94+$J94-$O94-$Q94)</f>
        <v/>
      </c>
      <c r="S94" s="33">
        <f>IF($A94&gt;NYears*12,"",INT($R94/$E94))</f>
        <v/>
      </c>
    </row>
    <row r="95">
      <c r="A95" s="33">
        <f>91</f>
        <v/>
      </c>
      <c r="B95" s="34">
        <f>IF($A95&gt;NYears*12,"",EDATE(StartMonth,$A95-1))</f>
        <v/>
      </c>
      <c r="C95" s="33">
        <f>IF($A95&gt;NYears*12,"",INT(($A95-1)/12)+1)</f>
        <v/>
      </c>
      <c r="D95" s="33">
        <f>IF($A95&gt;NYears*12,"",MOD($A95-1,12)+1)</f>
        <v/>
      </c>
      <c r="E95" s="35">
        <f>IF($A95&gt;NYears*12,"",LotValue0*(1+LotGrowth)^($C95-1))</f>
        <v/>
      </c>
      <c r="F95" s="35">
        <f>IF($A95&gt;NYears*12,"",IF($A95=1,InitInvest,$R94))</f>
        <v/>
      </c>
      <c r="G95" s="33">
        <f>IF($A95&gt;NYears*12,"",INT($F95/$E95))</f>
        <v/>
      </c>
      <c r="H95" s="35">
        <f>IF($A95&gt;NYears*12,"",$G95*$E95)</f>
        <v/>
      </c>
      <c r="I95" s="35">
        <f>IF($A95&gt;NYears*12,"",$F95-$H95)</f>
        <v/>
      </c>
      <c r="J95" s="35">
        <f>IF($A95&gt;NYears*12,"",$H95*RateB)</f>
        <v/>
      </c>
      <c r="K95" s="35">
        <f>IF($A95&gt;NYears*12,"",IF($D95=1,$J95,$K94+$J95))</f>
        <v/>
      </c>
      <c r="L95" s="35">
        <f>IF($A95&gt;NYears*12,"",IF(MOD($D95,3)=0,SUM($J93:$J95),0))</f>
        <v/>
      </c>
      <c r="M95" s="35">
        <f>IF($A95&gt;NYears*12,"",IF(TaxFreq="Quarterly",$K95*12/$D95,$K95))</f>
        <v/>
      </c>
      <c r="N95" s="36">
        <f>IF($A95&gt;NYears*12,"",LOOKUP($M95,TaxLower,TaxRate))</f>
        <v/>
      </c>
      <c r="O95" s="35">
        <f>IF($A95&gt;NYears*12,"",IF(TaxFreq="Quarterly",IF(MOD($D95,3)=0,$L95*$N95,0),IF($D95=12,$K95*$N95,0)))</f>
        <v/>
      </c>
      <c r="P95" s="35">
        <f>IF($A95&gt;NYears*12,"",IF($D95=1,$O95,$P94+$O95))</f>
        <v/>
      </c>
      <c r="Q95" s="35">
        <f>IF($A95&gt;NYears*12,"",IF($D95=12,MIN(WdrPct*IF(WdrBase="Post-tax profit",$K95-$P95,$K95),WdrCap),0))</f>
        <v/>
      </c>
      <c r="R95" s="35">
        <f>IF($A95&gt;NYears*12,"",$F95+$J95-$O95-$Q95)</f>
        <v/>
      </c>
      <c r="S95" s="33">
        <f>IF($A95&gt;NYears*12,"",INT($R95/$E95))</f>
        <v/>
      </c>
    </row>
    <row r="96">
      <c r="A96" s="33">
        <f>92</f>
        <v/>
      </c>
      <c r="B96" s="34">
        <f>IF($A96&gt;NYears*12,"",EDATE(StartMonth,$A96-1))</f>
        <v/>
      </c>
      <c r="C96" s="33">
        <f>IF($A96&gt;NYears*12,"",INT(($A96-1)/12)+1)</f>
        <v/>
      </c>
      <c r="D96" s="33">
        <f>IF($A96&gt;NYears*12,"",MOD($A96-1,12)+1)</f>
        <v/>
      </c>
      <c r="E96" s="35">
        <f>IF($A96&gt;NYears*12,"",LotValue0*(1+LotGrowth)^($C96-1))</f>
        <v/>
      </c>
      <c r="F96" s="35">
        <f>IF($A96&gt;NYears*12,"",IF($A96=1,InitInvest,$R95))</f>
        <v/>
      </c>
      <c r="G96" s="33">
        <f>IF($A96&gt;NYears*12,"",INT($F96/$E96))</f>
        <v/>
      </c>
      <c r="H96" s="35">
        <f>IF($A96&gt;NYears*12,"",$G96*$E96)</f>
        <v/>
      </c>
      <c r="I96" s="35">
        <f>IF($A96&gt;NYears*12,"",$F96-$H96)</f>
        <v/>
      </c>
      <c r="J96" s="35">
        <f>IF($A96&gt;NYears*12,"",$H96*RateB)</f>
        <v/>
      </c>
      <c r="K96" s="35">
        <f>IF($A96&gt;NYears*12,"",IF($D96=1,$J96,$K95+$J96))</f>
        <v/>
      </c>
      <c r="L96" s="35">
        <f>IF($A96&gt;NYears*12,"",IF(MOD($D96,3)=0,SUM($J94:$J96),0))</f>
        <v/>
      </c>
      <c r="M96" s="35">
        <f>IF($A96&gt;NYears*12,"",IF(TaxFreq="Quarterly",$K96*12/$D96,$K96))</f>
        <v/>
      </c>
      <c r="N96" s="36">
        <f>IF($A96&gt;NYears*12,"",LOOKUP($M96,TaxLower,TaxRate))</f>
        <v/>
      </c>
      <c r="O96" s="35">
        <f>IF($A96&gt;NYears*12,"",IF(TaxFreq="Quarterly",IF(MOD($D96,3)=0,$L96*$N96,0),IF($D96=12,$K96*$N96,0)))</f>
        <v/>
      </c>
      <c r="P96" s="35">
        <f>IF($A96&gt;NYears*12,"",IF($D96=1,$O96,$P95+$O96))</f>
        <v/>
      </c>
      <c r="Q96" s="35">
        <f>IF($A96&gt;NYears*12,"",IF($D96=12,MIN(WdrPct*IF(WdrBase="Post-tax profit",$K96-$P96,$K96),WdrCap),0))</f>
        <v/>
      </c>
      <c r="R96" s="35">
        <f>IF($A96&gt;NYears*12,"",$F96+$J96-$O96-$Q96)</f>
        <v/>
      </c>
      <c r="S96" s="33">
        <f>IF($A96&gt;NYears*12,"",INT($R96/$E96))</f>
        <v/>
      </c>
    </row>
    <row r="97">
      <c r="A97" s="33">
        <f>93</f>
        <v/>
      </c>
      <c r="B97" s="34">
        <f>IF($A97&gt;NYears*12,"",EDATE(StartMonth,$A97-1))</f>
        <v/>
      </c>
      <c r="C97" s="33">
        <f>IF($A97&gt;NYears*12,"",INT(($A97-1)/12)+1)</f>
        <v/>
      </c>
      <c r="D97" s="33">
        <f>IF($A97&gt;NYears*12,"",MOD($A97-1,12)+1)</f>
        <v/>
      </c>
      <c r="E97" s="35">
        <f>IF($A97&gt;NYears*12,"",LotValue0*(1+LotGrowth)^($C97-1))</f>
        <v/>
      </c>
      <c r="F97" s="35">
        <f>IF($A97&gt;NYears*12,"",IF($A97=1,InitInvest,$R96))</f>
        <v/>
      </c>
      <c r="G97" s="33">
        <f>IF($A97&gt;NYears*12,"",INT($F97/$E97))</f>
        <v/>
      </c>
      <c r="H97" s="35">
        <f>IF($A97&gt;NYears*12,"",$G97*$E97)</f>
        <v/>
      </c>
      <c r="I97" s="35">
        <f>IF($A97&gt;NYears*12,"",$F97-$H97)</f>
        <v/>
      </c>
      <c r="J97" s="35">
        <f>IF($A97&gt;NYears*12,"",$H97*RateB)</f>
        <v/>
      </c>
      <c r="K97" s="35">
        <f>IF($A97&gt;NYears*12,"",IF($D97=1,$J97,$K96+$J97))</f>
        <v/>
      </c>
      <c r="L97" s="35">
        <f>IF($A97&gt;NYears*12,"",IF(MOD($D97,3)=0,SUM($J95:$J97),0))</f>
        <v/>
      </c>
      <c r="M97" s="35">
        <f>IF($A97&gt;NYears*12,"",IF(TaxFreq="Quarterly",$K97*12/$D97,$K97))</f>
        <v/>
      </c>
      <c r="N97" s="36">
        <f>IF($A97&gt;NYears*12,"",LOOKUP($M97,TaxLower,TaxRate))</f>
        <v/>
      </c>
      <c r="O97" s="35">
        <f>IF($A97&gt;NYears*12,"",IF(TaxFreq="Quarterly",IF(MOD($D97,3)=0,$L97*$N97,0),IF($D97=12,$K97*$N97,0)))</f>
        <v/>
      </c>
      <c r="P97" s="35">
        <f>IF($A97&gt;NYears*12,"",IF($D97=1,$O97,$P96+$O97))</f>
        <v/>
      </c>
      <c r="Q97" s="35">
        <f>IF($A97&gt;NYears*12,"",IF($D97=12,MIN(WdrPct*IF(WdrBase="Post-tax profit",$K97-$P97,$K97),WdrCap),0))</f>
        <v/>
      </c>
      <c r="R97" s="35">
        <f>IF($A97&gt;NYears*12,"",$F97+$J97-$O97-$Q97)</f>
        <v/>
      </c>
      <c r="S97" s="33">
        <f>IF($A97&gt;NYears*12,"",INT($R97/$E97))</f>
        <v/>
      </c>
    </row>
    <row r="98">
      <c r="A98" s="33">
        <f>94</f>
        <v/>
      </c>
      <c r="B98" s="34">
        <f>IF($A98&gt;NYears*12,"",EDATE(StartMonth,$A98-1))</f>
        <v/>
      </c>
      <c r="C98" s="33">
        <f>IF($A98&gt;NYears*12,"",INT(($A98-1)/12)+1)</f>
        <v/>
      </c>
      <c r="D98" s="33">
        <f>IF($A98&gt;NYears*12,"",MOD($A98-1,12)+1)</f>
        <v/>
      </c>
      <c r="E98" s="35">
        <f>IF($A98&gt;NYears*12,"",LotValue0*(1+LotGrowth)^($C98-1))</f>
        <v/>
      </c>
      <c r="F98" s="35">
        <f>IF($A98&gt;NYears*12,"",IF($A98=1,InitInvest,$R97))</f>
        <v/>
      </c>
      <c r="G98" s="33">
        <f>IF($A98&gt;NYears*12,"",INT($F98/$E98))</f>
        <v/>
      </c>
      <c r="H98" s="35">
        <f>IF($A98&gt;NYears*12,"",$G98*$E98)</f>
        <v/>
      </c>
      <c r="I98" s="35">
        <f>IF($A98&gt;NYears*12,"",$F98-$H98)</f>
        <v/>
      </c>
      <c r="J98" s="35">
        <f>IF($A98&gt;NYears*12,"",$H98*RateB)</f>
        <v/>
      </c>
      <c r="K98" s="35">
        <f>IF($A98&gt;NYears*12,"",IF($D98=1,$J98,$K97+$J98))</f>
        <v/>
      </c>
      <c r="L98" s="35">
        <f>IF($A98&gt;NYears*12,"",IF(MOD($D98,3)=0,SUM($J96:$J98),0))</f>
        <v/>
      </c>
      <c r="M98" s="35">
        <f>IF($A98&gt;NYears*12,"",IF(TaxFreq="Quarterly",$K98*12/$D98,$K98))</f>
        <v/>
      </c>
      <c r="N98" s="36">
        <f>IF($A98&gt;NYears*12,"",LOOKUP($M98,TaxLower,TaxRate))</f>
        <v/>
      </c>
      <c r="O98" s="35">
        <f>IF($A98&gt;NYears*12,"",IF(TaxFreq="Quarterly",IF(MOD($D98,3)=0,$L98*$N98,0),IF($D98=12,$K98*$N98,0)))</f>
        <v/>
      </c>
      <c r="P98" s="35">
        <f>IF($A98&gt;NYears*12,"",IF($D98=1,$O98,$P97+$O98))</f>
        <v/>
      </c>
      <c r="Q98" s="35">
        <f>IF($A98&gt;NYears*12,"",IF($D98=12,MIN(WdrPct*IF(WdrBase="Post-tax profit",$K98-$P98,$K98),WdrCap),0))</f>
        <v/>
      </c>
      <c r="R98" s="35">
        <f>IF($A98&gt;NYears*12,"",$F98+$J98-$O98-$Q98)</f>
        <v/>
      </c>
      <c r="S98" s="33">
        <f>IF($A98&gt;NYears*12,"",INT($R98/$E98))</f>
        <v/>
      </c>
    </row>
    <row r="99">
      <c r="A99" s="33">
        <f>95</f>
        <v/>
      </c>
      <c r="B99" s="34">
        <f>IF($A99&gt;NYears*12,"",EDATE(StartMonth,$A99-1))</f>
        <v/>
      </c>
      <c r="C99" s="33">
        <f>IF($A99&gt;NYears*12,"",INT(($A99-1)/12)+1)</f>
        <v/>
      </c>
      <c r="D99" s="33">
        <f>IF($A99&gt;NYears*12,"",MOD($A99-1,12)+1)</f>
        <v/>
      </c>
      <c r="E99" s="35">
        <f>IF($A99&gt;NYears*12,"",LotValue0*(1+LotGrowth)^($C99-1))</f>
        <v/>
      </c>
      <c r="F99" s="35">
        <f>IF($A99&gt;NYears*12,"",IF($A99=1,InitInvest,$R98))</f>
        <v/>
      </c>
      <c r="G99" s="33">
        <f>IF($A99&gt;NYears*12,"",INT($F99/$E99))</f>
        <v/>
      </c>
      <c r="H99" s="35">
        <f>IF($A99&gt;NYears*12,"",$G99*$E99)</f>
        <v/>
      </c>
      <c r="I99" s="35">
        <f>IF($A99&gt;NYears*12,"",$F99-$H99)</f>
        <v/>
      </c>
      <c r="J99" s="35">
        <f>IF($A99&gt;NYears*12,"",$H99*RateB)</f>
        <v/>
      </c>
      <c r="K99" s="35">
        <f>IF($A99&gt;NYears*12,"",IF($D99=1,$J99,$K98+$J99))</f>
        <v/>
      </c>
      <c r="L99" s="35">
        <f>IF($A99&gt;NYears*12,"",IF(MOD($D99,3)=0,SUM($J97:$J99),0))</f>
        <v/>
      </c>
      <c r="M99" s="35">
        <f>IF($A99&gt;NYears*12,"",IF(TaxFreq="Quarterly",$K99*12/$D99,$K99))</f>
        <v/>
      </c>
      <c r="N99" s="36">
        <f>IF($A99&gt;NYears*12,"",LOOKUP($M99,TaxLower,TaxRate))</f>
        <v/>
      </c>
      <c r="O99" s="35">
        <f>IF($A99&gt;NYears*12,"",IF(TaxFreq="Quarterly",IF(MOD($D99,3)=0,$L99*$N99,0),IF($D99=12,$K99*$N99,0)))</f>
        <v/>
      </c>
      <c r="P99" s="35">
        <f>IF($A99&gt;NYears*12,"",IF($D99=1,$O99,$P98+$O99))</f>
        <v/>
      </c>
      <c r="Q99" s="35">
        <f>IF($A99&gt;NYears*12,"",IF($D99=12,MIN(WdrPct*IF(WdrBase="Post-tax profit",$K99-$P99,$K99),WdrCap),0))</f>
        <v/>
      </c>
      <c r="R99" s="35">
        <f>IF($A99&gt;NYears*12,"",$F99+$J99-$O99-$Q99)</f>
        <v/>
      </c>
      <c r="S99" s="33">
        <f>IF($A99&gt;NYears*12,"",INT($R99/$E99))</f>
        <v/>
      </c>
    </row>
    <row r="100">
      <c r="A100" s="37">
        <f>96</f>
        <v/>
      </c>
      <c r="B100" s="38">
        <f>IF($A100&gt;NYears*12,"",EDATE(StartMonth,$A100-1))</f>
        <v/>
      </c>
      <c r="C100" s="37">
        <f>IF($A100&gt;NYears*12,"",INT(($A100-1)/12)+1)</f>
        <v/>
      </c>
      <c r="D100" s="37">
        <f>IF($A100&gt;NYears*12,"",MOD($A100-1,12)+1)</f>
        <v/>
      </c>
      <c r="E100" s="39">
        <f>IF($A100&gt;NYears*12,"",LotValue0*(1+LotGrowth)^($C100-1))</f>
        <v/>
      </c>
      <c r="F100" s="39">
        <f>IF($A100&gt;NYears*12,"",IF($A100=1,InitInvest,$R99))</f>
        <v/>
      </c>
      <c r="G100" s="37">
        <f>IF($A100&gt;NYears*12,"",INT($F100/$E100))</f>
        <v/>
      </c>
      <c r="H100" s="39">
        <f>IF($A100&gt;NYears*12,"",$G100*$E100)</f>
        <v/>
      </c>
      <c r="I100" s="39">
        <f>IF($A100&gt;NYears*12,"",$F100-$H100)</f>
        <v/>
      </c>
      <c r="J100" s="39">
        <f>IF($A100&gt;NYears*12,"",$H100*RateB)</f>
        <v/>
      </c>
      <c r="K100" s="39">
        <f>IF($A100&gt;NYears*12,"",IF($D100=1,$J100,$K99+$J100))</f>
        <v/>
      </c>
      <c r="L100" s="39">
        <f>IF($A100&gt;NYears*12,"",IF(MOD($D100,3)=0,SUM($J98:$J100),0))</f>
        <v/>
      </c>
      <c r="M100" s="39">
        <f>IF($A100&gt;NYears*12,"",IF(TaxFreq="Quarterly",$K100*12/$D100,$K100))</f>
        <v/>
      </c>
      <c r="N100" s="40">
        <f>IF($A100&gt;NYears*12,"",LOOKUP($M100,TaxLower,TaxRate))</f>
        <v/>
      </c>
      <c r="O100" s="39">
        <f>IF($A100&gt;NYears*12,"",IF(TaxFreq="Quarterly",IF(MOD($D100,3)=0,$L100*$N100,0),IF($D100=12,$K100*$N100,0)))</f>
        <v/>
      </c>
      <c r="P100" s="39">
        <f>IF($A100&gt;NYears*12,"",IF($D100=1,$O100,$P99+$O100))</f>
        <v/>
      </c>
      <c r="Q100" s="39">
        <f>IF($A100&gt;NYears*12,"",IF($D100=12,MIN(WdrPct*IF(WdrBase="Post-tax profit",$K100-$P100,$K100),WdrCap),0))</f>
        <v/>
      </c>
      <c r="R100" s="39">
        <f>IF($A100&gt;NYears*12,"",$F100+$J100-$O100-$Q100)</f>
        <v/>
      </c>
      <c r="S100" s="37">
        <f>IF($A100&gt;NYears*12,"",INT($R100/$E100))</f>
        <v/>
      </c>
    </row>
    <row r="101">
      <c r="A101" s="33">
        <f>97</f>
        <v/>
      </c>
      <c r="B101" s="34">
        <f>IF($A101&gt;NYears*12,"",EDATE(StartMonth,$A101-1))</f>
        <v/>
      </c>
      <c r="C101" s="33">
        <f>IF($A101&gt;NYears*12,"",INT(($A101-1)/12)+1)</f>
        <v/>
      </c>
      <c r="D101" s="33">
        <f>IF($A101&gt;NYears*12,"",MOD($A101-1,12)+1)</f>
        <v/>
      </c>
      <c r="E101" s="35">
        <f>IF($A101&gt;NYears*12,"",LotValue0*(1+LotGrowth)^($C101-1))</f>
        <v/>
      </c>
      <c r="F101" s="35">
        <f>IF($A101&gt;NYears*12,"",IF($A101=1,InitInvest,$R100))</f>
        <v/>
      </c>
      <c r="G101" s="33">
        <f>IF($A101&gt;NYears*12,"",INT($F101/$E101))</f>
        <v/>
      </c>
      <c r="H101" s="35">
        <f>IF($A101&gt;NYears*12,"",$G101*$E101)</f>
        <v/>
      </c>
      <c r="I101" s="35">
        <f>IF($A101&gt;NYears*12,"",$F101-$H101)</f>
        <v/>
      </c>
      <c r="J101" s="35">
        <f>IF($A101&gt;NYears*12,"",$H101*RateB)</f>
        <v/>
      </c>
      <c r="K101" s="35">
        <f>IF($A101&gt;NYears*12,"",IF($D101=1,$J101,$K100+$J101))</f>
        <v/>
      </c>
      <c r="L101" s="35">
        <f>IF($A101&gt;NYears*12,"",IF(MOD($D101,3)=0,SUM($J99:$J101),0))</f>
        <v/>
      </c>
      <c r="M101" s="35">
        <f>IF($A101&gt;NYears*12,"",IF(TaxFreq="Quarterly",$K101*12/$D101,$K101))</f>
        <v/>
      </c>
      <c r="N101" s="36">
        <f>IF($A101&gt;NYears*12,"",LOOKUP($M101,TaxLower,TaxRate))</f>
        <v/>
      </c>
      <c r="O101" s="35">
        <f>IF($A101&gt;NYears*12,"",IF(TaxFreq="Quarterly",IF(MOD($D101,3)=0,$L101*$N101,0),IF($D101=12,$K101*$N101,0)))</f>
        <v/>
      </c>
      <c r="P101" s="35">
        <f>IF($A101&gt;NYears*12,"",IF($D101=1,$O101,$P100+$O101))</f>
        <v/>
      </c>
      <c r="Q101" s="35">
        <f>IF($A101&gt;NYears*12,"",IF($D101=12,MIN(WdrPct*IF(WdrBase="Post-tax profit",$K101-$P101,$K101),WdrCap),0))</f>
        <v/>
      </c>
      <c r="R101" s="35">
        <f>IF($A101&gt;NYears*12,"",$F101+$J101-$O101-$Q101)</f>
        <v/>
      </c>
      <c r="S101" s="33">
        <f>IF($A101&gt;NYears*12,"",INT($R101/$E101))</f>
        <v/>
      </c>
    </row>
    <row r="102">
      <c r="A102" s="33">
        <f>98</f>
        <v/>
      </c>
      <c r="B102" s="34">
        <f>IF($A102&gt;NYears*12,"",EDATE(StartMonth,$A102-1))</f>
        <v/>
      </c>
      <c r="C102" s="33">
        <f>IF($A102&gt;NYears*12,"",INT(($A102-1)/12)+1)</f>
        <v/>
      </c>
      <c r="D102" s="33">
        <f>IF($A102&gt;NYears*12,"",MOD($A102-1,12)+1)</f>
        <v/>
      </c>
      <c r="E102" s="35">
        <f>IF($A102&gt;NYears*12,"",LotValue0*(1+LotGrowth)^($C102-1))</f>
        <v/>
      </c>
      <c r="F102" s="35">
        <f>IF($A102&gt;NYears*12,"",IF($A102=1,InitInvest,$R101))</f>
        <v/>
      </c>
      <c r="G102" s="33">
        <f>IF($A102&gt;NYears*12,"",INT($F102/$E102))</f>
        <v/>
      </c>
      <c r="H102" s="35">
        <f>IF($A102&gt;NYears*12,"",$G102*$E102)</f>
        <v/>
      </c>
      <c r="I102" s="35">
        <f>IF($A102&gt;NYears*12,"",$F102-$H102)</f>
        <v/>
      </c>
      <c r="J102" s="35">
        <f>IF($A102&gt;NYears*12,"",$H102*RateB)</f>
        <v/>
      </c>
      <c r="K102" s="35">
        <f>IF($A102&gt;NYears*12,"",IF($D102=1,$J102,$K101+$J102))</f>
        <v/>
      </c>
      <c r="L102" s="35">
        <f>IF($A102&gt;NYears*12,"",IF(MOD($D102,3)=0,SUM($J100:$J102),0))</f>
        <v/>
      </c>
      <c r="M102" s="35">
        <f>IF($A102&gt;NYears*12,"",IF(TaxFreq="Quarterly",$K102*12/$D102,$K102))</f>
        <v/>
      </c>
      <c r="N102" s="36">
        <f>IF($A102&gt;NYears*12,"",LOOKUP($M102,TaxLower,TaxRate))</f>
        <v/>
      </c>
      <c r="O102" s="35">
        <f>IF($A102&gt;NYears*12,"",IF(TaxFreq="Quarterly",IF(MOD($D102,3)=0,$L102*$N102,0),IF($D102=12,$K102*$N102,0)))</f>
        <v/>
      </c>
      <c r="P102" s="35">
        <f>IF($A102&gt;NYears*12,"",IF($D102=1,$O102,$P101+$O102))</f>
        <v/>
      </c>
      <c r="Q102" s="35">
        <f>IF($A102&gt;NYears*12,"",IF($D102=12,MIN(WdrPct*IF(WdrBase="Post-tax profit",$K102-$P102,$K102),WdrCap),0))</f>
        <v/>
      </c>
      <c r="R102" s="35">
        <f>IF($A102&gt;NYears*12,"",$F102+$J102-$O102-$Q102)</f>
        <v/>
      </c>
      <c r="S102" s="33">
        <f>IF($A102&gt;NYears*12,"",INT($R102/$E102))</f>
        <v/>
      </c>
    </row>
    <row r="103">
      <c r="A103" s="33">
        <f>99</f>
        <v/>
      </c>
      <c r="B103" s="34">
        <f>IF($A103&gt;NYears*12,"",EDATE(StartMonth,$A103-1))</f>
        <v/>
      </c>
      <c r="C103" s="33">
        <f>IF($A103&gt;NYears*12,"",INT(($A103-1)/12)+1)</f>
        <v/>
      </c>
      <c r="D103" s="33">
        <f>IF($A103&gt;NYears*12,"",MOD($A103-1,12)+1)</f>
        <v/>
      </c>
      <c r="E103" s="35">
        <f>IF($A103&gt;NYears*12,"",LotValue0*(1+LotGrowth)^($C103-1))</f>
        <v/>
      </c>
      <c r="F103" s="35">
        <f>IF($A103&gt;NYears*12,"",IF($A103=1,InitInvest,$R102))</f>
        <v/>
      </c>
      <c r="G103" s="33">
        <f>IF($A103&gt;NYears*12,"",INT($F103/$E103))</f>
        <v/>
      </c>
      <c r="H103" s="35">
        <f>IF($A103&gt;NYears*12,"",$G103*$E103)</f>
        <v/>
      </c>
      <c r="I103" s="35">
        <f>IF($A103&gt;NYears*12,"",$F103-$H103)</f>
        <v/>
      </c>
      <c r="J103" s="35">
        <f>IF($A103&gt;NYears*12,"",$H103*RateB)</f>
        <v/>
      </c>
      <c r="K103" s="35">
        <f>IF($A103&gt;NYears*12,"",IF($D103=1,$J103,$K102+$J103))</f>
        <v/>
      </c>
      <c r="L103" s="35">
        <f>IF($A103&gt;NYears*12,"",IF(MOD($D103,3)=0,SUM($J101:$J103),0))</f>
        <v/>
      </c>
      <c r="M103" s="35">
        <f>IF($A103&gt;NYears*12,"",IF(TaxFreq="Quarterly",$K103*12/$D103,$K103))</f>
        <v/>
      </c>
      <c r="N103" s="36">
        <f>IF($A103&gt;NYears*12,"",LOOKUP($M103,TaxLower,TaxRate))</f>
        <v/>
      </c>
      <c r="O103" s="35">
        <f>IF($A103&gt;NYears*12,"",IF(TaxFreq="Quarterly",IF(MOD($D103,3)=0,$L103*$N103,0),IF($D103=12,$K103*$N103,0)))</f>
        <v/>
      </c>
      <c r="P103" s="35">
        <f>IF($A103&gt;NYears*12,"",IF($D103=1,$O103,$P102+$O103))</f>
        <v/>
      </c>
      <c r="Q103" s="35">
        <f>IF($A103&gt;NYears*12,"",IF($D103=12,MIN(WdrPct*IF(WdrBase="Post-tax profit",$K103-$P103,$K103),WdrCap),0))</f>
        <v/>
      </c>
      <c r="R103" s="35">
        <f>IF($A103&gt;NYears*12,"",$F103+$J103-$O103-$Q103)</f>
        <v/>
      </c>
      <c r="S103" s="33">
        <f>IF($A103&gt;NYears*12,"",INT($R103/$E103))</f>
        <v/>
      </c>
    </row>
    <row r="104">
      <c r="A104" s="33">
        <f>100</f>
        <v/>
      </c>
      <c r="B104" s="34">
        <f>IF($A104&gt;NYears*12,"",EDATE(StartMonth,$A104-1))</f>
        <v/>
      </c>
      <c r="C104" s="33">
        <f>IF($A104&gt;NYears*12,"",INT(($A104-1)/12)+1)</f>
        <v/>
      </c>
      <c r="D104" s="33">
        <f>IF($A104&gt;NYears*12,"",MOD($A104-1,12)+1)</f>
        <v/>
      </c>
      <c r="E104" s="35">
        <f>IF($A104&gt;NYears*12,"",LotValue0*(1+LotGrowth)^($C104-1))</f>
        <v/>
      </c>
      <c r="F104" s="35">
        <f>IF($A104&gt;NYears*12,"",IF($A104=1,InitInvest,$R103))</f>
        <v/>
      </c>
      <c r="G104" s="33">
        <f>IF($A104&gt;NYears*12,"",INT($F104/$E104))</f>
        <v/>
      </c>
      <c r="H104" s="35">
        <f>IF($A104&gt;NYears*12,"",$G104*$E104)</f>
        <v/>
      </c>
      <c r="I104" s="35">
        <f>IF($A104&gt;NYears*12,"",$F104-$H104)</f>
        <v/>
      </c>
      <c r="J104" s="35">
        <f>IF($A104&gt;NYears*12,"",$H104*RateB)</f>
        <v/>
      </c>
      <c r="K104" s="35">
        <f>IF($A104&gt;NYears*12,"",IF($D104=1,$J104,$K103+$J104))</f>
        <v/>
      </c>
      <c r="L104" s="35">
        <f>IF($A104&gt;NYears*12,"",IF(MOD($D104,3)=0,SUM($J102:$J104),0))</f>
        <v/>
      </c>
      <c r="M104" s="35">
        <f>IF($A104&gt;NYears*12,"",IF(TaxFreq="Quarterly",$K104*12/$D104,$K104))</f>
        <v/>
      </c>
      <c r="N104" s="36">
        <f>IF($A104&gt;NYears*12,"",LOOKUP($M104,TaxLower,TaxRate))</f>
        <v/>
      </c>
      <c r="O104" s="35">
        <f>IF($A104&gt;NYears*12,"",IF(TaxFreq="Quarterly",IF(MOD($D104,3)=0,$L104*$N104,0),IF($D104=12,$K104*$N104,0)))</f>
        <v/>
      </c>
      <c r="P104" s="35">
        <f>IF($A104&gt;NYears*12,"",IF($D104=1,$O104,$P103+$O104))</f>
        <v/>
      </c>
      <c r="Q104" s="35">
        <f>IF($A104&gt;NYears*12,"",IF($D104=12,MIN(WdrPct*IF(WdrBase="Post-tax profit",$K104-$P104,$K104),WdrCap),0))</f>
        <v/>
      </c>
      <c r="R104" s="35">
        <f>IF($A104&gt;NYears*12,"",$F104+$J104-$O104-$Q104)</f>
        <v/>
      </c>
      <c r="S104" s="33">
        <f>IF($A104&gt;NYears*12,"",INT($R104/$E104))</f>
        <v/>
      </c>
    </row>
    <row r="105">
      <c r="A105" s="33">
        <f>101</f>
        <v/>
      </c>
      <c r="B105" s="34">
        <f>IF($A105&gt;NYears*12,"",EDATE(StartMonth,$A105-1))</f>
        <v/>
      </c>
      <c r="C105" s="33">
        <f>IF($A105&gt;NYears*12,"",INT(($A105-1)/12)+1)</f>
        <v/>
      </c>
      <c r="D105" s="33">
        <f>IF($A105&gt;NYears*12,"",MOD($A105-1,12)+1)</f>
        <v/>
      </c>
      <c r="E105" s="35">
        <f>IF($A105&gt;NYears*12,"",LotValue0*(1+LotGrowth)^($C105-1))</f>
        <v/>
      </c>
      <c r="F105" s="35">
        <f>IF($A105&gt;NYears*12,"",IF($A105=1,InitInvest,$R104))</f>
        <v/>
      </c>
      <c r="G105" s="33">
        <f>IF($A105&gt;NYears*12,"",INT($F105/$E105))</f>
        <v/>
      </c>
      <c r="H105" s="35">
        <f>IF($A105&gt;NYears*12,"",$G105*$E105)</f>
        <v/>
      </c>
      <c r="I105" s="35">
        <f>IF($A105&gt;NYears*12,"",$F105-$H105)</f>
        <v/>
      </c>
      <c r="J105" s="35">
        <f>IF($A105&gt;NYears*12,"",$H105*RateB)</f>
        <v/>
      </c>
      <c r="K105" s="35">
        <f>IF($A105&gt;NYears*12,"",IF($D105=1,$J105,$K104+$J105))</f>
        <v/>
      </c>
      <c r="L105" s="35">
        <f>IF($A105&gt;NYears*12,"",IF(MOD($D105,3)=0,SUM($J103:$J105),0))</f>
        <v/>
      </c>
      <c r="M105" s="35">
        <f>IF($A105&gt;NYears*12,"",IF(TaxFreq="Quarterly",$K105*12/$D105,$K105))</f>
        <v/>
      </c>
      <c r="N105" s="36">
        <f>IF($A105&gt;NYears*12,"",LOOKUP($M105,TaxLower,TaxRate))</f>
        <v/>
      </c>
      <c r="O105" s="35">
        <f>IF($A105&gt;NYears*12,"",IF(TaxFreq="Quarterly",IF(MOD($D105,3)=0,$L105*$N105,0),IF($D105=12,$K105*$N105,0)))</f>
        <v/>
      </c>
      <c r="P105" s="35">
        <f>IF($A105&gt;NYears*12,"",IF($D105=1,$O105,$P104+$O105))</f>
        <v/>
      </c>
      <c r="Q105" s="35">
        <f>IF($A105&gt;NYears*12,"",IF($D105=12,MIN(WdrPct*IF(WdrBase="Post-tax profit",$K105-$P105,$K105),WdrCap),0))</f>
        <v/>
      </c>
      <c r="R105" s="35">
        <f>IF($A105&gt;NYears*12,"",$F105+$J105-$O105-$Q105)</f>
        <v/>
      </c>
      <c r="S105" s="33">
        <f>IF($A105&gt;NYears*12,"",INT($R105/$E105))</f>
        <v/>
      </c>
    </row>
    <row r="106">
      <c r="A106" s="33">
        <f>102</f>
        <v/>
      </c>
      <c r="B106" s="34">
        <f>IF($A106&gt;NYears*12,"",EDATE(StartMonth,$A106-1))</f>
        <v/>
      </c>
      <c r="C106" s="33">
        <f>IF($A106&gt;NYears*12,"",INT(($A106-1)/12)+1)</f>
        <v/>
      </c>
      <c r="D106" s="33">
        <f>IF($A106&gt;NYears*12,"",MOD($A106-1,12)+1)</f>
        <v/>
      </c>
      <c r="E106" s="35">
        <f>IF($A106&gt;NYears*12,"",LotValue0*(1+LotGrowth)^($C106-1))</f>
        <v/>
      </c>
      <c r="F106" s="35">
        <f>IF($A106&gt;NYears*12,"",IF($A106=1,InitInvest,$R105))</f>
        <v/>
      </c>
      <c r="G106" s="33">
        <f>IF($A106&gt;NYears*12,"",INT($F106/$E106))</f>
        <v/>
      </c>
      <c r="H106" s="35">
        <f>IF($A106&gt;NYears*12,"",$G106*$E106)</f>
        <v/>
      </c>
      <c r="I106" s="35">
        <f>IF($A106&gt;NYears*12,"",$F106-$H106)</f>
        <v/>
      </c>
      <c r="J106" s="35">
        <f>IF($A106&gt;NYears*12,"",$H106*RateB)</f>
        <v/>
      </c>
      <c r="K106" s="35">
        <f>IF($A106&gt;NYears*12,"",IF($D106=1,$J106,$K105+$J106))</f>
        <v/>
      </c>
      <c r="L106" s="35">
        <f>IF($A106&gt;NYears*12,"",IF(MOD($D106,3)=0,SUM($J104:$J106),0))</f>
        <v/>
      </c>
      <c r="M106" s="35">
        <f>IF($A106&gt;NYears*12,"",IF(TaxFreq="Quarterly",$K106*12/$D106,$K106))</f>
        <v/>
      </c>
      <c r="N106" s="36">
        <f>IF($A106&gt;NYears*12,"",LOOKUP($M106,TaxLower,TaxRate))</f>
        <v/>
      </c>
      <c r="O106" s="35">
        <f>IF($A106&gt;NYears*12,"",IF(TaxFreq="Quarterly",IF(MOD($D106,3)=0,$L106*$N106,0),IF($D106=12,$K106*$N106,0)))</f>
        <v/>
      </c>
      <c r="P106" s="35">
        <f>IF($A106&gt;NYears*12,"",IF($D106=1,$O106,$P105+$O106))</f>
        <v/>
      </c>
      <c r="Q106" s="35">
        <f>IF($A106&gt;NYears*12,"",IF($D106=12,MIN(WdrPct*IF(WdrBase="Post-tax profit",$K106-$P106,$K106),WdrCap),0))</f>
        <v/>
      </c>
      <c r="R106" s="35">
        <f>IF($A106&gt;NYears*12,"",$F106+$J106-$O106-$Q106)</f>
        <v/>
      </c>
      <c r="S106" s="33">
        <f>IF($A106&gt;NYears*12,"",INT($R106/$E106))</f>
        <v/>
      </c>
    </row>
    <row r="107">
      <c r="A107" s="33">
        <f>103</f>
        <v/>
      </c>
      <c r="B107" s="34">
        <f>IF($A107&gt;NYears*12,"",EDATE(StartMonth,$A107-1))</f>
        <v/>
      </c>
      <c r="C107" s="33">
        <f>IF($A107&gt;NYears*12,"",INT(($A107-1)/12)+1)</f>
        <v/>
      </c>
      <c r="D107" s="33">
        <f>IF($A107&gt;NYears*12,"",MOD($A107-1,12)+1)</f>
        <v/>
      </c>
      <c r="E107" s="35">
        <f>IF($A107&gt;NYears*12,"",LotValue0*(1+LotGrowth)^($C107-1))</f>
        <v/>
      </c>
      <c r="F107" s="35">
        <f>IF($A107&gt;NYears*12,"",IF($A107=1,InitInvest,$R106))</f>
        <v/>
      </c>
      <c r="G107" s="33">
        <f>IF($A107&gt;NYears*12,"",INT($F107/$E107))</f>
        <v/>
      </c>
      <c r="H107" s="35">
        <f>IF($A107&gt;NYears*12,"",$G107*$E107)</f>
        <v/>
      </c>
      <c r="I107" s="35">
        <f>IF($A107&gt;NYears*12,"",$F107-$H107)</f>
        <v/>
      </c>
      <c r="J107" s="35">
        <f>IF($A107&gt;NYears*12,"",$H107*RateB)</f>
        <v/>
      </c>
      <c r="K107" s="35">
        <f>IF($A107&gt;NYears*12,"",IF($D107=1,$J107,$K106+$J107))</f>
        <v/>
      </c>
      <c r="L107" s="35">
        <f>IF($A107&gt;NYears*12,"",IF(MOD($D107,3)=0,SUM($J105:$J107),0))</f>
        <v/>
      </c>
      <c r="M107" s="35">
        <f>IF($A107&gt;NYears*12,"",IF(TaxFreq="Quarterly",$K107*12/$D107,$K107))</f>
        <v/>
      </c>
      <c r="N107" s="36">
        <f>IF($A107&gt;NYears*12,"",LOOKUP($M107,TaxLower,TaxRate))</f>
        <v/>
      </c>
      <c r="O107" s="35">
        <f>IF($A107&gt;NYears*12,"",IF(TaxFreq="Quarterly",IF(MOD($D107,3)=0,$L107*$N107,0),IF($D107=12,$K107*$N107,0)))</f>
        <v/>
      </c>
      <c r="P107" s="35">
        <f>IF($A107&gt;NYears*12,"",IF($D107=1,$O107,$P106+$O107))</f>
        <v/>
      </c>
      <c r="Q107" s="35">
        <f>IF($A107&gt;NYears*12,"",IF($D107=12,MIN(WdrPct*IF(WdrBase="Post-tax profit",$K107-$P107,$K107),WdrCap),0))</f>
        <v/>
      </c>
      <c r="R107" s="35">
        <f>IF($A107&gt;NYears*12,"",$F107+$J107-$O107-$Q107)</f>
        <v/>
      </c>
      <c r="S107" s="33">
        <f>IF($A107&gt;NYears*12,"",INT($R107/$E107))</f>
        <v/>
      </c>
    </row>
    <row r="108">
      <c r="A108" s="33">
        <f>104</f>
        <v/>
      </c>
      <c r="B108" s="34">
        <f>IF($A108&gt;NYears*12,"",EDATE(StartMonth,$A108-1))</f>
        <v/>
      </c>
      <c r="C108" s="33">
        <f>IF($A108&gt;NYears*12,"",INT(($A108-1)/12)+1)</f>
        <v/>
      </c>
      <c r="D108" s="33">
        <f>IF($A108&gt;NYears*12,"",MOD($A108-1,12)+1)</f>
        <v/>
      </c>
      <c r="E108" s="35">
        <f>IF($A108&gt;NYears*12,"",LotValue0*(1+LotGrowth)^($C108-1))</f>
        <v/>
      </c>
      <c r="F108" s="35">
        <f>IF($A108&gt;NYears*12,"",IF($A108=1,InitInvest,$R107))</f>
        <v/>
      </c>
      <c r="G108" s="33">
        <f>IF($A108&gt;NYears*12,"",INT($F108/$E108))</f>
        <v/>
      </c>
      <c r="H108" s="35">
        <f>IF($A108&gt;NYears*12,"",$G108*$E108)</f>
        <v/>
      </c>
      <c r="I108" s="35">
        <f>IF($A108&gt;NYears*12,"",$F108-$H108)</f>
        <v/>
      </c>
      <c r="J108" s="35">
        <f>IF($A108&gt;NYears*12,"",$H108*RateB)</f>
        <v/>
      </c>
      <c r="K108" s="35">
        <f>IF($A108&gt;NYears*12,"",IF($D108=1,$J108,$K107+$J108))</f>
        <v/>
      </c>
      <c r="L108" s="35">
        <f>IF($A108&gt;NYears*12,"",IF(MOD($D108,3)=0,SUM($J106:$J108),0))</f>
        <v/>
      </c>
      <c r="M108" s="35">
        <f>IF($A108&gt;NYears*12,"",IF(TaxFreq="Quarterly",$K108*12/$D108,$K108))</f>
        <v/>
      </c>
      <c r="N108" s="36">
        <f>IF($A108&gt;NYears*12,"",LOOKUP($M108,TaxLower,TaxRate))</f>
        <v/>
      </c>
      <c r="O108" s="35">
        <f>IF($A108&gt;NYears*12,"",IF(TaxFreq="Quarterly",IF(MOD($D108,3)=0,$L108*$N108,0),IF($D108=12,$K108*$N108,0)))</f>
        <v/>
      </c>
      <c r="P108" s="35">
        <f>IF($A108&gt;NYears*12,"",IF($D108=1,$O108,$P107+$O108))</f>
        <v/>
      </c>
      <c r="Q108" s="35">
        <f>IF($A108&gt;NYears*12,"",IF($D108=12,MIN(WdrPct*IF(WdrBase="Post-tax profit",$K108-$P108,$K108),WdrCap),0))</f>
        <v/>
      </c>
      <c r="R108" s="35">
        <f>IF($A108&gt;NYears*12,"",$F108+$J108-$O108-$Q108)</f>
        <v/>
      </c>
      <c r="S108" s="33">
        <f>IF($A108&gt;NYears*12,"",INT($R108/$E108))</f>
        <v/>
      </c>
    </row>
    <row r="109">
      <c r="A109" s="33">
        <f>105</f>
        <v/>
      </c>
      <c r="B109" s="34">
        <f>IF($A109&gt;NYears*12,"",EDATE(StartMonth,$A109-1))</f>
        <v/>
      </c>
      <c r="C109" s="33">
        <f>IF($A109&gt;NYears*12,"",INT(($A109-1)/12)+1)</f>
        <v/>
      </c>
      <c r="D109" s="33">
        <f>IF($A109&gt;NYears*12,"",MOD($A109-1,12)+1)</f>
        <v/>
      </c>
      <c r="E109" s="35">
        <f>IF($A109&gt;NYears*12,"",LotValue0*(1+LotGrowth)^($C109-1))</f>
        <v/>
      </c>
      <c r="F109" s="35">
        <f>IF($A109&gt;NYears*12,"",IF($A109=1,InitInvest,$R108))</f>
        <v/>
      </c>
      <c r="G109" s="33">
        <f>IF($A109&gt;NYears*12,"",INT($F109/$E109))</f>
        <v/>
      </c>
      <c r="H109" s="35">
        <f>IF($A109&gt;NYears*12,"",$G109*$E109)</f>
        <v/>
      </c>
      <c r="I109" s="35">
        <f>IF($A109&gt;NYears*12,"",$F109-$H109)</f>
        <v/>
      </c>
      <c r="J109" s="35">
        <f>IF($A109&gt;NYears*12,"",$H109*RateB)</f>
        <v/>
      </c>
      <c r="K109" s="35">
        <f>IF($A109&gt;NYears*12,"",IF($D109=1,$J109,$K108+$J109))</f>
        <v/>
      </c>
      <c r="L109" s="35">
        <f>IF($A109&gt;NYears*12,"",IF(MOD($D109,3)=0,SUM($J107:$J109),0))</f>
        <v/>
      </c>
      <c r="M109" s="35">
        <f>IF($A109&gt;NYears*12,"",IF(TaxFreq="Quarterly",$K109*12/$D109,$K109))</f>
        <v/>
      </c>
      <c r="N109" s="36">
        <f>IF($A109&gt;NYears*12,"",LOOKUP($M109,TaxLower,TaxRate))</f>
        <v/>
      </c>
      <c r="O109" s="35">
        <f>IF($A109&gt;NYears*12,"",IF(TaxFreq="Quarterly",IF(MOD($D109,3)=0,$L109*$N109,0),IF($D109=12,$K109*$N109,0)))</f>
        <v/>
      </c>
      <c r="P109" s="35">
        <f>IF($A109&gt;NYears*12,"",IF($D109=1,$O109,$P108+$O109))</f>
        <v/>
      </c>
      <c r="Q109" s="35">
        <f>IF($A109&gt;NYears*12,"",IF($D109=12,MIN(WdrPct*IF(WdrBase="Post-tax profit",$K109-$P109,$K109),WdrCap),0))</f>
        <v/>
      </c>
      <c r="R109" s="35">
        <f>IF($A109&gt;NYears*12,"",$F109+$J109-$O109-$Q109)</f>
        <v/>
      </c>
      <c r="S109" s="33">
        <f>IF($A109&gt;NYears*12,"",INT($R109/$E109))</f>
        <v/>
      </c>
    </row>
    <row r="110">
      <c r="A110" s="33">
        <f>106</f>
        <v/>
      </c>
      <c r="B110" s="34">
        <f>IF($A110&gt;NYears*12,"",EDATE(StartMonth,$A110-1))</f>
        <v/>
      </c>
      <c r="C110" s="33">
        <f>IF($A110&gt;NYears*12,"",INT(($A110-1)/12)+1)</f>
        <v/>
      </c>
      <c r="D110" s="33">
        <f>IF($A110&gt;NYears*12,"",MOD($A110-1,12)+1)</f>
        <v/>
      </c>
      <c r="E110" s="35">
        <f>IF($A110&gt;NYears*12,"",LotValue0*(1+LotGrowth)^($C110-1))</f>
        <v/>
      </c>
      <c r="F110" s="35">
        <f>IF($A110&gt;NYears*12,"",IF($A110=1,InitInvest,$R109))</f>
        <v/>
      </c>
      <c r="G110" s="33">
        <f>IF($A110&gt;NYears*12,"",INT($F110/$E110))</f>
        <v/>
      </c>
      <c r="H110" s="35">
        <f>IF($A110&gt;NYears*12,"",$G110*$E110)</f>
        <v/>
      </c>
      <c r="I110" s="35">
        <f>IF($A110&gt;NYears*12,"",$F110-$H110)</f>
        <v/>
      </c>
      <c r="J110" s="35">
        <f>IF($A110&gt;NYears*12,"",$H110*RateB)</f>
        <v/>
      </c>
      <c r="K110" s="35">
        <f>IF($A110&gt;NYears*12,"",IF($D110=1,$J110,$K109+$J110))</f>
        <v/>
      </c>
      <c r="L110" s="35">
        <f>IF($A110&gt;NYears*12,"",IF(MOD($D110,3)=0,SUM($J108:$J110),0))</f>
        <v/>
      </c>
      <c r="M110" s="35">
        <f>IF($A110&gt;NYears*12,"",IF(TaxFreq="Quarterly",$K110*12/$D110,$K110))</f>
        <v/>
      </c>
      <c r="N110" s="36">
        <f>IF($A110&gt;NYears*12,"",LOOKUP($M110,TaxLower,TaxRate))</f>
        <v/>
      </c>
      <c r="O110" s="35">
        <f>IF($A110&gt;NYears*12,"",IF(TaxFreq="Quarterly",IF(MOD($D110,3)=0,$L110*$N110,0),IF($D110=12,$K110*$N110,0)))</f>
        <v/>
      </c>
      <c r="P110" s="35">
        <f>IF($A110&gt;NYears*12,"",IF($D110=1,$O110,$P109+$O110))</f>
        <v/>
      </c>
      <c r="Q110" s="35">
        <f>IF($A110&gt;NYears*12,"",IF($D110=12,MIN(WdrPct*IF(WdrBase="Post-tax profit",$K110-$P110,$K110),WdrCap),0))</f>
        <v/>
      </c>
      <c r="R110" s="35">
        <f>IF($A110&gt;NYears*12,"",$F110+$J110-$O110-$Q110)</f>
        <v/>
      </c>
      <c r="S110" s="33">
        <f>IF($A110&gt;NYears*12,"",INT($R110/$E110))</f>
        <v/>
      </c>
    </row>
    <row r="111">
      <c r="A111" s="33">
        <f>107</f>
        <v/>
      </c>
      <c r="B111" s="34">
        <f>IF($A111&gt;NYears*12,"",EDATE(StartMonth,$A111-1))</f>
        <v/>
      </c>
      <c r="C111" s="33">
        <f>IF($A111&gt;NYears*12,"",INT(($A111-1)/12)+1)</f>
        <v/>
      </c>
      <c r="D111" s="33">
        <f>IF($A111&gt;NYears*12,"",MOD($A111-1,12)+1)</f>
        <v/>
      </c>
      <c r="E111" s="35">
        <f>IF($A111&gt;NYears*12,"",LotValue0*(1+LotGrowth)^($C111-1))</f>
        <v/>
      </c>
      <c r="F111" s="35">
        <f>IF($A111&gt;NYears*12,"",IF($A111=1,InitInvest,$R110))</f>
        <v/>
      </c>
      <c r="G111" s="33">
        <f>IF($A111&gt;NYears*12,"",INT($F111/$E111))</f>
        <v/>
      </c>
      <c r="H111" s="35">
        <f>IF($A111&gt;NYears*12,"",$G111*$E111)</f>
        <v/>
      </c>
      <c r="I111" s="35">
        <f>IF($A111&gt;NYears*12,"",$F111-$H111)</f>
        <v/>
      </c>
      <c r="J111" s="35">
        <f>IF($A111&gt;NYears*12,"",$H111*RateB)</f>
        <v/>
      </c>
      <c r="K111" s="35">
        <f>IF($A111&gt;NYears*12,"",IF($D111=1,$J111,$K110+$J111))</f>
        <v/>
      </c>
      <c r="L111" s="35">
        <f>IF($A111&gt;NYears*12,"",IF(MOD($D111,3)=0,SUM($J109:$J111),0))</f>
        <v/>
      </c>
      <c r="M111" s="35">
        <f>IF($A111&gt;NYears*12,"",IF(TaxFreq="Quarterly",$K111*12/$D111,$K111))</f>
        <v/>
      </c>
      <c r="N111" s="36">
        <f>IF($A111&gt;NYears*12,"",LOOKUP($M111,TaxLower,TaxRate))</f>
        <v/>
      </c>
      <c r="O111" s="35">
        <f>IF($A111&gt;NYears*12,"",IF(TaxFreq="Quarterly",IF(MOD($D111,3)=0,$L111*$N111,0),IF($D111=12,$K111*$N111,0)))</f>
        <v/>
      </c>
      <c r="P111" s="35">
        <f>IF($A111&gt;NYears*12,"",IF($D111=1,$O111,$P110+$O111))</f>
        <v/>
      </c>
      <c r="Q111" s="35">
        <f>IF($A111&gt;NYears*12,"",IF($D111=12,MIN(WdrPct*IF(WdrBase="Post-tax profit",$K111-$P111,$K111),WdrCap),0))</f>
        <v/>
      </c>
      <c r="R111" s="35">
        <f>IF($A111&gt;NYears*12,"",$F111+$J111-$O111-$Q111)</f>
        <v/>
      </c>
      <c r="S111" s="33">
        <f>IF($A111&gt;NYears*12,"",INT($R111/$E111))</f>
        <v/>
      </c>
    </row>
    <row r="112">
      <c r="A112" s="37">
        <f>108</f>
        <v/>
      </c>
      <c r="B112" s="38">
        <f>IF($A112&gt;NYears*12,"",EDATE(StartMonth,$A112-1))</f>
        <v/>
      </c>
      <c r="C112" s="37">
        <f>IF($A112&gt;NYears*12,"",INT(($A112-1)/12)+1)</f>
        <v/>
      </c>
      <c r="D112" s="37">
        <f>IF($A112&gt;NYears*12,"",MOD($A112-1,12)+1)</f>
        <v/>
      </c>
      <c r="E112" s="39">
        <f>IF($A112&gt;NYears*12,"",LotValue0*(1+LotGrowth)^($C112-1))</f>
        <v/>
      </c>
      <c r="F112" s="39">
        <f>IF($A112&gt;NYears*12,"",IF($A112=1,InitInvest,$R111))</f>
        <v/>
      </c>
      <c r="G112" s="37">
        <f>IF($A112&gt;NYears*12,"",INT($F112/$E112))</f>
        <v/>
      </c>
      <c r="H112" s="39">
        <f>IF($A112&gt;NYears*12,"",$G112*$E112)</f>
        <v/>
      </c>
      <c r="I112" s="39">
        <f>IF($A112&gt;NYears*12,"",$F112-$H112)</f>
        <v/>
      </c>
      <c r="J112" s="39">
        <f>IF($A112&gt;NYears*12,"",$H112*RateB)</f>
        <v/>
      </c>
      <c r="K112" s="39">
        <f>IF($A112&gt;NYears*12,"",IF($D112=1,$J112,$K111+$J112))</f>
        <v/>
      </c>
      <c r="L112" s="39">
        <f>IF($A112&gt;NYears*12,"",IF(MOD($D112,3)=0,SUM($J110:$J112),0))</f>
        <v/>
      </c>
      <c r="M112" s="39">
        <f>IF($A112&gt;NYears*12,"",IF(TaxFreq="Quarterly",$K112*12/$D112,$K112))</f>
        <v/>
      </c>
      <c r="N112" s="40">
        <f>IF($A112&gt;NYears*12,"",LOOKUP($M112,TaxLower,TaxRate))</f>
        <v/>
      </c>
      <c r="O112" s="39">
        <f>IF($A112&gt;NYears*12,"",IF(TaxFreq="Quarterly",IF(MOD($D112,3)=0,$L112*$N112,0),IF($D112=12,$K112*$N112,0)))</f>
        <v/>
      </c>
      <c r="P112" s="39">
        <f>IF($A112&gt;NYears*12,"",IF($D112=1,$O112,$P111+$O112))</f>
        <v/>
      </c>
      <c r="Q112" s="39">
        <f>IF($A112&gt;NYears*12,"",IF($D112=12,MIN(WdrPct*IF(WdrBase="Post-tax profit",$K112-$P112,$K112),WdrCap),0))</f>
        <v/>
      </c>
      <c r="R112" s="39">
        <f>IF($A112&gt;NYears*12,"",$F112+$J112-$O112-$Q112)</f>
        <v/>
      </c>
      <c r="S112" s="37">
        <f>IF($A112&gt;NYears*12,"",INT($R112/$E112))</f>
        <v/>
      </c>
    </row>
    <row r="113">
      <c r="A113" s="33">
        <f>109</f>
        <v/>
      </c>
      <c r="B113" s="34">
        <f>IF($A113&gt;NYears*12,"",EDATE(StartMonth,$A113-1))</f>
        <v/>
      </c>
      <c r="C113" s="33">
        <f>IF($A113&gt;NYears*12,"",INT(($A113-1)/12)+1)</f>
        <v/>
      </c>
      <c r="D113" s="33">
        <f>IF($A113&gt;NYears*12,"",MOD($A113-1,12)+1)</f>
        <v/>
      </c>
      <c r="E113" s="35">
        <f>IF($A113&gt;NYears*12,"",LotValue0*(1+LotGrowth)^($C113-1))</f>
        <v/>
      </c>
      <c r="F113" s="35">
        <f>IF($A113&gt;NYears*12,"",IF($A113=1,InitInvest,$R112))</f>
        <v/>
      </c>
      <c r="G113" s="33">
        <f>IF($A113&gt;NYears*12,"",INT($F113/$E113))</f>
        <v/>
      </c>
      <c r="H113" s="35">
        <f>IF($A113&gt;NYears*12,"",$G113*$E113)</f>
        <v/>
      </c>
      <c r="I113" s="35">
        <f>IF($A113&gt;NYears*12,"",$F113-$H113)</f>
        <v/>
      </c>
      <c r="J113" s="35">
        <f>IF($A113&gt;NYears*12,"",$H113*RateB)</f>
        <v/>
      </c>
      <c r="K113" s="35">
        <f>IF($A113&gt;NYears*12,"",IF($D113=1,$J113,$K112+$J113))</f>
        <v/>
      </c>
      <c r="L113" s="35">
        <f>IF($A113&gt;NYears*12,"",IF(MOD($D113,3)=0,SUM($J111:$J113),0))</f>
        <v/>
      </c>
      <c r="M113" s="35">
        <f>IF($A113&gt;NYears*12,"",IF(TaxFreq="Quarterly",$K113*12/$D113,$K113))</f>
        <v/>
      </c>
      <c r="N113" s="36">
        <f>IF($A113&gt;NYears*12,"",LOOKUP($M113,TaxLower,TaxRate))</f>
        <v/>
      </c>
      <c r="O113" s="35">
        <f>IF($A113&gt;NYears*12,"",IF(TaxFreq="Quarterly",IF(MOD($D113,3)=0,$L113*$N113,0),IF($D113=12,$K113*$N113,0)))</f>
        <v/>
      </c>
      <c r="P113" s="35">
        <f>IF($A113&gt;NYears*12,"",IF($D113=1,$O113,$P112+$O113))</f>
        <v/>
      </c>
      <c r="Q113" s="35">
        <f>IF($A113&gt;NYears*12,"",IF($D113=12,MIN(WdrPct*IF(WdrBase="Post-tax profit",$K113-$P113,$K113),WdrCap),0))</f>
        <v/>
      </c>
      <c r="R113" s="35">
        <f>IF($A113&gt;NYears*12,"",$F113+$J113-$O113-$Q113)</f>
        <v/>
      </c>
      <c r="S113" s="33">
        <f>IF($A113&gt;NYears*12,"",INT($R113/$E113))</f>
        <v/>
      </c>
    </row>
    <row r="114">
      <c r="A114" s="33">
        <f>110</f>
        <v/>
      </c>
      <c r="B114" s="34">
        <f>IF($A114&gt;NYears*12,"",EDATE(StartMonth,$A114-1))</f>
        <v/>
      </c>
      <c r="C114" s="33">
        <f>IF($A114&gt;NYears*12,"",INT(($A114-1)/12)+1)</f>
        <v/>
      </c>
      <c r="D114" s="33">
        <f>IF($A114&gt;NYears*12,"",MOD($A114-1,12)+1)</f>
        <v/>
      </c>
      <c r="E114" s="35">
        <f>IF($A114&gt;NYears*12,"",LotValue0*(1+LotGrowth)^($C114-1))</f>
        <v/>
      </c>
      <c r="F114" s="35">
        <f>IF($A114&gt;NYears*12,"",IF($A114=1,InitInvest,$R113))</f>
        <v/>
      </c>
      <c r="G114" s="33">
        <f>IF($A114&gt;NYears*12,"",INT($F114/$E114))</f>
        <v/>
      </c>
      <c r="H114" s="35">
        <f>IF($A114&gt;NYears*12,"",$G114*$E114)</f>
        <v/>
      </c>
      <c r="I114" s="35">
        <f>IF($A114&gt;NYears*12,"",$F114-$H114)</f>
        <v/>
      </c>
      <c r="J114" s="35">
        <f>IF($A114&gt;NYears*12,"",$H114*RateB)</f>
        <v/>
      </c>
      <c r="K114" s="35">
        <f>IF($A114&gt;NYears*12,"",IF($D114=1,$J114,$K113+$J114))</f>
        <v/>
      </c>
      <c r="L114" s="35">
        <f>IF($A114&gt;NYears*12,"",IF(MOD($D114,3)=0,SUM($J112:$J114),0))</f>
        <v/>
      </c>
      <c r="M114" s="35">
        <f>IF($A114&gt;NYears*12,"",IF(TaxFreq="Quarterly",$K114*12/$D114,$K114))</f>
        <v/>
      </c>
      <c r="N114" s="36">
        <f>IF($A114&gt;NYears*12,"",LOOKUP($M114,TaxLower,TaxRate))</f>
        <v/>
      </c>
      <c r="O114" s="35">
        <f>IF($A114&gt;NYears*12,"",IF(TaxFreq="Quarterly",IF(MOD($D114,3)=0,$L114*$N114,0),IF($D114=12,$K114*$N114,0)))</f>
        <v/>
      </c>
      <c r="P114" s="35">
        <f>IF($A114&gt;NYears*12,"",IF($D114=1,$O114,$P113+$O114))</f>
        <v/>
      </c>
      <c r="Q114" s="35">
        <f>IF($A114&gt;NYears*12,"",IF($D114=12,MIN(WdrPct*IF(WdrBase="Post-tax profit",$K114-$P114,$K114),WdrCap),0))</f>
        <v/>
      </c>
      <c r="R114" s="35">
        <f>IF($A114&gt;NYears*12,"",$F114+$J114-$O114-$Q114)</f>
        <v/>
      </c>
      <c r="S114" s="33">
        <f>IF($A114&gt;NYears*12,"",INT($R114/$E114))</f>
        <v/>
      </c>
    </row>
    <row r="115">
      <c r="A115" s="33">
        <f>111</f>
        <v/>
      </c>
      <c r="B115" s="34">
        <f>IF($A115&gt;NYears*12,"",EDATE(StartMonth,$A115-1))</f>
        <v/>
      </c>
      <c r="C115" s="33">
        <f>IF($A115&gt;NYears*12,"",INT(($A115-1)/12)+1)</f>
        <v/>
      </c>
      <c r="D115" s="33">
        <f>IF($A115&gt;NYears*12,"",MOD($A115-1,12)+1)</f>
        <v/>
      </c>
      <c r="E115" s="35">
        <f>IF($A115&gt;NYears*12,"",LotValue0*(1+LotGrowth)^($C115-1))</f>
        <v/>
      </c>
      <c r="F115" s="35">
        <f>IF($A115&gt;NYears*12,"",IF($A115=1,InitInvest,$R114))</f>
        <v/>
      </c>
      <c r="G115" s="33">
        <f>IF($A115&gt;NYears*12,"",INT($F115/$E115))</f>
        <v/>
      </c>
      <c r="H115" s="35">
        <f>IF($A115&gt;NYears*12,"",$G115*$E115)</f>
        <v/>
      </c>
      <c r="I115" s="35">
        <f>IF($A115&gt;NYears*12,"",$F115-$H115)</f>
        <v/>
      </c>
      <c r="J115" s="35">
        <f>IF($A115&gt;NYears*12,"",$H115*RateB)</f>
        <v/>
      </c>
      <c r="K115" s="35">
        <f>IF($A115&gt;NYears*12,"",IF($D115=1,$J115,$K114+$J115))</f>
        <v/>
      </c>
      <c r="L115" s="35">
        <f>IF($A115&gt;NYears*12,"",IF(MOD($D115,3)=0,SUM($J113:$J115),0))</f>
        <v/>
      </c>
      <c r="M115" s="35">
        <f>IF($A115&gt;NYears*12,"",IF(TaxFreq="Quarterly",$K115*12/$D115,$K115))</f>
        <v/>
      </c>
      <c r="N115" s="36">
        <f>IF($A115&gt;NYears*12,"",LOOKUP($M115,TaxLower,TaxRate))</f>
        <v/>
      </c>
      <c r="O115" s="35">
        <f>IF($A115&gt;NYears*12,"",IF(TaxFreq="Quarterly",IF(MOD($D115,3)=0,$L115*$N115,0),IF($D115=12,$K115*$N115,0)))</f>
        <v/>
      </c>
      <c r="P115" s="35">
        <f>IF($A115&gt;NYears*12,"",IF($D115=1,$O115,$P114+$O115))</f>
        <v/>
      </c>
      <c r="Q115" s="35">
        <f>IF($A115&gt;NYears*12,"",IF($D115=12,MIN(WdrPct*IF(WdrBase="Post-tax profit",$K115-$P115,$K115),WdrCap),0))</f>
        <v/>
      </c>
      <c r="R115" s="35">
        <f>IF($A115&gt;NYears*12,"",$F115+$J115-$O115-$Q115)</f>
        <v/>
      </c>
      <c r="S115" s="33">
        <f>IF($A115&gt;NYears*12,"",INT($R115/$E115))</f>
        <v/>
      </c>
    </row>
    <row r="116">
      <c r="A116" s="33">
        <f>112</f>
        <v/>
      </c>
      <c r="B116" s="34">
        <f>IF($A116&gt;NYears*12,"",EDATE(StartMonth,$A116-1))</f>
        <v/>
      </c>
      <c r="C116" s="33">
        <f>IF($A116&gt;NYears*12,"",INT(($A116-1)/12)+1)</f>
        <v/>
      </c>
      <c r="D116" s="33">
        <f>IF($A116&gt;NYears*12,"",MOD($A116-1,12)+1)</f>
        <v/>
      </c>
      <c r="E116" s="35">
        <f>IF($A116&gt;NYears*12,"",LotValue0*(1+LotGrowth)^($C116-1))</f>
        <v/>
      </c>
      <c r="F116" s="35">
        <f>IF($A116&gt;NYears*12,"",IF($A116=1,InitInvest,$R115))</f>
        <v/>
      </c>
      <c r="G116" s="33">
        <f>IF($A116&gt;NYears*12,"",INT($F116/$E116))</f>
        <v/>
      </c>
      <c r="H116" s="35">
        <f>IF($A116&gt;NYears*12,"",$G116*$E116)</f>
        <v/>
      </c>
      <c r="I116" s="35">
        <f>IF($A116&gt;NYears*12,"",$F116-$H116)</f>
        <v/>
      </c>
      <c r="J116" s="35">
        <f>IF($A116&gt;NYears*12,"",$H116*RateB)</f>
        <v/>
      </c>
      <c r="K116" s="35">
        <f>IF($A116&gt;NYears*12,"",IF($D116=1,$J116,$K115+$J116))</f>
        <v/>
      </c>
      <c r="L116" s="35">
        <f>IF($A116&gt;NYears*12,"",IF(MOD($D116,3)=0,SUM($J114:$J116),0))</f>
        <v/>
      </c>
      <c r="M116" s="35">
        <f>IF($A116&gt;NYears*12,"",IF(TaxFreq="Quarterly",$K116*12/$D116,$K116))</f>
        <v/>
      </c>
      <c r="N116" s="36">
        <f>IF($A116&gt;NYears*12,"",LOOKUP($M116,TaxLower,TaxRate))</f>
        <v/>
      </c>
      <c r="O116" s="35">
        <f>IF($A116&gt;NYears*12,"",IF(TaxFreq="Quarterly",IF(MOD($D116,3)=0,$L116*$N116,0),IF($D116=12,$K116*$N116,0)))</f>
        <v/>
      </c>
      <c r="P116" s="35">
        <f>IF($A116&gt;NYears*12,"",IF($D116=1,$O116,$P115+$O116))</f>
        <v/>
      </c>
      <c r="Q116" s="35">
        <f>IF($A116&gt;NYears*12,"",IF($D116=12,MIN(WdrPct*IF(WdrBase="Post-tax profit",$K116-$P116,$K116),WdrCap),0))</f>
        <v/>
      </c>
      <c r="R116" s="35">
        <f>IF($A116&gt;NYears*12,"",$F116+$J116-$O116-$Q116)</f>
        <v/>
      </c>
      <c r="S116" s="33">
        <f>IF($A116&gt;NYears*12,"",INT($R116/$E116))</f>
        <v/>
      </c>
    </row>
    <row r="117">
      <c r="A117" s="33">
        <f>113</f>
        <v/>
      </c>
      <c r="B117" s="34">
        <f>IF($A117&gt;NYears*12,"",EDATE(StartMonth,$A117-1))</f>
        <v/>
      </c>
      <c r="C117" s="33">
        <f>IF($A117&gt;NYears*12,"",INT(($A117-1)/12)+1)</f>
        <v/>
      </c>
      <c r="D117" s="33">
        <f>IF($A117&gt;NYears*12,"",MOD($A117-1,12)+1)</f>
        <v/>
      </c>
      <c r="E117" s="35">
        <f>IF($A117&gt;NYears*12,"",LotValue0*(1+LotGrowth)^($C117-1))</f>
        <v/>
      </c>
      <c r="F117" s="35">
        <f>IF($A117&gt;NYears*12,"",IF($A117=1,InitInvest,$R116))</f>
        <v/>
      </c>
      <c r="G117" s="33">
        <f>IF($A117&gt;NYears*12,"",INT($F117/$E117))</f>
        <v/>
      </c>
      <c r="H117" s="35">
        <f>IF($A117&gt;NYears*12,"",$G117*$E117)</f>
        <v/>
      </c>
      <c r="I117" s="35">
        <f>IF($A117&gt;NYears*12,"",$F117-$H117)</f>
        <v/>
      </c>
      <c r="J117" s="35">
        <f>IF($A117&gt;NYears*12,"",$H117*RateB)</f>
        <v/>
      </c>
      <c r="K117" s="35">
        <f>IF($A117&gt;NYears*12,"",IF($D117=1,$J117,$K116+$J117))</f>
        <v/>
      </c>
      <c r="L117" s="35">
        <f>IF($A117&gt;NYears*12,"",IF(MOD($D117,3)=0,SUM($J115:$J117),0))</f>
        <v/>
      </c>
      <c r="M117" s="35">
        <f>IF($A117&gt;NYears*12,"",IF(TaxFreq="Quarterly",$K117*12/$D117,$K117))</f>
        <v/>
      </c>
      <c r="N117" s="36">
        <f>IF($A117&gt;NYears*12,"",LOOKUP($M117,TaxLower,TaxRate))</f>
        <v/>
      </c>
      <c r="O117" s="35">
        <f>IF($A117&gt;NYears*12,"",IF(TaxFreq="Quarterly",IF(MOD($D117,3)=0,$L117*$N117,0),IF($D117=12,$K117*$N117,0)))</f>
        <v/>
      </c>
      <c r="P117" s="35">
        <f>IF($A117&gt;NYears*12,"",IF($D117=1,$O117,$P116+$O117))</f>
        <v/>
      </c>
      <c r="Q117" s="35">
        <f>IF($A117&gt;NYears*12,"",IF($D117=12,MIN(WdrPct*IF(WdrBase="Post-tax profit",$K117-$P117,$K117),WdrCap),0))</f>
        <v/>
      </c>
      <c r="R117" s="35">
        <f>IF($A117&gt;NYears*12,"",$F117+$J117-$O117-$Q117)</f>
        <v/>
      </c>
      <c r="S117" s="33">
        <f>IF($A117&gt;NYears*12,"",INT($R117/$E117))</f>
        <v/>
      </c>
    </row>
    <row r="118">
      <c r="A118" s="33">
        <f>114</f>
        <v/>
      </c>
      <c r="B118" s="34">
        <f>IF($A118&gt;NYears*12,"",EDATE(StartMonth,$A118-1))</f>
        <v/>
      </c>
      <c r="C118" s="33">
        <f>IF($A118&gt;NYears*12,"",INT(($A118-1)/12)+1)</f>
        <v/>
      </c>
      <c r="D118" s="33">
        <f>IF($A118&gt;NYears*12,"",MOD($A118-1,12)+1)</f>
        <v/>
      </c>
      <c r="E118" s="35">
        <f>IF($A118&gt;NYears*12,"",LotValue0*(1+LotGrowth)^($C118-1))</f>
        <v/>
      </c>
      <c r="F118" s="35">
        <f>IF($A118&gt;NYears*12,"",IF($A118=1,InitInvest,$R117))</f>
        <v/>
      </c>
      <c r="G118" s="33">
        <f>IF($A118&gt;NYears*12,"",INT($F118/$E118))</f>
        <v/>
      </c>
      <c r="H118" s="35">
        <f>IF($A118&gt;NYears*12,"",$G118*$E118)</f>
        <v/>
      </c>
      <c r="I118" s="35">
        <f>IF($A118&gt;NYears*12,"",$F118-$H118)</f>
        <v/>
      </c>
      <c r="J118" s="35">
        <f>IF($A118&gt;NYears*12,"",$H118*RateB)</f>
        <v/>
      </c>
      <c r="K118" s="35">
        <f>IF($A118&gt;NYears*12,"",IF($D118=1,$J118,$K117+$J118))</f>
        <v/>
      </c>
      <c r="L118" s="35">
        <f>IF($A118&gt;NYears*12,"",IF(MOD($D118,3)=0,SUM($J116:$J118),0))</f>
        <v/>
      </c>
      <c r="M118" s="35">
        <f>IF($A118&gt;NYears*12,"",IF(TaxFreq="Quarterly",$K118*12/$D118,$K118))</f>
        <v/>
      </c>
      <c r="N118" s="36">
        <f>IF($A118&gt;NYears*12,"",LOOKUP($M118,TaxLower,TaxRate))</f>
        <v/>
      </c>
      <c r="O118" s="35">
        <f>IF($A118&gt;NYears*12,"",IF(TaxFreq="Quarterly",IF(MOD($D118,3)=0,$L118*$N118,0),IF($D118=12,$K118*$N118,0)))</f>
        <v/>
      </c>
      <c r="P118" s="35">
        <f>IF($A118&gt;NYears*12,"",IF($D118=1,$O118,$P117+$O118))</f>
        <v/>
      </c>
      <c r="Q118" s="35">
        <f>IF($A118&gt;NYears*12,"",IF($D118=12,MIN(WdrPct*IF(WdrBase="Post-tax profit",$K118-$P118,$K118),WdrCap),0))</f>
        <v/>
      </c>
      <c r="R118" s="35">
        <f>IF($A118&gt;NYears*12,"",$F118+$J118-$O118-$Q118)</f>
        <v/>
      </c>
      <c r="S118" s="33">
        <f>IF($A118&gt;NYears*12,"",INT($R118/$E118))</f>
        <v/>
      </c>
    </row>
    <row r="119">
      <c r="A119" s="33">
        <f>115</f>
        <v/>
      </c>
      <c r="B119" s="34">
        <f>IF($A119&gt;NYears*12,"",EDATE(StartMonth,$A119-1))</f>
        <v/>
      </c>
      <c r="C119" s="33">
        <f>IF($A119&gt;NYears*12,"",INT(($A119-1)/12)+1)</f>
        <v/>
      </c>
      <c r="D119" s="33">
        <f>IF($A119&gt;NYears*12,"",MOD($A119-1,12)+1)</f>
        <v/>
      </c>
      <c r="E119" s="35">
        <f>IF($A119&gt;NYears*12,"",LotValue0*(1+LotGrowth)^($C119-1))</f>
        <v/>
      </c>
      <c r="F119" s="35">
        <f>IF($A119&gt;NYears*12,"",IF($A119=1,InitInvest,$R118))</f>
        <v/>
      </c>
      <c r="G119" s="33">
        <f>IF($A119&gt;NYears*12,"",INT($F119/$E119))</f>
        <v/>
      </c>
      <c r="H119" s="35">
        <f>IF($A119&gt;NYears*12,"",$G119*$E119)</f>
        <v/>
      </c>
      <c r="I119" s="35">
        <f>IF($A119&gt;NYears*12,"",$F119-$H119)</f>
        <v/>
      </c>
      <c r="J119" s="35">
        <f>IF($A119&gt;NYears*12,"",$H119*RateB)</f>
        <v/>
      </c>
      <c r="K119" s="35">
        <f>IF($A119&gt;NYears*12,"",IF($D119=1,$J119,$K118+$J119))</f>
        <v/>
      </c>
      <c r="L119" s="35">
        <f>IF($A119&gt;NYears*12,"",IF(MOD($D119,3)=0,SUM($J117:$J119),0))</f>
        <v/>
      </c>
      <c r="M119" s="35">
        <f>IF($A119&gt;NYears*12,"",IF(TaxFreq="Quarterly",$K119*12/$D119,$K119))</f>
        <v/>
      </c>
      <c r="N119" s="36">
        <f>IF($A119&gt;NYears*12,"",LOOKUP($M119,TaxLower,TaxRate))</f>
        <v/>
      </c>
      <c r="O119" s="35">
        <f>IF($A119&gt;NYears*12,"",IF(TaxFreq="Quarterly",IF(MOD($D119,3)=0,$L119*$N119,0),IF($D119=12,$K119*$N119,0)))</f>
        <v/>
      </c>
      <c r="P119" s="35">
        <f>IF($A119&gt;NYears*12,"",IF($D119=1,$O119,$P118+$O119))</f>
        <v/>
      </c>
      <c r="Q119" s="35">
        <f>IF($A119&gt;NYears*12,"",IF($D119=12,MIN(WdrPct*IF(WdrBase="Post-tax profit",$K119-$P119,$K119),WdrCap),0))</f>
        <v/>
      </c>
      <c r="R119" s="35">
        <f>IF($A119&gt;NYears*12,"",$F119+$J119-$O119-$Q119)</f>
        <v/>
      </c>
      <c r="S119" s="33">
        <f>IF($A119&gt;NYears*12,"",INT($R119/$E119))</f>
        <v/>
      </c>
    </row>
    <row r="120">
      <c r="A120" s="33">
        <f>116</f>
        <v/>
      </c>
      <c r="B120" s="34">
        <f>IF($A120&gt;NYears*12,"",EDATE(StartMonth,$A120-1))</f>
        <v/>
      </c>
      <c r="C120" s="33">
        <f>IF($A120&gt;NYears*12,"",INT(($A120-1)/12)+1)</f>
        <v/>
      </c>
      <c r="D120" s="33">
        <f>IF($A120&gt;NYears*12,"",MOD($A120-1,12)+1)</f>
        <v/>
      </c>
      <c r="E120" s="35">
        <f>IF($A120&gt;NYears*12,"",LotValue0*(1+LotGrowth)^($C120-1))</f>
        <v/>
      </c>
      <c r="F120" s="35">
        <f>IF($A120&gt;NYears*12,"",IF($A120=1,InitInvest,$R119))</f>
        <v/>
      </c>
      <c r="G120" s="33">
        <f>IF($A120&gt;NYears*12,"",INT($F120/$E120))</f>
        <v/>
      </c>
      <c r="H120" s="35">
        <f>IF($A120&gt;NYears*12,"",$G120*$E120)</f>
        <v/>
      </c>
      <c r="I120" s="35">
        <f>IF($A120&gt;NYears*12,"",$F120-$H120)</f>
        <v/>
      </c>
      <c r="J120" s="35">
        <f>IF($A120&gt;NYears*12,"",$H120*RateB)</f>
        <v/>
      </c>
      <c r="K120" s="35">
        <f>IF($A120&gt;NYears*12,"",IF($D120=1,$J120,$K119+$J120))</f>
        <v/>
      </c>
      <c r="L120" s="35">
        <f>IF($A120&gt;NYears*12,"",IF(MOD($D120,3)=0,SUM($J118:$J120),0))</f>
        <v/>
      </c>
      <c r="M120" s="35">
        <f>IF($A120&gt;NYears*12,"",IF(TaxFreq="Quarterly",$K120*12/$D120,$K120))</f>
        <v/>
      </c>
      <c r="N120" s="36">
        <f>IF($A120&gt;NYears*12,"",LOOKUP($M120,TaxLower,TaxRate))</f>
        <v/>
      </c>
      <c r="O120" s="35">
        <f>IF($A120&gt;NYears*12,"",IF(TaxFreq="Quarterly",IF(MOD($D120,3)=0,$L120*$N120,0),IF($D120=12,$K120*$N120,0)))</f>
        <v/>
      </c>
      <c r="P120" s="35">
        <f>IF($A120&gt;NYears*12,"",IF($D120=1,$O120,$P119+$O120))</f>
        <v/>
      </c>
      <c r="Q120" s="35">
        <f>IF($A120&gt;NYears*12,"",IF($D120=12,MIN(WdrPct*IF(WdrBase="Post-tax profit",$K120-$P120,$K120),WdrCap),0))</f>
        <v/>
      </c>
      <c r="R120" s="35">
        <f>IF($A120&gt;NYears*12,"",$F120+$J120-$O120-$Q120)</f>
        <v/>
      </c>
      <c r="S120" s="33">
        <f>IF($A120&gt;NYears*12,"",INT($R120/$E120))</f>
        <v/>
      </c>
    </row>
    <row r="121">
      <c r="A121" s="33">
        <f>117</f>
        <v/>
      </c>
      <c r="B121" s="34">
        <f>IF($A121&gt;NYears*12,"",EDATE(StartMonth,$A121-1))</f>
        <v/>
      </c>
      <c r="C121" s="33">
        <f>IF($A121&gt;NYears*12,"",INT(($A121-1)/12)+1)</f>
        <v/>
      </c>
      <c r="D121" s="33">
        <f>IF($A121&gt;NYears*12,"",MOD($A121-1,12)+1)</f>
        <v/>
      </c>
      <c r="E121" s="35">
        <f>IF($A121&gt;NYears*12,"",LotValue0*(1+LotGrowth)^($C121-1))</f>
        <v/>
      </c>
      <c r="F121" s="35">
        <f>IF($A121&gt;NYears*12,"",IF($A121=1,InitInvest,$R120))</f>
        <v/>
      </c>
      <c r="G121" s="33">
        <f>IF($A121&gt;NYears*12,"",INT($F121/$E121))</f>
        <v/>
      </c>
      <c r="H121" s="35">
        <f>IF($A121&gt;NYears*12,"",$G121*$E121)</f>
        <v/>
      </c>
      <c r="I121" s="35">
        <f>IF($A121&gt;NYears*12,"",$F121-$H121)</f>
        <v/>
      </c>
      <c r="J121" s="35">
        <f>IF($A121&gt;NYears*12,"",$H121*RateB)</f>
        <v/>
      </c>
      <c r="K121" s="35">
        <f>IF($A121&gt;NYears*12,"",IF($D121=1,$J121,$K120+$J121))</f>
        <v/>
      </c>
      <c r="L121" s="35">
        <f>IF($A121&gt;NYears*12,"",IF(MOD($D121,3)=0,SUM($J119:$J121),0))</f>
        <v/>
      </c>
      <c r="M121" s="35">
        <f>IF($A121&gt;NYears*12,"",IF(TaxFreq="Quarterly",$K121*12/$D121,$K121))</f>
        <v/>
      </c>
      <c r="N121" s="36">
        <f>IF($A121&gt;NYears*12,"",LOOKUP($M121,TaxLower,TaxRate))</f>
        <v/>
      </c>
      <c r="O121" s="35">
        <f>IF($A121&gt;NYears*12,"",IF(TaxFreq="Quarterly",IF(MOD($D121,3)=0,$L121*$N121,0),IF($D121=12,$K121*$N121,0)))</f>
        <v/>
      </c>
      <c r="P121" s="35">
        <f>IF($A121&gt;NYears*12,"",IF($D121=1,$O121,$P120+$O121))</f>
        <v/>
      </c>
      <c r="Q121" s="35">
        <f>IF($A121&gt;NYears*12,"",IF($D121=12,MIN(WdrPct*IF(WdrBase="Post-tax profit",$K121-$P121,$K121),WdrCap),0))</f>
        <v/>
      </c>
      <c r="R121" s="35">
        <f>IF($A121&gt;NYears*12,"",$F121+$J121-$O121-$Q121)</f>
        <v/>
      </c>
      <c r="S121" s="33">
        <f>IF($A121&gt;NYears*12,"",INT($R121/$E121))</f>
        <v/>
      </c>
    </row>
    <row r="122">
      <c r="A122" s="33">
        <f>118</f>
        <v/>
      </c>
      <c r="B122" s="34">
        <f>IF($A122&gt;NYears*12,"",EDATE(StartMonth,$A122-1))</f>
        <v/>
      </c>
      <c r="C122" s="33">
        <f>IF($A122&gt;NYears*12,"",INT(($A122-1)/12)+1)</f>
        <v/>
      </c>
      <c r="D122" s="33">
        <f>IF($A122&gt;NYears*12,"",MOD($A122-1,12)+1)</f>
        <v/>
      </c>
      <c r="E122" s="35">
        <f>IF($A122&gt;NYears*12,"",LotValue0*(1+LotGrowth)^($C122-1))</f>
        <v/>
      </c>
      <c r="F122" s="35">
        <f>IF($A122&gt;NYears*12,"",IF($A122=1,InitInvest,$R121))</f>
        <v/>
      </c>
      <c r="G122" s="33">
        <f>IF($A122&gt;NYears*12,"",INT($F122/$E122))</f>
        <v/>
      </c>
      <c r="H122" s="35">
        <f>IF($A122&gt;NYears*12,"",$G122*$E122)</f>
        <v/>
      </c>
      <c r="I122" s="35">
        <f>IF($A122&gt;NYears*12,"",$F122-$H122)</f>
        <v/>
      </c>
      <c r="J122" s="35">
        <f>IF($A122&gt;NYears*12,"",$H122*RateB)</f>
        <v/>
      </c>
      <c r="K122" s="35">
        <f>IF($A122&gt;NYears*12,"",IF($D122=1,$J122,$K121+$J122))</f>
        <v/>
      </c>
      <c r="L122" s="35">
        <f>IF($A122&gt;NYears*12,"",IF(MOD($D122,3)=0,SUM($J120:$J122),0))</f>
        <v/>
      </c>
      <c r="M122" s="35">
        <f>IF($A122&gt;NYears*12,"",IF(TaxFreq="Quarterly",$K122*12/$D122,$K122))</f>
        <v/>
      </c>
      <c r="N122" s="36">
        <f>IF($A122&gt;NYears*12,"",LOOKUP($M122,TaxLower,TaxRate))</f>
        <v/>
      </c>
      <c r="O122" s="35">
        <f>IF($A122&gt;NYears*12,"",IF(TaxFreq="Quarterly",IF(MOD($D122,3)=0,$L122*$N122,0),IF($D122=12,$K122*$N122,0)))</f>
        <v/>
      </c>
      <c r="P122" s="35">
        <f>IF($A122&gt;NYears*12,"",IF($D122=1,$O122,$P121+$O122))</f>
        <v/>
      </c>
      <c r="Q122" s="35">
        <f>IF($A122&gt;NYears*12,"",IF($D122=12,MIN(WdrPct*IF(WdrBase="Post-tax profit",$K122-$P122,$K122),WdrCap),0))</f>
        <v/>
      </c>
      <c r="R122" s="35">
        <f>IF($A122&gt;NYears*12,"",$F122+$J122-$O122-$Q122)</f>
        <v/>
      </c>
      <c r="S122" s="33">
        <f>IF($A122&gt;NYears*12,"",INT($R122/$E122))</f>
        <v/>
      </c>
    </row>
    <row r="123">
      <c r="A123" s="33">
        <f>119</f>
        <v/>
      </c>
      <c r="B123" s="34">
        <f>IF($A123&gt;NYears*12,"",EDATE(StartMonth,$A123-1))</f>
        <v/>
      </c>
      <c r="C123" s="33">
        <f>IF($A123&gt;NYears*12,"",INT(($A123-1)/12)+1)</f>
        <v/>
      </c>
      <c r="D123" s="33">
        <f>IF($A123&gt;NYears*12,"",MOD($A123-1,12)+1)</f>
        <v/>
      </c>
      <c r="E123" s="35">
        <f>IF($A123&gt;NYears*12,"",LotValue0*(1+LotGrowth)^($C123-1))</f>
        <v/>
      </c>
      <c r="F123" s="35">
        <f>IF($A123&gt;NYears*12,"",IF($A123=1,InitInvest,$R122))</f>
        <v/>
      </c>
      <c r="G123" s="33">
        <f>IF($A123&gt;NYears*12,"",INT($F123/$E123))</f>
        <v/>
      </c>
      <c r="H123" s="35">
        <f>IF($A123&gt;NYears*12,"",$G123*$E123)</f>
        <v/>
      </c>
      <c r="I123" s="35">
        <f>IF($A123&gt;NYears*12,"",$F123-$H123)</f>
        <v/>
      </c>
      <c r="J123" s="35">
        <f>IF($A123&gt;NYears*12,"",$H123*RateB)</f>
        <v/>
      </c>
      <c r="K123" s="35">
        <f>IF($A123&gt;NYears*12,"",IF($D123=1,$J123,$K122+$J123))</f>
        <v/>
      </c>
      <c r="L123" s="35">
        <f>IF($A123&gt;NYears*12,"",IF(MOD($D123,3)=0,SUM($J121:$J123),0))</f>
        <v/>
      </c>
      <c r="M123" s="35">
        <f>IF($A123&gt;NYears*12,"",IF(TaxFreq="Quarterly",$K123*12/$D123,$K123))</f>
        <v/>
      </c>
      <c r="N123" s="36">
        <f>IF($A123&gt;NYears*12,"",LOOKUP($M123,TaxLower,TaxRate))</f>
        <v/>
      </c>
      <c r="O123" s="35">
        <f>IF($A123&gt;NYears*12,"",IF(TaxFreq="Quarterly",IF(MOD($D123,3)=0,$L123*$N123,0),IF($D123=12,$K123*$N123,0)))</f>
        <v/>
      </c>
      <c r="P123" s="35">
        <f>IF($A123&gt;NYears*12,"",IF($D123=1,$O123,$P122+$O123))</f>
        <v/>
      </c>
      <c r="Q123" s="35">
        <f>IF($A123&gt;NYears*12,"",IF($D123=12,MIN(WdrPct*IF(WdrBase="Post-tax profit",$K123-$P123,$K123),WdrCap),0))</f>
        <v/>
      </c>
      <c r="R123" s="35">
        <f>IF($A123&gt;NYears*12,"",$F123+$J123-$O123-$Q123)</f>
        <v/>
      </c>
      <c r="S123" s="33">
        <f>IF($A123&gt;NYears*12,"",INT($R123/$E123))</f>
        <v/>
      </c>
    </row>
    <row r="124">
      <c r="A124" s="37">
        <f>120</f>
        <v/>
      </c>
      <c r="B124" s="38">
        <f>IF($A124&gt;NYears*12,"",EDATE(StartMonth,$A124-1))</f>
        <v/>
      </c>
      <c r="C124" s="37">
        <f>IF($A124&gt;NYears*12,"",INT(($A124-1)/12)+1)</f>
        <v/>
      </c>
      <c r="D124" s="37">
        <f>IF($A124&gt;NYears*12,"",MOD($A124-1,12)+1)</f>
        <v/>
      </c>
      <c r="E124" s="39">
        <f>IF($A124&gt;NYears*12,"",LotValue0*(1+LotGrowth)^($C124-1))</f>
        <v/>
      </c>
      <c r="F124" s="39">
        <f>IF($A124&gt;NYears*12,"",IF($A124=1,InitInvest,$R123))</f>
        <v/>
      </c>
      <c r="G124" s="37">
        <f>IF($A124&gt;NYears*12,"",INT($F124/$E124))</f>
        <v/>
      </c>
      <c r="H124" s="39">
        <f>IF($A124&gt;NYears*12,"",$G124*$E124)</f>
        <v/>
      </c>
      <c r="I124" s="39">
        <f>IF($A124&gt;NYears*12,"",$F124-$H124)</f>
        <v/>
      </c>
      <c r="J124" s="39">
        <f>IF($A124&gt;NYears*12,"",$H124*RateB)</f>
        <v/>
      </c>
      <c r="K124" s="39">
        <f>IF($A124&gt;NYears*12,"",IF($D124=1,$J124,$K123+$J124))</f>
        <v/>
      </c>
      <c r="L124" s="39">
        <f>IF($A124&gt;NYears*12,"",IF(MOD($D124,3)=0,SUM($J122:$J124),0))</f>
        <v/>
      </c>
      <c r="M124" s="39">
        <f>IF($A124&gt;NYears*12,"",IF(TaxFreq="Quarterly",$K124*12/$D124,$K124))</f>
        <v/>
      </c>
      <c r="N124" s="40">
        <f>IF($A124&gt;NYears*12,"",LOOKUP($M124,TaxLower,TaxRate))</f>
        <v/>
      </c>
      <c r="O124" s="39">
        <f>IF($A124&gt;NYears*12,"",IF(TaxFreq="Quarterly",IF(MOD($D124,3)=0,$L124*$N124,0),IF($D124=12,$K124*$N124,0)))</f>
        <v/>
      </c>
      <c r="P124" s="39">
        <f>IF($A124&gt;NYears*12,"",IF($D124=1,$O124,$P123+$O124))</f>
        <v/>
      </c>
      <c r="Q124" s="39">
        <f>IF($A124&gt;NYears*12,"",IF($D124=12,MIN(WdrPct*IF(WdrBase="Post-tax profit",$K124-$P124,$K124),WdrCap),0))</f>
        <v/>
      </c>
      <c r="R124" s="39">
        <f>IF($A124&gt;NYears*12,"",$F124+$J124-$O124-$Q124)</f>
        <v/>
      </c>
      <c r="S124" s="37">
        <f>IF($A124&gt;NYears*12,"",INT($R124/$E124))</f>
        <v/>
      </c>
    </row>
    <row r="125">
      <c r="A125" s="33">
        <f>121</f>
        <v/>
      </c>
      <c r="B125" s="34">
        <f>IF($A125&gt;NYears*12,"",EDATE(StartMonth,$A125-1))</f>
        <v/>
      </c>
      <c r="C125" s="33">
        <f>IF($A125&gt;NYears*12,"",INT(($A125-1)/12)+1)</f>
        <v/>
      </c>
      <c r="D125" s="33">
        <f>IF($A125&gt;NYears*12,"",MOD($A125-1,12)+1)</f>
        <v/>
      </c>
      <c r="E125" s="35">
        <f>IF($A125&gt;NYears*12,"",LotValue0*(1+LotGrowth)^($C125-1))</f>
        <v/>
      </c>
      <c r="F125" s="35">
        <f>IF($A125&gt;NYears*12,"",IF($A125=1,InitInvest,$R124))</f>
        <v/>
      </c>
      <c r="G125" s="33">
        <f>IF($A125&gt;NYears*12,"",INT($F125/$E125))</f>
        <v/>
      </c>
      <c r="H125" s="35">
        <f>IF($A125&gt;NYears*12,"",$G125*$E125)</f>
        <v/>
      </c>
      <c r="I125" s="35">
        <f>IF($A125&gt;NYears*12,"",$F125-$H125)</f>
        <v/>
      </c>
      <c r="J125" s="35">
        <f>IF($A125&gt;NYears*12,"",$H125*RateB)</f>
        <v/>
      </c>
      <c r="K125" s="35">
        <f>IF($A125&gt;NYears*12,"",IF($D125=1,$J125,$K124+$J125))</f>
        <v/>
      </c>
      <c r="L125" s="35">
        <f>IF($A125&gt;NYears*12,"",IF(MOD($D125,3)=0,SUM($J123:$J125),0))</f>
        <v/>
      </c>
      <c r="M125" s="35">
        <f>IF($A125&gt;NYears*12,"",IF(TaxFreq="Quarterly",$K125*12/$D125,$K125))</f>
        <v/>
      </c>
      <c r="N125" s="36">
        <f>IF($A125&gt;NYears*12,"",LOOKUP($M125,TaxLower,TaxRate))</f>
        <v/>
      </c>
      <c r="O125" s="35">
        <f>IF($A125&gt;NYears*12,"",IF(TaxFreq="Quarterly",IF(MOD($D125,3)=0,$L125*$N125,0),IF($D125=12,$K125*$N125,0)))</f>
        <v/>
      </c>
      <c r="P125" s="35">
        <f>IF($A125&gt;NYears*12,"",IF($D125=1,$O125,$P124+$O125))</f>
        <v/>
      </c>
      <c r="Q125" s="35">
        <f>IF($A125&gt;NYears*12,"",IF($D125=12,MIN(WdrPct*IF(WdrBase="Post-tax profit",$K125-$P125,$K125),WdrCap),0))</f>
        <v/>
      </c>
      <c r="R125" s="35">
        <f>IF($A125&gt;NYears*12,"",$F125+$J125-$O125-$Q125)</f>
        <v/>
      </c>
      <c r="S125" s="33">
        <f>IF($A125&gt;NYears*12,"",INT($R125/$E125))</f>
        <v/>
      </c>
    </row>
    <row r="126">
      <c r="A126" s="33">
        <f>122</f>
        <v/>
      </c>
      <c r="B126" s="34">
        <f>IF($A126&gt;NYears*12,"",EDATE(StartMonth,$A126-1))</f>
        <v/>
      </c>
      <c r="C126" s="33">
        <f>IF($A126&gt;NYears*12,"",INT(($A126-1)/12)+1)</f>
        <v/>
      </c>
      <c r="D126" s="33">
        <f>IF($A126&gt;NYears*12,"",MOD($A126-1,12)+1)</f>
        <v/>
      </c>
      <c r="E126" s="35">
        <f>IF($A126&gt;NYears*12,"",LotValue0*(1+LotGrowth)^($C126-1))</f>
        <v/>
      </c>
      <c r="F126" s="35">
        <f>IF($A126&gt;NYears*12,"",IF($A126=1,InitInvest,$R125))</f>
        <v/>
      </c>
      <c r="G126" s="33">
        <f>IF($A126&gt;NYears*12,"",INT($F126/$E126))</f>
        <v/>
      </c>
      <c r="H126" s="35">
        <f>IF($A126&gt;NYears*12,"",$G126*$E126)</f>
        <v/>
      </c>
      <c r="I126" s="35">
        <f>IF($A126&gt;NYears*12,"",$F126-$H126)</f>
        <v/>
      </c>
      <c r="J126" s="35">
        <f>IF($A126&gt;NYears*12,"",$H126*RateB)</f>
        <v/>
      </c>
      <c r="K126" s="35">
        <f>IF($A126&gt;NYears*12,"",IF($D126=1,$J126,$K125+$J126))</f>
        <v/>
      </c>
      <c r="L126" s="35">
        <f>IF($A126&gt;NYears*12,"",IF(MOD($D126,3)=0,SUM($J124:$J126),0))</f>
        <v/>
      </c>
      <c r="M126" s="35">
        <f>IF($A126&gt;NYears*12,"",IF(TaxFreq="Quarterly",$K126*12/$D126,$K126))</f>
        <v/>
      </c>
      <c r="N126" s="36">
        <f>IF($A126&gt;NYears*12,"",LOOKUP($M126,TaxLower,TaxRate))</f>
        <v/>
      </c>
      <c r="O126" s="35">
        <f>IF($A126&gt;NYears*12,"",IF(TaxFreq="Quarterly",IF(MOD($D126,3)=0,$L126*$N126,0),IF($D126=12,$K126*$N126,0)))</f>
        <v/>
      </c>
      <c r="P126" s="35">
        <f>IF($A126&gt;NYears*12,"",IF($D126=1,$O126,$P125+$O126))</f>
        <v/>
      </c>
      <c r="Q126" s="35">
        <f>IF($A126&gt;NYears*12,"",IF($D126=12,MIN(WdrPct*IF(WdrBase="Post-tax profit",$K126-$P126,$K126),WdrCap),0))</f>
        <v/>
      </c>
      <c r="R126" s="35">
        <f>IF($A126&gt;NYears*12,"",$F126+$J126-$O126-$Q126)</f>
        <v/>
      </c>
      <c r="S126" s="33">
        <f>IF($A126&gt;NYears*12,"",INT($R126/$E126))</f>
        <v/>
      </c>
    </row>
    <row r="127">
      <c r="A127" s="33">
        <f>123</f>
        <v/>
      </c>
      <c r="B127" s="34">
        <f>IF($A127&gt;NYears*12,"",EDATE(StartMonth,$A127-1))</f>
        <v/>
      </c>
      <c r="C127" s="33">
        <f>IF($A127&gt;NYears*12,"",INT(($A127-1)/12)+1)</f>
        <v/>
      </c>
      <c r="D127" s="33">
        <f>IF($A127&gt;NYears*12,"",MOD($A127-1,12)+1)</f>
        <v/>
      </c>
      <c r="E127" s="35">
        <f>IF($A127&gt;NYears*12,"",LotValue0*(1+LotGrowth)^($C127-1))</f>
        <v/>
      </c>
      <c r="F127" s="35">
        <f>IF($A127&gt;NYears*12,"",IF($A127=1,InitInvest,$R126))</f>
        <v/>
      </c>
      <c r="G127" s="33">
        <f>IF($A127&gt;NYears*12,"",INT($F127/$E127))</f>
        <v/>
      </c>
      <c r="H127" s="35">
        <f>IF($A127&gt;NYears*12,"",$G127*$E127)</f>
        <v/>
      </c>
      <c r="I127" s="35">
        <f>IF($A127&gt;NYears*12,"",$F127-$H127)</f>
        <v/>
      </c>
      <c r="J127" s="35">
        <f>IF($A127&gt;NYears*12,"",$H127*RateB)</f>
        <v/>
      </c>
      <c r="K127" s="35">
        <f>IF($A127&gt;NYears*12,"",IF($D127=1,$J127,$K126+$J127))</f>
        <v/>
      </c>
      <c r="L127" s="35">
        <f>IF($A127&gt;NYears*12,"",IF(MOD($D127,3)=0,SUM($J125:$J127),0))</f>
        <v/>
      </c>
      <c r="M127" s="35">
        <f>IF($A127&gt;NYears*12,"",IF(TaxFreq="Quarterly",$K127*12/$D127,$K127))</f>
        <v/>
      </c>
      <c r="N127" s="36">
        <f>IF($A127&gt;NYears*12,"",LOOKUP($M127,TaxLower,TaxRate))</f>
        <v/>
      </c>
      <c r="O127" s="35">
        <f>IF($A127&gt;NYears*12,"",IF(TaxFreq="Quarterly",IF(MOD($D127,3)=0,$L127*$N127,0),IF($D127=12,$K127*$N127,0)))</f>
        <v/>
      </c>
      <c r="P127" s="35">
        <f>IF($A127&gt;NYears*12,"",IF($D127=1,$O127,$P126+$O127))</f>
        <v/>
      </c>
      <c r="Q127" s="35">
        <f>IF($A127&gt;NYears*12,"",IF($D127=12,MIN(WdrPct*IF(WdrBase="Post-tax profit",$K127-$P127,$K127),WdrCap),0))</f>
        <v/>
      </c>
      <c r="R127" s="35">
        <f>IF($A127&gt;NYears*12,"",$F127+$J127-$O127-$Q127)</f>
        <v/>
      </c>
      <c r="S127" s="33">
        <f>IF($A127&gt;NYears*12,"",INT($R127/$E127))</f>
        <v/>
      </c>
    </row>
    <row r="128">
      <c r="A128" s="33">
        <f>124</f>
        <v/>
      </c>
      <c r="B128" s="34">
        <f>IF($A128&gt;NYears*12,"",EDATE(StartMonth,$A128-1))</f>
        <v/>
      </c>
      <c r="C128" s="33">
        <f>IF($A128&gt;NYears*12,"",INT(($A128-1)/12)+1)</f>
        <v/>
      </c>
      <c r="D128" s="33">
        <f>IF($A128&gt;NYears*12,"",MOD($A128-1,12)+1)</f>
        <v/>
      </c>
      <c r="E128" s="35">
        <f>IF($A128&gt;NYears*12,"",LotValue0*(1+LotGrowth)^($C128-1))</f>
        <v/>
      </c>
      <c r="F128" s="35">
        <f>IF($A128&gt;NYears*12,"",IF($A128=1,InitInvest,$R127))</f>
        <v/>
      </c>
      <c r="G128" s="33">
        <f>IF($A128&gt;NYears*12,"",INT($F128/$E128))</f>
        <v/>
      </c>
      <c r="H128" s="35">
        <f>IF($A128&gt;NYears*12,"",$G128*$E128)</f>
        <v/>
      </c>
      <c r="I128" s="35">
        <f>IF($A128&gt;NYears*12,"",$F128-$H128)</f>
        <v/>
      </c>
      <c r="J128" s="35">
        <f>IF($A128&gt;NYears*12,"",$H128*RateB)</f>
        <v/>
      </c>
      <c r="K128" s="35">
        <f>IF($A128&gt;NYears*12,"",IF($D128=1,$J128,$K127+$J128))</f>
        <v/>
      </c>
      <c r="L128" s="35">
        <f>IF($A128&gt;NYears*12,"",IF(MOD($D128,3)=0,SUM($J126:$J128),0))</f>
        <v/>
      </c>
      <c r="M128" s="35">
        <f>IF($A128&gt;NYears*12,"",IF(TaxFreq="Quarterly",$K128*12/$D128,$K128))</f>
        <v/>
      </c>
      <c r="N128" s="36">
        <f>IF($A128&gt;NYears*12,"",LOOKUP($M128,TaxLower,TaxRate))</f>
        <v/>
      </c>
      <c r="O128" s="35">
        <f>IF($A128&gt;NYears*12,"",IF(TaxFreq="Quarterly",IF(MOD($D128,3)=0,$L128*$N128,0),IF($D128=12,$K128*$N128,0)))</f>
        <v/>
      </c>
      <c r="P128" s="35">
        <f>IF($A128&gt;NYears*12,"",IF($D128=1,$O128,$P127+$O128))</f>
        <v/>
      </c>
      <c r="Q128" s="35">
        <f>IF($A128&gt;NYears*12,"",IF($D128=12,MIN(WdrPct*IF(WdrBase="Post-tax profit",$K128-$P128,$K128),WdrCap),0))</f>
        <v/>
      </c>
      <c r="R128" s="35">
        <f>IF($A128&gt;NYears*12,"",$F128+$J128-$O128-$Q128)</f>
        <v/>
      </c>
      <c r="S128" s="33">
        <f>IF($A128&gt;NYears*12,"",INT($R128/$E128))</f>
        <v/>
      </c>
    </row>
    <row r="129">
      <c r="A129" s="33">
        <f>125</f>
        <v/>
      </c>
      <c r="B129" s="34">
        <f>IF($A129&gt;NYears*12,"",EDATE(StartMonth,$A129-1))</f>
        <v/>
      </c>
      <c r="C129" s="33">
        <f>IF($A129&gt;NYears*12,"",INT(($A129-1)/12)+1)</f>
        <v/>
      </c>
      <c r="D129" s="33">
        <f>IF($A129&gt;NYears*12,"",MOD($A129-1,12)+1)</f>
        <v/>
      </c>
      <c r="E129" s="35">
        <f>IF($A129&gt;NYears*12,"",LotValue0*(1+LotGrowth)^($C129-1))</f>
        <v/>
      </c>
      <c r="F129" s="35">
        <f>IF($A129&gt;NYears*12,"",IF($A129=1,InitInvest,$R128))</f>
        <v/>
      </c>
      <c r="G129" s="33">
        <f>IF($A129&gt;NYears*12,"",INT($F129/$E129))</f>
        <v/>
      </c>
      <c r="H129" s="35">
        <f>IF($A129&gt;NYears*12,"",$G129*$E129)</f>
        <v/>
      </c>
      <c r="I129" s="35">
        <f>IF($A129&gt;NYears*12,"",$F129-$H129)</f>
        <v/>
      </c>
      <c r="J129" s="35">
        <f>IF($A129&gt;NYears*12,"",$H129*RateB)</f>
        <v/>
      </c>
      <c r="K129" s="35">
        <f>IF($A129&gt;NYears*12,"",IF($D129=1,$J129,$K128+$J129))</f>
        <v/>
      </c>
      <c r="L129" s="35">
        <f>IF($A129&gt;NYears*12,"",IF(MOD($D129,3)=0,SUM($J127:$J129),0))</f>
        <v/>
      </c>
      <c r="M129" s="35">
        <f>IF($A129&gt;NYears*12,"",IF(TaxFreq="Quarterly",$K129*12/$D129,$K129))</f>
        <v/>
      </c>
      <c r="N129" s="36">
        <f>IF($A129&gt;NYears*12,"",LOOKUP($M129,TaxLower,TaxRate))</f>
        <v/>
      </c>
      <c r="O129" s="35">
        <f>IF($A129&gt;NYears*12,"",IF(TaxFreq="Quarterly",IF(MOD($D129,3)=0,$L129*$N129,0),IF($D129=12,$K129*$N129,0)))</f>
        <v/>
      </c>
      <c r="P129" s="35">
        <f>IF($A129&gt;NYears*12,"",IF($D129=1,$O129,$P128+$O129))</f>
        <v/>
      </c>
      <c r="Q129" s="35">
        <f>IF($A129&gt;NYears*12,"",IF($D129=12,MIN(WdrPct*IF(WdrBase="Post-tax profit",$K129-$P129,$K129),WdrCap),0))</f>
        <v/>
      </c>
      <c r="R129" s="35">
        <f>IF($A129&gt;NYears*12,"",$F129+$J129-$O129-$Q129)</f>
        <v/>
      </c>
      <c r="S129" s="33">
        <f>IF($A129&gt;NYears*12,"",INT($R129/$E129))</f>
        <v/>
      </c>
    </row>
    <row r="130">
      <c r="A130" s="33">
        <f>126</f>
        <v/>
      </c>
      <c r="B130" s="34">
        <f>IF($A130&gt;NYears*12,"",EDATE(StartMonth,$A130-1))</f>
        <v/>
      </c>
      <c r="C130" s="33">
        <f>IF($A130&gt;NYears*12,"",INT(($A130-1)/12)+1)</f>
        <v/>
      </c>
      <c r="D130" s="33">
        <f>IF($A130&gt;NYears*12,"",MOD($A130-1,12)+1)</f>
        <v/>
      </c>
      <c r="E130" s="35">
        <f>IF($A130&gt;NYears*12,"",LotValue0*(1+LotGrowth)^($C130-1))</f>
        <v/>
      </c>
      <c r="F130" s="35">
        <f>IF($A130&gt;NYears*12,"",IF($A130=1,InitInvest,$R129))</f>
        <v/>
      </c>
      <c r="G130" s="33">
        <f>IF($A130&gt;NYears*12,"",INT($F130/$E130))</f>
        <v/>
      </c>
      <c r="H130" s="35">
        <f>IF($A130&gt;NYears*12,"",$G130*$E130)</f>
        <v/>
      </c>
      <c r="I130" s="35">
        <f>IF($A130&gt;NYears*12,"",$F130-$H130)</f>
        <v/>
      </c>
      <c r="J130" s="35">
        <f>IF($A130&gt;NYears*12,"",$H130*RateB)</f>
        <v/>
      </c>
      <c r="K130" s="35">
        <f>IF($A130&gt;NYears*12,"",IF($D130=1,$J130,$K129+$J130))</f>
        <v/>
      </c>
      <c r="L130" s="35">
        <f>IF($A130&gt;NYears*12,"",IF(MOD($D130,3)=0,SUM($J128:$J130),0))</f>
        <v/>
      </c>
      <c r="M130" s="35">
        <f>IF($A130&gt;NYears*12,"",IF(TaxFreq="Quarterly",$K130*12/$D130,$K130))</f>
        <v/>
      </c>
      <c r="N130" s="36">
        <f>IF($A130&gt;NYears*12,"",LOOKUP($M130,TaxLower,TaxRate))</f>
        <v/>
      </c>
      <c r="O130" s="35">
        <f>IF($A130&gt;NYears*12,"",IF(TaxFreq="Quarterly",IF(MOD($D130,3)=0,$L130*$N130,0),IF($D130=12,$K130*$N130,0)))</f>
        <v/>
      </c>
      <c r="P130" s="35">
        <f>IF($A130&gt;NYears*12,"",IF($D130=1,$O130,$P129+$O130))</f>
        <v/>
      </c>
      <c r="Q130" s="35">
        <f>IF($A130&gt;NYears*12,"",IF($D130=12,MIN(WdrPct*IF(WdrBase="Post-tax profit",$K130-$P130,$K130),WdrCap),0))</f>
        <v/>
      </c>
      <c r="R130" s="35">
        <f>IF($A130&gt;NYears*12,"",$F130+$J130-$O130-$Q130)</f>
        <v/>
      </c>
      <c r="S130" s="33">
        <f>IF($A130&gt;NYears*12,"",INT($R130/$E130))</f>
        <v/>
      </c>
    </row>
    <row r="131">
      <c r="A131" s="33">
        <f>127</f>
        <v/>
      </c>
      <c r="B131" s="34">
        <f>IF($A131&gt;NYears*12,"",EDATE(StartMonth,$A131-1))</f>
        <v/>
      </c>
      <c r="C131" s="33">
        <f>IF($A131&gt;NYears*12,"",INT(($A131-1)/12)+1)</f>
        <v/>
      </c>
      <c r="D131" s="33">
        <f>IF($A131&gt;NYears*12,"",MOD($A131-1,12)+1)</f>
        <v/>
      </c>
      <c r="E131" s="35">
        <f>IF($A131&gt;NYears*12,"",LotValue0*(1+LotGrowth)^($C131-1))</f>
        <v/>
      </c>
      <c r="F131" s="35">
        <f>IF($A131&gt;NYears*12,"",IF($A131=1,InitInvest,$R130))</f>
        <v/>
      </c>
      <c r="G131" s="33">
        <f>IF($A131&gt;NYears*12,"",INT($F131/$E131))</f>
        <v/>
      </c>
      <c r="H131" s="35">
        <f>IF($A131&gt;NYears*12,"",$G131*$E131)</f>
        <v/>
      </c>
      <c r="I131" s="35">
        <f>IF($A131&gt;NYears*12,"",$F131-$H131)</f>
        <v/>
      </c>
      <c r="J131" s="35">
        <f>IF($A131&gt;NYears*12,"",$H131*RateB)</f>
        <v/>
      </c>
      <c r="K131" s="35">
        <f>IF($A131&gt;NYears*12,"",IF($D131=1,$J131,$K130+$J131))</f>
        <v/>
      </c>
      <c r="L131" s="35">
        <f>IF($A131&gt;NYears*12,"",IF(MOD($D131,3)=0,SUM($J129:$J131),0))</f>
        <v/>
      </c>
      <c r="M131" s="35">
        <f>IF($A131&gt;NYears*12,"",IF(TaxFreq="Quarterly",$K131*12/$D131,$K131))</f>
        <v/>
      </c>
      <c r="N131" s="36">
        <f>IF($A131&gt;NYears*12,"",LOOKUP($M131,TaxLower,TaxRate))</f>
        <v/>
      </c>
      <c r="O131" s="35">
        <f>IF($A131&gt;NYears*12,"",IF(TaxFreq="Quarterly",IF(MOD($D131,3)=0,$L131*$N131,0),IF($D131=12,$K131*$N131,0)))</f>
        <v/>
      </c>
      <c r="P131" s="35">
        <f>IF($A131&gt;NYears*12,"",IF($D131=1,$O131,$P130+$O131))</f>
        <v/>
      </c>
      <c r="Q131" s="35">
        <f>IF($A131&gt;NYears*12,"",IF($D131=12,MIN(WdrPct*IF(WdrBase="Post-tax profit",$K131-$P131,$K131),WdrCap),0))</f>
        <v/>
      </c>
      <c r="R131" s="35">
        <f>IF($A131&gt;NYears*12,"",$F131+$J131-$O131-$Q131)</f>
        <v/>
      </c>
      <c r="S131" s="33">
        <f>IF($A131&gt;NYears*12,"",INT($R131/$E131))</f>
        <v/>
      </c>
    </row>
    <row r="132">
      <c r="A132" s="33">
        <f>128</f>
        <v/>
      </c>
      <c r="B132" s="34">
        <f>IF($A132&gt;NYears*12,"",EDATE(StartMonth,$A132-1))</f>
        <v/>
      </c>
      <c r="C132" s="33">
        <f>IF($A132&gt;NYears*12,"",INT(($A132-1)/12)+1)</f>
        <v/>
      </c>
      <c r="D132" s="33">
        <f>IF($A132&gt;NYears*12,"",MOD($A132-1,12)+1)</f>
        <v/>
      </c>
      <c r="E132" s="35">
        <f>IF($A132&gt;NYears*12,"",LotValue0*(1+LotGrowth)^($C132-1))</f>
        <v/>
      </c>
      <c r="F132" s="35">
        <f>IF($A132&gt;NYears*12,"",IF($A132=1,InitInvest,$R131))</f>
        <v/>
      </c>
      <c r="G132" s="33">
        <f>IF($A132&gt;NYears*12,"",INT($F132/$E132))</f>
        <v/>
      </c>
      <c r="H132" s="35">
        <f>IF($A132&gt;NYears*12,"",$G132*$E132)</f>
        <v/>
      </c>
      <c r="I132" s="35">
        <f>IF($A132&gt;NYears*12,"",$F132-$H132)</f>
        <v/>
      </c>
      <c r="J132" s="35">
        <f>IF($A132&gt;NYears*12,"",$H132*RateB)</f>
        <v/>
      </c>
      <c r="K132" s="35">
        <f>IF($A132&gt;NYears*12,"",IF($D132=1,$J132,$K131+$J132))</f>
        <v/>
      </c>
      <c r="L132" s="35">
        <f>IF($A132&gt;NYears*12,"",IF(MOD($D132,3)=0,SUM($J130:$J132),0))</f>
        <v/>
      </c>
      <c r="M132" s="35">
        <f>IF($A132&gt;NYears*12,"",IF(TaxFreq="Quarterly",$K132*12/$D132,$K132))</f>
        <v/>
      </c>
      <c r="N132" s="36">
        <f>IF($A132&gt;NYears*12,"",LOOKUP($M132,TaxLower,TaxRate))</f>
        <v/>
      </c>
      <c r="O132" s="35">
        <f>IF($A132&gt;NYears*12,"",IF(TaxFreq="Quarterly",IF(MOD($D132,3)=0,$L132*$N132,0),IF($D132=12,$K132*$N132,0)))</f>
        <v/>
      </c>
      <c r="P132" s="35">
        <f>IF($A132&gt;NYears*12,"",IF($D132=1,$O132,$P131+$O132))</f>
        <v/>
      </c>
      <c r="Q132" s="35">
        <f>IF($A132&gt;NYears*12,"",IF($D132=12,MIN(WdrPct*IF(WdrBase="Post-tax profit",$K132-$P132,$K132),WdrCap),0))</f>
        <v/>
      </c>
      <c r="R132" s="35">
        <f>IF($A132&gt;NYears*12,"",$F132+$J132-$O132-$Q132)</f>
        <v/>
      </c>
      <c r="S132" s="33">
        <f>IF($A132&gt;NYears*12,"",INT($R132/$E132))</f>
        <v/>
      </c>
    </row>
    <row r="133">
      <c r="A133" s="33">
        <f>129</f>
        <v/>
      </c>
      <c r="B133" s="34">
        <f>IF($A133&gt;NYears*12,"",EDATE(StartMonth,$A133-1))</f>
        <v/>
      </c>
      <c r="C133" s="33">
        <f>IF($A133&gt;NYears*12,"",INT(($A133-1)/12)+1)</f>
        <v/>
      </c>
      <c r="D133" s="33">
        <f>IF($A133&gt;NYears*12,"",MOD($A133-1,12)+1)</f>
        <v/>
      </c>
      <c r="E133" s="35">
        <f>IF($A133&gt;NYears*12,"",LotValue0*(1+LotGrowth)^($C133-1))</f>
        <v/>
      </c>
      <c r="F133" s="35">
        <f>IF($A133&gt;NYears*12,"",IF($A133=1,InitInvest,$R132))</f>
        <v/>
      </c>
      <c r="G133" s="33">
        <f>IF($A133&gt;NYears*12,"",INT($F133/$E133))</f>
        <v/>
      </c>
      <c r="H133" s="35">
        <f>IF($A133&gt;NYears*12,"",$G133*$E133)</f>
        <v/>
      </c>
      <c r="I133" s="35">
        <f>IF($A133&gt;NYears*12,"",$F133-$H133)</f>
        <v/>
      </c>
      <c r="J133" s="35">
        <f>IF($A133&gt;NYears*12,"",$H133*RateB)</f>
        <v/>
      </c>
      <c r="K133" s="35">
        <f>IF($A133&gt;NYears*12,"",IF($D133=1,$J133,$K132+$J133))</f>
        <v/>
      </c>
      <c r="L133" s="35">
        <f>IF($A133&gt;NYears*12,"",IF(MOD($D133,3)=0,SUM($J131:$J133),0))</f>
        <v/>
      </c>
      <c r="M133" s="35">
        <f>IF($A133&gt;NYears*12,"",IF(TaxFreq="Quarterly",$K133*12/$D133,$K133))</f>
        <v/>
      </c>
      <c r="N133" s="36">
        <f>IF($A133&gt;NYears*12,"",LOOKUP($M133,TaxLower,TaxRate))</f>
        <v/>
      </c>
      <c r="O133" s="35">
        <f>IF($A133&gt;NYears*12,"",IF(TaxFreq="Quarterly",IF(MOD($D133,3)=0,$L133*$N133,0),IF($D133=12,$K133*$N133,0)))</f>
        <v/>
      </c>
      <c r="P133" s="35">
        <f>IF($A133&gt;NYears*12,"",IF($D133=1,$O133,$P132+$O133))</f>
        <v/>
      </c>
      <c r="Q133" s="35">
        <f>IF($A133&gt;NYears*12,"",IF($D133=12,MIN(WdrPct*IF(WdrBase="Post-tax profit",$K133-$P133,$K133),WdrCap),0))</f>
        <v/>
      </c>
      <c r="R133" s="35">
        <f>IF($A133&gt;NYears*12,"",$F133+$J133-$O133-$Q133)</f>
        <v/>
      </c>
      <c r="S133" s="33">
        <f>IF($A133&gt;NYears*12,"",INT($R133/$E133))</f>
        <v/>
      </c>
    </row>
    <row r="134">
      <c r="A134" s="33">
        <f>130</f>
        <v/>
      </c>
      <c r="B134" s="34">
        <f>IF($A134&gt;NYears*12,"",EDATE(StartMonth,$A134-1))</f>
        <v/>
      </c>
      <c r="C134" s="33">
        <f>IF($A134&gt;NYears*12,"",INT(($A134-1)/12)+1)</f>
        <v/>
      </c>
      <c r="D134" s="33">
        <f>IF($A134&gt;NYears*12,"",MOD($A134-1,12)+1)</f>
        <v/>
      </c>
      <c r="E134" s="35">
        <f>IF($A134&gt;NYears*12,"",LotValue0*(1+LotGrowth)^($C134-1))</f>
        <v/>
      </c>
      <c r="F134" s="35">
        <f>IF($A134&gt;NYears*12,"",IF($A134=1,InitInvest,$R133))</f>
        <v/>
      </c>
      <c r="G134" s="33">
        <f>IF($A134&gt;NYears*12,"",INT($F134/$E134))</f>
        <v/>
      </c>
      <c r="H134" s="35">
        <f>IF($A134&gt;NYears*12,"",$G134*$E134)</f>
        <v/>
      </c>
      <c r="I134" s="35">
        <f>IF($A134&gt;NYears*12,"",$F134-$H134)</f>
        <v/>
      </c>
      <c r="J134" s="35">
        <f>IF($A134&gt;NYears*12,"",$H134*RateB)</f>
        <v/>
      </c>
      <c r="K134" s="35">
        <f>IF($A134&gt;NYears*12,"",IF($D134=1,$J134,$K133+$J134))</f>
        <v/>
      </c>
      <c r="L134" s="35">
        <f>IF($A134&gt;NYears*12,"",IF(MOD($D134,3)=0,SUM($J132:$J134),0))</f>
        <v/>
      </c>
      <c r="M134" s="35">
        <f>IF($A134&gt;NYears*12,"",IF(TaxFreq="Quarterly",$K134*12/$D134,$K134))</f>
        <v/>
      </c>
      <c r="N134" s="36">
        <f>IF($A134&gt;NYears*12,"",LOOKUP($M134,TaxLower,TaxRate))</f>
        <v/>
      </c>
      <c r="O134" s="35">
        <f>IF($A134&gt;NYears*12,"",IF(TaxFreq="Quarterly",IF(MOD($D134,3)=0,$L134*$N134,0),IF($D134=12,$K134*$N134,0)))</f>
        <v/>
      </c>
      <c r="P134" s="35">
        <f>IF($A134&gt;NYears*12,"",IF($D134=1,$O134,$P133+$O134))</f>
        <v/>
      </c>
      <c r="Q134" s="35">
        <f>IF($A134&gt;NYears*12,"",IF($D134=12,MIN(WdrPct*IF(WdrBase="Post-tax profit",$K134-$P134,$K134),WdrCap),0))</f>
        <v/>
      </c>
      <c r="R134" s="35">
        <f>IF($A134&gt;NYears*12,"",$F134+$J134-$O134-$Q134)</f>
        <v/>
      </c>
      <c r="S134" s="33">
        <f>IF($A134&gt;NYears*12,"",INT($R134/$E134))</f>
        <v/>
      </c>
    </row>
    <row r="135">
      <c r="A135" s="33">
        <f>131</f>
        <v/>
      </c>
      <c r="B135" s="34">
        <f>IF($A135&gt;NYears*12,"",EDATE(StartMonth,$A135-1))</f>
        <v/>
      </c>
      <c r="C135" s="33">
        <f>IF($A135&gt;NYears*12,"",INT(($A135-1)/12)+1)</f>
        <v/>
      </c>
      <c r="D135" s="33">
        <f>IF($A135&gt;NYears*12,"",MOD($A135-1,12)+1)</f>
        <v/>
      </c>
      <c r="E135" s="35">
        <f>IF($A135&gt;NYears*12,"",LotValue0*(1+LotGrowth)^($C135-1))</f>
        <v/>
      </c>
      <c r="F135" s="35">
        <f>IF($A135&gt;NYears*12,"",IF($A135=1,InitInvest,$R134))</f>
        <v/>
      </c>
      <c r="G135" s="33">
        <f>IF($A135&gt;NYears*12,"",INT($F135/$E135))</f>
        <v/>
      </c>
      <c r="H135" s="35">
        <f>IF($A135&gt;NYears*12,"",$G135*$E135)</f>
        <v/>
      </c>
      <c r="I135" s="35">
        <f>IF($A135&gt;NYears*12,"",$F135-$H135)</f>
        <v/>
      </c>
      <c r="J135" s="35">
        <f>IF($A135&gt;NYears*12,"",$H135*RateB)</f>
        <v/>
      </c>
      <c r="K135" s="35">
        <f>IF($A135&gt;NYears*12,"",IF($D135=1,$J135,$K134+$J135))</f>
        <v/>
      </c>
      <c r="L135" s="35">
        <f>IF($A135&gt;NYears*12,"",IF(MOD($D135,3)=0,SUM($J133:$J135),0))</f>
        <v/>
      </c>
      <c r="M135" s="35">
        <f>IF($A135&gt;NYears*12,"",IF(TaxFreq="Quarterly",$K135*12/$D135,$K135))</f>
        <v/>
      </c>
      <c r="N135" s="36">
        <f>IF($A135&gt;NYears*12,"",LOOKUP($M135,TaxLower,TaxRate))</f>
        <v/>
      </c>
      <c r="O135" s="35">
        <f>IF($A135&gt;NYears*12,"",IF(TaxFreq="Quarterly",IF(MOD($D135,3)=0,$L135*$N135,0),IF($D135=12,$K135*$N135,0)))</f>
        <v/>
      </c>
      <c r="P135" s="35">
        <f>IF($A135&gt;NYears*12,"",IF($D135=1,$O135,$P134+$O135))</f>
        <v/>
      </c>
      <c r="Q135" s="35">
        <f>IF($A135&gt;NYears*12,"",IF($D135=12,MIN(WdrPct*IF(WdrBase="Post-tax profit",$K135-$P135,$K135),WdrCap),0))</f>
        <v/>
      </c>
      <c r="R135" s="35">
        <f>IF($A135&gt;NYears*12,"",$F135+$J135-$O135-$Q135)</f>
        <v/>
      </c>
      <c r="S135" s="33">
        <f>IF($A135&gt;NYears*12,"",INT($R135/$E135))</f>
        <v/>
      </c>
    </row>
    <row r="136">
      <c r="A136" s="37">
        <f>132</f>
        <v/>
      </c>
      <c r="B136" s="38">
        <f>IF($A136&gt;NYears*12,"",EDATE(StartMonth,$A136-1))</f>
        <v/>
      </c>
      <c r="C136" s="37">
        <f>IF($A136&gt;NYears*12,"",INT(($A136-1)/12)+1)</f>
        <v/>
      </c>
      <c r="D136" s="37">
        <f>IF($A136&gt;NYears*12,"",MOD($A136-1,12)+1)</f>
        <v/>
      </c>
      <c r="E136" s="39">
        <f>IF($A136&gt;NYears*12,"",LotValue0*(1+LotGrowth)^($C136-1))</f>
        <v/>
      </c>
      <c r="F136" s="39">
        <f>IF($A136&gt;NYears*12,"",IF($A136=1,InitInvest,$R135))</f>
        <v/>
      </c>
      <c r="G136" s="37">
        <f>IF($A136&gt;NYears*12,"",INT($F136/$E136))</f>
        <v/>
      </c>
      <c r="H136" s="39">
        <f>IF($A136&gt;NYears*12,"",$G136*$E136)</f>
        <v/>
      </c>
      <c r="I136" s="39">
        <f>IF($A136&gt;NYears*12,"",$F136-$H136)</f>
        <v/>
      </c>
      <c r="J136" s="39">
        <f>IF($A136&gt;NYears*12,"",$H136*RateB)</f>
        <v/>
      </c>
      <c r="K136" s="39">
        <f>IF($A136&gt;NYears*12,"",IF($D136=1,$J136,$K135+$J136))</f>
        <v/>
      </c>
      <c r="L136" s="39">
        <f>IF($A136&gt;NYears*12,"",IF(MOD($D136,3)=0,SUM($J134:$J136),0))</f>
        <v/>
      </c>
      <c r="M136" s="39">
        <f>IF($A136&gt;NYears*12,"",IF(TaxFreq="Quarterly",$K136*12/$D136,$K136))</f>
        <v/>
      </c>
      <c r="N136" s="40">
        <f>IF($A136&gt;NYears*12,"",LOOKUP($M136,TaxLower,TaxRate))</f>
        <v/>
      </c>
      <c r="O136" s="39">
        <f>IF($A136&gt;NYears*12,"",IF(TaxFreq="Quarterly",IF(MOD($D136,3)=0,$L136*$N136,0),IF($D136=12,$K136*$N136,0)))</f>
        <v/>
      </c>
      <c r="P136" s="39">
        <f>IF($A136&gt;NYears*12,"",IF($D136=1,$O136,$P135+$O136))</f>
        <v/>
      </c>
      <c r="Q136" s="39">
        <f>IF($A136&gt;NYears*12,"",IF($D136=12,MIN(WdrPct*IF(WdrBase="Post-tax profit",$K136-$P136,$K136),WdrCap),0))</f>
        <v/>
      </c>
      <c r="R136" s="39">
        <f>IF($A136&gt;NYears*12,"",$F136+$J136-$O136-$Q136)</f>
        <v/>
      </c>
      <c r="S136" s="37">
        <f>IF($A136&gt;NYears*12,"",INT($R136/$E136))</f>
        <v/>
      </c>
    </row>
    <row r="137">
      <c r="A137" s="33">
        <f>133</f>
        <v/>
      </c>
      <c r="B137" s="34">
        <f>IF($A137&gt;NYears*12,"",EDATE(StartMonth,$A137-1))</f>
        <v/>
      </c>
      <c r="C137" s="33">
        <f>IF($A137&gt;NYears*12,"",INT(($A137-1)/12)+1)</f>
        <v/>
      </c>
      <c r="D137" s="33">
        <f>IF($A137&gt;NYears*12,"",MOD($A137-1,12)+1)</f>
        <v/>
      </c>
      <c r="E137" s="35">
        <f>IF($A137&gt;NYears*12,"",LotValue0*(1+LotGrowth)^($C137-1))</f>
        <v/>
      </c>
      <c r="F137" s="35">
        <f>IF($A137&gt;NYears*12,"",IF($A137=1,InitInvest,$R136))</f>
        <v/>
      </c>
      <c r="G137" s="33">
        <f>IF($A137&gt;NYears*12,"",INT($F137/$E137))</f>
        <v/>
      </c>
      <c r="H137" s="35">
        <f>IF($A137&gt;NYears*12,"",$G137*$E137)</f>
        <v/>
      </c>
      <c r="I137" s="35">
        <f>IF($A137&gt;NYears*12,"",$F137-$H137)</f>
        <v/>
      </c>
      <c r="J137" s="35">
        <f>IF($A137&gt;NYears*12,"",$H137*RateB)</f>
        <v/>
      </c>
      <c r="K137" s="35">
        <f>IF($A137&gt;NYears*12,"",IF($D137=1,$J137,$K136+$J137))</f>
        <v/>
      </c>
      <c r="L137" s="35">
        <f>IF($A137&gt;NYears*12,"",IF(MOD($D137,3)=0,SUM($J135:$J137),0))</f>
        <v/>
      </c>
      <c r="M137" s="35">
        <f>IF($A137&gt;NYears*12,"",IF(TaxFreq="Quarterly",$K137*12/$D137,$K137))</f>
        <v/>
      </c>
      <c r="N137" s="36">
        <f>IF($A137&gt;NYears*12,"",LOOKUP($M137,TaxLower,TaxRate))</f>
        <v/>
      </c>
      <c r="O137" s="35">
        <f>IF($A137&gt;NYears*12,"",IF(TaxFreq="Quarterly",IF(MOD($D137,3)=0,$L137*$N137,0),IF($D137=12,$K137*$N137,0)))</f>
        <v/>
      </c>
      <c r="P137" s="35">
        <f>IF($A137&gt;NYears*12,"",IF($D137=1,$O137,$P136+$O137))</f>
        <v/>
      </c>
      <c r="Q137" s="35">
        <f>IF($A137&gt;NYears*12,"",IF($D137=12,MIN(WdrPct*IF(WdrBase="Post-tax profit",$K137-$P137,$K137),WdrCap),0))</f>
        <v/>
      </c>
      <c r="R137" s="35">
        <f>IF($A137&gt;NYears*12,"",$F137+$J137-$O137-$Q137)</f>
        <v/>
      </c>
      <c r="S137" s="33">
        <f>IF($A137&gt;NYears*12,"",INT($R137/$E137))</f>
        <v/>
      </c>
    </row>
    <row r="138">
      <c r="A138" s="33">
        <f>134</f>
        <v/>
      </c>
      <c r="B138" s="34">
        <f>IF($A138&gt;NYears*12,"",EDATE(StartMonth,$A138-1))</f>
        <v/>
      </c>
      <c r="C138" s="33">
        <f>IF($A138&gt;NYears*12,"",INT(($A138-1)/12)+1)</f>
        <v/>
      </c>
      <c r="D138" s="33">
        <f>IF($A138&gt;NYears*12,"",MOD($A138-1,12)+1)</f>
        <v/>
      </c>
      <c r="E138" s="35">
        <f>IF($A138&gt;NYears*12,"",LotValue0*(1+LotGrowth)^($C138-1))</f>
        <v/>
      </c>
      <c r="F138" s="35">
        <f>IF($A138&gt;NYears*12,"",IF($A138=1,InitInvest,$R137))</f>
        <v/>
      </c>
      <c r="G138" s="33">
        <f>IF($A138&gt;NYears*12,"",INT($F138/$E138))</f>
        <v/>
      </c>
      <c r="H138" s="35">
        <f>IF($A138&gt;NYears*12,"",$G138*$E138)</f>
        <v/>
      </c>
      <c r="I138" s="35">
        <f>IF($A138&gt;NYears*12,"",$F138-$H138)</f>
        <v/>
      </c>
      <c r="J138" s="35">
        <f>IF($A138&gt;NYears*12,"",$H138*RateB)</f>
        <v/>
      </c>
      <c r="K138" s="35">
        <f>IF($A138&gt;NYears*12,"",IF($D138=1,$J138,$K137+$J138))</f>
        <v/>
      </c>
      <c r="L138" s="35">
        <f>IF($A138&gt;NYears*12,"",IF(MOD($D138,3)=0,SUM($J136:$J138),0))</f>
        <v/>
      </c>
      <c r="M138" s="35">
        <f>IF($A138&gt;NYears*12,"",IF(TaxFreq="Quarterly",$K138*12/$D138,$K138))</f>
        <v/>
      </c>
      <c r="N138" s="36">
        <f>IF($A138&gt;NYears*12,"",LOOKUP($M138,TaxLower,TaxRate))</f>
        <v/>
      </c>
      <c r="O138" s="35">
        <f>IF($A138&gt;NYears*12,"",IF(TaxFreq="Quarterly",IF(MOD($D138,3)=0,$L138*$N138,0),IF($D138=12,$K138*$N138,0)))</f>
        <v/>
      </c>
      <c r="P138" s="35">
        <f>IF($A138&gt;NYears*12,"",IF($D138=1,$O138,$P137+$O138))</f>
        <v/>
      </c>
      <c r="Q138" s="35">
        <f>IF($A138&gt;NYears*12,"",IF($D138=12,MIN(WdrPct*IF(WdrBase="Post-tax profit",$K138-$P138,$K138),WdrCap),0))</f>
        <v/>
      </c>
      <c r="R138" s="35">
        <f>IF($A138&gt;NYears*12,"",$F138+$J138-$O138-$Q138)</f>
        <v/>
      </c>
      <c r="S138" s="33">
        <f>IF($A138&gt;NYears*12,"",INT($R138/$E138))</f>
        <v/>
      </c>
    </row>
    <row r="139">
      <c r="A139" s="33">
        <f>135</f>
        <v/>
      </c>
      <c r="B139" s="34">
        <f>IF($A139&gt;NYears*12,"",EDATE(StartMonth,$A139-1))</f>
        <v/>
      </c>
      <c r="C139" s="33">
        <f>IF($A139&gt;NYears*12,"",INT(($A139-1)/12)+1)</f>
        <v/>
      </c>
      <c r="D139" s="33">
        <f>IF($A139&gt;NYears*12,"",MOD($A139-1,12)+1)</f>
        <v/>
      </c>
      <c r="E139" s="35">
        <f>IF($A139&gt;NYears*12,"",LotValue0*(1+LotGrowth)^($C139-1))</f>
        <v/>
      </c>
      <c r="F139" s="35">
        <f>IF($A139&gt;NYears*12,"",IF($A139=1,InitInvest,$R138))</f>
        <v/>
      </c>
      <c r="G139" s="33">
        <f>IF($A139&gt;NYears*12,"",INT($F139/$E139))</f>
        <v/>
      </c>
      <c r="H139" s="35">
        <f>IF($A139&gt;NYears*12,"",$G139*$E139)</f>
        <v/>
      </c>
      <c r="I139" s="35">
        <f>IF($A139&gt;NYears*12,"",$F139-$H139)</f>
        <v/>
      </c>
      <c r="J139" s="35">
        <f>IF($A139&gt;NYears*12,"",$H139*RateB)</f>
        <v/>
      </c>
      <c r="K139" s="35">
        <f>IF($A139&gt;NYears*12,"",IF($D139=1,$J139,$K138+$J139))</f>
        <v/>
      </c>
      <c r="L139" s="35">
        <f>IF($A139&gt;NYears*12,"",IF(MOD($D139,3)=0,SUM($J137:$J139),0))</f>
        <v/>
      </c>
      <c r="M139" s="35">
        <f>IF($A139&gt;NYears*12,"",IF(TaxFreq="Quarterly",$K139*12/$D139,$K139))</f>
        <v/>
      </c>
      <c r="N139" s="36">
        <f>IF($A139&gt;NYears*12,"",LOOKUP($M139,TaxLower,TaxRate))</f>
        <v/>
      </c>
      <c r="O139" s="35">
        <f>IF($A139&gt;NYears*12,"",IF(TaxFreq="Quarterly",IF(MOD($D139,3)=0,$L139*$N139,0),IF($D139=12,$K139*$N139,0)))</f>
        <v/>
      </c>
      <c r="P139" s="35">
        <f>IF($A139&gt;NYears*12,"",IF($D139=1,$O139,$P138+$O139))</f>
        <v/>
      </c>
      <c r="Q139" s="35">
        <f>IF($A139&gt;NYears*12,"",IF($D139=12,MIN(WdrPct*IF(WdrBase="Post-tax profit",$K139-$P139,$K139),WdrCap),0))</f>
        <v/>
      </c>
      <c r="R139" s="35">
        <f>IF($A139&gt;NYears*12,"",$F139+$J139-$O139-$Q139)</f>
        <v/>
      </c>
      <c r="S139" s="33">
        <f>IF($A139&gt;NYears*12,"",INT($R139/$E139))</f>
        <v/>
      </c>
    </row>
    <row r="140">
      <c r="A140" s="33">
        <f>136</f>
        <v/>
      </c>
      <c r="B140" s="34">
        <f>IF($A140&gt;NYears*12,"",EDATE(StartMonth,$A140-1))</f>
        <v/>
      </c>
      <c r="C140" s="33">
        <f>IF($A140&gt;NYears*12,"",INT(($A140-1)/12)+1)</f>
        <v/>
      </c>
      <c r="D140" s="33">
        <f>IF($A140&gt;NYears*12,"",MOD($A140-1,12)+1)</f>
        <v/>
      </c>
      <c r="E140" s="35">
        <f>IF($A140&gt;NYears*12,"",LotValue0*(1+LotGrowth)^($C140-1))</f>
        <v/>
      </c>
      <c r="F140" s="35">
        <f>IF($A140&gt;NYears*12,"",IF($A140=1,InitInvest,$R139))</f>
        <v/>
      </c>
      <c r="G140" s="33">
        <f>IF($A140&gt;NYears*12,"",INT($F140/$E140))</f>
        <v/>
      </c>
      <c r="H140" s="35">
        <f>IF($A140&gt;NYears*12,"",$G140*$E140)</f>
        <v/>
      </c>
      <c r="I140" s="35">
        <f>IF($A140&gt;NYears*12,"",$F140-$H140)</f>
        <v/>
      </c>
      <c r="J140" s="35">
        <f>IF($A140&gt;NYears*12,"",$H140*RateB)</f>
        <v/>
      </c>
      <c r="K140" s="35">
        <f>IF($A140&gt;NYears*12,"",IF($D140=1,$J140,$K139+$J140))</f>
        <v/>
      </c>
      <c r="L140" s="35">
        <f>IF($A140&gt;NYears*12,"",IF(MOD($D140,3)=0,SUM($J138:$J140),0))</f>
        <v/>
      </c>
      <c r="M140" s="35">
        <f>IF($A140&gt;NYears*12,"",IF(TaxFreq="Quarterly",$K140*12/$D140,$K140))</f>
        <v/>
      </c>
      <c r="N140" s="36">
        <f>IF($A140&gt;NYears*12,"",LOOKUP($M140,TaxLower,TaxRate))</f>
        <v/>
      </c>
      <c r="O140" s="35">
        <f>IF($A140&gt;NYears*12,"",IF(TaxFreq="Quarterly",IF(MOD($D140,3)=0,$L140*$N140,0),IF($D140=12,$K140*$N140,0)))</f>
        <v/>
      </c>
      <c r="P140" s="35">
        <f>IF($A140&gt;NYears*12,"",IF($D140=1,$O140,$P139+$O140))</f>
        <v/>
      </c>
      <c r="Q140" s="35">
        <f>IF($A140&gt;NYears*12,"",IF($D140=12,MIN(WdrPct*IF(WdrBase="Post-tax profit",$K140-$P140,$K140),WdrCap),0))</f>
        <v/>
      </c>
      <c r="R140" s="35">
        <f>IF($A140&gt;NYears*12,"",$F140+$J140-$O140-$Q140)</f>
        <v/>
      </c>
      <c r="S140" s="33">
        <f>IF($A140&gt;NYears*12,"",INT($R140/$E140))</f>
        <v/>
      </c>
    </row>
    <row r="141">
      <c r="A141" s="33">
        <f>137</f>
        <v/>
      </c>
      <c r="B141" s="34">
        <f>IF($A141&gt;NYears*12,"",EDATE(StartMonth,$A141-1))</f>
        <v/>
      </c>
      <c r="C141" s="33">
        <f>IF($A141&gt;NYears*12,"",INT(($A141-1)/12)+1)</f>
        <v/>
      </c>
      <c r="D141" s="33">
        <f>IF($A141&gt;NYears*12,"",MOD($A141-1,12)+1)</f>
        <v/>
      </c>
      <c r="E141" s="35">
        <f>IF($A141&gt;NYears*12,"",LotValue0*(1+LotGrowth)^($C141-1))</f>
        <v/>
      </c>
      <c r="F141" s="35">
        <f>IF($A141&gt;NYears*12,"",IF($A141=1,InitInvest,$R140))</f>
        <v/>
      </c>
      <c r="G141" s="33">
        <f>IF($A141&gt;NYears*12,"",INT($F141/$E141))</f>
        <v/>
      </c>
      <c r="H141" s="35">
        <f>IF($A141&gt;NYears*12,"",$G141*$E141)</f>
        <v/>
      </c>
      <c r="I141" s="35">
        <f>IF($A141&gt;NYears*12,"",$F141-$H141)</f>
        <v/>
      </c>
      <c r="J141" s="35">
        <f>IF($A141&gt;NYears*12,"",$H141*RateB)</f>
        <v/>
      </c>
      <c r="K141" s="35">
        <f>IF($A141&gt;NYears*12,"",IF($D141=1,$J141,$K140+$J141))</f>
        <v/>
      </c>
      <c r="L141" s="35">
        <f>IF($A141&gt;NYears*12,"",IF(MOD($D141,3)=0,SUM($J139:$J141),0))</f>
        <v/>
      </c>
      <c r="M141" s="35">
        <f>IF($A141&gt;NYears*12,"",IF(TaxFreq="Quarterly",$K141*12/$D141,$K141))</f>
        <v/>
      </c>
      <c r="N141" s="36">
        <f>IF($A141&gt;NYears*12,"",LOOKUP($M141,TaxLower,TaxRate))</f>
        <v/>
      </c>
      <c r="O141" s="35">
        <f>IF($A141&gt;NYears*12,"",IF(TaxFreq="Quarterly",IF(MOD($D141,3)=0,$L141*$N141,0),IF($D141=12,$K141*$N141,0)))</f>
        <v/>
      </c>
      <c r="P141" s="35">
        <f>IF($A141&gt;NYears*12,"",IF($D141=1,$O141,$P140+$O141))</f>
        <v/>
      </c>
      <c r="Q141" s="35">
        <f>IF($A141&gt;NYears*12,"",IF($D141=12,MIN(WdrPct*IF(WdrBase="Post-tax profit",$K141-$P141,$K141),WdrCap),0))</f>
        <v/>
      </c>
      <c r="R141" s="35">
        <f>IF($A141&gt;NYears*12,"",$F141+$J141-$O141-$Q141)</f>
        <v/>
      </c>
      <c r="S141" s="33">
        <f>IF($A141&gt;NYears*12,"",INT($R141/$E141))</f>
        <v/>
      </c>
    </row>
    <row r="142">
      <c r="A142" s="33">
        <f>138</f>
        <v/>
      </c>
      <c r="B142" s="34">
        <f>IF($A142&gt;NYears*12,"",EDATE(StartMonth,$A142-1))</f>
        <v/>
      </c>
      <c r="C142" s="33">
        <f>IF($A142&gt;NYears*12,"",INT(($A142-1)/12)+1)</f>
        <v/>
      </c>
      <c r="D142" s="33">
        <f>IF($A142&gt;NYears*12,"",MOD($A142-1,12)+1)</f>
        <v/>
      </c>
      <c r="E142" s="35">
        <f>IF($A142&gt;NYears*12,"",LotValue0*(1+LotGrowth)^($C142-1))</f>
        <v/>
      </c>
      <c r="F142" s="35">
        <f>IF($A142&gt;NYears*12,"",IF($A142=1,InitInvest,$R141))</f>
        <v/>
      </c>
      <c r="G142" s="33">
        <f>IF($A142&gt;NYears*12,"",INT($F142/$E142))</f>
        <v/>
      </c>
      <c r="H142" s="35">
        <f>IF($A142&gt;NYears*12,"",$G142*$E142)</f>
        <v/>
      </c>
      <c r="I142" s="35">
        <f>IF($A142&gt;NYears*12,"",$F142-$H142)</f>
        <v/>
      </c>
      <c r="J142" s="35">
        <f>IF($A142&gt;NYears*12,"",$H142*RateB)</f>
        <v/>
      </c>
      <c r="K142" s="35">
        <f>IF($A142&gt;NYears*12,"",IF($D142=1,$J142,$K141+$J142))</f>
        <v/>
      </c>
      <c r="L142" s="35">
        <f>IF($A142&gt;NYears*12,"",IF(MOD($D142,3)=0,SUM($J140:$J142),0))</f>
        <v/>
      </c>
      <c r="M142" s="35">
        <f>IF($A142&gt;NYears*12,"",IF(TaxFreq="Quarterly",$K142*12/$D142,$K142))</f>
        <v/>
      </c>
      <c r="N142" s="36">
        <f>IF($A142&gt;NYears*12,"",LOOKUP($M142,TaxLower,TaxRate))</f>
        <v/>
      </c>
      <c r="O142" s="35">
        <f>IF($A142&gt;NYears*12,"",IF(TaxFreq="Quarterly",IF(MOD($D142,3)=0,$L142*$N142,0),IF($D142=12,$K142*$N142,0)))</f>
        <v/>
      </c>
      <c r="P142" s="35">
        <f>IF($A142&gt;NYears*12,"",IF($D142=1,$O142,$P141+$O142))</f>
        <v/>
      </c>
      <c r="Q142" s="35">
        <f>IF($A142&gt;NYears*12,"",IF($D142=12,MIN(WdrPct*IF(WdrBase="Post-tax profit",$K142-$P142,$K142),WdrCap),0))</f>
        <v/>
      </c>
      <c r="R142" s="35">
        <f>IF($A142&gt;NYears*12,"",$F142+$J142-$O142-$Q142)</f>
        <v/>
      </c>
      <c r="S142" s="33">
        <f>IF($A142&gt;NYears*12,"",INT($R142/$E142))</f>
        <v/>
      </c>
    </row>
    <row r="143">
      <c r="A143" s="33">
        <f>139</f>
        <v/>
      </c>
      <c r="B143" s="34">
        <f>IF($A143&gt;NYears*12,"",EDATE(StartMonth,$A143-1))</f>
        <v/>
      </c>
      <c r="C143" s="33">
        <f>IF($A143&gt;NYears*12,"",INT(($A143-1)/12)+1)</f>
        <v/>
      </c>
      <c r="D143" s="33">
        <f>IF($A143&gt;NYears*12,"",MOD($A143-1,12)+1)</f>
        <v/>
      </c>
      <c r="E143" s="35">
        <f>IF($A143&gt;NYears*12,"",LotValue0*(1+LotGrowth)^($C143-1))</f>
        <v/>
      </c>
      <c r="F143" s="35">
        <f>IF($A143&gt;NYears*12,"",IF($A143=1,InitInvest,$R142))</f>
        <v/>
      </c>
      <c r="G143" s="33">
        <f>IF($A143&gt;NYears*12,"",INT($F143/$E143))</f>
        <v/>
      </c>
      <c r="H143" s="35">
        <f>IF($A143&gt;NYears*12,"",$G143*$E143)</f>
        <v/>
      </c>
      <c r="I143" s="35">
        <f>IF($A143&gt;NYears*12,"",$F143-$H143)</f>
        <v/>
      </c>
      <c r="J143" s="35">
        <f>IF($A143&gt;NYears*12,"",$H143*RateB)</f>
        <v/>
      </c>
      <c r="K143" s="35">
        <f>IF($A143&gt;NYears*12,"",IF($D143=1,$J143,$K142+$J143))</f>
        <v/>
      </c>
      <c r="L143" s="35">
        <f>IF($A143&gt;NYears*12,"",IF(MOD($D143,3)=0,SUM($J141:$J143),0))</f>
        <v/>
      </c>
      <c r="M143" s="35">
        <f>IF($A143&gt;NYears*12,"",IF(TaxFreq="Quarterly",$K143*12/$D143,$K143))</f>
        <v/>
      </c>
      <c r="N143" s="36">
        <f>IF($A143&gt;NYears*12,"",LOOKUP($M143,TaxLower,TaxRate))</f>
        <v/>
      </c>
      <c r="O143" s="35">
        <f>IF($A143&gt;NYears*12,"",IF(TaxFreq="Quarterly",IF(MOD($D143,3)=0,$L143*$N143,0),IF($D143=12,$K143*$N143,0)))</f>
        <v/>
      </c>
      <c r="P143" s="35">
        <f>IF($A143&gt;NYears*12,"",IF($D143=1,$O143,$P142+$O143))</f>
        <v/>
      </c>
      <c r="Q143" s="35">
        <f>IF($A143&gt;NYears*12,"",IF($D143=12,MIN(WdrPct*IF(WdrBase="Post-tax profit",$K143-$P143,$K143),WdrCap),0))</f>
        <v/>
      </c>
      <c r="R143" s="35">
        <f>IF($A143&gt;NYears*12,"",$F143+$J143-$O143-$Q143)</f>
        <v/>
      </c>
      <c r="S143" s="33">
        <f>IF($A143&gt;NYears*12,"",INT($R143/$E143))</f>
        <v/>
      </c>
    </row>
    <row r="144">
      <c r="A144" s="33">
        <f>140</f>
        <v/>
      </c>
      <c r="B144" s="34">
        <f>IF($A144&gt;NYears*12,"",EDATE(StartMonth,$A144-1))</f>
        <v/>
      </c>
      <c r="C144" s="33">
        <f>IF($A144&gt;NYears*12,"",INT(($A144-1)/12)+1)</f>
        <v/>
      </c>
      <c r="D144" s="33">
        <f>IF($A144&gt;NYears*12,"",MOD($A144-1,12)+1)</f>
        <v/>
      </c>
      <c r="E144" s="35">
        <f>IF($A144&gt;NYears*12,"",LotValue0*(1+LotGrowth)^($C144-1))</f>
        <v/>
      </c>
      <c r="F144" s="35">
        <f>IF($A144&gt;NYears*12,"",IF($A144=1,InitInvest,$R143))</f>
        <v/>
      </c>
      <c r="G144" s="33">
        <f>IF($A144&gt;NYears*12,"",INT($F144/$E144))</f>
        <v/>
      </c>
      <c r="H144" s="35">
        <f>IF($A144&gt;NYears*12,"",$G144*$E144)</f>
        <v/>
      </c>
      <c r="I144" s="35">
        <f>IF($A144&gt;NYears*12,"",$F144-$H144)</f>
        <v/>
      </c>
      <c r="J144" s="35">
        <f>IF($A144&gt;NYears*12,"",$H144*RateB)</f>
        <v/>
      </c>
      <c r="K144" s="35">
        <f>IF($A144&gt;NYears*12,"",IF($D144=1,$J144,$K143+$J144))</f>
        <v/>
      </c>
      <c r="L144" s="35">
        <f>IF($A144&gt;NYears*12,"",IF(MOD($D144,3)=0,SUM($J142:$J144),0))</f>
        <v/>
      </c>
      <c r="M144" s="35">
        <f>IF($A144&gt;NYears*12,"",IF(TaxFreq="Quarterly",$K144*12/$D144,$K144))</f>
        <v/>
      </c>
      <c r="N144" s="36">
        <f>IF($A144&gt;NYears*12,"",LOOKUP($M144,TaxLower,TaxRate))</f>
        <v/>
      </c>
      <c r="O144" s="35">
        <f>IF($A144&gt;NYears*12,"",IF(TaxFreq="Quarterly",IF(MOD($D144,3)=0,$L144*$N144,0),IF($D144=12,$K144*$N144,0)))</f>
        <v/>
      </c>
      <c r="P144" s="35">
        <f>IF($A144&gt;NYears*12,"",IF($D144=1,$O144,$P143+$O144))</f>
        <v/>
      </c>
      <c r="Q144" s="35">
        <f>IF($A144&gt;NYears*12,"",IF($D144=12,MIN(WdrPct*IF(WdrBase="Post-tax profit",$K144-$P144,$K144),WdrCap),0))</f>
        <v/>
      </c>
      <c r="R144" s="35">
        <f>IF($A144&gt;NYears*12,"",$F144+$J144-$O144-$Q144)</f>
        <v/>
      </c>
      <c r="S144" s="33">
        <f>IF($A144&gt;NYears*12,"",INT($R144/$E144))</f>
        <v/>
      </c>
    </row>
    <row r="145">
      <c r="A145" s="33">
        <f>141</f>
        <v/>
      </c>
      <c r="B145" s="34">
        <f>IF($A145&gt;NYears*12,"",EDATE(StartMonth,$A145-1))</f>
        <v/>
      </c>
      <c r="C145" s="33">
        <f>IF($A145&gt;NYears*12,"",INT(($A145-1)/12)+1)</f>
        <v/>
      </c>
      <c r="D145" s="33">
        <f>IF($A145&gt;NYears*12,"",MOD($A145-1,12)+1)</f>
        <v/>
      </c>
      <c r="E145" s="35">
        <f>IF($A145&gt;NYears*12,"",LotValue0*(1+LotGrowth)^($C145-1))</f>
        <v/>
      </c>
      <c r="F145" s="35">
        <f>IF($A145&gt;NYears*12,"",IF($A145=1,InitInvest,$R144))</f>
        <v/>
      </c>
      <c r="G145" s="33">
        <f>IF($A145&gt;NYears*12,"",INT($F145/$E145))</f>
        <v/>
      </c>
      <c r="H145" s="35">
        <f>IF($A145&gt;NYears*12,"",$G145*$E145)</f>
        <v/>
      </c>
      <c r="I145" s="35">
        <f>IF($A145&gt;NYears*12,"",$F145-$H145)</f>
        <v/>
      </c>
      <c r="J145" s="35">
        <f>IF($A145&gt;NYears*12,"",$H145*RateB)</f>
        <v/>
      </c>
      <c r="K145" s="35">
        <f>IF($A145&gt;NYears*12,"",IF($D145=1,$J145,$K144+$J145))</f>
        <v/>
      </c>
      <c r="L145" s="35">
        <f>IF($A145&gt;NYears*12,"",IF(MOD($D145,3)=0,SUM($J143:$J145),0))</f>
        <v/>
      </c>
      <c r="M145" s="35">
        <f>IF($A145&gt;NYears*12,"",IF(TaxFreq="Quarterly",$K145*12/$D145,$K145))</f>
        <v/>
      </c>
      <c r="N145" s="36">
        <f>IF($A145&gt;NYears*12,"",LOOKUP($M145,TaxLower,TaxRate))</f>
        <v/>
      </c>
      <c r="O145" s="35">
        <f>IF($A145&gt;NYears*12,"",IF(TaxFreq="Quarterly",IF(MOD($D145,3)=0,$L145*$N145,0),IF($D145=12,$K145*$N145,0)))</f>
        <v/>
      </c>
      <c r="P145" s="35">
        <f>IF($A145&gt;NYears*12,"",IF($D145=1,$O145,$P144+$O145))</f>
        <v/>
      </c>
      <c r="Q145" s="35">
        <f>IF($A145&gt;NYears*12,"",IF($D145=12,MIN(WdrPct*IF(WdrBase="Post-tax profit",$K145-$P145,$K145),WdrCap),0))</f>
        <v/>
      </c>
      <c r="R145" s="35">
        <f>IF($A145&gt;NYears*12,"",$F145+$J145-$O145-$Q145)</f>
        <v/>
      </c>
      <c r="S145" s="33">
        <f>IF($A145&gt;NYears*12,"",INT($R145/$E145))</f>
        <v/>
      </c>
    </row>
    <row r="146">
      <c r="A146" s="33">
        <f>142</f>
        <v/>
      </c>
      <c r="B146" s="34">
        <f>IF($A146&gt;NYears*12,"",EDATE(StartMonth,$A146-1))</f>
        <v/>
      </c>
      <c r="C146" s="33">
        <f>IF($A146&gt;NYears*12,"",INT(($A146-1)/12)+1)</f>
        <v/>
      </c>
      <c r="D146" s="33">
        <f>IF($A146&gt;NYears*12,"",MOD($A146-1,12)+1)</f>
        <v/>
      </c>
      <c r="E146" s="35">
        <f>IF($A146&gt;NYears*12,"",LotValue0*(1+LotGrowth)^($C146-1))</f>
        <v/>
      </c>
      <c r="F146" s="35">
        <f>IF($A146&gt;NYears*12,"",IF($A146=1,InitInvest,$R145))</f>
        <v/>
      </c>
      <c r="G146" s="33">
        <f>IF($A146&gt;NYears*12,"",INT($F146/$E146))</f>
        <v/>
      </c>
      <c r="H146" s="35">
        <f>IF($A146&gt;NYears*12,"",$G146*$E146)</f>
        <v/>
      </c>
      <c r="I146" s="35">
        <f>IF($A146&gt;NYears*12,"",$F146-$H146)</f>
        <v/>
      </c>
      <c r="J146" s="35">
        <f>IF($A146&gt;NYears*12,"",$H146*RateB)</f>
        <v/>
      </c>
      <c r="K146" s="35">
        <f>IF($A146&gt;NYears*12,"",IF($D146=1,$J146,$K145+$J146))</f>
        <v/>
      </c>
      <c r="L146" s="35">
        <f>IF($A146&gt;NYears*12,"",IF(MOD($D146,3)=0,SUM($J144:$J146),0))</f>
        <v/>
      </c>
      <c r="M146" s="35">
        <f>IF($A146&gt;NYears*12,"",IF(TaxFreq="Quarterly",$K146*12/$D146,$K146))</f>
        <v/>
      </c>
      <c r="N146" s="36">
        <f>IF($A146&gt;NYears*12,"",LOOKUP($M146,TaxLower,TaxRate))</f>
        <v/>
      </c>
      <c r="O146" s="35">
        <f>IF($A146&gt;NYears*12,"",IF(TaxFreq="Quarterly",IF(MOD($D146,3)=0,$L146*$N146,0),IF($D146=12,$K146*$N146,0)))</f>
        <v/>
      </c>
      <c r="P146" s="35">
        <f>IF($A146&gt;NYears*12,"",IF($D146=1,$O146,$P145+$O146))</f>
        <v/>
      </c>
      <c r="Q146" s="35">
        <f>IF($A146&gt;NYears*12,"",IF($D146=12,MIN(WdrPct*IF(WdrBase="Post-tax profit",$K146-$P146,$K146),WdrCap),0))</f>
        <v/>
      </c>
      <c r="R146" s="35">
        <f>IF($A146&gt;NYears*12,"",$F146+$J146-$O146-$Q146)</f>
        <v/>
      </c>
      <c r="S146" s="33">
        <f>IF($A146&gt;NYears*12,"",INT($R146/$E146))</f>
        <v/>
      </c>
    </row>
    <row r="147">
      <c r="A147" s="33">
        <f>143</f>
        <v/>
      </c>
      <c r="B147" s="34">
        <f>IF($A147&gt;NYears*12,"",EDATE(StartMonth,$A147-1))</f>
        <v/>
      </c>
      <c r="C147" s="33">
        <f>IF($A147&gt;NYears*12,"",INT(($A147-1)/12)+1)</f>
        <v/>
      </c>
      <c r="D147" s="33">
        <f>IF($A147&gt;NYears*12,"",MOD($A147-1,12)+1)</f>
        <v/>
      </c>
      <c r="E147" s="35">
        <f>IF($A147&gt;NYears*12,"",LotValue0*(1+LotGrowth)^($C147-1))</f>
        <v/>
      </c>
      <c r="F147" s="35">
        <f>IF($A147&gt;NYears*12,"",IF($A147=1,InitInvest,$R146))</f>
        <v/>
      </c>
      <c r="G147" s="33">
        <f>IF($A147&gt;NYears*12,"",INT($F147/$E147))</f>
        <v/>
      </c>
      <c r="H147" s="35">
        <f>IF($A147&gt;NYears*12,"",$G147*$E147)</f>
        <v/>
      </c>
      <c r="I147" s="35">
        <f>IF($A147&gt;NYears*12,"",$F147-$H147)</f>
        <v/>
      </c>
      <c r="J147" s="35">
        <f>IF($A147&gt;NYears*12,"",$H147*RateB)</f>
        <v/>
      </c>
      <c r="K147" s="35">
        <f>IF($A147&gt;NYears*12,"",IF($D147=1,$J147,$K146+$J147))</f>
        <v/>
      </c>
      <c r="L147" s="35">
        <f>IF($A147&gt;NYears*12,"",IF(MOD($D147,3)=0,SUM($J145:$J147),0))</f>
        <v/>
      </c>
      <c r="M147" s="35">
        <f>IF($A147&gt;NYears*12,"",IF(TaxFreq="Quarterly",$K147*12/$D147,$K147))</f>
        <v/>
      </c>
      <c r="N147" s="36">
        <f>IF($A147&gt;NYears*12,"",LOOKUP($M147,TaxLower,TaxRate))</f>
        <v/>
      </c>
      <c r="O147" s="35">
        <f>IF($A147&gt;NYears*12,"",IF(TaxFreq="Quarterly",IF(MOD($D147,3)=0,$L147*$N147,0),IF($D147=12,$K147*$N147,0)))</f>
        <v/>
      </c>
      <c r="P147" s="35">
        <f>IF($A147&gt;NYears*12,"",IF($D147=1,$O147,$P146+$O147))</f>
        <v/>
      </c>
      <c r="Q147" s="35">
        <f>IF($A147&gt;NYears*12,"",IF($D147=12,MIN(WdrPct*IF(WdrBase="Post-tax profit",$K147-$P147,$K147),WdrCap),0))</f>
        <v/>
      </c>
      <c r="R147" s="35">
        <f>IF($A147&gt;NYears*12,"",$F147+$J147-$O147-$Q147)</f>
        <v/>
      </c>
      <c r="S147" s="33">
        <f>IF($A147&gt;NYears*12,"",INT($R147/$E147))</f>
        <v/>
      </c>
    </row>
    <row r="148">
      <c r="A148" s="37">
        <f>144</f>
        <v/>
      </c>
      <c r="B148" s="38">
        <f>IF($A148&gt;NYears*12,"",EDATE(StartMonth,$A148-1))</f>
        <v/>
      </c>
      <c r="C148" s="37">
        <f>IF($A148&gt;NYears*12,"",INT(($A148-1)/12)+1)</f>
        <v/>
      </c>
      <c r="D148" s="37">
        <f>IF($A148&gt;NYears*12,"",MOD($A148-1,12)+1)</f>
        <v/>
      </c>
      <c r="E148" s="39">
        <f>IF($A148&gt;NYears*12,"",LotValue0*(1+LotGrowth)^($C148-1))</f>
        <v/>
      </c>
      <c r="F148" s="39">
        <f>IF($A148&gt;NYears*12,"",IF($A148=1,InitInvest,$R147))</f>
        <v/>
      </c>
      <c r="G148" s="37">
        <f>IF($A148&gt;NYears*12,"",INT($F148/$E148))</f>
        <v/>
      </c>
      <c r="H148" s="39">
        <f>IF($A148&gt;NYears*12,"",$G148*$E148)</f>
        <v/>
      </c>
      <c r="I148" s="39">
        <f>IF($A148&gt;NYears*12,"",$F148-$H148)</f>
        <v/>
      </c>
      <c r="J148" s="39">
        <f>IF($A148&gt;NYears*12,"",$H148*RateB)</f>
        <v/>
      </c>
      <c r="K148" s="39">
        <f>IF($A148&gt;NYears*12,"",IF($D148=1,$J148,$K147+$J148))</f>
        <v/>
      </c>
      <c r="L148" s="39">
        <f>IF($A148&gt;NYears*12,"",IF(MOD($D148,3)=0,SUM($J146:$J148),0))</f>
        <v/>
      </c>
      <c r="M148" s="39">
        <f>IF($A148&gt;NYears*12,"",IF(TaxFreq="Quarterly",$K148*12/$D148,$K148))</f>
        <v/>
      </c>
      <c r="N148" s="40">
        <f>IF($A148&gt;NYears*12,"",LOOKUP($M148,TaxLower,TaxRate))</f>
        <v/>
      </c>
      <c r="O148" s="39">
        <f>IF($A148&gt;NYears*12,"",IF(TaxFreq="Quarterly",IF(MOD($D148,3)=0,$L148*$N148,0),IF($D148=12,$K148*$N148,0)))</f>
        <v/>
      </c>
      <c r="P148" s="39">
        <f>IF($A148&gt;NYears*12,"",IF($D148=1,$O148,$P147+$O148))</f>
        <v/>
      </c>
      <c r="Q148" s="39">
        <f>IF($A148&gt;NYears*12,"",IF($D148=12,MIN(WdrPct*IF(WdrBase="Post-tax profit",$K148-$P148,$K148),WdrCap),0))</f>
        <v/>
      </c>
      <c r="R148" s="39">
        <f>IF($A148&gt;NYears*12,"",$F148+$J148-$O148-$Q148)</f>
        <v/>
      </c>
      <c r="S148" s="37">
        <f>IF($A148&gt;NYears*12,"",INT($R148/$E148))</f>
        <v/>
      </c>
    </row>
    <row r="149">
      <c r="A149" s="33">
        <f>145</f>
        <v/>
      </c>
      <c r="B149" s="34">
        <f>IF($A149&gt;NYears*12,"",EDATE(StartMonth,$A149-1))</f>
        <v/>
      </c>
      <c r="C149" s="33">
        <f>IF($A149&gt;NYears*12,"",INT(($A149-1)/12)+1)</f>
        <v/>
      </c>
      <c r="D149" s="33">
        <f>IF($A149&gt;NYears*12,"",MOD($A149-1,12)+1)</f>
        <v/>
      </c>
      <c r="E149" s="35">
        <f>IF($A149&gt;NYears*12,"",LotValue0*(1+LotGrowth)^($C149-1))</f>
        <v/>
      </c>
      <c r="F149" s="35">
        <f>IF($A149&gt;NYears*12,"",IF($A149=1,InitInvest,$R148))</f>
        <v/>
      </c>
      <c r="G149" s="33">
        <f>IF($A149&gt;NYears*12,"",INT($F149/$E149))</f>
        <v/>
      </c>
      <c r="H149" s="35">
        <f>IF($A149&gt;NYears*12,"",$G149*$E149)</f>
        <v/>
      </c>
      <c r="I149" s="35">
        <f>IF($A149&gt;NYears*12,"",$F149-$H149)</f>
        <v/>
      </c>
      <c r="J149" s="35">
        <f>IF($A149&gt;NYears*12,"",$H149*RateB)</f>
        <v/>
      </c>
      <c r="K149" s="35">
        <f>IF($A149&gt;NYears*12,"",IF($D149=1,$J149,$K148+$J149))</f>
        <v/>
      </c>
      <c r="L149" s="35">
        <f>IF($A149&gt;NYears*12,"",IF(MOD($D149,3)=0,SUM($J147:$J149),0))</f>
        <v/>
      </c>
      <c r="M149" s="35">
        <f>IF($A149&gt;NYears*12,"",IF(TaxFreq="Quarterly",$K149*12/$D149,$K149))</f>
        <v/>
      </c>
      <c r="N149" s="36">
        <f>IF($A149&gt;NYears*12,"",LOOKUP($M149,TaxLower,TaxRate))</f>
        <v/>
      </c>
      <c r="O149" s="35">
        <f>IF($A149&gt;NYears*12,"",IF(TaxFreq="Quarterly",IF(MOD($D149,3)=0,$L149*$N149,0),IF($D149=12,$K149*$N149,0)))</f>
        <v/>
      </c>
      <c r="P149" s="35">
        <f>IF($A149&gt;NYears*12,"",IF($D149=1,$O149,$P148+$O149))</f>
        <v/>
      </c>
      <c r="Q149" s="35">
        <f>IF($A149&gt;NYears*12,"",IF($D149=12,MIN(WdrPct*IF(WdrBase="Post-tax profit",$K149-$P149,$K149),WdrCap),0))</f>
        <v/>
      </c>
      <c r="R149" s="35">
        <f>IF($A149&gt;NYears*12,"",$F149+$J149-$O149-$Q149)</f>
        <v/>
      </c>
      <c r="S149" s="33">
        <f>IF($A149&gt;NYears*12,"",INT($R149/$E149))</f>
        <v/>
      </c>
    </row>
    <row r="150">
      <c r="A150" s="33">
        <f>146</f>
        <v/>
      </c>
      <c r="B150" s="34">
        <f>IF($A150&gt;NYears*12,"",EDATE(StartMonth,$A150-1))</f>
        <v/>
      </c>
      <c r="C150" s="33">
        <f>IF($A150&gt;NYears*12,"",INT(($A150-1)/12)+1)</f>
        <v/>
      </c>
      <c r="D150" s="33">
        <f>IF($A150&gt;NYears*12,"",MOD($A150-1,12)+1)</f>
        <v/>
      </c>
      <c r="E150" s="35">
        <f>IF($A150&gt;NYears*12,"",LotValue0*(1+LotGrowth)^($C150-1))</f>
        <v/>
      </c>
      <c r="F150" s="35">
        <f>IF($A150&gt;NYears*12,"",IF($A150=1,InitInvest,$R149))</f>
        <v/>
      </c>
      <c r="G150" s="33">
        <f>IF($A150&gt;NYears*12,"",INT($F150/$E150))</f>
        <v/>
      </c>
      <c r="H150" s="35">
        <f>IF($A150&gt;NYears*12,"",$G150*$E150)</f>
        <v/>
      </c>
      <c r="I150" s="35">
        <f>IF($A150&gt;NYears*12,"",$F150-$H150)</f>
        <v/>
      </c>
      <c r="J150" s="35">
        <f>IF($A150&gt;NYears*12,"",$H150*RateB)</f>
        <v/>
      </c>
      <c r="K150" s="35">
        <f>IF($A150&gt;NYears*12,"",IF($D150=1,$J150,$K149+$J150))</f>
        <v/>
      </c>
      <c r="L150" s="35">
        <f>IF($A150&gt;NYears*12,"",IF(MOD($D150,3)=0,SUM($J148:$J150),0))</f>
        <v/>
      </c>
      <c r="M150" s="35">
        <f>IF($A150&gt;NYears*12,"",IF(TaxFreq="Quarterly",$K150*12/$D150,$K150))</f>
        <v/>
      </c>
      <c r="N150" s="36">
        <f>IF($A150&gt;NYears*12,"",LOOKUP($M150,TaxLower,TaxRate))</f>
        <v/>
      </c>
      <c r="O150" s="35">
        <f>IF($A150&gt;NYears*12,"",IF(TaxFreq="Quarterly",IF(MOD($D150,3)=0,$L150*$N150,0),IF($D150=12,$K150*$N150,0)))</f>
        <v/>
      </c>
      <c r="P150" s="35">
        <f>IF($A150&gt;NYears*12,"",IF($D150=1,$O150,$P149+$O150))</f>
        <v/>
      </c>
      <c r="Q150" s="35">
        <f>IF($A150&gt;NYears*12,"",IF($D150=12,MIN(WdrPct*IF(WdrBase="Post-tax profit",$K150-$P150,$K150),WdrCap),0))</f>
        <v/>
      </c>
      <c r="R150" s="35">
        <f>IF($A150&gt;NYears*12,"",$F150+$J150-$O150-$Q150)</f>
        <v/>
      </c>
      <c r="S150" s="33">
        <f>IF($A150&gt;NYears*12,"",INT($R150/$E150))</f>
        <v/>
      </c>
    </row>
    <row r="151">
      <c r="A151" s="33">
        <f>147</f>
        <v/>
      </c>
      <c r="B151" s="34">
        <f>IF($A151&gt;NYears*12,"",EDATE(StartMonth,$A151-1))</f>
        <v/>
      </c>
      <c r="C151" s="33">
        <f>IF($A151&gt;NYears*12,"",INT(($A151-1)/12)+1)</f>
        <v/>
      </c>
      <c r="D151" s="33">
        <f>IF($A151&gt;NYears*12,"",MOD($A151-1,12)+1)</f>
        <v/>
      </c>
      <c r="E151" s="35">
        <f>IF($A151&gt;NYears*12,"",LotValue0*(1+LotGrowth)^($C151-1))</f>
        <v/>
      </c>
      <c r="F151" s="35">
        <f>IF($A151&gt;NYears*12,"",IF($A151=1,InitInvest,$R150))</f>
        <v/>
      </c>
      <c r="G151" s="33">
        <f>IF($A151&gt;NYears*12,"",INT($F151/$E151))</f>
        <v/>
      </c>
      <c r="H151" s="35">
        <f>IF($A151&gt;NYears*12,"",$G151*$E151)</f>
        <v/>
      </c>
      <c r="I151" s="35">
        <f>IF($A151&gt;NYears*12,"",$F151-$H151)</f>
        <v/>
      </c>
      <c r="J151" s="35">
        <f>IF($A151&gt;NYears*12,"",$H151*RateB)</f>
        <v/>
      </c>
      <c r="K151" s="35">
        <f>IF($A151&gt;NYears*12,"",IF($D151=1,$J151,$K150+$J151))</f>
        <v/>
      </c>
      <c r="L151" s="35">
        <f>IF($A151&gt;NYears*12,"",IF(MOD($D151,3)=0,SUM($J149:$J151),0))</f>
        <v/>
      </c>
      <c r="M151" s="35">
        <f>IF($A151&gt;NYears*12,"",IF(TaxFreq="Quarterly",$K151*12/$D151,$K151))</f>
        <v/>
      </c>
      <c r="N151" s="36">
        <f>IF($A151&gt;NYears*12,"",LOOKUP($M151,TaxLower,TaxRate))</f>
        <v/>
      </c>
      <c r="O151" s="35">
        <f>IF($A151&gt;NYears*12,"",IF(TaxFreq="Quarterly",IF(MOD($D151,3)=0,$L151*$N151,0),IF($D151=12,$K151*$N151,0)))</f>
        <v/>
      </c>
      <c r="P151" s="35">
        <f>IF($A151&gt;NYears*12,"",IF($D151=1,$O151,$P150+$O151))</f>
        <v/>
      </c>
      <c r="Q151" s="35">
        <f>IF($A151&gt;NYears*12,"",IF($D151=12,MIN(WdrPct*IF(WdrBase="Post-tax profit",$K151-$P151,$K151),WdrCap),0))</f>
        <v/>
      </c>
      <c r="R151" s="35">
        <f>IF($A151&gt;NYears*12,"",$F151+$J151-$O151-$Q151)</f>
        <v/>
      </c>
      <c r="S151" s="33">
        <f>IF($A151&gt;NYears*12,"",INT($R151/$E151))</f>
        <v/>
      </c>
    </row>
    <row r="152">
      <c r="A152" s="33">
        <f>148</f>
        <v/>
      </c>
      <c r="B152" s="34">
        <f>IF($A152&gt;NYears*12,"",EDATE(StartMonth,$A152-1))</f>
        <v/>
      </c>
      <c r="C152" s="33">
        <f>IF($A152&gt;NYears*12,"",INT(($A152-1)/12)+1)</f>
        <v/>
      </c>
      <c r="D152" s="33">
        <f>IF($A152&gt;NYears*12,"",MOD($A152-1,12)+1)</f>
        <v/>
      </c>
      <c r="E152" s="35">
        <f>IF($A152&gt;NYears*12,"",LotValue0*(1+LotGrowth)^($C152-1))</f>
        <v/>
      </c>
      <c r="F152" s="35">
        <f>IF($A152&gt;NYears*12,"",IF($A152=1,InitInvest,$R151))</f>
        <v/>
      </c>
      <c r="G152" s="33">
        <f>IF($A152&gt;NYears*12,"",INT($F152/$E152))</f>
        <v/>
      </c>
      <c r="H152" s="35">
        <f>IF($A152&gt;NYears*12,"",$G152*$E152)</f>
        <v/>
      </c>
      <c r="I152" s="35">
        <f>IF($A152&gt;NYears*12,"",$F152-$H152)</f>
        <v/>
      </c>
      <c r="J152" s="35">
        <f>IF($A152&gt;NYears*12,"",$H152*RateB)</f>
        <v/>
      </c>
      <c r="K152" s="35">
        <f>IF($A152&gt;NYears*12,"",IF($D152=1,$J152,$K151+$J152))</f>
        <v/>
      </c>
      <c r="L152" s="35">
        <f>IF($A152&gt;NYears*12,"",IF(MOD($D152,3)=0,SUM($J150:$J152),0))</f>
        <v/>
      </c>
      <c r="M152" s="35">
        <f>IF($A152&gt;NYears*12,"",IF(TaxFreq="Quarterly",$K152*12/$D152,$K152))</f>
        <v/>
      </c>
      <c r="N152" s="36">
        <f>IF($A152&gt;NYears*12,"",LOOKUP($M152,TaxLower,TaxRate))</f>
        <v/>
      </c>
      <c r="O152" s="35">
        <f>IF($A152&gt;NYears*12,"",IF(TaxFreq="Quarterly",IF(MOD($D152,3)=0,$L152*$N152,0),IF($D152=12,$K152*$N152,0)))</f>
        <v/>
      </c>
      <c r="P152" s="35">
        <f>IF($A152&gt;NYears*12,"",IF($D152=1,$O152,$P151+$O152))</f>
        <v/>
      </c>
      <c r="Q152" s="35">
        <f>IF($A152&gt;NYears*12,"",IF($D152=12,MIN(WdrPct*IF(WdrBase="Post-tax profit",$K152-$P152,$K152),WdrCap),0))</f>
        <v/>
      </c>
      <c r="R152" s="35">
        <f>IF($A152&gt;NYears*12,"",$F152+$J152-$O152-$Q152)</f>
        <v/>
      </c>
      <c r="S152" s="33">
        <f>IF($A152&gt;NYears*12,"",INT($R152/$E152))</f>
        <v/>
      </c>
    </row>
    <row r="153">
      <c r="A153" s="33">
        <f>149</f>
        <v/>
      </c>
      <c r="B153" s="34">
        <f>IF($A153&gt;NYears*12,"",EDATE(StartMonth,$A153-1))</f>
        <v/>
      </c>
      <c r="C153" s="33">
        <f>IF($A153&gt;NYears*12,"",INT(($A153-1)/12)+1)</f>
        <v/>
      </c>
      <c r="D153" s="33">
        <f>IF($A153&gt;NYears*12,"",MOD($A153-1,12)+1)</f>
        <v/>
      </c>
      <c r="E153" s="35">
        <f>IF($A153&gt;NYears*12,"",LotValue0*(1+LotGrowth)^($C153-1))</f>
        <v/>
      </c>
      <c r="F153" s="35">
        <f>IF($A153&gt;NYears*12,"",IF($A153=1,InitInvest,$R152))</f>
        <v/>
      </c>
      <c r="G153" s="33">
        <f>IF($A153&gt;NYears*12,"",INT($F153/$E153))</f>
        <v/>
      </c>
      <c r="H153" s="35">
        <f>IF($A153&gt;NYears*12,"",$G153*$E153)</f>
        <v/>
      </c>
      <c r="I153" s="35">
        <f>IF($A153&gt;NYears*12,"",$F153-$H153)</f>
        <v/>
      </c>
      <c r="J153" s="35">
        <f>IF($A153&gt;NYears*12,"",$H153*RateB)</f>
        <v/>
      </c>
      <c r="K153" s="35">
        <f>IF($A153&gt;NYears*12,"",IF($D153=1,$J153,$K152+$J153))</f>
        <v/>
      </c>
      <c r="L153" s="35">
        <f>IF($A153&gt;NYears*12,"",IF(MOD($D153,3)=0,SUM($J151:$J153),0))</f>
        <v/>
      </c>
      <c r="M153" s="35">
        <f>IF($A153&gt;NYears*12,"",IF(TaxFreq="Quarterly",$K153*12/$D153,$K153))</f>
        <v/>
      </c>
      <c r="N153" s="36">
        <f>IF($A153&gt;NYears*12,"",LOOKUP($M153,TaxLower,TaxRate))</f>
        <v/>
      </c>
      <c r="O153" s="35">
        <f>IF($A153&gt;NYears*12,"",IF(TaxFreq="Quarterly",IF(MOD($D153,3)=0,$L153*$N153,0),IF($D153=12,$K153*$N153,0)))</f>
        <v/>
      </c>
      <c r="P153" s="35">
        <f>IF($A153&gt;NYears*12,"",IF($D153=1,$O153,$P152+$O153))</f>
        <v/>
      </c>
      <c r="Q153" s="35">
        <f>IF($A153&gt;NYears*12,"",IF($D153=12,MIN(WdrPct*IF(WdrBase="Post-tax profit",$K153-$P153,$K153),WdrCap),0))</f>
        <v/>
      </c>
      <c r="R153" s="35">
        <f>IF($A153&gt;NYears*12,"",$F153+$J153-$O153-$Q153)</f>
        <v/>
      </c>
      <c r="S153" s="33">
        <f>IF($A153&gt;NYears*12,"",INT($R153/$E153))</f>
        <v/>
      </c>
    </row>
    <row r="154">
      <c r="A154" s="33">
        <f>150</f>
        <v/>
      </c>
      <c r="B154" s="34">
        <f>IF($A154&gt;NYears*12,"",EDATE(StartMonth,$A154-1))</f>
        <v/>
      </c>
      <c r="C154" s="33">
        <f>IF($A154&gt;NYears*12,"",INT(($A154-1)/12)+1)</f>
        <v/>
      </c>
      <c r="D154" s="33">
        <f>IF($A154&gt;NYears*12,"",MOD($A154-1,12)+1)</f>
        <v/>
      </c>
      <c r="E154" s="35">
        <f>IF($A154&gt;NYears*12,"",LotValue0*(1+LotGrowth)^($C154-1))</f>
        <v/>
      </c>
      <c r="F154" s="35">
        <f>IF($A154&gt;NYears*12,"",IF($A154=1,InitInvest,$R153))</f>
        <v/>
      </c>
      <c r="G154" s="33">
        <f>IF($A154&gt;NYears*12,"",INT($F154/$E154))</f>
        <v/>
      </c>
      <c r="H154" s="35">
        <f>IF($A154&gt;NYears*12,"",$G154*$E154)</f>
        <v/>
      </c>
      <c r="I154" s="35">
        <f>IF($A154&gt;NYears*12,"",$F154-$H154)</f>
        <v/>
      </c>
      <c r="J154" s="35">
        <f>IF($A154&gt;NYears*12,"",$H154*RateB)</f>
        <v/>
      </c>
      <c r="K154" s="35">
        <f>IF($A154&gt;NYears*12,"",IF($D154=1,$J154,$K153+$J154))</f>
        <v/>
      </c>
      <c r="L154" s="35">
        <f>IF($A154&gt;NYears*12,"",IF(MOD($D154,3)=0,SUM($J152:$J154),0))</f>
        <v/>
      </c>
      <c r="M154" s="35">
        <f>IF($A154&gt;NYears*12,"",IF(TaxFreq="Quarterly",$K154*12/$D154,$K154))</f>
        <v/>
      </c>
      <c r="N154" s="36">
        <f>IF($A154&gt;NYears*12,"",LOOKUP($M154,TaxLower,TaxRate))</f>
        <v/>
      </c>
      <c r="O154" s="35">
        <f>IF($A154&gt;NYears*12,"",IF(TaxFreq="Quarterly",IF(MOD($D154,3)=0,$L154*$N154,0),IF($D154=12,$K154*$N154,0)))</f>
        <v/>
      </c>
      <c r="P154" s="35">
        <f>IF($A154&gt;NYears*12,"",IF($D154=1,$O154,$P153+$O154))</f>
        <v/>
      </c>
      <c r="Q154" s="35">
        <f>IF($A154&gt;NYears*12,"",IF($D154=12,MIN(WdrPct*IF(WdrBase="Post-tax profit",$K154-$P154,$K154),WdrCap),0))</f>
        <v/>
      </c>
      <c r="R154" s="35">
        <f>IF($A154&gt;NYears*12,"",$F154+$J154-$O154-$Q154)</f>
        <v/>
      </c>
      <c r="S154" s="33">
        <f>IF($A154&gt;NYears*12,"",INT($R154/$E154))</f>
        <v/>
      </c>
    </row>
    <row r="155">
      <c r="A155" s="33">
        <f>151</f>
        <v/>
      </c>
      <c r="B155" s="34">
        <f>IF($A155&gt;NYears*12,"",EDATE(StartMonth,$A155-1))</f>
        <v/>
      </c>
      <c r="C155" s="33">
        <f>IF($A155&gt;NYears*12,"",INT(($A155-1)/12)+1)</f>
        <v/>
      </c>
      <c r="D155" s="33">
        <f>IF($A155&gt;NYears*12,"",MOD($A155-1,12)+1)</f>
        <v/>
      </c>
      <c r="E155" s="35">
        <f>IF($A155&gt;NYears*12,"",LotValue0*(1+LotGrowth)^($C155-1))</f>
        <v/>
      </c>
      <c r="F155" s="35">
        <f>IF($A155&gt;NYears*12,"",IF($A155=1,InitInvest,$R154))</f>
        <v/>
      </c>
      <c r="G155" s="33">
        <f>IF($A155&gt;NYears*12,"",INT($F155/$E155))</f>
        <v/>
      </c>
      <c r="H155" s="35">
        <f>IF($A155&gt;NYears*12,"",$G155*$E155)</f>
        <v/>
      </c>
      <c r="I155" s="35">
        <f>IF($A155&gt;NYears*12,"",$F155-$H155)</f>
        <v/>
      </c>
      <c r="J155" s="35">
        <f>IF($A155&gt;NYears*12,"",$H155*RateB)</f>
        <v/>
      </c>
      <c r="K155" s="35">
        <f>IF($A155&gt;NYears*12,"",IF($D155=1,$J155,$K154+$J155))</f>
        <v/>
      </c>
      <c r="L155" s="35">
        <f>IF($A155&gt;NYears*12,"",IF(MOD($D155,3)=0,SUM($J153:$J155),0))</f>
        <v/>
      </c>
      <c r="M155" s="35">
        <f>IF($A155&gt;NYears*12,"",IF(TaxFreq="Quarterly",$K155*12/$D155,$K155))</f>
        <v/>
      </c>
      <c r="N155" s="36">
        <f>IF($A155&gt;NYears*12,"",LOOKUP($M155,TaxLower,TaxRate))</f>
        <v/>
      </c>
      <c r="O155" s="35">
        <f>IF($A155&gt;NYears*12,"",IF(TaxFreq="Quarterly",IF(MOD($D155,3)=0,$L155*$N155,0),IF($D155=12,$K155*$N155,0)))</f>
        <v/>
      </c>
      <c r="P155" s="35">
        <f>IF($A155&gt;NYears*12,"",IF($D155=1,$O155,$P154+$O155))</f>
        <v/>
      </c>
      <c r="Q155" s="35">
        <f>IF($A155&gt;NYears*12,"",IF($D155=12,MIN(WdrPct*IF(WdrBase="Post-tax profit",$K155-$P155,$K155),WdrCap),0))</f>
        <v/>
      </c>
      <c r="R155" s="35">
        <f>IF($A155&gt;NYears*12,"",$F155+$J155-$O155-$Q155)</f>
        <v/>
      </c>
      <c r="S155" s="33">
        <f>IF($A155&gt;NYears*12,"",INT($R155/$E155))</f>
        <v/>
      </c>
    </row>
    <row r="156">
      <c r="A156" s="33">
        <f>152</f>
        <v/>
      </c>
      <c r="B156" s="34">
        <f>IF($A156&gt;NYears*12,"",EDATE(StartMonth,$A156-1))</f>
        <v/>
      </c>
      <c r="C156" s="33">
        <f>IF($A156&gt;NYears*12,"",INT(($A156-1)/12)+1)</f>
        <v/>
      </c>
      <c r="D156" s="33">
        <f>IF($A156&gt;NYears*12,"",MOD($A156-1,12)+1)</f>
        <v/>
      </c>
      <c r="E156" s="35">
        <f>IF($A156&gt;NYears*12,"",LotValue0*(1+LotGrowth)^($C156-1))</f>
        <v/>
      </c>
      <c r="F156" s="35">
        <f>IF($A156&gt;NYears*12,"",IF($A156=1,InitInvest,$R155))</f>
        <v/>
      </c>
      <c r="G156" s="33">
        <f>IF($A156&gt;NYears*12,"",INT($F156/$E156))</f>
        <v/>
      </c>
      <c r="H156" s="35">
        <f>IF($A156&gt;NYears*12,"",$G156*$E156)</f>
        <v/>
      </c>
      <c r="I156" s="35">
        <f>IF($A156&gt;NYears*12,"",$F156-$H156)</f>
        <v/>
      </c>
      <c r="J156" s="35">
        <f>IF($A156&gt;NYears*12,"",$H156*RateB)</f>
        <v/>
      </c>
      <c r="K156" s="35">
        <f>IF($A156&gt;NYears*12,"",IF($D156=1,$J156,$K155+$J156))</f>
        <v/>
      </c>
      <c r="L156" s="35">
        <f>IF($A156&gt;NYears*12,"",IF(MOD($D156,3)=0,SUM($J154:$J156),0))</f>
        <v/>
      </c>
      <c r="M156" s="35">
        <f>IF($A156&gt;NYears*12,"",IF(TaxFreq="Quarterly",$K156*12/$D156,$K156))</f>
        <v/>
      </c>
      <c r="N156" s="36">
        <f>IF($A156&gt;NYears*12,"",LOOKUP($M156,TaxLower,TaxRate))</f>
        <v/>
      </c>
      <c r="O156" s="35">
        <f>IF($A156&gt;NYears*12,"",IF(TaxFreq="Quarterly",IF(MOD($D156,3)=0,$L156*$N156,0),IF($D156=12,$K156*$N156,0)))</f>
        <v/>
      </c>
      <c r="P156" s="35">
        <f>IF($A156&gt;NYears*12,"",IF($D156=1,$O156,$P155+$O156))</f>
        <v/>
      </c>
      <c r="Q156" s="35">
        <f>IF($A156&gt;NYears*12,"",IF($D156=12,MIN(WdrPct*IF(WdrBase="Post-tax profit",$K156-$P156,$K156),WdrCap),0))</f>
        <v/>
      </c>
      <c r="R156" s="35">
        <f>IF($A156&gt;NYears*12,"",$F156+$J156-$O156-$Q156)</f>
        <v/>
      </c>
      <c r="S156" s="33">
        <f>IF($A156&gt;NYears*12,"",INT($R156/$E156))</f>
        <v/>
      </c>
    </row>
    <row r="157">
      <c r="A157" s="33">
        <f>153</f>
        <v/>
      </c>
      <c r="B157" s="34">
        <f>IF($A157&gt;NYears*12,"",EDATE(StartMonth,$A157-1))</f>
        <v/>
      </c>
      <c r="C157" s="33">
        <f>IF($A157&gt;NYears*12,"",INT(($A157-1)/12)+1)</f>
        <v/>
      </c>
      <c r="D157" s="33">
        <f>IF($A157&gt;NYears*12,"",MOD($A157-1,12)+1)</f>
        <v/>
      </c>
      <c r="E157" s="35">
        <f>IF($A157&gt;NYears*12,"",LotValue0*(1+LotGrowth)^($C157-1))</f>
        <v/>
      </c>
      <c r="F157" s="35">
        <f>IF($A157&gt;NYears*12,"",IF($A157=1,InitInvest,$R156))</f>
        <v/>
      </c>
      <c r="G157" s="33">
        <f>IF($A157&gt;NYears*12,"",INT($F157/$E157))</f>
        <v/>
      </c>
      <c r="H157" s="35">
        <f>IF($A157&gt;NYears*12,"",$G157*$E157)</f>
        <v/>
      </c>
      <c r="I157" s="35">
        <f>IF($A157&gt;NYears*12,"",$F157-$H157)</f>
        <v/>
      </c>
      <c r="J157" s="35">
        <f>IF($A157&gt;NYears*12,"",$H157*RateB)</f>
        <v/>
      </c>
      <c r="K157" s="35">
        <f>IF($A157&gt;NYears*12,"",IF($D157=1,$J157,$K156+$J157))</f>
        <v/>
      </c>
      <c r="L157" s="35">
        <f>IF($A157&gt;NYears*12,"",IF(MOD($D157,3)=0,SUM($J155:$J157),0))</f>
        <v/>
      </c>
      <c r="M157" s="35">
        <f>IF($A157&gt;NYears*12,"",IF(TaxFreq="Quarterly",$K157*12/$D157,$K157))</f>
        <v/>
      </c>
      <c r="N157" s="36">
        <f>IF($A157&gt;NYears*12,"",LOOKUP($M157,TaxLower,TaxRate))</f>
        <v/>
      </c>
      <c r="O157" s="35">
        <f>IF($A157&gt;NYears*12,"",IF(TaxFreq="Quarterly",IF(MOD($D157,3)=0,$L157*$N157,0),IF($D157=12,$K157*$N157,0)))</f>
        <v/>
      </c>
      <c r="P157" s="35">
        <f>IF($A157&gt;NYears*12,"",IF($D157=1,$O157,$P156+$O157))</f>
        <v/>
      </c>
      <c r="Q157" s="35">
        <f>IF($A157&gt;NYears*12,"",IF($D157=12,MIN(WdrPct*IF(WdrBase="Post-tax profit",$K157-$P157,$K157),WdrCap),0))</f>
        <v/>
      </c>
      <c r="R157" s="35">
        <f>IF($A157&gt;NYears*12,"",$F157+$J157-$O157-$Q157)</f>
        <v/>
      </c>
      <c r="S157" s="33">
        <f>IF($A157&gt;NYears*12,"",INT($R157/$E157))</f>
        <v/>
      </c>
    </row>
    <row r="158">
      <c r="A158" s="33">
        <f>154</f>
        <v/>
      </c>
      <c r="B158" s="34">
        <f>IF($A158&gt;NYears*12,"",EDATE(StartMonth,$A158-1))</f>
        <v/>
      </c>
      <c r="C158" s="33">
        <f>IF($A158&gt;NYears*12,"",INT(($A158-1)/12)+1)</f>
        <v/>
      </c>
      <c r="D158" s="33">
        <f>IF($A158&gt;NYears*12,"",MOD($A158-1,12)+1)</f>
        <v/>
      </c>
      <c r="E158" s="35">
        <f>IF($A158&gt;NYears*12,"",LotValue0*(1+LotGrowth)^($C158-1))</f>
        <v/>
      </c>
      <c r="F158" s="35">
        <f>IF($A158&gt;NYears*12,"",IF($A158=1,InitInvest,$R157))</f>
        <v/>
      </c>
      <c r="G158" s="33">
        <f>IF($A158&gt;NYears*12,"",INT($F158/$E158))</f>
        <v/>
      </c>
      <c r="H158" s="35">
        <f>IF($A158&gt;NYears*12,"",$G158*$E158)</f>
        <v/>
      </c>
      <c r="I158" s="35">
        <f>IF($A158&gt;NYears*12,"",$F158-$H158)</f>
        <v/>
      </c>
      <c r="J158" s="35">
        <f>IF($A158&gt;NYears*12,"",$H158*RateB)</f>
        <v/>
      </c>
      <c r="K158" s="35">
        <f>IF($A158&gt;NYears*12,"",IF($D158=1,$J158,$K157+$J158))</f>
        <v/>
      </c>
      <c r="L158" s="35">
        <f>IF($A158&gt;NYears*12,"",IF(MOD($D158,3)=0,SUM($J156:$J158),0))</f>
        <v/>
      </c>
      <c r="M158" s="35">
        <f>IF($A158&gt;NYears*12,"",IF(TaxFreq="Quarterly",$K158*12/$D158,$K158))</f>
        <v/>
      </c>
      <c r="N158" s="36">
        <f>IF($A158&gt;NYears*12,"",LOOKUP($M158,TaxLower,TaxRate))</f>
        <v/>
      </c>
      <c r="O158" s="35">
        <f>IF($A158&gt;NYears*12,"",IF(TaxFreq="Quarterly",IF(MOD($D158,3)=0,$L158*$N158,0),IF($D158=12,$K158*$N158,0)))</f>
        <v/>
      </c>
      <c r="P158" s="35">
        <f>IF($A158&gt;NYears*12,"",IF($D158=1,$O158,$P157+$O158))</f>
        <v/>
      </c>
      <c r="Q158" s="35">
        <f>IF($A158&gt;NYears*12,"",IF($D158=12,MIN(WdrPct*IF(WdrBase="Post-tax profit",$K158-$P158,$K158),WdrCap),0))</f>
        <v/>
      </c>
      <c r="R158" s="35">
        <f>IF($A158&gt;NYears*12,"",$F158+$J158-$O158-$Q158)</f>
        <v/>
      </c>
      <c r="S158" s="33">
        <f>IF($A158&gt;NYears*12,"",INT($R158/$E158))</f>
        <v/>
      </c>
    </row>
    <row r="159">
      <c r="A159" s="33">
        <f>155</f>
        <v/>
      </c>
      <c r="B159" s="34">
        <f>IF($A159&gt;NYears*12,"",EDATE(StartMonth,$A159-1))</f>
        <v/>
      </c>
      <c r="C159" s="33">
        <f>IF($A159&gt;NYears*12,"",INT(($A159-1)/12)+1)</f>
        <v/>
      </c>
      <c r="D159" s="33">
        <f>IF($A159&gt;NYears*12,"",MOD($A159-1,12)+1)</f>
        <v/>
      </c>
      <c r="E159" s="35">
        <f>IF($A159&gt;NYears*12,"",LotValue0*(1+LotGrowth)^($C159-1))</f>
        <v/>
      </c>
      <c r="F159" s="35">
        <f>IF($A159&gt;NYears*12,"",IF($A159=1,InitInvest,$R158))</f>
        <v/>
      </c>
      <c r="G159" s="33">
        <f>IF($A159&gt;NYears*12,"",INT($F159/$E159))</f>
        <v/>
      </c>
      <c r="H159" s="35">
        <f>IF($A159&gt;NYears*12,"",$G159*$E159)</f>
        <v/>
      </c>
      <c r="I159" s="35">
        <f>IF($A159&gt;NYears*12,"",$F159-$H159)</f>
        <v/>
      </c>
      <c r="J159" s="35">
        <f>IF($A159&gt;NYears*12,"",$H159*RateB)</f>
        <v/>
      </c>
      <c r="K159" s="35">
        <f>IF($A159&gt;NYears*12,"",IF($D159=1,$J159,$K158+$J159))</f>
        <v/>
      </c>
      <c r="L159" s="35">
        <f>IF($A159&gt;NYears*12,"",IF(MOD($D159,3)=0,SUM($J157:$J159),0))</f>
        <v/>
      </c>
      <c r="M159" s="35">
        <f>IF($A159&gt;NYears*12,"",IF(TaxFreq="Quarterly",$K159*12/$D159,$K159))</f>
        <v/>
      </c>
      <c r="N159" s="36">
        <f>IF($A159&gt;NYears*12,"",LOOKUP($M159,TaxLower,TaxRate))</f>
        <v/>
      </c>
      <c r="O159" s="35">
        <f>IF($A159&gt;NYears*12,"",IF(TaxFreq="Quarterly",IF(MOD($D159,3)=0,$L159*$N159,0),IF($D159=12,$K159*$N159,0)))</f>
        <v/>
      </c>
      <c r="P159" s="35">
        <f>IF($A159&gt;NYears*12,"",IF($D159=1,$O159,$P158+$O159))</f>
        <v/>
      </c>
      <c r="Q159" s="35">
        <f>IF($A159&gt;NYears*12,"",IF($D159=12,MIN(WdrPct*IF(WdrBase="Post-tax profit",$K159-$P159,$K159),WdrCap),0))</f>
        <v/>
      </c>
      <c r="R159" s="35">
        <f>IF($A159&gt;NYears*12,"",$F159+$J159-$O159-$Q159)</f>
        <v/>
      </c>
      <c r="S159" s="33">
        <f>IF($A159&gt;NYears*12,"",INT($R159/$E159))</f>
        <v/>
      </c>
    </row>
    <row r="160">
      <c r="A160" s="37">
        <f>156</f>
        <v/>
      </c>
      <c r="B160" s="38">
        <f>IF($A160&gt;NYears*12,"",EDATE(StartMonth,$A160-1))</f>
        <v/>
      </c>
      <c r="C160" s="37">
        <f>IF($A160&gt;NYears*12,"",INT(($A160-1)/12)+1)</f>
        <v/>
      </c>
      <c r="D160" s="37">
        <f>IF($A160&gt;NYears*12,"",MOD($A160-1,12)+1)</f>
        <v/>
      </c>
      <c r="E160" s="39">
        <f>IF($A160&gt;NYears*12,"",LotValue0*(1+LotGrowth)^($C160-1))</f>
        <v/>
      </c>
      <c r="F160" s="39">
        <f>IF($A160&gt;NYears*12,"",IF($A160=1,InitInvest,$R159))</f>
        <v/>
      </c>
      <c r="G160" s="37">
        <f>IF($A160&gt;NYears*12,"",INT($F160/$E160))</f>
        <v/>
      </c>
      <c r="H160" s="39">
        <f>IF($A160&gt;NYears*12,"",$G160*$E160)</f>
        <v/>
      </c>
      <c r="I160" s="39">
        <f>IF($A160&gt;NYears*12,"",$F160-$H160)</f>
        <v/>
      </c>
      <c r="J160" s="39">
        <f>IF($A160&gt;NYears*12,"",$H160*RateB)</f>
        <v/>
      </c>
      <c r="K160" s="39">
        <f>IF($A160&gt;NYears*12,"",IF($D160=1,$J160,$K159+$J160))</f>
        <v/>
      </c>
      <c r="L160" s="39">
        <f>IF($A160&gt;NYears*12,"",IF(MOD($D160,3)=0,SUM($J158:$J160),0))</f>
        <v/>
      </c>
      <c r="M160" s="39">
        <f>IF($A160&gt;NYears*12,"",IF(TaxFreq="Quarterly",$K160*12/$D160,$K160))</f>
        <v/>
      </c>
      <c r="N160" s="40">
        <f>IF($A160&gt;NYears*12,"",LOOKUP($M160,TaxLower,TaxRate))</f>
        <v/>
      </c>
      <c r="O160" s="39">
        <f>IF($A160&gt;NYears*12,"",IF(TaxFreq="Quarterly",IF(MOD($D160,3)=0,$L160*$N160,0),IF($D160=12,$K160*$N160,0)))</f>
        <v/>
      </c>
      <c r="P160" s="39">
        <f>IF($A160&gt;NYears*12,"",IF($D160=1,$O160,$P159+$O160))</f>
        <v/>
      </c>
      <c r="Q160" s="39">
        <f>IF($A160&gt;NYears*12,"",IF($D160=12,MIN(WdrPct*IF(WdrBase="Post-tax profit",$K160-$P160,$K160),WdrCap),0))</f>
        <v/>
      </c>
      <c r="R160" s="39">
        <f>IF($A160&gt;NYears*12,"",$F160+$J160-$O160-$Q160)</f>
        <v/>
      </c>
      <c r="S160" s="37">
        <f>IF($A160&gt;NYears*12,"",INT($R160/$E160))</f>
        <v/>
      </c>
    </row>
    <row r="161">
      <c r="A161" s="33">
        <f>157</f>
        <v/>
      </c>
      <c r="B161" s="34">
        <f>IF($A161&gt;NYears*12,"",EDATE(StartMonth,$A161-1))</f>
        <v/>
      </c>
      <c r="C161" s="33">
        <f>IF($A161&gt;NYears*12,"",INT(($A161-1)/12)+1)</f>
        <v/>
      </c>
      <c r="D161" s="33">
        <f>IF($A161&gt;NYears*12,"",MOD($A161-1,12)+1)</f>
        <v/>
      </c>
      <c r="E161" s="35">
        <f>IF($A161&gt;NYears*12,"",LotValue0*(1+LotGrowth)^($C161-1))</f>
        <v/>
      </c>
      <c r="F161" s="35">
        <f>IF($A161&gt;NYears*12,"",IF($A161=1,InitInvest,$R160))</f>
        <v/>
      </c>
      <c r="G161" s="33">
        <f>IF($A161&gt;NYears*12,"",INT($F161/$E161))</f>
        <v/>
      </c>
      <c r="H161" s="35">
        <f>IF($A161&gt;NYears*12,"",$G161*$E161)</f>
        <v/>
      </c>
      <c r="I161" s="35">
        <f>IF($A161&gt;NYears*12,"",$F161-$H161)</f>
        <v/>
      </c>
      <c r="J161" s="35">
        <f>IF($A161&gt;NYears*12,"",$H161*RateB)</f>
        <v/>
      </c>
      <c r="K161" s="35">
        <f>IF($A161&gt;NYears*12,"",IF($D161=1,$J161,$K160+$J161))</f>
        <v/>
      </c>
      <c r="L161" s="35">
        <f>IF($A161&gt;NYears*12,"",IF(MOD($D161,3)=0,SUM($J159:$J161),0))</f>
        <v/>
      </c>
      <c r="M161" s="35">
        <f>IF($A161&gt;NYears*12,"",IF(TaxFreq="Quarterly",$K161*12/$D161,$K161))</f>
        <v/>
      </c>
      <c r="N161" s="36">
        <f>IF($A161&gt;NYears*12,"",LOOKUP($M161,TaxLower,TaxRate))</f>
        <v/>
      </c>
      <c r="O161" s="35">
        <f>IF($A161&gt;NYears*12,"",IF(TaxFreq="Quarterly",IF(MOD($D161,3)=0,$L161*$N161,0),IF($D161=12,$K161*$N161,0)))</f>
        <v/>
      </c>
      <c r="P161" s="35">
        <f>IF($A161&gt;NYears*12,"",IF($D161=1,$O161,$P160+$O161))</f>
        <v/>
      </c>
      <c r="Q161" s="35">
        <f>IF($A161&gt;NYears*12,"",IF($D161=12,MIN(WdrPct*IF(WdrBase="Post-tax profit",$K161-$P161,$K161),WdrCap),0))</f>
        <v/>
      </c>
      <c r="R161" s="35">
        <f>IF($A161&gt;NYears*12,"",$F161+$J161-$O161-$Q161)</f>
        <v/>
      </c>
      <c r="S161" s="33">
        <f>IF($A161&gt;NYears*12,"",INT($R161/$E161))</f>
        <v/>
      </c>
    </row>
    <row r="162">
      <c r="A162" s="33">
        <f>158</f>
        <v/>
      </c>
      <c r="B162" s="34">
        <f>IF($A162&gt;NYears*12,"",EDATE(StartMonth,$A162-1))</f>
        <v/>
      </c>
      <c r="C162" s="33">
        <f>IF($A162&gt;NYears*12,"",INT(($A162-1)/12)+1)</f>
        <v/>
      </c>
      <c r="D162" s="33">
        <f>IF($A162&gt;NYears*12,"",MOD($A162-1,12)+1)</f>
        <v/>
      </c>
      <c r="E162" s="35">
        <f>IF($A162&gt;NYears*12,"",LotValue0*(1+LotGrowth)^($C162-1))</f>
        <v/>
      </c>
      <c r="F162" s="35">
        <f>IF($A162&gt;NYears*12,"",IF($A162=1,InitInvest,$R161))</f>
        <v/>
      </c>
      <c r="G162" s="33">
        <f>IF($A162&gt;NYears*12,"",INT($F162/$E162))</f>
        <v/>
      </c>
      <c r="H162" s="35">
        <f>IF($A162&gt;NYears*12,"",$G162*$E162)</f>
        <v/>
      </c>
      <c r="I162" s="35">
        <f>IF($A162&gt;NYears*12,"",$F162-$H162)</f>
        <v/>
      </c>
      <c r="J162" s="35">
        <f>IF($A162&gt;NYears*12,"",$H162*RateB)</f>
        <v/>
      </c>
      <c r="K162" s="35">
        <f>IF($A162&gt;NYears*12,"",IF($D162=1,$J162,$K161+$J162))</f>
        <v/>
      </c>
      <c r="L162" s="35">
        <f>IF($A162&gt;NYears*12,"",IF(MOD($D162,3)=0,SUM($J160:$J162),0))</f>
        <v/>
      </c>
      <c r="M162" s="35">
        <f>IF($A162&gt;NYears*12,"",IF(TaxFreq="Quarterly",$K162*12/$D162,$K162))</f>
        <v/>
      </c>
      <c r="N162" s="36">
        <f>IF($A162&gt;NYears*12,"",LOOKUP($M162,TaxLower,TaxRate))</f>
        <v/>
      </c>
      <c r="O162" s="35">
        <f>IF($A162&gt;NYears*12,"",IF(TaxFreq="Quarterly",IF(MOD($D162,3)=0,$L162*$N162,0),IF($D162=12,$K162*$N162,0)))</f>
        <v/>
      </c>
      <c r="P162" s="35">
        <f>IF($A162&gt;NYears*12,"",IF($D162=1,$O162,$P161+$O162))</f>
        <v/>
      </c>
      <c r="Q162" s="35">
        <f>IF($A162&gt;NYears*12,"",IF($D162=12,MIN(WdrPct*IF(WdrBase="Post-tax profit",$K162-$P162,$K162),WdrCap),0))</f>
        <v/>
      </c>
      <c r="R162" s="35">
        <f>IF($A162&gt;NYears*12,"",$F162+$J162-$O162-$Q162)</f>
        <v/>
      </c>
      <c r="S162" s="33">
        <f>IF($A162&gt;NYears*12,"",INT($R162/$E162))</f>
        <v/>
      </c>
    </row>
    <row r="163">
      <c r="A163" s="33">
        <f>159</f>
        <v/>
      </c>
      <c r="B163" s="34">
        <f>IF($A163&gt;NYears*12,"",EDATE(StartMonth,$A163-1))</f>
        <v/>
      </c>
      <c r="C163" s="33">
        <f>IF($A163&gt;NYears*12,"",INT(($A163-1)/12)+1)</f>
        <v/>
      </c>
      <c r="D163" s="33">
        <f>IF($A163&gt;NYears*12,"",MOD($A163-1,12)+1)</f>
        <v/>
      </c>
      <c r="E163" s="35">
        <f>IF($A163&gt;NYears*12,"",LotValue0*(1+LotGrowth)^($C163-1))</f>
        <v/>
      </c>
      <c r="F163" s="35">
        <f>IF($A163&gt;NYears*12,"",IF($A163=1,InitInvest,$R162))</f>
        <v/>
      </c>
      <c r="G163" s="33">
        <f>IF($A163&gt;NYears*12,"",INT($F163/$E163))</f>
        <v/>
      </c>
      <c r="H163" s="35">
        <f>IF($A163&gt;NYears*12,"",$G163*$E163)</f>
        <v/>
      </c>
      <c r="I163" s="35">
        <f>IF($A163&gt;NYears*12,"",$F163-$H163)</f>
        <v/>
      </c>
      <c r="J163" s="35">
        <f>IF($A163&gt;NYears*12,"",$H163*RateB)</f>
        <v/>
      </c>
      <c r="K163" s="35">
        <f>IF($A163&gt;NYears*12,"",IF($D163=1,$J163,$K162+$J163))</f>
        <v/>
      </c>
      <c r="L163" s="35">
        <f>IF($A163&gt;NYears*12,"",IF(MOD($D163,3)=0,SUM($J161:$J163),0))</f>
        <v/>
      </c>
      <c r="M163" s="35">
        <f>IF($A163&gt;NYears*12,"",IF(TaxFreq="Quarterly",$K163*12/$D163,$K163))</f>
        <v/>
      </c>
      <c r="N163" s="36">
        <f>IF($A163&gt;NYears*12,"",LOOKUP($M163,TaxLower,TaxRate))</f>
        <v/>
      </c>
      <c r="O163" s="35">
        <f>IF($A163&gt;NYears*12,"",IF(TaxFreq="Quarterly",IF(MOD($D163,3)=0,$L163*$N163,0),IF($D163=12,$K163*$N163,0)))</f>
        <v/>
      </c>
      <c r="P163" s="35">
        <f>IF($A163&gt;NYears*12,"",IF($D163=1,$O163,$P162+$O163))</f>
        <v/>
      </c>
      <c r="Q163" s="35">
        <f>IF($A163&gt;NYears*12,"",IF($D163=12,MIN(WdrPct*IF(WdrBase="Post-tax profit",$K163-$P163,$K163),WdrCap),0))</f>
        <v/>
      </c>
      <c r="R163" s="35">
        <f>IF($A163&gt;NYears*12,"",$F163+$J163-$O163-$Q163)</f>
        <v/>
      </c>
      <c r="S163" s="33">
        <f>IF($A163&gt;NYears*12,"",INT($R163/$E163))</f>
        <v/>
      </c>
    </row>
    <row r="164">
      <c r="A164" s="33">
        <f>160</f>
        <v/>
      </c>
      <c r="B164" s="34">
        <f>IF($A164&gt;NYears*12,"",EDATE(StartMonth,$A164-1))</f>
        <v/>
      </c>
      <c r="C164" s="33">
        <f>IF($A164&gt;NYears*12,"",INT(($A164-1)/12)+1)</f>
        <v/>
      </c>
      <c r="D164" s="33">
        <f>IF($A164&gt;NYears*12,"",MOD($A164-1,12)+1)</f>
        <v/>
      </c>
      <c r="E164" s="35">
        <f>IF($A164&gt;NYears*12,"",LotValue0*(1+LotGrowth)^($C164-1))</f>
        <v/>
      </c>
      <c r="F164" s="35">
        <f>IF($A164&gt;NYears*12,"",IF($A164=1,InitInvest,$R163))</f>
        <v/>
      </c>
      <c r="G164" s="33">
        <f>IF($A164&gt;NYears*12,"",INT($F164/$E164))</f>
        <v/>
      </c>
      <c r="H164" s="35">
        <f>IF($A164&gt;NYears*12,"",$G164*$E164)</f>
        <v/>
      </c>
      <c r="I164" s="35">
        <f>IF($A164&gt;NYears*12,"",$F164-$H164)</f>
        <v/>
      </c>
      <c r="J164" s="35">
        <f>IF($A164&gt;NYears*12,"",$H164*RateB)</f>
        <v/>
      </c>
      <c r="K164" s="35">
        <f>IF($A164&gt;NYears*12,"",IF($D164=1,$J164,$K163+$J164))</f>
        <v/>
      </c>
      <c r="L164" s="35">
        <f>IF($A164&gt;NYears*12,"",IF(MOD($D164,3)=0,SUM($J162:$J164),0))</f>
        <v/>
      </c>
      <c r="M164" s="35">
        <f>IF($A164&gt;NYears*12,"",IF(TaxFreq="Quarterly",$K164*12/$D164,$K164))</f>
        <v/>
      </c>
      <c r="N164" s="36">
        <f>IF($A164&gt;NYears*12,"",LOOKUP($M164,TaxLower,TaxRate))</f>
        <v/>
      </c>
      <c r="O164" s="35">
        <f>IF($A164&gt;NYears*12,"",IF(TaxFreq="Quarterly",IF(MOD($D164,3)=0,$L164*$N164,0),IF($D164=12,$K164*$N164,0)))</f>
        <v/>
      </c>
      <c r="P164" s="35">
        <f>IF($A164&gt;NYears*12,"",IF($D164=1,$O164,$P163+$O164))</f>
        <v/>
      </c>
      <c r="Q164" s="35">
        <f>IF($A164&gt;NYears*12,"",IF($D164=12,MIN(WdrPct*IF(WdrBase="Post-tax profit",$K164-$P164,$K164),WdrCap),0))</f>
        <v/>
      </c>
      <c r="R164" s="35">
        <f>IF($A164&gt;NYears*12,"",$F164+$J164-$O164-$Q164)</f>
        <v/>
      </c>
      <c r="S164" s="33">
        <f>IF($A164&gt;NYears*12,"",INT($R164/$E164))</f>
        <v/>
      </c>
    </row>
    <row r="165">
      <c r="A165" s="33">
        <f>161</f>
        <v/>
      </c>
      <c r="B165" s="34">
        <f>IF($A165&gt;NYears*12,"",EDATE(StartMonth,$A165-1))</f>
        <v/>
      </c>
      <c r="C165" s="33">
        <f>IF($A165&gt;NYears*12,"",INT(($A165-1)/12)+1)</f>
        <v/>
      </c>
      <c r="D165" s="33">
        <f>IF($A165&gt;NYears*12,"",MOD($A165-1,12)+1)</f>
        <v/>
      </c>
      <c r="E165" s="35">
        <f>IF($A165&gt;NYears*12,"",LotValue0*(1+LotGrowth)^($C165-1))</f>
        <v/>
      </c>
      <c r="F165" s="35">
        <f>IF($A165&gt;NYears*12,"",IF($A165=1,InitInvest,$R164))</f>
        <v/>
      </c>
      <c r="G165" s="33">
        <f>IF($A165&gt;NYears*12,"",INT($F165/$E165))</f>
        <v/>
      </c>
      <c r="H165" s="35">
        <f>IF($A165&gt;NYears*12,"",$G165*$E165)</f>
        <v/>
      </c>
      <c r="I165" s="35">
        <f>IF($A165&gt;NYears*12,"",$F165-$H165)</f>
        <v/>
      </c>
      <c r="J165" s="35">
        <f>IF($A165&gt;NYears*12,"",$H165*RateB)</f>
        <v/>
      </c>
      <c r="K165" s="35">
        <f>IF($A165&gt;NYears*12,"",IF($D165=1,$J165,$K164+$J165))</f>
        <v/>
      </c>
      <c r="L165" s="35">
        <f>IF($A165&gt;NYears*12,"",IF(MOD($D165,3)=0,SUM($J163:$J165),0))</f>
        <v/>
      </c>
      <c r="M165" s="35">
        <f>IF($A165&gt;NYears*12,"",IF(TaxFreq="Quarterly",$K165*12/$D165,$K165))</f>
        <v/>
      </c>
      <c r="N165" s="36">
        <f>IF($A165&gt;NYears*12,"",LOOKUP($M165,TaxLower,TaxRate))</f>
        <v/>
      </c>
      <c r="O165" s="35">
        <f>IF($A165&gt;NYears*12,"",IF(TaxFreq="Quarterly",IF(MOD($D165,3)=0,$L165*$N165,0),IF($D165=12,$K165*$N165,0)))</f>
        <v/>
      </c>
      <c r="P165" s="35">
        <f>IF($A165&gt;NYears*12,"",IF($D165=1,$O165,$P164+$O165))</f>
        <v/>
      </c>
      <c r="Q165" s="35">
        <f>IF($A165&gt;NYears*12,"",IF($D165=12,MIN(WdrPct*IF(WdrBase="Post-tax profit",$K165-$P165,$K165),WdrCap),0))</f>
        <v/>
      </c>
      <c r="R165" s="35">
        <f>IF($A165&gt;NYears*12,"",$F165+$J165-$O165-$Q165)</f>
        <v/>
      </c>
      <c r="S165" s="33">
        <f>IF($A165&gt;NYears*12,"",INT($R165/$E165))</f>
        <v/>
      </c>
    </row>
    <row r="166">
      <c r="A166" s="33">
        <f>162</f>
        <v/>
      </c>
      <c r="B166" s="34">
        <f>IF($A166&gt;NYears*12,"",EDATE(StartMonth,$A166-1))</f>
        <v/>
      </c>
      <c r="C166" s="33">
        <f>IF($A166&gt;NYears*12,"",INT(($A166-1)/12)+1)</f>
        <v/>
      </c>
      <c r="D166" s="33">
        <f>IF($A166&gt;NYears*12,"",MOD($A166-1,12)+1)</f>
        <v/>
      </c>
      <c r="E166" s="35">
        <f>IF($A166&gt;NYears*12,"",LotValue0*(1+LotGrowth)^($C166-1))</f>
        <v/>
      </c>
      <c r="F166" s="35">
        <f>IF($A166&gt;NYears*12,"",IF($A166=1,InitInvest,$R165))</f>
        <v/>
      </c>
      <c r="G166" s="33">
        <f>IF($A166&gt;NYears*12,"",INT($F166/$E166))</f>
        <v/>
      </c>
      <c r="H166" s="35">
        <f>IF($A166&gt;NYears*12,"",$G166*$E166)</f>
        <v/>
      </c>
      <c r="I166" s="35">
        <f>IF($A166&gt;NYears*12,"",$F166-$H166)</f>
        <v/>
      </c>
      <c r="J166" s="35">
        <f>IF($A166&gt;NYears*12,"",$H166*RateB)</f>
        <v/>
      </c>
      <c r="K166" s="35">
        <f>IF($A166&gt;NYears*12,"",IF($D166=1,$J166,$K165+$J166))</f>
        <v/>
      </c>
      <c r="L166" s="35">
        <f>IF($A166&gt;NYears*12,"",IF(MOD($D166,3)=0,SUM($J164:$J166),0))</f>
        <v/>
      </c>
      <c r="M166" s="35">
        <f>IF($A166&gt;NYears*12,"",IF(TaxFreq="Quarterly",$K166*12/$D166,$K166))</f>
        <v/>
      </c>
      <c r="N166" s="36">
        <f>IF($A166&gt;NYears*12,"",LOOKUP($M166,TaxLower,TaxRate))</f>
        <v/>
      </c>
      <c r="O166" s="35">
        <f>IF($A166&gt;NYears*12,"",IF(TaxFreq="Quarterly",IF(MOD($D166,3)=0,$L166*$N166,0),IF($D166=12,$K166*$N166,0)))</f>
        <v/>
      </c>
      <c r="P166" s="35">
        <f>IF($A166&gt;NYears*12,"",IF($D166=1,$O166,$P165+$O166))</f>
        <v/>
      </c>
      <c r="Q166" s="35">
        <f>IF($A166&gt;NYears*12,"",IF($D166=12,MIN(WdrPct*IF(WdrBase="Post-tax profit",$K166-$P166,$K166),WdrCap),0))</f>
        <v/>
      </c>
      <c r="R166" s="35">
        <f>IF($A166&gt;NYears*12,"",$F166+$J166-$O166-$Q166)</f>
        <v/>
      </c>
      <c r="S166" s="33">
        <f>IF($A166&gt;NYears*12,"",INT($R166/$E166))</f>
        <v/>
      </c>
    </row>
    <row r="167">
      <c r="A167" s="33">
        <f>163</f>
        <v/>
      </c>
      <c r="B167" s="34">
        <f>IF($A167&gt;NYears*12,"",EDATE(StartMonth,$A167-1))</f>
        <v/>
      </c>
      <c r="C167" s="33">
        <f>IF($A167&gt;NYears*12,"",INT(($A167-1)/12)+1)</f>
        <v/>
      </c>
      <c r="D167" s="33">
        <f>IF($A167&gt;NYears*12,"",MOD($A167-1,12)+1)</f>
        <v/>
      </c>
      <c r="E167" s="35">
        <f>IF($A167&gt;NYears*12,"",LotValue0*(1+LotGrowth)^($C167-1))</f>
        <v/>
      </c>
      <c r="F167" s="35">
        <f>IF($A167&gt;NYears*12,"",IF($A167=1,InitInvest,$R166))</f>
        <v/>
      </c>
      <c r="G167" s="33">
        <f>IF($A167&gt;NYears*12,"",INT($F167/$E167))</f>
        <v/>
      </c>
      <c r="H167" s="35">
        <f>IF($A167&gt;NYears*12,"",$G167*$E167)</f>
        <v/>
      </c>
      <c r="I167" s="35">
        <f>IF($A167&gt;NYears*12,"",$F167-$H167)</f>
        <v/>
      </c>
      <c r="J167" s="35">
        <f>IF($A167&gt;NYears*12,"",$H167*RateB)</f>
        <v/>
      </c>
      <c r="K167" s="35">
        <f>IF($A167&gt;NYears*12,"",IF($D167=1,$J167,$K166+$J167))</f>
        <v/>
      </c>
      <c r="L167" s="35">
        <f>IF($A167&gt;NYears*12,"",IF(MOD($D167,3)=0,SUM($J165:$J167),0))</f>
        <v/>
      </c>
      <c r="M167" s="35">
        <f>IF($A167&gt;NYears*12,"",IF(TaxFreq="Quarterly",$K167*12/$D167,$K167))</f>
        <v/>
      </c>
      <c r="N167" s="36">
        <f>IF($A167&gt;NYears*12,"",LOOKUP($M167,TaxLower,TaxRate))</f>
        <v/>
      </c>
      <c r="O167" s="35">
        <f>IF($A167&gt;NYears*12,"",IF(TaxFreq="Quarterly",IF(MOD($D167,3)=0,$L167*$N167,0),IF($D167=12,$K167*$N167,0)))</f>
        <v/>
      </c>
      <c r="P167" s="35">
        <f>IF($A167&gt;NYears*12,"",IF($D167=1,$O167,$P166+$O167))</f>
        <v/>
      </c>
      <c r="Q167" s="35">
        <f>IF($A167&gt;NYears*12,"",IF($D167=12,MIN(WdrPct*IF(WdrBase="Post-tax profit",$K167-$P167,$K167),WdrCap),0))</f>
        <v/>
      </c>
      <c r="R167" s="35">
        <f>IF($A167&gt;NYears*12,"",$F167+$J167-$O167-$Q167)</f>
        <v/>
      </c>
      <c r="S167" s="33">
        <f>IF($A167&gt;NYears*12,"",INT($R167/$E167))</f>
        <v/>
      </c>
    </row>
    <row r="168">
      <c r="A168" s="33">
        <f>164</f>
        <v/>
      </c>
      <c r="B168" s="34">
        <f>IF($A168&gt;NYears*12,"",EDATE(StartMonth,$A168-1))</f>
        <v/>
      </c>
      <c r="C168" s="33">
        <f>IF($A168&gt;NYears*12,"",INT(($A168-1)/12)+1)</f>
        <v/>
      </c>
      <c r="D168" s="33">
        <f>IF($A168&gt;NYears*12,"",MOD($A168-1,12)+1)</f>
        <v/>
      </c>
      <c r="E168" s="35">
        <f>IF($A168&gt;NYears*12,"",LotValue0*(1+LotGrowth)^($C168-1))</f>
        <v/>
      </c>
      <c r="F168" s="35">
        <f>IF($A168&gt;NYears*12,"",IF($A168=1,InitInvest,$R167))</f>
        <v/>
      </c>
      <c r="G168" s="33">
        <f>IF($A168&gt;NYears*12,"",INT($F168/$E168))</f>
        <v/>
      </c>
      <c r="H168" s="35">
        <f>IF($A168&gt;NYears*12,"",$G168*$E168)</f>
        <v/>
      </c>
      <c r="I168" s="35">
        <f>IF($A168&gt;NYears*12,"",$F168-$H168)</f>
        <v/>
      </c>
      <c r="J168" s="35">
        <f>IF($A168&gt;NYears*12,"",$H168*RateB)</f>
        <v/>
      </c>
      <c r="K168" s="35">
        <f>IF($A168&gt;NYears*12,"",IF($D168=1,$J168,$K167+$J168))</f>
        <v/>
      </c>
      <c r="L168" s="35">
        <f>IF($A168&gt;NYears*12,"",IF(MOD($D168,3)=0,SUM($J166:$J168),0))</f>
        <v/>
      </c>
      <c r="M168" s="35">
        <f>IF($A168&gt;NYears*12,"",IF(TaxFreq="Quarterly",$K168*12/$D168,$K168))</f>
        <v/>
      </c>
      <c r="N168" s="36">
        <f>IF($A168&gt;NYears*12,"",LOOKUP($M168,TaxLower,TaxRate))</f>
        <v/>
      </c>
      <c r="O168" s="35">
        <f>IF($A168&gt;NYears*12,"",IF(TaxFreq="Quarterly",IF(MOD($D168,3)=0,$L168*$N168,0),IF($D168=12,$K168*$N168,0)))</f>
        <v/>
      </c>
      <c r="P168" s="35">
        <f>IF($A168&gt;NYears*12,"",IF($D168=1,$O168,$P167+$O168))</f>
        <v/>
      </c>
      <c r="Q168" s="35">
        <f>IF($A168&gt;NYears*12,"",IF($D168=12,MIN(WdrPct*IF(WdrBase="Post-tax profit",$K168-$P168,$K168),WdrCap),0))</f>
        <v/>
      </c>
      <c r="R168" s="35">
        <f>IF($A168&gt;NYears*12,"",$F168+$J168-$O168-$Q168)</f>
        <v/>
      </c>
      <c r="S168" s="33">
        <f>IF($A168&gt;NYears*12,"",INT($R168/$E168))</f>
        <v/>
      </c>
    </row>
    <row r="169">
      <c r="A169" s="33">
        <f>165</f>
        <v/>
      </c>
      <c r="B169" s="34">
        <f>IF($A169&gt;NYears*12,"",EDATE(StartMonth,$A169-1))</f>
        <v/>
      </c>
      <c r="C169" s="33">
        <f>IF($A169&gt;NYears*12,"",INT(($A169-1)/12)+1)</f>
        <v/>
      </c>
      <c r="D169" s="33">
        <f>IF($A169&gt;NYears*12,"",MOD($A169-1,12)+1)</f>
        <v/>
      </c>
      <c r="E169" s="35">
        <f>IF($A169&gt;NYears*12,"",LotValue0*(1+LotGrowth)^($C169-1))</f>
        <v/>
      </c>
      <c r="F169" s="35">
        <f>IF($A169&gt;NYears*12,"",IF($A169=1,InitInvest,$R168))</f>
        <v/>
      </c>
      <c r="G169" s="33">
        <f>IF($A169&gt;NYears*12,"",INT($F169/$E169))</f>
        <v/>
      </c>
      <c r="H169" s="35">
        <f>IF($A169&gt;NYears*12,"",$G169*$E169)</f>
        <v/>
      </c>
      <c r="I169" s="35">
        <f>IF($A169&gt;NYears*12,"",$F169-$H169)</f>
        <v/>
      </c>
      <c r="J169" s="35">
        <f>IF($A169&gt;NYears*12,"",$H169*RateB)</f>
        <v/>
      </c>
      <c r="K169" s="35">
        <f>IF($A169&gt;NYears*12,"",IF($D169=1,$J169,$K168+$J169))</f>
        <v/>
      </c>
      <c r="L169" s="35">
        <f>IF($A169&gt;NYears*12,"",IF(MOD($D169,3)=0,SUM($J167:$J169),0))</f>
        <v/>
      </c>
      <c r="M169" s="35">
        <f>IF($A169&gt;NYears*12,"",IF(TaxFreq="Quarterly",$K169*12/$D169,$K169))</f>
        <v/>
      </c>
      <c r="N169" s="36">
        <f>IF($A169&gt;NYears*12,"",LOOKUP($M169,TaxLower,TaxRate))</f>
        <v/>
      </c>
      <c r="O169" s="35">
        <f>IF($A169&gt;NYears*12,"",IF(TaxFreq="Quarterly",IF(MOD($D169,3)=0,$L169*$N169,0),IF($D169=12,$K169*$N169,0)))</f>
        <v/>
      </c>
      <c r="P169" s="35">
        <f>IF($A169&gt;NYears*12,"",IF($D169=1,$O169,$P168+$O169))</f>
        <v/>
      </c>
      <c r="Q169" s="35">
        <f>IF($A169&gt;NYears*12,"",IF($D169=12,MIN(WdrPct*IF(WdrBase="Post-tax profit",$K169-$P169,$K169),WdrCap),0))</f>
        <v/>
      </c>
      <c r="R169" s="35">
        <f>IF($A169&gt;NYears*12,"",$F169+$J169-$O169-$Q169)</f>
        <v/>
      </c>
      <c r="S169" s="33">
        <f>IF($A169&gt;NYears*12,"",INT($R169/$E169))</f>
        <v/>
      </c>
    </row>
    <row r="170">
      <c r="A170" s="33">
        <f>166</f>
        <v/>
      </c>
      <c r="B170" s="34">
        <f>IF($A170&gt;NYears*12,"",EDATE(StartMonth,$A170-1))</f>
        <v/>
      </c>
      <c r="C170" s="33">
        <f>IF($A170&gt;NYears*12,"",INT(($A170-1)/12)+1)</f>
        <v/>
      </c>
      <c r="D170" s="33">
        <f>IF($A170&gt;NYears*12,"",MOD($A170-1,12)+1)</f>
        <v/>
      </c>
      <c r="E170" s="35">
        <f>IF($A170&gt;NYears*12,"",LotValue0*(1+LotGrowth)^($C170-1))</f>
        <v/>
      </c>
      <c r="F170" s="35">
        <f>IF($A170&gt;NYears*12,"",IF($A170=1,InitInvest,$R169))</f>
        <v/>
      </c>
      <c r="G170" s="33">
        <f>IF($A170&gt;NYears*12,"",INT($F170/$E170))</f>
        <v/>
      </c>
      <c r="H170" s="35">
        <f>IF($A170&gt;NYears*12,"",$G170*$E170)</f>
        <v/>
      </c>
      <c r="I170" s="35">
        <f>IF($A170&gt;NYears*12,"",$F170-$H170)</f>
        <v/>
      </c>
      <c r="J170" s="35">
        <f>IF($A170&gt;NYears*12,"",$H170*RateB)</f>
        <v/>
      </c>
      <c r="K170" s="35">
        <f>IF($A170&gt;NYears*12,"",IF($D170=1,$J170,$K169+$J170))</f>
        <v/>
      </c>
      <c r="L170" s="35">
        <f>IF($A170&gt;NYears*12,"",IF(MOD($D170,3)=0,SUM($J168:$J170),0))</f>
        <v/>
      </c>
      <c r="M170" s="35">
        <f>IF($A170&gt;NYears*12,"",IF(TaxFreq="Quarterly",$K170*12/$D170,$K170))</f>
        <v/>
      </c>
      <c r="N170" s="36">
        <f>IF($A170&gt;NYears*12,"",LOOKUP($M170,TaxLower,TaxRate))</f>
        <v/>
      </c>
      <c r="O170" s="35">
        <f>IF($A170&gt;NYears*12,"",IF(TaxFreq="Quarterly",IF(MOD($D170,3)=0,$L170*$N170,0),IF($D170=12,$K170*$N170,0)))</f>
        <v/>
      </c>
      <c r="P170" s="35">
        <f>IF($A170&gt;NYears*12,"",IF($D170=1,$O170,$P169+$O170))</f>
        <v/>
      </c>
      <c r="Q170" s="35">
        <f>IF($A170&gt;NYears*12,"",IF($D170=12,MIN(WdrPct*IF(WdrBase="Post-tax profit",$K170-$P170,$K170),WdrCap),0))</f>
        <v/>
      </c>
      <c r="R170" s="35">
        <f>IF($A170&gt;NYears*12,"",$F170+$J170-$O170-$Q170)</f>
        <v/>
      </c>
      <c r="S170" s="33">
        <f>IF($A170&gt;NYears*12,"",INT($R170/$E170))</f>
        <v/>
      </c>
    </row>
    <row r="171">
      <c r="A171" s="33">
        <f>167</f>
        <v/>
      </c>
      <c r="B171" s="34">
        <f>IF($A171&gt;NYears*12,"",EDATE(StartMonth,$A171-1))</f>
        <v/>
      </c>
      <c r="C171" s="33">
        <f>IF($A171&gt;NYears*12,"",INT(($A171-1)/12)+1)</f>
        <v/>
      </c>
      <c r="D171" s="33">
        <f>IF($A171&gt;NYears*12,"",MOD($A171-1,12)+1)</f>
        <v/>
      </c>
      <c r="E171" s="35">
        <f>IF($A171&gt;NYears*12,"",LotValue0*(1+LotGrowth)^($C171-1))</f>
        <v/>
      </c>
      <c r="F171" s="35">
        <f>IF($A171&gt;NYears*12,"",IF($A171=1,InitInvest,$R170))</f>
        <v/>
      </c>
      <c r="G171" s="33">
        <f>IF($A171&gt;NYears*12,"",INT($F171/$E171))</f>
        <v/>
      </c>
      <c r="H171" s="35">
        <f>IF($A171&gt;NYears*12,"",$G171*$E171)</f>
        <v/>
      </c>
      <c r="I171" s="35">
        <f>IF($A171&gt;NYears*12,"",$F171-$H171)</f>
        <v/>
      </c>
      <c r="J171" s="35">
        <f>IF($A171&gt;NYears*12,"",$H171*RateB)</f>
        <v/>
      </c>
      <c r="K171" s="35">
        <f>IF($A171&gt;NYears*12,"",IF($D171=1,$J171,$K170+$J171))</f>
        <v/>
      </c>
      <c r="L171" s="35">
        <f>IF($A171&gt;NYears*12,"",IF(MOD($D171,3)=0,SUM($J169:$J171),0))</f>
        <v/>
      </c>
      <c r="M171" s="35">
        <f>IF($A171&gt;NYears*12,"",IF(TaxFreq="Quarterly",$K171*12/$D171,$K171))</f>
        <v/>
      </c>
      <c r="N171" s="36">
        <f>IF($A171&gt;NYears*12,"",LOOKUP($M171,TaxLower,TaxRate))</f>
        <v/>
      </c>
      <c r="O171" s="35">
        <f>IF($A171&gt;NYears*12,"",IF(TaxFreq="Quarterly",IF(MOD($D171,3)=0,$L171*$N171,0),IF($D171=12,$K171*$N171,0)))</f>
        <v/>
      </c>
      <c r="P171" s="35">
        <f>IF($A171&gt;NYears*12,"",IF($D171=1,$O171,$P170+$O171))</f>
        <v/>
      </c>
      <c r="Q171" s="35">
        <f>IF($A171&gt;NYears*12,"",IF($D171=12,MIN(WdrPct*IF(WdrBase="Post-tax profit",$K171-$P171,$K171),WdrCap),0))</f>
        <v/>
      </c>
      <c r="R171" s="35">
        <f>IF($A171&gt;NYears*12,"",$F171+$J171-$O171-$Q171)</f>
        <v/>
      </c>
      <c r="S171" s="33">
        <f>IF($A171&gt;NYears*12,"",INT($R171/$E171))</f>
        <v/>
      </c>
    </row>
    <row r="172">
      <c r="A172" s="37">
        <f>168</f>
        <v/>
      </c>
      <c r="B172" s="38">
        <f>IF($A172&gt;NYears*12,"",EDATE(StartMonth,$A172-1))</f>
        <v/>
      </c>
      <c r="C172" s="37">
        <f>IF($A172&gt;NYears*12,"",INT(($A172-1)/12)+1)</f>
        <v/>
      </c>
      <c r="D172" s="37">
        <f>IF($A172&gt;NYears*12,"",MOD($A172-1,12)+1)</f>
        <v/>
      </c>
      <c r="E172" s="39">
        <f>IF($A172&gt;NYears*12,"",LotValue0*(1+LotGrowth)^($C172-1))</f>
        <v/>
      </c>
      <c r="F172" s="39">
        <f>IF($A172&gt;NYears*12,"",IF($A172=1,InitInvest,$R171))</f>
        <v/>
      </c>
      <c r="G172" s="37">
        <f>IF($A172&gt;NYears*12,"",INT($F172/$E172))</f>
        <v/>
      </c>
      <c r="H172" s="39">
        <f>IF($A172&gt;NYears*12,"",$G172*$E172)</f>
        <v/>
      </c>
      <c r="I172" s="39">
        <f>IF($A172&gt;NYears*12,"",$F172-$H172)</f>
        <v/>
      </c>
      <c r="J172" s="39">
        <f>IF($A172&gt;NYears*12,"",$H172*RateB)</f>
        <v/>
      </c>
      <c r="K172" s="39">
        <f>IF($A172&gt;NYears*12,"",IF($D172=1,$J172,$K171+$J172))</f>
        <v/>
      </c>
      <c r="L172" s="39">
        <f>IF($A172&gt;NYears*12,"",IF(MOD($D172,3)=0,SUM($J170:$J172),0))</f>
        <v/>
      </c>
      <c r="M172" s="39">
        <f>IF($A172&gt;NYears*12,"",IF(TaxFreq="Quarterly",$K172*12/$D172,$K172))</f>
        <v/>
      </c>
      <c r="N172" s="40">
        <f>IF($A172&gt;NYears*12,"",LOOKUP($M172,TaxLower,TaxRate))</f>
        <v/>
      </c>
      <c r="O172" s="39">
        <f>IF($A172&gt;NYears*12,"",IF(TaxFreq="Quarterly",IF(MOD($D172,3)=0,$L172*$N172,0),IF($D172=12,$K172*$N172,0)))</f>
        <v/>
      </c>
      <c r="P172" s="39">
        <f>IF($A172&gt;NYears*12,"",IF($D172=1,$O172,$P171+$O172))</f>
        <v/>
      </c>
      <c r="Q172" s="39">
        <f>IF($A172&gt;NYears*12,"",IF($D172=12,MIN(WdrPct*IF(WdrBase="Post-tax profit",$K172-$P172,$K172),WdrCap),0))</f>
        <v/>
      </c>
      <c r="R172" s="39">
        <f>IF($A172&gt;NYears*12,"",$F172+$J172-$O172-$Q172)</f>
        <v/>
      </c>
      <c r="S172" s="37">
        <f>IF($A172&gt;NYears*12,"",INT($R172/$E172))</f>
        <v/>
      </c>
    </row>
    <row r="173">
      <c r="A173" s="33">
        <f>169</f>
        <v/>
      </c>
      <c r="B173" s="34">
        <f>IF($A173&gt;NYears*12,"",EDATE(StartMonth,$A173-1))</f>
        <v/>
      </c>
      <c r="C173" s="33">
        <f>IF($A173&gt;NYears*12,"",INT(($A173-1)/12)+1)</f>
        <v/>
      </c>
      <c r="D173" s="33">
        <f>IF($A173&gt;NYears*12,"",MOD($A173-1,12)+1)</f>
        <v/>
      </c>
      <c r="E173" s="35">
        <f>IF($A173&gt;NYears*12,"",LotValue0*(1+LotGrowth)^($C173-1))</f>
        <v/>
      </c>
      <c r="F173" s="35">
        <f>IF($A173&gt;NYears*12,"",IF($A173=1,InitInvest,$R172))</f>
        <v/>
      </c>
      <c r="G173" s="33">
        <f>IF($A173&gt;NYears*12,"",INT($F173/$E173))</f>
        <v/>
      </c>
      <c r="H173" s="35">
        <f>IF($A173&gt;NYears*12,"",$G173*$E173)</f>
        <v/>
      </c>
      <c r="I173" s="35">
        <f>IF($A173&gt;NYears*12,"",$F173-$H173)</f>
        <v/>
      </c>
      <c r="J173" s="35">
        <f>IF($A173&gt;NYears*12,"",$H173*RateB)</f>
        <v/>
      </c>
      <c r="K173" s="35">
        <f>IF($A173&gt;NYears*12,"",IF($D173=1,$J173,$K172+$J173))</f>
        <v/>
      </c>
      <c r="L173" s="35">
        <f>IF($A173&gt;NYears*12,"",IF(MOD($D173,3)=0,SUM($J171:$J173),0))</f>
        <v/>
      </c>
      <c r="M173" s="35">
        <f>IF($A173&gt;NYears*12,"",IF(TaxFreq="Quarterly",$K173*12/$D173,$K173))</f>
        <v/>
      </c>
      <c r="N173" s="36">
        <f>IF($A173&gt;NYears*12,"",LOOKUP($M173,TaxLower,TaxRate))</f>
        <v/>
      </c>
      <c r="O173" s="35">
        <f>IF($A173&gt;NYears*12,"",IF(TaxFreq="Quarterly",IF(MOD($D173,3)=0,$L173*$N173,0),IF($D173=12,$K173*$N173,0)))</f>
        <v/>
      </c>
      <c r="P173" s="35">
        <f>IF($A173&gt;NYears*12,"",IF($D173=1,$O173,$P172+$O173))</f>
        <v/>
      </c>
      <c r="Q173" s="35">
        <f>IF($A173&gt;NYears*12,"",IF($D173=12,MIN(WdrPct*IF(WdrBase="Post-tax profit",$K173-$P173,$K173),WdrCap),0))</f>
        <v/>
      </c>
      <c r="R173" s="35">
        <f>IF($A173&gt;NYears*12,"",$F173+$J173-$O173-$Q173)</f>
        <v/>
      </c>
      <c r="S173" s="33">
        <f>IF($A173&gt;NYears*12,"",INT($R173/$E173))</f>
        <v/>
      </c>
    </row>
    <row r="174">
      <c r="A174" s="33">
        <f>170</f>
        <v/>
      </c>
      <c r="B174" s="34">
        <f>IF($A174&gt;NYears*12,"",EDATE(StartMonth,$A174-1))</f>
        <v/>
      </c>
      <c r="C174" s="33">
        <f>IF($A174&gt;NYears*12,"",INT(($A174-1)/12)+1)</f>
        <v/>
      </c>
      <c r="D174" s="33">
        <f>IF($A174&gt;NYears*12,"",MOD($A174-1,12)+1)</f>
        <v/>
      </c>
      <c r="E174" s="35">
        <f>IF($A174&gt;NYears*12,"",LotValue0*(1+LotGrowth)^($C174-1))</f>
        <v/>
      </c>
      <c r="F174" s="35">
        <f>IF($A174&gt;NYears*12,"",IF($A174=1,InitInvest,$R173))</f>
        <v/>
      </c>
      <c r="G174" s="33">
        <f>IF($A174&gt;NYears*12,"",INT($F174/$E174))</f>
        <v/>
      </c>
      <c r="H174" s="35">
        <f>IF($A174&gt;NYears*12,"",$G174*$E174)</f>
        <v/>
      </c>
      <c r="I174" s="35">
        <f>IF($A174&gt;NYears*12,"",$F174-$H174)</f>
        <v/>
      </c>
      <c r="J174" s="35">
        <f>IF($A174&gt;NYears*12,"",$H174*RateB)</f>
        <v/>
      </c>
      <c r="K174" s="35">
        <f>IF($A174&gt;NYears*12,"",IF($D174=1,$J174,$K173+$J174))</f>
        <v/>
      </c>
      <c r="L174" s="35">
        <f>IF($A174&gt;NYears*12,"",IF(MOD($D174,3)=0,SUM($J172:$J174),0))</f>
        <v/>
      </c>
      <c r="M174" s="35">
        <f>IF($A174&gt;NYears*12,"",IF(TaxFreq="Quarterly",$K174*12/$D174,$K174))</f>
        <v/>
      </c>
      <c r="N174" s="36">
        <f>IF($A174&gt;NYears*12,"",LOOKUP($M174,TaxLower,TaxRate))</f>
        <v/>
      </c>
      <c r="O174" s="35">
        <f>IF($A174&gt;NYears*12,"",IF(TaxFreq="Quarterly",IF(MOD($D174,3)=0,$L174*$N174,0),IF($D174=12,$K174*$N174,0)))</f>
        <v/>
      </c>
      <c r="P174" s="35">
        <f>IF($A174&gt;NYears*12,"",IF($D174=1,$O174,$P173+$O174))</f>
        <v/>
      </c>
      <c r="Q174" s="35">
        <f>IF($A174&gt;NYears*12,"",IF($D174=12,MIN(WdrPct*IF(WdrBase="Post-tax profit",$K174-$P174,$K174),WdrCap),0))</f>
        <v/>
      </c>
      <c r="R174" s="35">
        <f>IF($A174&gt;NYears*12,"",$F174+$J174-$O174-$Q174)</f>
        <v/>
      </c>
      <c r="S174" s="33">
        <f>IF($A174&gt;NYears*12,"",INT($R174/$E174))</f>
        <v/>
      </c>
    </row>
    <row r="175">
      <c r="A175" s="33">
        <f>171</f>
        <v/>
      </c>
      <c r="B175" s="34">
        <f>IF($A175&gt;NYears*12,"",EDATE(StartMonth,$A175-1))</f>
        <v/>
      </c>
      <c r="C175" s="33">
        <f>IF($A175&gt;NYears*12,"",INT(($A175-1)/12)+1)</f>
        <v/>
      </c>
      <c r="D175" s="33">
        <f>IF($A175&gt;NYears*12,"",MOD($A175-1,12)+1)</f>
        <v/>
      </c>
      <c r="E175" s="35">
        <f>IF($A175&gt;NYears*12,"",LotValue0*(1+LotGrowth)^($C175-1))</f>
        <v/>
      </c>
      <c r="F175" s="35">
        <f>IF($A175&gt;NYears*12,"",IF($A175=1,InitInvest,$R174))</f>
        <v/>
      </c>
      <c r="G175" s="33">
        <f>IF($A175&gt;NYears*12,"",INT($F175/$E175))</f>
        <v/>
      </c>
      <c r="H175" s="35">
        <f>IF($A175&gt;NYears*12,"",$G175*$E175)</f>
        <v/>
      </c>
      <c r="I175" s="35">
        <f>IF($A175&gt;NYears*12,"",$F175-$H175)</f>
        <v/>
      </c>
      <c r="J175" s="35">
        <f>IF($A175&gt;NYears*12,"",$H175*RateB)</f>
        <v/>
      </c>
      <c r="K175" s="35">
        <f>IF($A175&gt;NYears*12,"",IF($D175=1,$J175,$K174+$J175))</f>
        <v/>
      </c>
      <c r="L175" s="35">
        <f>IF($A175&gt;NYears*12,"",IF(MOD($D175,3)=0,SUM($J173:$J175),0))</f>
        <v/>
      </c>
      <c r="M175" s="35">
        <f>IF($A175&gt;NYears*12,"",IF(TaxFreq="Quarterly",$K175*12/$D175,$K175))</f>
        <v/>
      </c>
      <c r="N175" s="36">
        <f>IF($A175&gt;NYears*12,"",LOOKUP($M175,TaxLower,TaxRate))</f>
        <v/>
      </c>
      <c r="O175" s="35">
        <f>IF($A175&gt;NYears*12,"",IF(TaxFreq="Quarterly",IF(MOD($D175,3)=0,$L175*$N175,0),IF($D175=12,$K175*$N175,0)))</f>
        <v/>
      </c>
      <c r="P175" s="35">
        <f>IF($A175&gt;NYears*12,"",IF($D175=1,$O175,$P174+$O175))</f>
        <v/>
      </c>
      <c r="Q175" s="35">
        <f>IF($A175&gt;NYears*12,"",IF($D175=12,MIN(WdrPct*IF(WdrBase="Post-tax profit",$K175-$P175,$K175),WdrCap),0))</f>
        <v/>
      </c>
      <c r="R175" s="35">
        <f>IF($A175&gt;NYears*12,"",$F175+$J175-$O175-$Q175)</f>
        <v/>
      </c>
      <c r="S175" s="33">
        <f>IF($A175&gt;NYears*12,"",INT($R175/$E175))</f>
        <v/>
      </c>
    </row>
    <row r="176">
      <c r="A176" s="33">
        <f>172</f>
        <v/>
      </c>
      <c r="B176" s="34">
        <f>IF($A176&gt;NYears*12,"",EDATE(StartMonth,$A176-1))</f>
        <v/>
      </c>
      <c r="C176" s="33">
        <f>IF($A176&gt;NYears*12,"",INT(($A176-1)/12)+1)</f>
        <v/>
      </c>
      <c r="D176" s="33">
        <f>IF($A176&gt;NYears*12,"",MOD($A176-1,12)+1)</f>
        <v/>
      </c>
      <c r="E176" s="35">
        <f>IF($A176&gt;NYears*12,"",LotValue0*(1+LotGrowth)^($C176-1))</f>
        <v/>
      </c>
      <c r="F176" s="35">
        <f>IF($A176&gt;NYears*12,"",IF($A176=1,InitInvest,$R175))</f>
        <v/>
      </c>
      <c r="G176" s="33">
        <f>IF($A176&gt;NYears*12,"",INT($F176/$E176))</f>
        <v/>
      </c>
      <c r="H176" s="35">
        <f>IF($A176&gt;NYears*12,"",$G176*$E176)</f>
        <v/>
      </c>
      <c r="I176" s="35">
        <f>IF($A176&gt;NYears*12,"",$F176-$H176)</f>
        <v/>
      </c>
      <c r="J176" s="35">
        <f>IF($A176&gt;NYears*12,"",$H176*RateB)</f>
        <v/>
      </c>
      <c r="K176" s="35">
        <f>IF($A176&gt;NYears*12,"",IF($D176=1,$J176,$K175+$J176))</f>
        <v/>
      </c>
      <c r="L176" s="35">
        <f>IF($A176&gt;NYears*12,"",IF(MOD($D176,3)=0,SUM($J174:$J176),0))</f>
        <v/>
      </c>
      <c r="M176" s="35">
        <f>IF($A176&gt;NYears*12,"",IF(TaxFreq="Quarterly",$K176*12/$D176,$K176))</f>
        <v/>
      </c>
      <c r="N176" s="36">
        <f>IF($A176&gt;NYears*12,"",LOOKUP($M176,TaxLower,TaxRate))</f>
        <v/>
      </c>
      <c r="O176" s="35">
        <f>IF($A176&gt;NYears*12,"",IF(TaxFreq="Quarterly",IF(MOD($D176,3)=0,$L176*$N176,0),IF($D176=12,$K176*$N176,0)))</f>
        <v/>
      </c>
      <c r="P176" s="35">
        <f>IF($A176&gt;NYears*12,"",IF($D176=1,$O176,$P175+$O176))</f>
        <v/>
      </c>
      <c r="Q176" s="35">
        <f>IF($A176&gt;NYears*12,"",IF($D176=12,MIN(WdrPct*IF(WdrBase="Post-tax profit",$K176-$P176,$K176),WdrCap),0))</f>
        <v/>
      </c>
      <c r="R176" s="35">
        <f>IF($A176&gt;NYears*12,"",$F176+$J176-$O176-$Q176)</f>
        <v/>
      </c>
      <c r="S176" s="33">
        <f>IF($A176&gt;NYears*12,"",INT($R176/$E176))</f>
        <v/>
      </c>
    </row>
    <row r="177">
      <c r="A177" s="33">
        <f>173</f>
        <v/>
      </c>
      <c r="B177" s="34">
        <f>IF($A177&gt;NYears*12,"",EDATE(StartMonth,$A177-1))</f>
        <v/>
      </c>
      <c r="C177" s="33">
        <f>IF($A177&gt;NYears*12,"",INT(($A177-1)/12)+1)</f>
        <v/>
      </c>
      <c r="D177" s="33">
        <f>IF($A177&gt;NYears*12,"",MOD($A177-1,12)+1)</f>
        <v/>
      </c>
      <c r="E177" s="35">
        <f>IF($A177&gt;NYears*12,"",LotValue0*(1+LotGrowth)^($C177-1))</f>
        <v/>
      </c>
      <c r="F177" s="35">
        <f>IF($A177&gt;NYears*12,"",IF($A177=1,InitInvest,$R176))</f>
        <v/>
      </c>
      <c r="G177" s="33">
        <f>IF($A177&gt;NYears*12,"",INT($F177/$E177))</f>
        <v/>
      </c>
      <c r="H177" s="35">
        <f>IF($A177&gt;NYears*12,"",$G177*$E177)</f>
        <v/>
      </c>
      <c r="I177" s="35">
        <f>IF($A177&gt;NYears*12,"",$F177-$H177)</f>
        <v/>
      </c>
      <c r="J177" s="35">
        <f>IF($A177&gt;NYears*12,"",$H177*RateB)</f>
        <v/>
      </c>
      <c r="K177" s="35">
        <f>IF($A177&gt;NYears*12,"",IF($D177=1,$J177,$K176+$J177))</f>
        <v/>
      </c>
      <c r="L177" s="35">
        <f>IF($A177&gt;NYears*12,"",IF(MOD($D177,3)=0,SUM($J175:$J177),0))</f>
        <v/>
      </c>
      <c r="M177" s="35">
        <f>IF($A177&gt;NYears*12,"",IF(TaxFreq="Quarterly",$K177*12/$D177,$K177))</f>
        <v/>
      </c>
      <c r="N177" s="36">
        <f>IF($A177&gt;NYears*12,"",LOOKUP($M177,TaxLower,TaxRate))</f>
        <v/>
      </c>
      <c r="O177" s="35">
        <f>IF($A177&gt;NYears*12,"",IF(TaxFreq="Quarterly",IF(MOD($D177,3)=0,$L177*$N177,0),IF($D177=12,$K177*$N177,0)))</f>
        <v/>
      </c>
      <c r="P177" s="35">
        <f>IF($A177&gt;NYears*12,"",IF($D177=1,$O177,$P176+$O177))</f>
        <v/>
      </c>
      <c r="Q177" s="35">
        <f>IF($A177&gt;NYears*12,"",IF($D177=12,MIN(WdrPct*IF(WdrBase="Post-tax profit",$K177-$P177,$K177),WdrCap),0))</f>
        <v/>
      </c>
      <c r="R177" s="35">
        <f>IF($A177&gt;NYears*12,"",$F177+$J177-$O177-$Q177)</f>
        <v/>
      </c>
      <c r="S177" s="33">
        <f>IF($A177&gt;NYears*12,"",INT($R177/$E177))</f>
        <v/>
      </c>
    </row>
    <row r="178">
      <c r="A178" s="33">
        <f>174</f>
        <v/>
      </c>
      <c r="B178" s="34">
        <f>IF($A178&gt;NYears*12,"",EDATE(StartMonth,$A178-1))</f>
        <v/>
      </c>
      <c r="C178" s="33">
        <f>IF($A178&gt;NYears*12,"",INT(($A178-1)/12)+1)</f>
        <v/>
      </c>
      <c r="D178" s="33">
        <f>IF($A178&gt;NYears*12,"",MOD($A178-1,12)+1)</f>
        <v/>
      </c>
      <c r="E178" s="35">
        <f>IF($A178&gt;NYears*12,"",LotValue0*(1+LotGrowth)^($C178-1))</f>
        <v/>
      </c>
      <c r="F178" s="35">
        <f>IF($A178&gt;NYears*12,"",IF($A178=1,InitInvest,$R177))</f>
        <v/>
      </c>
      <c r="G178" s="33">
        <f>IF($A178&gt;NYears*12,"",INT($F178/$E178))</f>
        <v/>
      </c>
      <c r="H178" s="35">
        <f>IF($A178&gt;NYears*12,"",$G178*$E178)</f>
        <v/>
      </c>
      <c r="I178" s="35">
        <f>IF($A178&gt;NYears*12,"",$F178-$H178)</f>
        <v/>
      </c>
      <c r="J178" s="35">
        <f>IF($A178&gt;NYears*12,"",$H178*RateB)</f>
        <v/>
      </c>
      <c r="K178" s="35">
        <f>IF($A178&gt;NYears*12,"",IF($D178=1,$J178,$K177+$J178))</f>
        <v/>
      </c>
      <c r="L178" s="35">
        <f>IF($A178&gt;NYears*12,"",IF(MOD($D178,3)=0,SUM($J176:$J178),0))</f>
        <v/>
      </c>
      <c r="M178" s="35">
        <f>IF($A178&gt;NYears*12,"",IF(TaxFreq="Quarterly",$K178*12/$D178,$K178))</f>
        <v/>
      </c>
      <c r="N178" s="36">
        <f>IF($A178&gt;NYears*12,"",LOOKUP($M178,TaxLower,TaxRate))</f>
        <v/>
      </c>
      <c r="O178" s="35">
        <f>IF($A178&gt;NYears*12,"",IF(TaxFreq="Quarterly",IF(MOD($D178,3)=0,$L178*$N178,0),IF($D178=12,$K178*$N178,0)))</f>
        <v/>
      </c>
      <c r="P178" s="35">
        <f>IF($A178&gt;NYears*12,"",IF($D178=1,$O178,$P177+$O178))</f>
        <v/>
      </c>
      <c r="Q178" s="35">
        <f>IF($A178&gt;NYears*12,"",IF($D178=12,MIN(WdrPct*IF(WdrBase="Post-tax profit",$K178-$P178,$K178),WdrCap),0))</f>
        <v/>
      </c>
      <c r="R178" s="35">
        <f>IF($A178&gt;NYears*12,"",$F178+$J178-$O178-$Q178)</f>
        <v/>
      </c>
      <c r="S178" s="33">
        <f>IF($A178&gt;NYears*12,"",INT($R178/$E178))</f>
        <v/>
      </c>
    </row>
    <row r="179">
      <c r="A179" s="33">
        <f>175</f>
        <v/>
      </c>
      <c r="B179" s="34">
        <f>IF($A179&gt;NYears*12,"",EDATE(StartMonth,$A179-1))</f>
        <v/>
      </c>
      <c r="C179" s="33">
        <f>IF($A179&gt;NYears*12,"",INT(($A179-1)/12)+1)</f>
        <v/>
      </c>
      <c r="D179" s="33">
        <f>IF($A179&gt;NYears*12,"",MOD($A179-1,12)+1)</f>
        <v/>
      </c>
      <c r="E179" s="35">
        <f>IF($A179&gt;NYears*12,"",LotValue0*(1+LotGrowth)^($C179-1))</f>
        <v/>
      </c>
      <c r="F179" s="35">
        <f>IF($A179&gt;NYears*12,"",IF($A179=1,InitInvest,$R178))</f>
        <v/>
      </c>
      <c r="G179" s="33">
        <f>IF($A179&gt;NYears*12,"",INT($F179/$E179))</f>
        <v/>
      </c>
      <c r="H179" s="35">
        <f>IF($A179&gt;NYears*12,"",$G179*$E179)</f>
        <v/>
      </c>
      <c r="I179" s="35">
        <f>IF($A179&gt;NYears*12,"",$F179-$H179)</f>
        <v/>
      </c>
      <c r="J179" s="35">
        <f>IF($A179&gt;NYears*12,"",$H179*RateB)</f>
        <v/>
      </c>
      <c r="K179" s="35">
        <f>IF($A179&gt;NYears*12,"",IF($D179=1,$J179,$K178+$J179))</f>
        <v/>
      </c>
      <c r="L179" s="35">
        <f>IF($A179&gt;NYears*12,"",IF(MOD($D179,3)=0,SUM($J177:$J179),0))</f>
        <v/>
      </c>
      <c r="M179" s="35">
        <f>IF($A179&gt;NYears*12,"",IF(TaxFreq="Quarterly",$K179*12/$D179,$K179))</f>
        <v/>
      </c>
      <c r="N179" s="36">
        <f>IF($A179&gt;NYears*12,"",LOOKUP($M179,TaxLower,TaxRate))</f>
        <v/>
      </c>
      <c r="O179" s="35">
        <f>IF($A179&gt;NYears*12,"",IF(TaxFreq="Quarterly",IF(MOD($D179,3)=0,$L179*$N179,0),IF($D179=12,$K179*$N179,0)))</f>
        <v/>
      </c>
      <c r="P179" s="35">
        <f>IF($A179&gt;NYears*12,"",IF($D179=1,$O179,$P178+$O179))</f>
        <v/>
      </c>
      <c r="Q179" s="35">
        <f>IF($A179&gt;NYears*12,"",IF($D179=12,MIN(WdrPct*IF(WdrBase="Post-tax profit",$K179-$P179,$K179),WdrCap),0))</f>
        <v/>
      </c>
      <c r="R179" s="35">
        <f>IF($A179&gt;NYears*12,"",$F179+$J179-$O179-$Q179)</f>
        <v/>
      </c>
      <c r="S179" s="33">
        <f>IF($A179&gt;NYears*12,"",INT($R179/$E179))</f>
        <v/>
      </c>
    </row>
    <row r="180">
      <c r="A180" s="33">
        <f>176</f>
        <v/>
      </c>
      <c r="B180" s="34">
        <f>IF($A180&gt;NYears*12,"",EDATE(StartMonth,$A180-1))</f>
        <v/>
      </c>
      <c r="C180" s="33">
        <f>IF($A180&gt;NYears*12,"",INT(($A180-1)/12)+1)</f>
        <v/>
      </c>
      <c r="D180" s="33">
        <f>IF($A180&gt;NYears*12,"",MOD($A180-1,12)+1)</f>
        <v/>
      </c>
      <c r="E180" s="35">
        <f>IF($A180&gt;NYears*12,"",LotValue0*(1+LotGrowth)^($C180-1))</f>
        <v/>
      </c>
      <c r="F180" s="35">
        <f>IF($A180&gt;NYears*12,"",IF($A180=1,InitInvest,$R179))</f>
        <v/>
      </c>
      <c r="G180" s="33">
        <f>IF($A180&gt;NYears*12,"",INT($F180/$E180))</f>
        <v/>
      </c>
      <c r="H180" s="35">
        <f>IF($A180&gt;NYears*12,"",$G180*$E180)</f>
        <v/>
      </c>
      <c r="I180" s="35">
        <f>IF($A180&gt;NYears*12,"",$F180-$H180)</f>
        <v/>
      </c>
      <c r="J180" s="35">
        <f>IF($A180&gt;NYears*12,"",$H180*RateB)</f>
        <v/>
      </c>
      <c r="K180" s="35">
        <f>IF($A180&gt;NYears*12,"",IF($D180=1,$J180,$K179+$J180))</f>
        <v/>
      </c>
      <c r="L180" s="35">
        <f>IF($A180&gt;NYears*12,"",IF(MOD($D180,3)=0,SUM($J178:$J180),0))</f>
        <v/>
      </c>
      <c r="M180" s="35">
        <f>IF($A180&gt;NYears*12,"",IF(TaxFreq="Quarterly",$K180*12/$D180,$K180))</f>
        <v/>
      </c>
      <c r="N180" s="36">
        <f>IF($A180&gt;NYears*12,"",LOOKUP($M180,TaxLower,TaxRate))</f>
        <v/>
      </c>
      <c r="O180" s="35">
        <f>IF($A180&gt;NYears*12,"",IF(TaxFreq="Quarterly",IF(MOD($D180,3)=0,$L180*$N180,0),IF($D180=12,$K180*$N180,0)))</f>
        <v/>
      </c>
      <c r="P180" s="35">
        <f>IF($A180&gt;NYears*12,"",IF($D180=1,$O180,$P179+$O180))</f>
        <v/>
      </c>
      <c r="Q180" s="35">
        <f>IF($A180&gt;NYears*12,"",IF($D180=12,MIN(WdrPct*IF(WdrBase="Post-tax profit",$K180-$P180,$K180),WdrCap),0))</f>
        <v/>
      </c>
      <c r="R180" s="35">
        <f>IF($A180&gt;NYears*12,"",$F180+$J180-$O180-$Q180)</f>
        <v/>
      </c>
      <c r="S180" s="33">
        <f>IF($A180&gt;NYears*12,"",INT($R180/$E180))</f>
        <v/>
      </c>
    </row>
    <row r="181">
      <c r="A181" s="33">
        <f>177</f>
        <v/>
      </c>
      <c r="B181" s="34">
        <f>IF($A181&gt;NYears*12,"",EDATE(StartMonth,$A181-1))</f>
        <v/>
      </c>
      <c r="C181" s="33">
        <f>IF($A181&gt;NYears*12,"",INT(($A181-1)/12)+1)</f>
        <v/>
      </c>
      <c r="D181" s="33">
        <f>IF($A181&gt;NYears*12,"",MOD($A181-1,12)+1)</f>
        <v/>
      </c>
      <c r="E181" s="35">
        <f>IF($A181&gt;NYears*12,"",LotValue0*(1+LotGrowth)^($C181-1))</f>
        <v/>
      </c>
      <c r="F181" s="35">
        <f>IF($A181&gt;NYears*12,"",IF($A181=1,InitInvest,$R180))</f>
        <v/>
      </c>
      <c r="G181" s="33">
        <f>IF($A181&gt;NYears*12,"",INT($F181/$E181))</f>
        <v/>
      </c>
      <c r="H181" s="35">
        <f>IF($A181&gt;NYears*12,"",$G181*$E181)</f>
        <v/>
      </c>
      <c r="I181" s="35">
        <f>IF($A181&gt;NYears*12,"",$F181-$H181)</f>
        <v/>
      </c>
      <c r="J181" s="35">
        <f>IF($A181&gt;NYears*12,"",$H181*RateB)</f>
        <v/>
      </c>
      <c r="K181" s="35">
        <f>IF($A181&gt;NYears*12,"",IF($D181=1,$J181,$K180+$J181))</f>
        <v/>
      </c>
      <c r="L181" s="35">
        <f>IF($A181&gt;NYears*12,"",IF(MOD($D181,3)=0,SUM($J179:$J181),0))</f>
        <v/>
      </c>
      <c r="M181" s="35">
        <f>IF($A181&gt;NYears*12,"",IF(TaxFreq="Quarterly",$K181*12/$D181,$K181))</f>
        <v/>
      </c>
      <c r="N181" s="36">
        <f>IF($A181&gt;NYears*12,"",LOOKUP($M181,TaxLower,TaxRate))</f>
        <v/>
      </c>
      <c r="O181" s="35">
        <f>IF($A181&gt;NYears*12,"",IF(TaxFreq="Quarterly",IF(MOD($D181,3)=0,$L181*$N181,0),IF($D181=12,$K181*$N181,0)))</f>
        <v/>
      </c>
      <c r="P181" s="35">
        <f>IF($A181&gt;NYears*12,"",IF($D181=1,$O181,$P180+$O181))</f>
        <v/>
      </c>
      <c r="Q181" s="35">
        <f>IF($A181&gt;NYears*12,"",IF($D181=12,MIN(WdrPct*IF(WdrBase="Post-tax profit",$K181-$P181,$K181),WdrCap),0))</f>
        <v/>
      </c>
      <c r="R181" s="35">
        <f>IF($A181&gt;NYears*12,"",$F181+$J181-$O181-$Q181)</f>
        <v/>
      </c>
      <c r="S181" s="33">
        <f>IF($A181&gt;NYears*12,"",INT($R181/$E181))</f>
        <v/>
      </c>
    </row>
    <row r="182">
      <c r="A182" s="33">
        <f>178</f>
        <v/>
      </c>
      <c r="B182" s="34">
        <f>IF($A182&gt;NYears*12,"",EDATE(StartMonth,$A182-1))</f>
        <v/>
      </c>
      <c r="C182" s="33">
        <f>IF($A182&gt;NYears*12,"",INT(($A182-1)/12)+1)</f>
        <v/>
      </c>
      <c r="D182" s="33">
        <f>IF($A182&gt;NYears*12,"",MOD($A182-1,12)+1)</f>
        <v/>
      </c>
      <c r="E182" s="35">
        <f>IF($A182&gt;NYears*12,"",LotValue0*(1+LotGrowth)^($C182-1))</f>
        <v/>
      </c>
      <c r="F182" s="35">
        <f>IF($A182&gt;NYears*12,"",IF($A182=1,InitInvest,$R181))</f>
        <v/>
      </c>
      <c r="G182" s="33">
        <f>IF($A182&gt;NYears*12,"",INT($F182/$E182))</f>
        <v/>
      </c>
      <c r="H182" s="35">
        <f>IF($A182&gt;NYears*12,"",$G182*$E182)</f>
        <v/>
      </c>
      <c r="I182" s="35">
        <f>IF($A182&gt;NYears*12,"",$F182-$H182)</f>
        <v/>
      </c>
      <c r="J182" s="35">
        <f>IF($A182&gt;NYears*12,"",$H182*RateB)</f>
        <v/>
      </c>
      <c r="K182" s="35">
        <f>IF($A182&gt;NYears*12,"",IF($D182=1,$J182,$K181+$J182))</f>
        <v/>
      </c>
      <c r="L182" s="35">
        <f>IF($A182&gt;NYears*12,"",IF(MOD($D182,3)=0,SUM($J180:$J182),0))</f>
        <v/>
      </c>
      <c r="M182" s="35">
        <f>IF($A182&gt;NYears*12,"",IF(TaxFreq="Quarterly",$K182*12/$D182,$K182))</f>
        <v/>
      </c>
      <c r="N182" s="36">
        <f>IF($A182&gt;NYears*12,"",LOOKUP($M182,TaxLower,TaxRate))</f>
        <v/>
      </c>
      <c r="O182" s="35">
        <f>IF($A182&gt;NYears*12,"",IF(TaxFreq="Quarterly",IF(MOD($D182,3)=0,$L182*$N182,0),IF($D182=12,$K182*$N182,0)))</f>
        <v/>
      </c>
      <c r="P182" s="35">
        <f>IF($A182&gt;NYears*12,"",IF($D182=1,$O182,$P181+$O182))</f>
        <v/>
      </c>
      <c r="Q182" s="35">
        <f>IF($A182&gt;NYears*12,"",IF($D182=12,MIN(WdrPct*IF(WdrBase="Post-tax profit",$K182-$P182,$K182),WdrCap),0))</f>
        <v/>
      </c>
      <c r="R182" s="35">
        <f>IF($A182&gt;NYears*12,"",$F182+$J182-$O182-$Q182)</f>
        <v/>
      </c>
      <c r="S182" s="33">
        <f>IF($A182&gt;NYears*12,"",INT($R182/$E182))</f>
        <v/>
      </c>
    </row>
    <row r="183">
      <c r="A183" s="33">
        <f>179</f>
        <v/>
      </c>
      <c r="B183" s="34">
        <f>IF($A183&gt;NYears*12,"",EDATE(StartMonth,$A183-1))</f>
        <v/>
      </c>
      <c r="C183" s="33">
        <f>IF($A183&gt;NYears*12,"",INT(($A183-1)/12)+1)</f>
        <v/>
      </c>
      <c r="D183" s="33">
        <f>IF($A183&gt;NYears*12,"",MOD($A183-1,12)+1)</f>
        <v/>
      </c>
      <c r="E183" s="35">
        <f>IF($A183&gt;NYears*12,"",LotValue0*(1+LotGrowth)^($C183-1))</f>
        <v/>
      </c>
      <c r="F183" s="35">
        <f>IF($A183&gt;NYears*12,"",IF($A183=1,InitInvest,$R182))</f>
        <v/>
      </c>
      <c r="G183" s="33">
        <f>IF($A183&gt;NYears*12,"",INT($F183/$E183))</f>
        <v/>
      </c>
      <c r="H183" s="35">
        <f>IF($A183&gt;NYears*12,"",$G183*$E183)</f>
        <v/>
      </c>
      <c r="I183" s="35">
        <f>IF($A183&gt;NYears*12,"",$F183-$H183)</f>
        <v/>
      </c>
      <c r="J183" s="35">
        <f>IF($A183&gt;NYears*12,"",$H183*RateB)</f>
        <v/>
      </c>
      <c r="K183" s="35">
        <f>IF($A183&gt;NYears*12,"",IF($D183=1,$J183,$K182+$J183))</f>
        <v/>
      </c>
      <c r="L183" s="35">
        <f>IF($A183&gt;NYears*12,"",IF(MOD($D183,3)=0,SUM($J181:$J183),0))</f>
        <v/>
      </c>
      <c r="M183" s="35">
        <f>IF($A183&gt;NYears*12,"",IF(TaxFreq="Quarterly",$K183*12/$D183,$K183))</f>
        <v/>
      </c>
      <c r="N183" s="36">
        <f>IF($A183&gt;NYears*12,"",LOOKUP($M183,TaxLower,TaxRate))</f>
        <v/>
      </c>
      <c r="O183" s="35">
        <f>IF($A183&gt;NYears*12,"",IF(TaxFreq="Quarterly",IF(MOD($D183,3)=0,$L183*$N183,0),IF($D183=12,$K183*$N183,0)))</f>
        <v/>
      </c>
      <c r="P183" s="35">
        <f>IF($A183&gt;NYears*12,"",IF($D183=1,$O183,$P182+$O183))</f>
        <v/>
      </c>
      <c r="Q183" s="35">
        <f>IF($A183&gt;NYears*12,"",IF($D183=12,MIN(WdrPct*IF(WdrBase="Post-tax profit",$K183-$P183,$K183),WdrCap),0))</f>
        <v/>
      </c>
      <c r="R183" s="35">
        <f>IF($A183&gt;NYears*12,"",$F183+$J183-$O183-$Q183)</f>
        <v/>
      </c>
      <c r="S183" s="33">
        <f>IF($A183&gt;NYears*12,"",INT($R183/$E183))</f>
        <v/>
      </c>
    </row>
    <row r="184">
      <c r="A184" s="37">
        <f>180</f>
        <v/>
      </c>
      <c r="B184" s="38">
        <f>IF($A184&gt;NYears*12,"",EDATE(StartMonth,$A184-1))</f>
        <v/>
      </c>
      <c r="C184" s="37">
        <f>IF($A184&gt;NYears*12,"",INT(($A184-1)/12)+1)</f>
        <v/>
      </c>
      <c r="D184" s="37">
        <f>IF($A184&gt;NYears*12,"",MOD($A184-1,12)+1)</f>
        <v/>
      </c>
      <c r="E184" s="39">
        <f>IF($A184&gt;NYears*12,"",LotValue0*(1+LotGrowth)^($C184-1))</f>
        <v/>
      </c>
      <c r="F184" s="39">
        <f>IF($A184&gt;NYears*12,"",IF($A184=1,InitInvest,$R183))</f>
        <v/>
      </c>
      <c r="G184" s="37">
        <f>IF($A184&gt;NYears*12,"",INT($F184/$E184))</f>
        <v/>
      </c>
      <c r="H184" s="39">
        <f>IF($A184&gt;NYears*12,"",$G184*$E184)</f>
        <v/>
      </c>
      <c r="I184" s="39">
        <f>IF($A184&gt;NYears*12,"",$F184-$H184)</f>
        <v/>
      </c>
      <c r="J184" s="39">
        <f>IF($A184&gt;NYears*12,"",$H184*RateB)</f>
        <v/>
      </c>
      <c r="K184" s="39">
        <f>IF($A184&gt;NYears*12,"",IF($D184=1,$J184,$K183+$J184))</f>
        <v/>
      </c>
      <c r="L184" s="39">
        <f>IF($A184&gt;NYears*12,"",IF(MOD($D184,3)=0,SUM($J182:$J184),0))</f>
        <v/>
      </c>
      <c r="M184" s="39">
        <f>IF($A184&gt;NYears*12,"",IF(TaxFreq="Quarterly",$K184*12/$D184,$K184))</f>
        <v/>
      </c>
      <c r="N184" s="40">
        <f>IF($A184&gt;NYears*12,"",LOOKUP($M184,TaxLower,TaxRate))</f>
        <v/>
      </c>
      <c r="O184" s="39">
        <f>IF($A184&gt;NYears*12,"",IF(TaxFreq="Quarterly",IF(MOD($D184,3)=0,$L184*$N184,0),IF($D184=12,$K184*$N184,0)))</f>
        <v/>
      </c>
      <c r="P184" s="39">
        <f>IF($A184&gt;NYears*12,"",IF($D184=1,$O184,$P183+$O184))</f>
        <v/>
      </c>
      <c r="Q184" s="39">
        <f>IF($A184&gt;NYears*12,"",IF($D184=12,MIN(WdrPct*IF(WdrBase="Post-tax profit",$K184-$P184,$K184),WdrCap),0))</f>
        <v/>
      </c>
      <c r="R184" s="39">
        <f>IF($A184&gt;NYears*12,"",$F184+$J184-$O184-$Q184)</f>
        <v/>
      </c>
      <c r="S184" s="37">
        <f>IF($A184&gt;NYears*12,"",INT($R184/$E184))</f>
        <v/>
      </c>
    </row>
    <row r="185">
      <c r="A185" s="33">
        <f>181</f>
        <v/>
      </c>
      <c r="B185" s="34">
        <f>IF($A185&gt;NYears*12,"",EDATE(StartMonth,$A185-1))</f>
        <v/>
      </c>
      <c r="C185" s="33">
        <f>IF($A185&gt;NYears*12,"",INT(($A185-1)/12)+1)</f>
        <v/>
      </c>
      <c r="D185" s="33">
        <f>IF($A185&gt;NYears*12,"",MOD($A185-1,12)+1)</f>
        <v/>
      </c>
      <c r="E185" s="35">
        <f>IF($A185&gt;NYears*12,"",LotValue0*(1+LotGrowth)^($C185-1))</f>
        <v/>
      </c>
      <c r="F185" s="35">
        <f>IF($A185&gt;NYears*12,"",IF($A185=1,InitInvest,$R184))</f>
        <v/>
      </c>
      <c r="G185" s="33">
        <f>IF($A185&gt;NYears*12,"",INT($F185/$E185))</f>
        <v/>
      </c>
      <c r="H185" s="35">
        <f>IF($A185&gt;NYears*12,"",$G185*$E185)</f>
        <v/>
      </c>
      <c r="I185" s="35">
        <f>IF($A185&gt;NYears*12,"",$F185-$H185)</f>
        <v/>
      </c>
      <c r="J185" s="35">
        <f>IF($A185&gt;NYears*12,"",$H185*RateB)</f>
        <v/>
      </c>
      <c r="K185" s="35">
        <f>IF($A185&gt;NYears*12,"",IF($D185=1,$J185,$K184+$J185))</f>
        <v/>
      </c>
      <c r="L185" s="35">
        <f>IF($A185&gt;NYears*12,"",IF(MOD($D185,3)=0,SUM($J183:$J185),0))</f>
        <v/>
      </c>
      <c r="M185" s="35">
        <f>IF($A185&gt;NYears*12,"",IF(TaxFreq="Quarterly",$K185*12/$D185,$K185))</f>
        <v/>
      </c>
      <c r="N185" s="36">
        <f>IF($A185&gt;NYears*12,"",LOOKUP($M185,TaxLower,TaxRate))</f>
        <v/>
      </c>
      <c r="O185" s="35">
        <f>IF($A185&gt;NYears*12,"",IF(TaxFreq="Quarterly",IF(MOD($D185,3)=0,$L185*$N185,0),IF($D185=12,$K185*$N185,0)))</f>
        <v/>
      </c>
      <c r="P185" s="35">
        <f>IF($A185&gt;NYears*12,"",IF($D185=1,$O185,$P184+$O185))</f>
        <v/>
      </c>
      <c r="Q185" s="35">
        <f>IF($A185&gt;NYears*12,"",IF($D185=12,MIN(WdrPct*IF(WdrBase="Post-tax profit",$K185-$P185,$K185),WdrCap),0))</f>
        <v/>
      </c>
      <c r="R185" s="35">
        <f>IF($A185&gt;NYears*12,"",$F185+$J185-$O185-$Q185)</f>
        <v/>
      </c>
      <c r="S185" s="33">
        <f>IF($A185&gt;NYears*12,"",INT($R185/$E185))</f>
        <v/>
      </c>
    </row>
    <row r="186">
      <c r="A186" s="33">
        <f>182</f>
        <v/>
      </c>
      <c r="B186" s="34">
        <f>IF($A186&gt;NYears*12,"",EDATE(StartMonth,$A186-1))</f>
        <v/>
      </c>
      <c r="C186" s="33">
        <f>IF($A186&gt;NYears*12,"",INT(($A186-1)/12)+1)</f>
        <v/>
      </c>
      <c r="D186" s="33">
        <f>IF($A186&gt;NYears*12,"",MOD($A186-1,12)+1)</f>
        <v/>
      </c>
      <c r="E186" s="35">
        <f>IF($A186&gt;NYears*12,"",LotValue0*(1+LotGrowth)^($C186-1))</f>
        <v/>
      </c>
      <c r="F186" s="35">
        <f>IF($A186&gt;NYears*12,"",IF($A186=1,InitInvest,$R185))</f>
        <v/>
      </c>
      <c r="G186" s="33">
        <f>IF($A186&gt;NYears*12,"",INT($F186/$E186))</f>
        <v/>
      </c>
      <c r="H186" s="35">
        <f>IF($A186&gt;NYears*12,"",$G186*$E186)</f>
        <v/>
      </c>
      <c r="I186" s="35">
        <f>IF($A186&gt;NYears*12,"",$F186-$H186)</f>
        <v/>
      </c>
      <c r="J186" s="35">
        <f>IF($A186&gt;NYears*12,"",$H186*RateB)</f>
        <v/>
      </c>
      <c r="K186" s="35">
        <f>IF($A186&gt;NYears*12,"",IF($D186=1,$J186,$K185+$J186))</f>
        <v/>
      </c>
      <c r="L186" s="35">
        <f>IF($A186&gt;NYears*12,"",IF(MOD($D186,3)=0,SUM($J184:$J186),0))</f>
        <v/>
      </c>
      <c r="M186" s="35">
        <f>IF($A186&gt;NYears*12,"",IF(TaxFreq="Quarterly",$K186*12/$D186,$K186))</f>
        <v/>
      </c>
      <c r="N186" s="36">
        <f>IF($A186&gt;NYears*12,"",LOOKUP($M186,TaxLower,TaxRate))</f>
        <v/>
      </c>
      <c r="O186" s="35">
        <f>IF($A186&gt;NYears*12,"",IF(TaxFreq="Quarterly",IF(MOD($D186,3)=0,$L186*$N186,0),IF($D186=12,$K186*$N186,0)))</f>
        <v/>
      </c>
      <c r="P186" s="35">
        <f>IF($A186&gt;NYears*12,"",IF($D186=1,$O186,$P185+$O186))</f>
        <v/>
      </c>
      <c r="Q186" s="35">
        <f>IF($A186&gt;NYears*12,"",IF($D186=12,MIN(WdrPct*IF(WdrBase="Post-tax profit",$K186-$P186,$K186),WdrCap),0))</f>
        <v/>
      </c>
      <c r="R186" s="35">
        <f>IF($A186&gt;NYears*12,"",$F186+$J186-$O186-$Q186)</f>
        <v/>
      </c>
      <c r="S186" s="33">
        <f>IF($A186&gt;NYears*12,"",INT($R186/$E186))</f>
        <v/>
      </c>
    </row>
    <row r="187">
      <c r="A187" s="33">
        <f>183</f>
        <v/>
      </c>
      <c r="B187" s="34">
        <f>IF($A187&gt;NYears*12,"",EDATE(StartMonth,$A187-1))</f>
        <v/>
      </c>
      <c r="C187" s="33">
        <f>IF($A187&gt;NYears*12,"",INT(($A187-1)/12)+1)</f>
        <v/>
      </c>
      <c r="D187" s="33">
        <f>IF($A187&gt;NYears*12,"",MOD($A187-1,12)+1)</f>
        <v/>
      </c>
      <c r="E187" s="35">
        <f>IF($A187&gt;NYears*12,"",LotValue0*(1+LotGrowth)^($C187-1))</f>
        <v/>
      </c>
      <c r="F187" s="35">
        <f>IF($A187&gt;NYears*12,"",IF($A187=1,InitInvest,$R186))</f>
        <v/>
      </c>
      <c r="G187" s="33">
        <f>IF($A187&gt;NYears*12,"",INT($F187/$E187))</f>
        <v/>
      </c>
      <c r="H187" s="35">
        <f>IF($A187&gt;NYears*12,"",$G187*$E187)</f>
        <v/>
      </c>
      <c r="I187" s="35">
        <f>IF($A187&gt;NYears*12,"",$F187-$H187)</f>
        <v/>
      </c>
      <c r="J187" s="35">
        <f>IF($A187&gt;NYears*12,"",$H187*RateB)</f>
        <v/>
      </c>
      <c r="K187" s="35">
        <f>IF($A187&gt;NYears*12,"",IF($D187=1,$J187,$K186+$J187))</f>
        <v/>
      </c>
      <c r="L187" s="35">
        <f>IF($A187&gt;NYears*12,"",IF(MOD($D187,3)=0,SUM($J185:$J187),0))</f>
        <v/>
      </c>
      <c r="M187" s="35">
        <f>IF($A187&gt;NYears*12,"",IF(TaxFreq="Quarterly",$K187*12/$D187,$K187))</f>
        <v/>
      </c>
      <c r="N187" s="36">
        <f>IF($A187&gt;NYears*12,"",LOOKUP($M187,TaxLower,TaxRate))</f>
        <v/>
      </c>
      <c r="O187" s="35">
        <f>IF($A187&gt;NYears*12,"",IF(TaxFreq="Quarterly",IF(MOD($D187,3)=0,$L187*$N187,0),IF($D187=12,$K187*$N187,0)))</f>
        <v/>
      </c>
      <c r="P187" s="35">
        <f>IF($A187&gt;NYears*12,"",IF($D187=1,$O187,$P186+$O187))</f>
        <v/>
      </c>
      <c r="Q187" s="35">
        <f>IF($A187&gt;NYears*12,"",IF($D187=12,MIN(WdrPct*IF(WdrBase="Post-tax profit",$K187-$P187,$K187),WdrCap),0))</f>
        <v/>
      </c>
      <c r="R187" s="35">
        <f>IF($A187&gt;NYears*12,"",$F187+$J187-$O187-$Q187)</f>
        <v/>
      </c>
      <c r="S187" s="33">
        <f>IF($A187&gt;NYears*12,"",INT($R187/$E187))</f>
        <v/>
      </c>
    </row>
    <row r="188">
      <c r="A188" s="33">
        <f>184</f>
        <v/>
      </c>
      <c r="B188" s="34">
        <f>IF($A188&gt;NYears*12,"",EDATE(StartMonth,$A188-1))</f>
        <v/>
      </c>
      <c r="C188" s="33">
        <f>IF($A188&gt;NYears*12,"",INT(($A188-1)/12)+1)</f>
        <v/>
      </c>
      <c r="D188" s="33">
        <f>IF($A188&gt;NYears*12,"",MOD($A188-1,12)+1)</f>
        <v/>
      </c>
      <c r="E188" s="35">
        <f>IF($A188&gt;NYears*12,"",LotValue0*(1+LotGrowth)^($C188-1))</f>
        <v/>
      </c>
      <c r="F188" s="35">
        <f>IF($A188&gt;NYears*12,"",IF($A188=1,InitInvest,$R187))</f>
        <v/>
      </c>
      <c r="G188" s="33">
        <f>IF($A188&gt;NYears*12,"",INT($F188/$E188))</f>
        <v/>
      </c>
      <c r="H188" s="35">
        <f>IF($A188&gt;NYears*12,"",$G188*$E188)</f>
        <v/>
      </c>
      <c r="I188" s="35">
        <f>IF($A188&gt;NYears*12,"",$F188-$H188)</f>
        <v/>
      </c>
      <c r="J188" s="35">
        <f>IF($A188&gt;NYears*12,"",$H188*RateB)</f>
        <v/>
      </c>
      <c r="K188" s="35">
        <f>IF($A188&gt;NYears*12,"",IF($D188=1,$J188,$K187+$J188))</f>
        <v/>
      </c>
      <c r="L188" s="35">
        <f>IF($A188&gt;NYears*12,"",IF(MOD($D188,3)=0,SUM($J186:$J188),0))</f>
        <v/>
      </c>
      <c r="M188" s="35">
        <f>IF($A188&gt;NYears*12,"",IF(TaxFreq="Quarterly",$K188*12/$D188,$K188))</f>
        <v/>
      </c>
      <c r="N188" s="36">
        <f>IF($A188&gt;NYears*12,"",LOOKUP($M188,TaxLower,TaxRate))</f>
        <v/>
      </c>
      <c r="O188" s="35">
        <f>IF($A188&gt;NYears*12,"",IF(TaxFreq="Quarterly",IF(MOD($D188,3)=0,$L188*$N188,0),IF($D188=12,$K188*$N188,0)))</f>
        <v/>
      </c>
      <c r="P188" s="35">
        <f>IF($A188&gt;NYears*12,"",IF($D188=1,$O188,$P187+$O188))</f>
        <v/>
      </c>
      <c r="Q188" s="35">
        <f>IF($A188&gt;NYears*12,"",IF($D188=12,MIN(WdrPct*IF(WdrBase="Post-tax profit",$K188-$P188,$K188),WdrCap),0))</f>
        <v/>
      </c>
      <c r="R188" s="35">
        <f>IF($A188&gt;NYears*12,"",$F188+$J188-$O188-$Q188)</f>
        <v/>
      </c>
      <c r="S188" s="33">
        <f>IF($A188&gt;NYears*12,"",INT($R188/$E188))</f>
        <v/>
      </c>
    </row>
    <row r="189">
      <c r="A189" s="33">
        <f>185</f>
        <v/>
      </c>
      <c r="B189" s="34">
        <f>IF($A189&gt;NYears*12,"",EDATE(StartMonth,$A189-1))</f>
        <v/>
      </c>
      <c r="C189" s="33">
        <f>IF($A189&gt;NYears*12,"",INT(($A189-1)/12)+1)</f>
        <v/>
      </c>
      <c r="D189" s="33">
        <f>IF($A189&gt;NYears*12,"",MOD($A189-1,12)+1)</f>
        <v/>
      </c>
      <c r="E189" s="35">
        <f>IF($A189&gt;NYears*12,"",LotValue0*(1+LotGrowth)^($C189-1))</f>
        <v/>
      </c>
      <c r="F189" s="35">
        <f>IF($A189&gt;NYears*12,"",IF($A189=1,InitInvest,$R188))</f>
        <v/>
      </c>
      <c r="G189" s="33">
        <f>IF($A189&gt;NYears*12,"",INT($F189/$E189))</f>
        <v/>
      </c>
      <c r="H189" s="35">
        <f>IF($A189&gt;NYears*12,"",$G189*$E189)</f>
        <v/>
      </c>
      <c r="I189" s="35">
        <f>IF($A189&gt;NYears*12,"",$F189-$H189)</f>
        <v/>
      </c>
      <c r="J189" s="35">
        <f>IF($A189&gt;NYears*12,"",$H189*RateB)</f>
        <v/>
      </c>
      <c r="K189" s="35">
        <f>IF($A189&gt;NYears*12,"",IF($D189=1,$J189,$K188+$J189))</f>
        <v/>
      </c>
      <c r="L189" s="35">
        <f>IF($A189&gt;NYears*12,"",IF(MOD($D189,3)=0,SUM($J187:$J189),0))</f>
        <v/>
      </c>
      <c r="M189" s="35">
        <f>IF($A189&gt;NYears*12,"",IF(TaxFreq="Quarterly",$K189*12/$D189,$K189))</f>
        <v/>
      </c>
      <c r="N189" s="36">
        <f>IF($A189&gt;NYears*12,"",LOOKUP($M189,TaxLower,TaxRate))</f>
        <v/>
      </c>
      <c r="O189" s="35">
        <f>IF($A189&gt;NYears*12,"",IF(TaxFreq="Quarterly",IF(MOD($D189,3)=0,$L189*$N189,0),IF($D189=12,$K189*$N189,0)))</f>
        <v/>
      </c>
      <c r="P189" s="35">
        <f>IF($A189&gt;NYears*12,"",IF($D189=1,$O189,$P188+$O189))</f>
        <v/>
      </c>
      <c r="Q189" s="35">
        <f>IF($A189&gt;NYears*12,"",IF($D189=12,MIN(WdrPct*IF(WdrBase="Post-tax profit",$K189-$P189,$K189),WdrCap),0))</f>
        <v/>
      </c>
      <c r="R189" s="35">
        <f>IF($A189&gt;NYears*12,"",$F189+$J189-$O189-$Q189)</f>
        <v/>
      </c>
      <c r="S189" s="33">
        <f>IF($A189&gt;NYears*12,"",INT($R189/$E189))</f>
        <v/>
      </c>
    </row>
    <row r="190">
      <c r="A190" s="33">
        <f>186</f>
        <v/>
      </c>
      <c r="B190" s="34">
        <f>IF($A190&gt;NYears*12,"",EDATE(StartMonth,$A190-1))</f>
        <v/>
      </c>
      <c r="C190" s="33">
        <f>IF($A190&gt;NYears*12,"",INT(($A190-1)/12)+1)</f>
        <v/>
      </c>
      <c r="D190" s="33">
        <f>IF($A190&gt;NYears*12,"",MOD($A190-1,12)+1)</f>
        <v/>
      </c>
      <c r="E190" s="35">
        <f>IF($A190&gt;NYears*12,"",LotValue0*(1+LotGrowth)^($C190-1))</f>
        <v/>
      </c>
      <c r="F190" s="35">
        <f>IF($A190&gt;NYears*12,"",IF($A190=1,InitInvest,$R189))</f>
        <v/>
      </c>
      <c r="G190" s="33">
        <f>IF($A190&gt;NYears*12,"",INT($F190/$E190))</f>
        <v/>
      </c>
      <c r="H190" s="35">
        <f>IF($A190&gt;NYears*12,"",$G190*$E190)</f>
        <v/>
      </c>
      <c r="I190" s="35">
        <f>IF($A190&gt;NYears*12,"",$F190-$H190)</f>
        <v/>
      </c>
      <c r="J190" s="35">
        <f>IF($A190&gt;NYears*12,"",$H190*RateB)</f>
        <v/>
      </c>
      <c r="K190" s="35">
        <f>IF($A190&gt;NYears*12,"",IF($D190=1,$J190,$K189+$J190))</f>
        <v/>
      </c>
      <c r="L190" s="35">
        <f>IF($A190&gt;NYears*12,"",IF(MOD($D190,3)=0,SUM($J188:$J190),0))</f>
        <v/>
      </c>
      <c r="M190" s="35">
        <f>IF($A190&gt;NYears*12,"",IF(TaxFreq="Quarterly",$K190*12/$D190,$K190))</f>
        <v/>
      </c>
      <c r="N190" s="36">
        <f>IF($A190&gt;NYears*12,"",LOOKUP($M190,TaxLower,TaxRate))</f>
        <v/>
      </c>
      <c r="O190" s="35">
        <f>IF($A190&gt;NYears*12,"",IF(TaxFreq="Quarterly",IF(MOD($D190,3)=0,$L190*$N190,0),IF($D190=12,$K190*$N190,0)))</f>
        <v/>
      </c>
      <c r="P190" s="35">
        <f>IF($A190&gt;NYears*12,"",IF($D190=1,$O190,$P189+$O190))</f>
        <v/>
      </c>
      <c r="Q190" s="35">
        <f>IF($A190&gt;NYears*12,"",IF($D190=12,MIN(WdrPct*IF(WdrBase="Post-tax profit",$K190-$P190,$K190),WdrCap),0))</f>
        <v/>
      </c>
      <c r="R190" s="35">
        <f>IF($A190&gt;NYears*12,"",$F190+$J190-$O190-$Q190)</f>
        <v/>
      </c>
      <c r="S190" s="33">
        <f>IF($A190&gt;NYears*12,"",INT($R190/$E190))</f>
        <v/>
      </c>
    </row>
    <row r="191">
      <c r="A191" s="33">
        <f>187</f>
        <v/>
      </c>
      <c r="B191" s="34">
        <f>IF($A191&gt;NYears*12,"",EDATE(StartMonth,$A191-1))</f>
        <v/>
      </c>
      <c r="C191" s="33">
        <f>IF($A191&gt;NYears*12,"",INT(($A191-1)/12)+1)</f>
        <v/>
      </c>
      <c r="D191" s="33">
        <f>IF($A191&gt;NYears*12,"",MOD($A191-1,12)+1)</f>
        <v/>
      </c>
      <c r="E191" s="35">
        <f>IF($A191&gt;NYears*12,"",LotValue0*(1+LotGrowth)^($C191-1))</f>
        <v/>
      </c>
      <c r="F191" s="35">
        <f>IF($A191&gt;NYears*12,"",IF($A191=1,InitInvest,$R190))</f>
        <v/>
      </c>
      <c r="G191" s="33">
        <f>IF($A191&gt;NYears*12,"",INT($F191/$E191))</f>
        <v/>
      </c>
      <c r="H191" s="35">
        <f>IF($A191&gt;NYears*12,"",$G191*$E191)</f>
        <v/>
      </c>
      <c r="I191" s="35">
        <f>IF($A191&gt;NYears*12,"",$F191-$H191)</f>
        <v/>
      </c>
      <c r="J191" s="35">
        <f>IF($A191&gt;NYears*12,"",$H191*RateB)</f>
        <v/>
      </c>
      <c r="K191" s="35">
        <f>IF($A191&gt;NYears*12,"",IF($D191=1,$J191,$K190+$J191))</f>
        <v/>
      </c>
      <c r="L191" s="35">
        <f>IF($A191&gt;NYears*12,"",IF(MOD($D191,3)=0,SUM($J189:$J191),0))</f>
        <v/>
      </c>
      <c r="M191" s="35">
        <f>IF($A191&gt;NYears*12,"",IF(TaxFreq="Quarterly",$K191*12/$D191,$K191))</f>
        <v/>
      </c>
      <c r="N191" s="36">
        <f>IF($A191&gt;NYears*12,"",LOOKUP($M191,TaxLower,TaxRate))</f>
        <v/>
      </c>
      <c r="O191" s="35">
        <f>IF($A191&gt;NYears*12,"",IF(TaxFreq="Quarterly",IF(MOD($D191,3)=0,$L191*$N191,0),IF($D191=12,$K191*$N191,0)))</f>
        <v/>
      </c>
      <c r="P191" s="35">
        <f>IF($A191&gt;NYears*12,"",IF($D191=1,$O191,$P190+$O191))</f>
        <v/>
      </c>
      <c r="Q191" s="35">
        <f>IF($A191&gt;NYears*12,"",IF($D191=12,MIN(WdrPct*IF(WdrBase="Post-tax profit",$K191-$P191,$K191),WdrCap),0))</f>
        <v/>
      </c>
      <c r="R191" s="35">
        <f>IF($A191&gt;NYears*12,"",$F191+$J191-$O191-$Q191)</f>
        <v/>
      </c>
      <c r="S191" s="33">
        <f>IF($A191&gt;NYears*12,"",INT($R191/$E191))</f>
        <v/>
      </c>
    </row>
    <row r="192">
      <c r="A192" s="33">
        <f>188</f>
        <v/>
      </c>
      <c r="B192" s="34">
        <f>IF($A192&gt;NYears*12,"",EDATE(StartMonth,$A192-1))</f>
        <v/>
      </c>
      <c r="C192" s="33">
        <f>IF($A192&gt;NYears*12,"",INT(($A192-1)/12)+1)</f>
        <v/>
      </c>
      <c r="D192" s="33">
        <f>IF($A192&gt;NYears*12,"",MOD($A192-1,12)+1)</f>
        <v/>
      </c>
      <c r="E192" s="35">
        <f>IF($A192&gt;NYears*12,"",LotValue0*(1+LotGrowth)^($C192-1))</f>
        <v/>
      </c>
      <c r="F192" s="35">
        <f>IF($A192&gt;NYears*12,"",IF($A192=1,InitInvest,$R191))</f>
        <v/>
      </c>
      <c r="G192" s="33">
        <f>IF($A192&gt;NYears*12,"",INT($F192/$E192))</f>
        <v/>
      </c>
      <c r="H192" s="35">
        <f>IF($A192&gt;NYears*12,"",$G192*$E192)</f>
        <v/>
      </c>
      <c r="I192" s="35">
        <f>IF($A192&gt;NYears*12,"",$F192-$H192)</f>
        <v/>
      </c>
      <c r="J192" s="35">
        <f>IF($A192&gt;NYears*12,"",$H192*RateB)</f>
        <v/>
      </c>
      <c r="K192" s="35">
        <f>IF($A192&gt;NYears*12,"",IF($D192=1,$J192,$K191+$J192))</f>
        <v/>
      </c>
      <c r="L192" s="35">
        <f>IF($A192&gt;NYears*12,"",IF(MOD($D192,3)=0,SUM($J190:$J192),0))</f>
        <v/>
      </c>
      <c r="M192" s="35">
        <f>IF($A192&gt;NYears*12,"",IF(TaxFreq="Quarterly",$K192*12/$D192,$K192))</f>
        <v/>
      </c>
      <c r="N192" s="36">
        <f>IF($A192&gt;NYears*12,"",LOOKUP($M192,TaxLower,TaxRate))</f>
        <v/>
      </c>
      <c r="O192" s="35">
        <f>IF($A192&gt;NYears*12,"",IF(TaxFreq="Quarterly",IF(MOD($D192,3)=0,$L192*$N192,0),IF($D192=12,$K192*$N192,0)))</f>
        <v/>
      </c>
      <c r="P192" s="35">
        <f>IF($A192&gt;NYears*12,"",IF($D192=1,$O192,$P191+$O192))</f>
        <v/>
      </c>
      <c r="Q192" s="35">
        <f>IF($A192&gt;NYears*12,"",IF($D192=12,MIN(WdrPct*IF(WdrBase="Post-tax profit",$K192-$P192,$K192),WdrCap),0))</f>
        <v/>
      </c>
      <c r="R192" s="35">
        <f>IF($A192&gt;NYears*12,"",$F192+$J192-$O192-$Q192)</f>
        <v/>
      </c>
      <c r="S192" s="33">
        <f>IF($A192&gt;NYears*12,"",INT($R192/$E192))</f>
        <v/>
      </c>
    </row>
    <row r="193">
      <c r="A193" s="33">
        <f>189</f>
        <v/>
      </c>
      <c r="B193" s="34">
        <f>IF($A193&gt;NYears*12,"",EDATE(StartMonth,$A193-1))</f>
        <v/>
      </c>
      <c r="C193" s="33">
        <f>IF($A193&gt;NYears*12,"",INT(($A193-1)/12)+1)</f>
        <v/>
      </c>
      <c r="D193" s="33">
        <f>IF($A193&gt;NYears*12,"",MOD($A193-1,12)+1)</f>
        <v/>
      </c>
      <c r="E193" s="35">
        <f>IF($A193&gt;NYears*12,"",LotValue0*(1+LotGrowth)^($C193-1))</f>
        <v/>
      </c>
      <c r="F193" s="35">
        <f>IF($A193&gt;NYears*12,"",IF($A193=1,InitInvest,$R192))</f>
        <v/>
      </c>
      <c r="G193" s="33">
        <f>IF($A193&gt;NYears*12,"",INT($F193/$E193))</f>
        <v/>
      </c>
      <c r="H193" s="35">
        <f>IF($A193&gt;NYears*12,"",$G193*$E193)</f>
        <v/>
      </c>
      <c r="I193" s="35">
        <f>IF($A193&gt;NYears*12,"",$F193-$H193)</f>
        <v/>
      </c>
      <c r="J193" s="35">
        <f>IF($A193&gt;NYears*12,"",$H193*RateB)</f>
        <v/>
      </c>
      <c r="K193" s="35">
        <f>IF($A193&gt;NYears*12,"",IF($D193=1,$J193,$K192+$J193))</f>
        <v/>
      </c>
      <c r="L193" s="35">
        <f>IF($A193&gt;NYears*12,"",IF(MOD($D193,3)=0,SUM($J191:$J193),0))</f>
        <v/>
      </c>
      <c r="M193" s="35">
        <f>IF($A193&gt;NYears*12,"",IF(TaxFreq="Quarterly",$K193*12/$D193,$K193))</f>
        <v/>
      </c>
      <c r="N193" s="36">
        <f>IF($A193&gt;NYears*12,"",LOOKUP($M193,TaxLower,TaxRate))</f>
        <v/>
      </c>
      <c r="O193" s="35">
        <f>IF($A193&gt;NYears*12,"",IF(TaxFreq="Quarterly",IF(MOD($D193,3)=0,$L193*$N193,0),IF($D193=12,$K193*$N193,0)))</f>
        <v/>
      </c>
      <c r="P193" s="35">
        <f>IF($A193&gt;NYears*12,"",IF($D193=1,$O193,$P192+$O193))</f>
        <v/>
      </c>
      <c r="Q193" s="35">
        <f>IF($A193&gt;NYears*12,"",IF($D193=12,MIN(WdrPct*IF(WdrBase="Post-tax profit",$K193-$P193,$K193),WdrCap),0))</f>
        <v/>
      </c>
      <c r="R193" s="35">
        <f>IF($A193&gt;NYears*12,"",$F193+$J193-$O193-$Q193)</f>
        <v/>
      </c>
      <c r="S193" s="33">
        <f>IF($A193&gt;NYears*12,"",INT($R193/$E193))</f>
        <v/>
      </c>
    </row>
    <row r="194">
      <c r="A194" s="33">
        <f>190</f>
        <v/>
      </c>
      <c r="B194" s="34">
        <f>IF($A194&gt;NYears*12,"",EDATE(StartMonth,$A194-1))</f>
        <v/>
      </c>
      <c r="C194" s="33">
        <f>IF($A194&gt;NYears*12,"",INT(($A194-1)/12)+1)</f>
        <v/>
      </c>
      <c r="D194" s="33">
        <f>IF($A194&gt;NYears*12,"",MOD($A194-1,12)+1)</f>
        <v/>
      </c>
      <c r="E194" s="35">
        <f>IF($A194&gt;NYears*12,"",LotValue0*(1+LotGrowth)^($C194-1))</f>
        <v/>
      </c>
      <c r="F194" s="35">
        <f>IF($A194&gt;NYears*12,"",IF($A194=1,InitInvest,$R193))</f>
        <v/>
      </c>
      <c r="G194" s="33">
        <f>IF($A194&gt;NYears*12,"",INT($F194/$E194))</f>
        <v/>
      </c>
      <c r="H194" s="35">
        <f>IF($A194&gt;NYears*12,"",$G194*$E194)</f>
        <v/>
      </c>
      <c r="I194" s="35">
        <f>IF($A194&gt;NYears*12,"",$F194-$H194)</f>
        <v/>
      </c>
      <c r="J194" s="35">
        <f>IF($A194&gt;NYears*12,"",$H194*RateB)</f>
        <v/>
      </c>
      <c r="K194" s="35">
        <f>IF($A194&gt;NYears*12,"",IF($D194=1,$J194,$K193+$J194))</f>
        <v/>
      </c>
      <c r="L194" s="35">
        <f>IF($A194&gt;NYears*12,"",IF(MOD($D194,3)=0,SUM($J192:$J194),0))</f>
        <v/>
      </c>
      <c r="M194" s="35">
        <f>IF($A194&gt;NYears*12,"",IF(TaxFreq="Quarterly",$K194*12/$D194,$K194))</f>
        <v/>
      </c>
      <c r="N194" s="36">
        <f>IF($A194&gt;NYears*12,"",LOOKUP($M194,TaxLower,TaxRate))</f>
        <v/>
      </c>
      <c r="O194" s="35">
        <f>IF($A194&gt;NYears*12,"",IF(TaxFreq="Quarterly",IF(MOD($D194,3)=0,$L194*$N194,0),IF($D194=12,$K194*$N194,0)))</f>
        <v/>
      </c>
      <c r="P194" s="35">
        <f>IF($A194&gt;NYears*12,"",IF($D194=1,$O194,$P193+$O194))</f>
        <v/>
      </c>
      <c r="Q194" s="35">
        <f>IF($A194&gt;NYears*12,"",IF($D194=12,MIN(WdrPct*IF(WdrBase="Post-tax profit",$K194-$P194,$K194),WdrCap),0))</f>
        <v/>
      </c>
      <c r="R194" s="35">
        <f>IF($A194&gt;NYears*12,"",$F194+$J194-$O194-$Q194)</f>
        <v/>
      </c>
      <c r="S194" s="33">
        <f>IF($A194&gt;NYears*12,"",INT($R194/$E194))</f>
        <v/>
      </c>
    </row>
    <row r="195">
      <c r="A195" s="33">
        <f>191</f>
        <v/>
      </c>
      <c r="B195" s="34">
        <f>IF($A195&gt;NYears*12,"",EDATE(StartMonth,$A195-1))</f>
        <v/>
      </c>
      <c r="C195" s="33">
        <f>IF($A195&gt;NYears*12,"",INT(($A195-1)/12)+1)</f>
        <v/>
      </c>
      <c r="D195" s="33">
        <f>IF($A195&gt;NYears*12,"",MOD($A195-1,12)+1)</f>
        <v/>
      </c>
      <c r="E195" s="35">
        <f>IF($A195&gt;NYears*12,"",LotValue0*(1+LotGrowth)^($C195-1))</f>
        <v/>
      </c>
      <c r="F195" s="35">
        <f>IF($A195&gt;NYears*12,"",IF($A195=1,InitInvest,$R194))</f>
        <v/>
      </c>
      <c r="G195" s="33">
        <f>IF($A195&gt;NYears*12,"",INT($F195/$E195))</f>
        <v/>
      </c>
      <c r="H195" s="35">
        <f>IF($A195&gt;NYears*12,"",$G195*$E195)</f>
        <v/>
      </c>
      <c r="I195" s="35">
        <f>IF($A195&gt;NYears*12,"",$F195-$H195)</f>
        <v/>
      </c>
      <c r="J195" s="35">
        <f>IF($A195&gt;NYears*12,"",$H195*RateB)</f>
        <v/>
      </c>
      <c r="K195" s="35">
        <f>IF($A195&gt;NYears*12,"",IF($D195=1,$J195,$K194+$J195))</f>
        <v/>
      </c>
      <c r="L195" s="35">
        <f>IF($A195&gt;NYears*12,"",IF(MOD($D195,3)=0,SUM($J193:$J195),0))</f>
        <v/>
      </c>
      <c r="M195" s="35">
        <f>IF($A195&gt;NYears*12,"",IF(TaxFreq="Quarterly",$K195*12/$D195,$K195))</f>
        <v/>
      </c>
      <c r="N195" s="36">
        <f>IF($A195&gt;NYears*12,"",LOOKUP($M195,TaxLower,TaxRate))</f>
        <v/>
      </c>
      <c r="O195" s="35">
        <f>IF($A195&gt;NYears*12,"",IF(TaxFreq="Quarterly",IF(MOD($D195,3)=0,$L195*$N195,0),IF($D195=12,$K195*$N195,0)))</f>
        <v/>
      </c>
      <c r="P195" s="35">
        <f>IF($A195&gt;NYears*12,"",IF($D195=1,$O195,$P194+$O195))</f>
        <v/>
      </c>
      <c r="Q195" s="35">
        <f>IF($A195&gt;NYears*12,"",IF($D195=12,MIN(WdrPct*IF(WdrBase="Post-tax profit",$K195-$P195,$K195),WdrCap),0))</f>
        <v/>
      </c>
      <c r="R195" s="35">
        <f>IF($A195&gt;NYears*12,"",$F195+$J195-$O195-$Q195)</f>
        <v/>
      </c>
      <c r="S195" s="33">
        <f>IF($A195&gt;NYears*12,"",INT($R195/$E195))</f>
        <v/>
      </c>
    </row>
    <row r="196">
      <c r="A196" s="37">
        <f>192</f>
        <v/>
      </c>
      <c r="B196" s="38">
        <f>IF($A196&gt;NYears*12,"",EDATE(StartMonth,$A196-1))</f>
        <v/>
      </c>
      <c r="C196" s="37">
        <f>IF($A196&gt;NYears*12,"",INT(($A196-1)/12)+1)</f>
        <v/>
      </c>
      <c r="D196" s="37">
        <f>IF($A196&gt;NYears*12,"",MOD($A196-1,12)+1)</f>
        <v/>
      </c>
      <c r="E196" s="39">
        <f>IF($A196&gt;NYears*12,"",LotValue0*(1+LotGrowth)^($C196-1))</f>
        <v/>
      </c>
      <c r="F196" s="39">
        <f>IF($A196&gt;NYears*12,"",IF($A196=1,InitInvest,$R195))</f>
        <v/>
      </c>
      <c r="G196" s="37">
        <f>IF($A196&gt;NYears*12,"",INT($F196/$E196))</f>
        <v/>
      </c>
      <c r="H196" s="39">
        <f>IF($A196&gt;NYears*12,"",$G196*$E196)</f>
        <v/>
      </c>
      <c r="I196" s="39">
        <f>IF($A196&gt;NYears*12,"",$F196-$H196)</f>
        <v/>
      </c>
      <c r="J196" s="39">
        <f>IF($A196&gt;NYears*12,"",$H196*RateB)</f>
        <v/>
      </c>
      <c r="K196" s="39">
        <f>IF($A196&gt;NYears*12,"",IF($D196=1,$J196,$K195+$J196))</f>
        <v/>
      </c>
      <c r="L196" s="39">
        <f>IF($A196&gt;NYears*12,"",IF(MOD($D196,3)=0,SUM($J194:$J196),0))</f>
        <v/>
      </c>
      <c r="M196" s="39">
        <f>IF($A196&gt;NYears*12,"",IF(TaxFreq="Quarterly",$K196*12/$D196,$K196))</f>
        <v/>
      </c>
      <c r="N196" s="40">
        <f>IF($A196&gt;NYears*12,"",LOOKUP($M196,TaxLower,TaxRate))</f>
        <v/>
      </c>
      <c r="O196" s="39">
        <f>IF($A196&gt;NYears*12,"",IF(TaxFreq="Quarterly",IF(MOD($D196,3)=0,$L196*$N196,0),IF($D196=12,$K196*$N196,0)))</f>
        <v/>
      </c>
      <c r="P196" s="39">
        <f>IF($A196&gt;NYears*12,"",IF($D196=1,$O196,$P195+$O196))</f>
        <v/>
      </c>
      <c r="Q196" s="39">
        <f>IF($A196&gt;NYears*12,"",IF($D196=12,MIN(WdrPct*IF(WdrBase="Post-tax profit",$K196-$P196,$K196),WdrCap),0))</f>
        <v/>
      </c>
      <c r="R196" s="39">
        <f>IF($A196&gt;NYears*12,"",$F196+$J196-$O196-$Q196)</f>
        <v/>
      </c>
      <c r="S196" s="37">
        <f>IF($A196&gt;NYears*12,"",INT($R196/$E196))</f>
        <v/>
      </c>
    </row>
    <row r="197">
      <c r="A197" s="33">
        <f>193</f>
        <v/>
      </c>
      <c r="B197" s="34">
        <f>IF($A197&gt;NYears*12,"",EDATE(StartMonth,$A197-1))</f>
        <v/>
      </c>
      <c r="C197" s="33">
        <f>IF($A197&gt;NYears*12,"",INT(($A197-1)/12)+1)</f>
        <v/>
      </c>
      <c r="D197" s="33">
        <f>IF($A197&gt;NYears*12,"",MOD($A197-1,12)+1)</f>
        <v/>
      </c>
      <c r="E197" s="35">
        <f>IF($A197&gt;NYears*12,"",LotValue0*(1+LotGrowth)^($C197-1))</f>
        <v/>
      </c>
      <c r="F197" s="35">
        <f>IF($A197&gt;NYears*12,"",IF($A197=1,InitInvest,$R196))</f>
        <v/>
      </c>
      <c r="G197" s="33">
        <f>IF($A197&gt;NYears*12,"",INT($F197/$E197))</f>
        <v/>
      </c>
      <c r="H197" s="35">
        <f>IF($A197&gt;NYears*12,"",$G197*$E197)</f>
        <v/>
      </c>
      <c r="I197" s="35">
        <f>IF($A197&gt;NYears*12,"",$F197-$H197)</f>
        <v/>
      </c>
      <c r="J197" s="35">
        <f>IF($A197&gt;NYears*12,"",$H197*RateB)</f>
        <v/>
      </c>
      <c r="K197" s="35">
        <f>IF($A197&gt;NYears*12,"",IF($D197=1,$J197,$K196+$J197))</f>
        <v/>
      </c>
      <c r="L197" s="35">
        <f>IF($A197&gt;NYears*12,"",IF(MOD($D197,3)=0,SUM($J195:$J197),0))</f>
        <v/>
      </c>
      <c r="M197" s="35">
        <f>IF($A197&gt;NYears*12,"",IF(TaxFreq="Quarterly",$K197*12/$D197,$K197))</f>
        <v/>
      </c>
      <c r="N197" s="36">
        <f>IF($A197&gt;NYears*12,"",LOOKUP($M197,TaxLower,TaxRate))</f>
        <v/>
      </c>
      <c r="O197" s="35">
        <f>IF($A197&gt;NYears*12,"",IF(TaxFreq="Quarterly",IF(MOD($D197,3)=0,$L197*$N197,0),IF($D197=12,$K197*$N197,0)))</f>
        <v/>
      </c>
      <c r="P197" s="35">
        <f>IF($A197&gt;NYears*12,"",IF($D197=1,$O197,$P196+$O197))</f>
        <v/>
      </c>
      <c r="Q197" s="35">
        <f>IF($A197&gt;NYears*12,"",IF($D197=12,MIN(WdrPct*IF(WdrBase="Post-tax profit",$K197-$P197,$K197),WdrCap),0))</f>
        <v/>
      </c>
      <c r="R197" s="35">
        <f>IF($A197&gt;NYears*12,"",$F197+$J197-$O197-$Q197)</f>
        <v/>
      </c>
      <c r="S197" s="33">
        <f>IF($A197&gt;NYears*12,"",INT($R197/$E197))</f>
        <v/>
      </c>
    </row>
    <row r="198">
      <c r="A198" s="33">
        <f>194</f>
        <v/>
      </c>
      <c r="B198" s="34">
        <f>IF($A198&gt;NYears*12,"",EDATE(StartMonth,$A198-1))</f>
        <v/>
      </c>
      <c r="C198" s="33">
        <f>IF($A198&gt;NYears*12,"",INT(($A198-1)/12)+1)</f>
        <v/>
      </c>
      <c r="D198" s="33">
        <f>IF($A198&gt;NYears*12,"",MOD($A198-1,12)+1)</f>
        <v/>
      </c>
      <c r="E198" s="35">
        <f>IF($A198&gt;NYears*12,"",LotValue0*(1+LotGrowth)^($C198-1))</f>
        <v/>
      </c>
      <c r="F198" s="35">
        <f>IF($A198&gt;NYears*12,"",IF($A198=1,InitInvest,$R197))</f>
        <v/>
      </c>
      <c r="G198" s="33">
        <f>IF($A198&gt;NYears*12,"",INT($F198/$E198))</f>
        <v/>
      </c>
      <c r="H198" s="35">
        <f>IF($A198&gt;NYears*12,"",$G198*$E198)</f>
        <v/>
      </c>
      <c r="I198" s="35">
        <f>IF($A198&gt;NYears*12,"",$F198-$H198)</f>
        <v/>
      </c>
      <c r="J198" s="35">
        <f>IF($A198&gt;NYears*12,"",$H198*RateB)</f>
        <v/>
      </c>
      <c r="K198" s="35">
        <f>IF($A198&gt;NYears*12,"",IF($D198=1,$J198,$K197+$J198))</f>
        <v/>
      </c>
      <c r="L198" s="35">
        <f>IF($A198&gt;NYears*12,"",IF(MOD($D198,3)=0,SUM($J196:$J198),0))</f>
        <v/>
      </c>
      <c r="M198" s="35">
        <f>IF($A198&gt;NYears*12,"",IF(TaxFreq="Quarterly",$K198*12/$D198,$K198))</f>
        <v/>
      </c>
      <c r="N198" s="36">
        <f>IF($A198&gt;NYears*12,"",LOOKUP($M198,TaxLower,TaxRate))</f>
        <v/>
      </c>
      <c r="O198" s="35">
        <f>IF($A198&gt;NYears*12,"",IF(TaxFreq="Quarterly",IF(MOD($D198,3)=0,$L198*$N198,0),IF($D198=12,$K198*$N198,0)))</f>
        <v/>
      </c>
      <c r="P198" s="35">
        <f>IF($A198&gt;NYears*12,"",IF($D198=1,$O198,$P197+$O198))</f>
        <v/>
      </c>
      <c r="Q198" s="35">
        <f>IF($A198&gt;NYears*12,"",IF($D198=12,MIN(WdrPct*IF(WdrBase="Post-tax profit",$K198-$P198,$K198),WdrCap),0))</f>
        <v/>
      </c>
      <c r="R198" s="35">
        <f>IF($A198&gt;NYears*12,"",$F198+$J198-$O198-$Q198)</f>
        <v/>
      </c>
      <c r="S198" s="33">
        <f>IF($A198&gt;NYears*12,"",INT($R198/$E198))</f>
        <v/>
      </c>
    </row>
    <row r="199">
      <c r="A199" s="33">
        <f>195</f>
        <v/>
      </c>
      <c r="B199" s="34">
        <f>IF($A199&gt;NYears*12,"",EDATE(StartMonth,$A199-1))</f>
        <v/>
      </c>
      <c r="C199" s="33">
        <f>IF($A199&gt;NYears*12,"",INT(($A199-1)/12)+1)</f>
        <v/>
      </c>
      <c r="D199" s="33">
        <f>IF($A199&gt;NYears*12,"",MOD($A199-1,12)+1)</f>
        <v/>
      </c>
      <c r="E199" s="35">
        <f>IF($A199&gt;NYears*12,"",LotValue0*(1+LotGrowth)^($C199-1))</f>
        <v/>
      </c>
      <c r="F199" s="35">
        <f>IF($A199&gt;NYears*12,"",IF($A199=1,InitInvest,$R198))</f>
        <v/>
      </c>
      <c r="G199" s="33">
        <f>IF($A199&gt;NYears*12,"",INT($F199/$E199))</f>
        <v/>
      </c>
      <c r="H199" s="35">
        <f>IF($A199&gt;NYears*12,"",$G199*$E199)</f>
        <v/>
      </c>
      <c r="I199" s="35">
        <f>IF($A199&gt;NYears*12,"",$F199-$H199)</f>
        <v/>
      </c>
      <c r="J199" s="35">
        <f>IF($A199&gt;NYears*12,"",$H199*RateB)</f>
        <v/>
      </c>
      <c r="K199" s="35">
        <f>IF($A199&gt;NYears*12,"",IF($D199=1,$J199,$K198+$J199))</f>
        <v/>
      </c>
      <c r="L199" s="35">
        <f>IF($A199&gt;NYears*12,"",IF(MOD($D199,3)=0,SUM($J197:$J199),0))</f>
        <v/>
      </c>
      <c r="M199" s="35">
        <f>IF($A199&gt;NYears*12,"",IF(TaxFreq="Quarterly",$K199*12/$D199,$K199))</f>
        <v/>
      </c>
      <c r="N199" s="36">
        <f>IF($A199&gt;NYears*12,"",LOOKUP($M199,TaxLower,TaxRate))</f>
        <v/>
      </c>
      <c r="O199" s="35">
        <f>IF($A199&gt;NYears*12,"",IF(TaxFreq="Quarterly",IF(MOD($D199,3)=0,$L199*$N199,0),IF($D199=12,$K199*$N199,0)))</f>
        <v/>
      </c>
      <c r="P199" s="35">
        <f>IF($A199&gt;NYears*12,"",IF($D199=1,$O199,$P198+$O199))</f>
        <v/>
      </c>
      <c r="Q199" s="35">
        <f>IF($A199&gt;NYears*12,"",IF($D199=12,MIN(WdrPct*IF(WdrBase="Post-tax profit",$K199-$P199,$K199),WdrCap),0))</f>
        <v/>
      </c>
      <c r="R199" s="35">
        <f>IF($A199&gt;NYears*12,"",$F199+$J199-$O199-$Q199)</f>
        <v/>
      </c>
      <c r="S199" s="33">
        <f>IF($A199&gt;NYears*12,"",INT($R199/$E199))</f>
        <v/>
      </c>
    </row>
    <row r="200">
      <c r="A200" s="33">
        <f>196</f>
        <v/>
      </c>
      <c r="B200" s="34">
        <f>IF($A200&gt;NYears*12,"",EDATE(StartMonth,$A200-1))</f>
        <v/>
      </c>
      <c r="C200" s="33">
        <f>IF($A200&gt;NYears*12,"",INT(($A200-1)/12)+1)</f>
        <v/>
      </c>
      <c r="D200" s="33">
        <f>IF($A200&gt;NYears*12,"",MOD($A200-1,12)+1)</f>
        <v/>
      </c>
      <c r="E200" s="35">
        <f>IF($A200&gt;NYears*12,"",LotValue0*(1+LotGrowth)^($C200-1))</f>
        <v/>
      </c>
      <c r="F200" s="35">
        <f>IF($A200&gt;NYears*12,"",IF($A200=1,InitInvest,$R199))</f>
        <v/>
      </c>
      <c r="G200" s="33">
        <f>IF($A200&gt;NYears*12,"",INT($F200/$E200))</f>
        <v/>
      </c>
      <c r="H200" s="35">
        <f>IF($A200&gt;NYears*12,"",$G200*$E200)</f>
        <v/>
      </c>
      <c r="I200" s="35">
        <f>IF($A200&gt;NYears*12,"",$F200-$H200)</f>
        <v/>
      </c>
      <c r="J200" s="35">
        <f>IF($A200&gt;NYears*12,"",$H200*RateB)</f>
        <v/>
      </c>
      <c r="K200" s="35">
        <f>IF($A200&gt;NYears*12,"",IF($D200=1,$J200,$K199+$J200))</f>
        <v/>
      </c>
      <c r="L200" s="35">
        <f>IF($A200&gt;NYears*12,"",IF(MOD($D200,3)=0,SUM($J198:$J200),0))</f>
        <v/>
      </c>
      <c r="M200" s="35">
        <f>IF($A200&gt;NYears*12,"",IF(TaxFreq="Quarterly",$K200*12/$D200,$K200))</f>
        <v/>
      </c>
      <c r="N200" s="36">
        <f>IF($A200&gt;NYears*12,"",LOOKUP($M200,TaxLower,TaxRate))</f>
        <v/>
      </c>
      <c r="O200" s="35">
        <f>IF($A200&gt;NYears*12,"",IF(TaxFreq="Quarterly",IF(MOD($D200,3)=0,$L200*$N200,0),IF($D200=12,$K200*$N200,0)))</f>
        <v/>
      </c>
      <c r="P200" s="35">
        <f>IF($A200&gt;NYears*12,"",IF($D200=1,$O200,$P199+$O200))</f>
        <v/>
      </c>
      <c r="Q200" s="35">
        <f>IF($A200&gt;NYears*12,"",IF($D200=12,MIN(WdrPct*IF(WdrBase="Post-tax profit",$K200-$P200,$K200),WdrCap),0))</f>
        <v/>
      </c>
      <c r="R200" s="35">
        <f>IF($A200&gt;NYears*12,"",$F200+$J200-$O200-$Q200)</f>
        <v/>
      </c>
      <c r="S200" s="33">
        <f>IF($A200&gt;NYears*12,"",INT($R200/$E200))</f>
        <v/>
      </c>
    </row>
    <row r="201">
      <c r="A201" s="33">
        <f>197</f>
        <v/>
      </c>
      <c r="B201" s="34">
        <f>IF($A201&gt;NYears*12,"",EDATE(StartMonth,$A201-1))</f>
        <v/>
      </c>
      <c r="C201" s="33">
        <f>IF($A201&gt;NYears*12,"",INT(($A201-1)/12)+1)</f>
        <v/>
      </c>
      <c r="D201" s="33">
        <f>IF($A201&gt;NYears*12,"",MOD($A201-1,12)+1)</f>
        <v/>
      </c>
      <c r="E201" s="35">
        <f>IF($A201&gt;NYears*12,"",LotValue0*(1+LotGrowth)^($C201-1))</f>
        <v/>
      </c>
      <c r="F201" s="35">
        <f>IF($A201&gt;NYears*12,"",IF($A201=1,InitInvest,$R200))</f>
        <v/>
      </c>
      <c r="G201" s="33">
        <f>IF($A201&gt;NYears*12,"",INT($F201/$E201))</f>
        <v/>
      </c>
      <c r="H201" s="35">
        <f>IF($A201&gt;NYears*12,"",$G201*$E201)</f>
        <v/>
      </c>
      <c r="I201" s="35">
        <f>IF($A201&gt;NYears*12,"",$F201-$H201)</f>
        <v/>
      </c>
      <c r="J201" s="35">
        <f>IF($A201&gt;NYears*12,"",$H201*RateB)</f>
        <v/>
      </c>
      <c r="K201" s="35">
        <f>IF($A201&gt;NYears*12,"",IF($D201=1,$J201,$K200+$J201))</f>
        <v/>
      </c>
      <c r="L201" s="35">
        <f>IF($A201&gt;NYears*12,"",IF(MOD($D201,3)=0,SUM($J199:$J201),0))</f>
        <v/>
      </c>
      <c r="M201" s="35">
        <f>IF($A201&gt;NYears*12,"",IF(TaxFreq="Quarterly",$K201*12/$D201,$K201))</f>
        <v/>
      </c>
      <c r="N201" s="36">
        <f>IF($A201&gt;NYears*12,"",LOOKUP($M201,TaxLower,TaxRate))</f>
        <v/>
      </c>
      <c r="O201" s="35">
        <f>IF($A201&gt;NYears*12,"",IF(TaxFreq="Quarterly",IF(MOD($D201,3)=0,$L201*$N201,0),IF($D201=12,$K201*$N201,0)))</f>
        <v/>
      </c>
      <c r="P201" s="35">
        <f>IF($A201&gt;NYears*12,"",IF($D201=1,$O201,$P200+$O201))</f>
        <v/>
      </c>
      <c r="Q201" s="35">
        <f>IF($A201&gt;NYears*12,"",IF($D201=12,MIN(WdrPct*IF(WdrBase="Post-tax profit",$K201-$P201,$K201),WdrCap),0))</f>
        <v/>
      </c>
      <c r="R201" s="35">
        <f>IF($A201&gt;NYears*12,"",$F201+$J201-$O201-$Q201)</f>
        <v/>
      </c>
      <c r="S201" s="33">
        <f>IF($A201&gt;NYears*12,"",INT($R201/$E201))</f>
        <v/>
      </c>
    </row>
    <row r="202">
      <c r="A202" s="33">
        <f>198</f>
        <v/>
      </c>
      <c r="B202" s="34">
        <f>IF($A202&gt;NYears*12,"",EDATE(StartMonth,$A202-1))</f>
        <v/>
      </c>
      <c r="C202" s="33">
        <f>IF($A202&gt;NYears*12,"",INT(($A202-1)/12)+1)</f>
        <v/>
      </c>
      <c r="D202" s="33">
        <f>IF($A202&gt;NYears*12,"",MOD($A202-1,12)+1)</f>
        <v/>
      </c>
      <c r="E202" s="35">
        <f>IF($A202&gt;NYears*12,"",LotValue0*(1+LotGrowth)^($C202-1))</f>
        <v/>
      </c>
      <c r="F202" s="35">
        <f>IF($A202&gt;NYears*12,"",IF($A202=1,InitInvest,$R201))</f>
        <v/>
      </c>
      <c r="G202" s="33">
        <f>IF($A202&gt;NYears*12,"",INT($F202/$E202))</f>
        <v/>
      </c>
      <c r="H202" s="35">
        <f>IF($A202&gt;NYears*12,"",$G202*$E202)</f>
        <v/>
      </c>
      <c r="I202" s="35">
        <f>IF($A202&gt;NYears*12,"",$F202-$H202)</f>
        <v/>
      </c>
      <c r="J202" s="35">
        <f>IF($A202&gt;NYears*12,"",$H202*RateB)</f>
        <v/>
      </c>
      <c r="K202" s="35">
        <f>IF($A202&gt;NYears*12,"",IF($D202=1,$J202,$K201+$J202))</f>
        <v/>
      </c>
      <c r="L202" s="35">
        <f>IF($A202&gt;NYears*12,"",IF(MOD($D202,3)=0,SUM($J200:$J202),0))</f>
        <v/>
      </c>
      <c r="M202" s="35">
        <f>IF($A202&gt;NYears*12,"",IF(TaxFreq="Quarterly",$K202*12/$D202,$K202))</f>
        <v/>
      </c>
      <c r="N202" s="36">
        <f>IF($A202&gt;NYears*12,"",LOOKUP($M202,TaxLower,TaxRate))</f>
        <v/>
      </c>
      <c r="O202" s="35">
        <f>IF($A202&gt;NYears*12,"",IF(TaxFreq="Quarterly",IF(MOD($D202,3)=0,$L202*$N202,0),IF($D202=12,$K202*$N202,0)))</f>
        <v/>
      </c>
      <c r="P202" s="35">
        <f>IF($A202&gt;NYears*12,"",IF($D202=1,$O202,$P201+$O202))</f>
        <v/>
      </c>
      <c r="Q202" s="35">
        <f>IF($A202&gt;NYears*12,"",IF($D202=12,MIN(WdrPct*IF(WdrBase="Post-tax profit",$K202-$P202,$K202),WdrCap),0))</f>
        <v/>
      </c>
      <c r="R202" s="35">
        <f>IF($A202&gt;NYears*12,"",$F202+$J202-$O202-$Q202)</f>
        <v/>
      </c>
      <c r="S202" s="33">
        <f>IF($A202&gt;NYears*12,"",INT($R202/$E202))</f>
        <v/>
      </c>
    </row>
    <row r="203">
      <c r="A203" s="33">
        <f>199</f>
        <v/>
      </c>
      <c r="B203" s="34">
        <f>IF($A203&gt;NYears*12,"",EDATE(StartMonth,$A203-1))</f>
        <v/>
      </c>
      <c r="C203" s="33">
        <f>IF($A203&gt;NYears*12,"",INT(($A203-1)/12)+1)</f>
        <v/>
      </c>
      <c r="D203" s="33">
        <f>IF($A203&gt;NYears*12,"",MOD($A203-1,12)+1)</f>
        <v/>
      </c>
      <c r="E203" s="35">
        <f>IF($A203&gt;NYears*12,"",LotValue0*(1+LotGrowth)^($C203-1))</f>
        <v/>
      </c>
      <c r="F203" s="35">
        <f>IF($A203&gt;NYears*12,"",IF($A203=1,InitInvest,$R202))</f>
        <v/>
      </c>
      <c r="G203" s="33">
        <f>IF($A203&gt;NYears*12,"",INT($F203/$E203))</f>
        <v/>
      </c>
      <c r="H203" s="35">
        <f>IF($A203&gt;NYears*12,"",$G203*$E203)</f>
        <v/>
      </c>
      <c r="I203" s="35">
        <f>IF($A203&gt;NYears*12,"",$F203-$H203)</f>
        <v/>
      </c>
      <c r="J203" s="35">
        <f>IF($A203&gt;NYears*12,"",$H203*RateB)</f>
        <v/>
      </c>
      <c r="K203" s="35">
        <f>IF($A203&gt;NYears*12,"",IF($D203=1,$J203,$K202+$J203))</f>
        <v/>
      </c>
      <c r="L203" s="35">
        <f>IF($A203&gt;NYears*12,"",IF(MOD($D203,3)=0,SUM($J201:$J203),0))</f>
        <v/>
      </c>
      <c r="M203" s="35">
        <f>IF($A203&gt;NYears*12,"",IF(TaxFreq="Quarterly",$K203*12/$D203,$K203))</f>
        <v/>
      </c>
      <c r="N203" s="36">
        <f>IF($A203&gt;NYears*12,"",LOOKUP($M203,TaxLower,TaxRate))</f>
        <v/>
      </c>
      <c r="O203" s="35">
        <f>IF($A203&gt;NYears*12,"",IF(TaxFreq="Quarterly",IF(MOD($D203,3)=0,$L203*$N203,0),IF($D203=12,$K203*$N203,0)))</f>
        <v/>
      </c>
      <c r="P203" s="35">
        <f>IF($A203&gt;NYears*12,"",IF($D203=1,$O203,$P202+$O203))</f>
        <v/>
      </c>
      <c r="Q203" s="35">
        <f>IF($A203&gt;NYears*12,"",IF($D203=12,MIN(WdrPct*IF(WdrBase="Post-tax profit",$K203-$P203,$K203),WdrCap),0))</f>
        <v/>
      </c>
      <c r="R203" s="35">
        <f>IF($A203&gt;NYears*12,"",$F203+$J203-$O203-$Q203)</f>
        <v/>
      </c>
      <c r="S203" s="33">
        <f>IF($A203&gt;NYears*12,"",INT($R203/$E203))</f>
        <v/>
      </c>
    </row>
    <row r="204">
      <c r="A204" s="33">
        <f>200</f>
        <v/>
      </c>
      <c r="B204" s="34">
        <f>IF($A204&gt;NYears*12,"",EDATE(StartMonth,$A204-1))</f>
        <v/>
      </c>
      <c r="C204" s="33">
        <f>IF($A204&gt;NYears*12,"",INT(($A204-1)/12)+1)</f>
        <v/>
      </c>
      <c r="D204" s="33">
        <f>IF($A204&gt;NYears*12,"",MOD($A204-1,12)+1)</f>
        <v/>
      </c>
      <c r="E204" s="35">
        <f>IF($A204&gt;NYears*12,"",LotValue0*(1+LotGrowth)^($C204-1))</f>
        <v/>
      </c>
      <c r="F204" s="35">
        <f>IF($A204&gt;NYears*12,"",IF($A204=1,InitInvest,$R203))</f>
        <v/>
      </c>
      <c r="G204" s="33">
        <f>IF($A204&gt;NYears*12,"",INT($F204/$E204))</f>
        <v/>
      </c>
      <c r="H204" s="35">
        <f>IF($A204&gt;NYears*12,"",$G204*$E204)</f>
        <v/>
      </c>
      <c r="I204" s="35">
        <f>IF($A204&gt;NYears*12,"",$F204-$H204)</f>
        <v/>
      </c>
      <c r="J204" s="35">
        <f>IF($A204&gt;NYears*12,"",$H204*RateB)</f>
        <v/>
      </c>
      <c r="K204" s="35">
        <f>IF($A204&gt;NYears*12,"",IF($D204=1,$J204,$K203+$J204))</f>
        <v/>
      </c>
      <c r="L204" s="35">
        <f>IF($A204&gt;NYears*12,"",IF(MOD($D204,3)=0,SUM($J202:$J204),0))</f>
        <v/>
      </c>
      <c r="M204" s="35">
        <f>IF($A204&gt;NYears*12,"",IF(TaxFreq="Quarterly",$K204*12/$D204,$K204))</f>
        <v/>
      </c>
      <c r="N204" s="36">
        <f>IF($A204&gt;NYears*12,"",LOOKUP($M204,TaxLower,TaxRate))</f>
        <v/>
      </c>
      <c r="O204" s="35">
        <f>IF($A204&gt;NYears*12,"",IF(TaxFreq="Quarterly",IF(MOD($D204,3)=0,$L204*$N204,0),IF($D204=12,$K204*$N204,0)))</f>
        <v/>
      </c>
      <c r="P204" s="35">
        <f>IF($A204&gt;NYears*12,"",IF($D204=1,$O204,$P203+$O204))</f>
        <v/>
      </c>
      <c r="Q204" s="35">
        <f>IF($A204&gt;NYears*12,"",IF($D204=12,MIN(WdrPct*IF(WdrBase="Post-tax profit",$K204-$P204,$K204),WdrCap),0))</f>
        <v/>
      </c>
      <c r="R204" s="35">
        <f>IF($A204&gt;NYears*12,"",$F204+$J204-$O204-$Q204)</f>
        <v/>
      </c>
      <c r="S204" s="33">
        <f>IF($A204&gt;NYears*12,"",INT($R204/$E204))</f>
        <v/>
      </c>
    </row>
    <row r="205">
      <c r="A205" s="33">
        <f>201</f>
        <v/>
      </c>
      <c r="B205" s="34">
        <f>IF($A205&gt;NYears*12,"",EDATE(StartMonth,$A205-1))</f>
        <v/>
      </c>
      <c r="C205" s="33">
        <f>IF($A205&gt;NYears*12,"",INT(($A205-1)/12)+1)</f>
        <v/>
      </c>
      <c r="D205" s="33">
        <f>IF($A205&gt;NYears*12,"",MOD($A205-1,12)+1)</f>
        <v/>
      </c>
      <c r="E205" s="35">
        <f>IF($A205&gt;NYears*12,"",LotValue0*(1+LotGrowth)^($C205-1))</f>
        <v/>
      </c>
      <c r="F205" s="35">
        <f>IF($A205&gt;NYears*12,"",IF($A205=1,InitInvest,$R204))</f>
        <v/>
      </c>
      <c r="G205" s="33">
        <f>IF($A205&gt;NYears*12,"",INT($F205/$E205))</f>
        <v/>
      </c>
      <c r="H205" s="35">
        <f>IF($A205&gt;NYears*12,"",$G205*$E205)</f>
        <v/>
      </c>
      <c r="I205" s="35">
        <f>IF($A205&gt;NYears*12,"",$F205-$H205)</f>
        <v/>
      </c>
      <c r="J205" s="35">
        <f>IF($A205&gt;NYears*12,"",$H205*RateB)</f>
        <v/>
      </c>
      <c r="K205" s="35">
        <f>IF($A205&gt;NYears*12,"",IF($D205=1,$J205,$K204+$J205))</f>
        <v/>
      </c>
      <c r="L205" s="35">
        <f>IF($A205&gt;NYears*12,"",IF(MOD($D205,3)=0,SUM($J203:$J205),0))</f>
        <v/>
      </c>
      <c r="M205" s="35">
        <f>IF($A205&gt;NYears*12,"",IF(TaxFreq="Quarterly",$K205*12/$D205,$K205))</f>
        <v/>
      </c>
      <c r="N205" s="36">
        <f>IF($A205&gt;NYears*12,"",LOOKUP($M205,TaxLower,TaxRate))</f>
        <v/>
      </c>
      <c r="O205" s="35">
        <f>IF($A205&gt;NYears*12,"",IF(TaxFreq="Quarterly",IF(MOD($D205,3)=0,$L205*$N205,0),IF($D205=12,$K205*$N205,0)))</f>
        <v/>
      </c>
      <c r="P205" s="35">
        <f>IF($A205&gt;NYears*12,"",IF($D205=1,$O205,$P204+$O205))</f>
        <v/>
      </c>
      <c r="Q205" s="35">
        <f>IF($A205&gt;NYears*12,"",IF($D205=12,MIN(WdrPct*IF(WdrBase="Post-tax profit",$K205-$P205,$K205),WdrCap),0))</f>
        <v/>
      </c>
      <c r="R205" s="35">
        <f>IF($A205&gt;NYears*12,"",$F205+$J205-$O205-$Q205)</f>
        <v/>
      </c>
      <c r="S205" s="33">
        <f>IF($A205&gt;NYears*12,"",INT($R205/$E205))</f>
        <v/>
      </c>
    </row>
    <row r="206">
      <c r="A206" s="33">
        <f>202</f>
        <v/>
      </c>
      <c r="B206" s="34">
        <f>IF($A206&gt;NYears*12,"",EDATE(StartMonth,$A206-1))</f>
        <v/>
      </c>
      <c r="C206" s="33">
        <f>IF($A206&gt;NYears*12,"",INT(($A206-1)/12)+1)</f>
        <v/>
      </c>
      <c r="D206" s="33">
        <f>IF($A206&gt;NYears*12,"",MOD($A206-1,12)+1)</f>
        <v/>
      </c>
      <c r="E206" s="35">
        <f>IF($A206&gt;NYears*12,"",LotValue0*(1+LotGrowth)^($C206-1))</f>
        <v/>
      </c>
      <c r="F206" s="35">
        <f>IF($A206&gt;NYears*12,"",IF($A206=1,InitInvest,$R205))</f>
        <v/>
      </c>
      <c r="G206" s="33">
        <f>IF($A206&gt;NYears*12,"",INT($F206/$E206))</f>
        <v/>
      </c>
      <c r="H206" s="35">
        <f>IF($A206&gt;NYears*12,"",$G206*$E206)</f>
        <v/>
      </c>
      <c r="I206" s="35">
        <f>IF($A206&gt;NYears*12,"",$F206-$H206)</f>
        <v/>
      </c>
      <c r="J206" s="35">
        <f>IF($A206&gt;NYears*12,"",$H206*RateB)</f>
        <v/>
      </c>
      <c r="K206" s="35">
        <f>IF($A206&gt;NYears*12,"",IF($D206=1,$J206,$K205+$J206))</f>
        <v/>
      </c>
      <c r="L206" s="35">
        <f>IF($A206&gt;NYears*12,"",IF(MOD($D206,3)=0,SUM($J204:$J206),0))</f>
        <v/>
      </c>
      <c r="M206" s="35">
        <f>IF($A206&gt;NYears*12,"",IF(TaxFreq="Quarterly",$K206*12/$D206,$K206))</f>
        <v/>
      </c>
      <c r="N206" s="36">
        <f>IF($A206&gt;NYears*12,"",LOOKUP($M206,TaxLower,TaxRate))</f>
        <v/>
      </c>
      <c r="O206" s="35">
        <f>IF($A206&gt;NYears*12,"",IF(TaxFreq="Quarterly",IF(MOD($D206,3)=0,$L206*$N206,0),IF($D206=12,$K206*$N206,0)))</f>
        <v/>
      </c>
      <c r="P206" s="35">
        <f>IF($A206&gt;NYears*12,"",IF($D206=1,$O206,$P205+$O206))</f>
        <v/>
      </c>
      <c r="Q206" s="35">
        <f>IF($A206&gt;NYears*12,"",IF($D206=12,MIN(WdrPct*IF(WdrBase="Post-tax profit",$K206-$P206,$K206),WdrCap),0))</f>
        <v/>
      </c>
      <c r="R206" s="35">
        <f>IF($A206&gt;NYears*12,"",$F206+$J206-$O206-$Q206)</f>
        <v/>
      </c>
      <c r="S206" s="33">
        <f>IF($A206&gt;NYears*12,"",INT($R206/$E206))</f>
        <v/>
      </c>
    </row>
    <row r="207">
      <c r="A207" s="33">
        <f>203</f>
        <v/>
      </c>
      <c r="B207" s="34">
        <f>IF($A207&gt;NYears*12,"",EDATE(StartMonth,$A207-1))</f>
        <v/>
      </c>
      <c r="C207" s="33">
        <f>IF($A207&gt;NYears*12,"",INT(($A207-1)/12)+1)</f>
        <v/>
      </c>
      <c r="D207" s="33">
        <f>IF($A207&gt;NYears*12,"",MOD($A207-1,12)+1)</f>
        <v/>
      </c>
      <c r="E207" s="35">
        <f>IF($A207&gt;NYears*12,"",LotValue0*(1+LotGrowth)^($C207-1))</f>
        <v/>
      </c>
      <c r="F207" s="35">
        <f>IF($A207&gt;NYears*12,"",IF($A207=1,InitInvest,$R206))</f>
        <v/>
      </c>
      <c r="G207" s="33">
        <f>IF($A207&gt;NYears*12,"",INT($F207/$E207))</f>
        <v/>
      </c>
      <c r="H207" s="35">
        <f>IF($A207&gt;NYears*12,"",$G207*$E207)</f>
        <v/>
      </c>
      <c r="I207" s="35">
        <f>IF($A207&gt;NYears*12,"",$F207-$H207)</f>
        <v/>
      </c>
      <c r="J207" s="35">
        <f>IF($A207&gt;NYears*12,"",$H207*RateB)</f>
        <v/>
      </c>
      <c r="K207" s="35">
        <f>IF($A207&gt;NYears*12,"",IF($D207=1,$J207,$K206+$J207))</f>
        <v/>
      </c>
      <c r="L207" s="35">
        <f>IF($A207&gt;NYears*12,"",IF(MOD($D207,3)=0,SUM($J205:$J207),0))</f>
        <v/>
      </c>
      <c r="M207" s="35">
        <f>IF($A207&gt;NYears*12,"",IF(TaxFreq="Quarterly",$K207*12/$D207,$K207))</f>
        <v/>
      </c>
      <c r="N207" s="36">
        <f>IF($A207&gt;NYears*12,"",LOOKUP($M207,TaxLower,TaxRate))</f>
        <v/>
      </c>
      <c r="O207" s="35">
        <f>IF($A207&gt;NYears*12,"",IF(TaxFreq="Quarterly",IF(MOD($D207,3)=0,$L207*$N207,0),IF($D207=12,$K207*$N207,0)))</f>
        <v/>
      </c>
      <c r="P207" s="35">
        <f>IF($A207&gt;NYears*12,"",IF($D207=1,$O207,$P206+$O207))</f>
        <v/>
      </c>
      <c r="Q207" s="35">
        <f>IF($A207&gt;NYears*12,"",IF($D207=12,MIN(WdrPct*IF(WdrBase="Post-tax profit",$K207-$P207,$K207),WdrCap),0))</f>
        <v/>
      </c>
      <c r="R207" s="35">
        <f>IF($A207&gt;NYears*12,"",$F207+$J207-$O207-$Q207)</f>
        <v/>
      </c>
      <c r="S207" s="33">
        <f>IF($A207&gt;NYears*12,"",INT($R207/$E207))</f>
        <v/>
      </c>
    </row>
    <row r="208">
      <c r="A208" s="37">
        <f>204</f>
        <v/>
      </c>
      <c r="B208" s="38">
        <f>IF($A208&gt;NYears*12,"",EDATE(StartMonth,$A208-1))</f>
        <v/>
      </c>
      <c r="C208" s="37">
        <f>IF($A208&gt;NYears*12,"",INT(($A208-1)/12)+1)</f>
        <v/>
      </c>
      <c r="D208" s="37">
        <f>IF($A208&gt;NYears*12,"",MOD($A208-1,12)+1)</f>
        <v/>
      </c>
      <c r="E208" s="39">
        <f>IF($A208&gt;NYears*12,"",LotValue0*(1+LotGrowth)^($C208-1))</f>
        <v/>
      </c>
      <c r="F208" s="39">
        <f>IF($A208&gt;NYears*12,"",IF($A208=1,InitInvest,$R207))</f>
        <v/>
      </c>
      <c r="G208" s="37">
        <f>IF($A208&gt;NYears*12,"",INT($F208/$E208))</f>
        <v/>
      </c>
      <c r="H208" s="39">
        <f>IF($A208&gt;NYears*12,"",$G208*$E208)</f>
        <v/>
      </c>
      <c r="I208" s="39">
        <f>IF($A208&gt;NYears*12,"",$F208-$H208)</f>
        <v/>
      </c>
      <c r="J208" s="39">
        <f>IF($A208&gt;NYears*12,"",$H208*RateB)</f>
        <v/>
      </c>
      <c r="K208" s="39">
        <f>IF($A208&gt;NYears*12,"",IF($D208=1,$J208,$K207+$J208))</f>
        <v/>
      </c>
      <c r="L208" s="39">
        <f>IF($A208&gt;NYears*12,"",IF(MOD($D208,3)=0,SUM($J206:$J208),0))</f>
        <v/>
      </c>
      <c r="M208" s="39">
        <f>IF($A208&gt;NYears*12,"",IF(TaxFreq="Quarterly",$K208*12/$D208,$K208))</f>
        <v/>
      </c>
      <c r="N208" s="40">
        <f>IF($A208&gt;NYears*12,"",LOOKUP($M208,TaxLower,TaxRate))</f>
        <v/>
      </c>
      <c r="O208" s="39">
        <f>IF($A208&gt;NYears*12,"",IF(TaxFreq="Quarterly",IF(MOD($D208,3)=0,$L208*$N208,0),IF($D208=12,$K208*$N208,0)))</f>
        <v/>
      </c>
      <c r="P208" s="39">
        <f>IF($A208&gt;NYears*12,"",IF($D208=1,$O208,$P207+$O208))</f>
        <v/>
      </c>
      <c r="Q208" s="39">
        <f>IF($A208&gt;NYears*12,"",IF($D208=12,MIN(WdrPct*IF(WdrBase="Post-tax profit",$K208-$P208,$K208),WdrCap),0))</f>
        <v/>
      </c>
      <c r="R208" s="39">
        <f>IF($A208&gt;NYears*12,"",$F208+$J208-$O208-$Q208)</f>
        <v/>
      </c>
      <c r="S208" s="37">
        <f>IF($A208&gt;NYears*12,"",INT($R208/$E208))</f>
        <v/>
      </c>
    </row>
    <row r="209">
      <c r="A209" s="33">
        <f>205</f>
        <v/>
      </c>
      <c r="B209" s="34">
        <f>IF($A209&gt;NYears*12,"",EDATE(StartMonth,$A209-1))</f>
        <v/>
      </c>
      <c r="C209" s="33">
        <f>IF($A209&gt;NYears*12,"",INT(($A209-1)/12)+1)</f>
        <v/>
      </c>
      <c r="D209" s="33">
        <f>IF($A209&gt;NYears*12,"",MOD($A209-1,12)+1)</f>
        <v/>
      </c>
      <c r="E209" s="35">
        <f>IF($A209&gt;NYears*12,"",LotValue0*(1+LotGrowth)^($C209-1))</f>
        <v/>
      </c>
      <c r="F209" s="35">
        <f>IF($A209&gt;NYears*12,"",IF($A209=1,InitInvest,$R208))</f>
        <v/>
      </c>
      <c r="G209" s="33">
        <f>IF($A209&gt;NYears*12,"",INT($F209/$E209))</f>
        <v/>
      </c>
      <c r="H209" s="35">
        <f>IF($A209&gt;NYears*12,"",$G209*$E209)</f>
        <v/>
      </c>
      <c r="I209" s="35">
        <f>IF($A209&gt;NYears*12,"",$F209-$H209)</f>
        <v/>
      </c>
      <c r="J209" s="35">
        <f>IF($A209&gt;NYears*12,"",$H209*RateB)</f>
        <v/>
      </c>
      <c r="K209" s="35">
        <f>IF($A209&gt;NYears*12,"",IF($D209=1,$J209,$K208+$J209))</f>
        <v/>
      </c>
      <c r="L209" s="35">
        <f>IF($A209&gt;NYears*12,"",IF(MOD($D209,3)=0,SUM($J207:$J209),0))</f>
        <v/>
      </c>
      <c r="M209" s="35">
        <f>IF($A209&gt;NYears*12,"",IF(TaxFreq="Quarterly",$K209*12/$D209,$K209))</f>
        <v/>
      </c>
      <c r="N209" s="36">
        <f>IF($A209&gt;NYears*12,"",LOOKUP($M209,TaxLower,TaxRate))</f>
        <v/>
      </c>
      <c r="O209" s="35">
        <f>IF($A209&gt;NYears*12,"",IF(TaxFreq="Quarterly",IF(MOD($D209,3)=0,$L209*$N209,0),IF($D209=12,$K209*$N209,0)))</f>
        <v/>
      </c>
      <c r="P209" s="35">
        <f>IF($A209&gt;NYears*12,"",IF($D209=1,$O209,$P208+$O209))</f>
        <v/>
      </c>
      <c r="Q209" s="35">
        <f>IF($A209&gt;NYears*12,"",IF($D209=12,MIN(WdrPct*IF(WdrBase="Post-tax profit",$K209-$P209,$K209),WdrCap),0))</f>
        <v/>
      </c>
      <c r="R209" s="35">
        <f>IF($A209&gt;NYears*12,"",$F209+$J209-$O209-$Q209)</f>
        <v/>
      </c>
      <c r="S209" s="33">
        <f>IF($A209&gt;NYears*12,"",INT($R209/$E209))</f>
        <v/>
      </c>
    </row>
    <row r="210">
      <c r="A210" s="33">
        <f>206</f>
        <v/>
      </c>
      <c r="B210" s="34">
        <f>IF($A210&gt;NYears*12,"",EDATE(StartMonth,$A210-1))</f>
        <v/>
      </c>
      <c r="C210" s="33">
        <f>IF($A210&gt;NYears*12,"",INT(($A210-1)/12)+1)</f>
        <v/>
      </c>
      <c r="D210" s="33">
        <f>IF($A210&gt;NYears*12,"",MOD($A210-1,12)+1)</f>
        <v/>
      </c>
      <c r="E210" s="35">
        <f>IF($A210&gt;NYears*12,"",LotValue0*(1+LotGrowth)^($C210-1))</f>
        <v/>
      </c>
      <c r="F210" s="35">
        <f>IF($A210&gt;NYears*12,"",IF($A210=1,InitInvest,$R209))</f>
        <v/>
      </c>
      <c r="G210" s="33">
        <f>IF($A210&gt;NYears*12,"",INT($F210/$E210))</f>
        <v/>
      </c>
      <c r="H210" s="35">
        <f>IF($A210&gt;NYears*12,"",$G210*$E210)</f>
        <v/>
      </c>
      <c r="I210" s="35">
        <f>IF($A210&gt;NYears*12,"",$F210-$H210)</f>
        <v/>
      </c>
      <c r="J210" s="35">
        <f>IF($A210&gt;NYears*12,"",$H210*RateB)</f>
        <v/>
      </c>
      <c r="K210" s="35">
        <f>IF($A210&gt;NYears*12,"",IF($D210=1,$J210,$K209+$J210))</f>
        <v/>
      </c>
      <c r="L210" s="35">
        <f>IF($A210&gt;NYears*12,"",IF(MOD($D210,3)=0,SUM($J208:$J210),0))</f>
        <v/>
      </c>
      <c r="M210" s="35">
        <f>IF($A210&gt;NYears*12,"",IF(TaxFreq="Quarterly",$K210*12/$D210,$K210))</f>
        <v/>
      </c>
      <c r="N210" s="36">
        <f>IF($A210&gt;NYears*12,"",LOOKUP($M210,TaxLower,TaxRate))</f>
        <v/>
      </c>
      <c r="O210" s="35">
        <f>IF($A210&gt;NYears*12,"",IF(TaxFreq="Quarterly",IF(MOD($D210,3)=0,$L210*$N210,0),IF($D210=12,$K210*$N210,0)))</f>
        <v/>
      </c>
      <c r="P210" s="35">
        <f>IF($A210&gt;NYears*12,"",IF($D210=1,$O210,$P209+$O210))</f>
        <v/>
      </c>
      <c r="Q210" s="35">
        <f>IF($A210&gt;NYears*12,"",IF($D210=12,MIN(WdrPct*IF(WdrBase="Post-tax profit",$K210-$P210,$K210),WdrCap),0))</f>
        <v/>
      </c>
      <c r="R210" s="35">
        <f>IF($A210&gt;NYears*12,"",$F210+$J210-$O210-$Q210)</f>
        <v/>
      </c>
      <c r="S210" s="33">
        <f>IF($A210&gt;NYears*12,"",INT($R210/$E210))</f>
        <v/>
      </c>
    </row>
    <row r="211">
      <c r="A211" s="33">
        <f>207</f>
        <v/>
      </c>
      <c r="B211" s="34">
        <f>IF($A211&gt;NYears*12,"",EDATE(StartMonth,$A211-1))</f>
        <v/>
      </c>
      <c r="C211" s="33">
        <f>IF($A211&gt;NYears*12,"",INT(($A211-1)/12)+1)</f>
        <v/>
      </c>
      <c r="D211" s="33">
        <f>IF($A211&gt;NYears*12,"",MOD($A211-1,12)+1)</f>
        <v/>
      </c>
      <c r="E211" s="35">
        <f>IF($A211&gt;NYears*12,"",LotValue0*(1+LotGrowth)^($C211-1))</f>
        <v/>
      </c>
      <c r="F211" s="35">
        <f>IF($A211&gt;NYears*12,"",IF($A211=1,InitInvest,$R210))</f>
        <v/>
      </c>
      <c r="G211" s="33">
        <f>IF($A211&gt;NYears*12,"",INT($F211/$E211))</f>
        <v/>
      </c>
      <c r="H211" s="35">
        <f>IF($A211&gt;NYears*12,"",$G211*$E211)</f>
        <v/>
      </c>
      <c r="I211" s="35">
        <f>IF($A211&gt;NYears*12,"",$F211-$H211)</f>
        <v/>
      </c>
      <c r="J211" s="35">
        <f>IF($A211&gt;NYears*12,"",$H211*RateB)</f>
        <v/>
      </c>
      <c r="K211" s="35">
        <f>IF($A211&gt;NYears*12,"",IF($D211=1,$J211,$K210+$J211))</f>
        <v/>
      </c>
      <c r="L211" s="35">
        <f>IF($A211&gt;NYears*12,"",IF(MOD($D211,3)=0,SUM($J209:$J211),0))</f>
        <v/>
      </c>
      <c r="M211" s="35">
        <f>IF($A211&gt;NYears*12,"",IF(TaxFreq="Quarterly",$K211*12/$D211,$K211))</f>
        <v/>
      </c>
      <c r="N211" s="36">
        <f>IF($A211&gt;NYears*12,"",LOOKUP($M211,TaxLower,TaxRate))</f>
        <v/>
      </c>
      <c r="O211" s="35">
        <f>IF($A211&gt;NYears*12,"",IF(TaxFreq="Quarterly",IF(MOD($D211,3)=0,$L211*$N211,0),IF($D211=12,$K211*$N211,0)))</f>
        <v/>
      </c>
      <c r="P211" s="35">
        <f>IF($A211&gt;NYears*12,"",IF($D211=1,$O211,$P210+$O211))</f>
        <v/>
      </c>
      <c r="Q211" s="35">
        <f>IF($A211&gt;NYears*12,"",IF($D211=12,MIN(WdrPct*IF(WdrBase="Post-tax profit",$K211-$P211,$K211),WdrCap),0))</f>
        <v/>
      </c>
      <c r="R211" s="35">
        <f>IF($A211&gt;NYears*12,"",$F211+$J211-$O211-$Q211)</f>
        <v/>
      </c>
      <c r="S211" s="33">
        <f>IF($A211&gt;NYears*12,"",INT($R211/$E211))</f>
        <v/>
      </c>
    </row>
    <row r="212">
      <c r="A212" s="33">
        <f>208</f>
        <v/>
      </c>
      <c r="B212" s="34">
        <f>IF($A212&gt;NYears*12,"",EDATE(StartMonth,$A212-1))</f>
        <v/>
      </c>
      <c r="C212" s="33">
        <f>IF($A212&gt;NYears*12,"",INT(($A212-1)/12)+1)</f>
        <v/>
      </c>
      <c r="D212" s="33">
        <f>IF($A212&gt;NYears*12,"",MOD($A212-1,12)+1)</f>
        <v/>
      </c>
      <c r="E212" s="35">
        <f>IF($A212&gt;NYears*12,"",LotValue0*(1+LotGrowth)^($C212-1))</f>
        <v/>
      </c>
      <c r="F212" s="35">
        <f>IF($A212&gt;NYears*12,"",IF($A212=1,InitInvest,$R211))</f>
        <v/>
      </c>
      <c r="G212" s="33">
        <f>IF($A212&gt;NYears*12,"",INT($F212/$E212))</f>
        <v/>
      </c>
      <c r="H212" s="35">
        <f>IF($A212&gt;NYears*12,"",$G212*$E212)</f>
        <v/>
      </c>
      <c r="I212" s="35">
        <f>IF($A212&gt;NYears*12,"",$F212-$H212)</f>
        <v/>
      </c>
      <c r="J212" s="35">
        <f>IF($A212&gt;NYears*12,"",$H212*RateB)</f>
        <v/>
      </c>
      <c r="K212" s="35">
        <f>IF($A212&gt;NYears*12,"",IF($D212=1,$J212,$K211+$J212))</f>
        <v/>
      </c>
      <c r="L212" s="35">
        <f>IF($A212&gt;NYears*12,"",IF(MOD($D212,3)=0,SUM($J210:$J212),0))</f>
        <v/>
      </c>
      <c r="M212" s="35">
        <f>IF($A212&gt;NYears*12,"",IF(TaxFreq="Quarterly",$K212*12/$D212,$K212))</f>
        <v/>
      </c>
      <c r="N212" s="36">
        <f>IF($A212&gt;NYears*12,"",LOOKUP($M212,TaxLower,TaxRate))</f>
        <v/>
      </c>
      <c r="O212" s="35">
        <f>IF($A212&gt;NYears*12,"",IF(TaxFreq="Quarterly",IF(MOD($D212,3)=0,$L212*$N212,0),IF($D212=12,$K212*$N212,0)))</f>
        <v/>
      </c>
      <c r="P212" s="35">
        <f>IF($A212&gt;NYears*12,"",IF($D212=1,$O212,$P211+$O212))</f>
        <v/>
      </c>
      <c r="Q212" s="35">
        <f>IF($A212&gt;NYears*12,"",IF($D212=12,MIN(WdrPct*IF(WdrBase="Post-tax profit",$K212-$P212,$K212),WdrCap),0))</f>
        <v/>
      </c>
      <c r="R212" s="35">
        <f>IF($A212&gt;NYears*12,"",$F212+$J212-$O212-$Q212)</f>
        <v/>
      </c>
      <c r="S212" s="33">
        <f>IF($A212&gt;NYears*12,"",INT($R212/$E212))</f>
        <v/>
      </c>
    </row>
    <row r="213">
      <c r="A213" s="33">
        <f>209</f>
        <v/>
      </c>
      <c r="B213" s="34">
        <f>IF($A213&gt;NYears*12,"",EDATE(StartMonth,$A213-1))</f>
        <v/>
      </c>
      <c r="C213" s="33">
        <f>IF($A213&gt;NYears*12,"",INT(($A213-1)/12)+1)</f>
        <v/>
      </c>
      <c r="D213" s="33">
        <f>IF($A213&gt;NYears*12,"",MOD($A213-1,12)+1)</f>
        <v/>
      </c>
      <c r="E213" s="35">
        <f>IF($A213&gt;NYears*12,"",LotValue0*(1+LotGrowth)^($C213-1))</f>
        <v/>
      </c>
      <c r="F213" s="35">
        <f>IF($A213&gt;NYears*12,"",IF($A213=1,InitInvest,$R212))</f>
        <v/>
      </c>
      <c r="G213" s="33">
        <f>IF($A213&gt;NYears*12,"",INT($F213/$E213))</f>
        <v/>
      </c>
      <c r="H213" s="35">
        <f>IF($A213&gt;NYears*12,"",$G213*$E213)</f>
        <v/>
      </c>
      <c r="I213" s="35">
        <f>IF($A213&gt;NYears*12,"",$F213-$H213)</f>
        <v/>
      </c>
      <c r="J213" s="35">
        <f>IF($A213&gt;NYears*12,"",$H213*RateB)</f>
        <v/>
      </c>
      <c r="K213" s="35">
        <f>IF($A213&gt;NYears*12,"",IF($D213=1,$J213,$K212+$J213))</f>
        <v/>
      </c>
      <c r="L213" s="35">
        <f>IF($A213&gt;NYears*12,"",IF(MOD($D213,3)=0,SUM($J211:$J213),0))</f>
        <v/>
      </c>
      <c r="M213" s="35">
        <f>IF($A213&gt;NYears*12,"",IF(TaxFreq="Quarterly",$K213*12/$D213,$K213))</f>
        <v/>
      </c>
      <c r="N213" s="36">
        <f>IF($A213&gt;NYears*12,"",LOOKUP($M213,TaxLower,TaxRate))</f>
        <v/>
      </c>
      <c r="O213" s="35">
        <f>IF($A213&gt;NYears*12,"",IF(TaxFreq="Quarterly",IF(MOD($D213,3)=0,$L213*$N213,0),IF($D213=12,$K213*$N213,0)))</f>
        <v/>
      </c>
      <c r="P213" s="35">
        <f>IF($A213&gt;NYears*12,"",IF($D213=1,$O213,$P212+$O213))</f>
        <v/>
      </c>
      <c r="Q213" s="35">
        <f>IF($A213&gt;NYears*12,"",IF($D213=12,MIN(WdrPct*IF(WdrBase="Post-tax profit",$K213-$P213,$K213),WdrCap),0))</f>
        <v/>
      </c>
      <c r="R213" s="35">
        <f>IF($A213&gt;NYears*12,"",$F213+$J213-$O213-$Q213)</f>
        <v/>
      </c>
      <c r="S213" s="33">
        <f>IF($A213&gt;NYears*12,"",INT($R213/$E213))</f>
        <v/>
      </c>
    </row>
    <row r="214">
      <c r="A214" s="33">
        <f>210</f>
        <v/>
      </c>
      <c r="B214" s="34">
        <f>IF($A214&gt;NYears*12,"",EDATE(StartMonth,$A214-1))</f>
        <v/>
      </c>
      <c r="C214" s="33">
        <f>IF($A214&gt;NYears*12,"",INT(($A214-1)/12)+1)</f>
        <v/>
      </c>
      <c r="D214" s="33">
        <f>IF($A214&gt;NYears*12,"",MOD($A214-1,12)+1)</f>
        <v/>
      </c>
      <c r="E214" s="35">
        <f>IF($A214&gt;NYears*12,"",LotValue0*(1+LotGrowth)^($C214-1))</f>
        <v/>
      </c>
      <c r="F214" s="35">
        <f>IF($A214&gt;NYears*12,"",IF($A214=1,InitInvest,$R213))</f>
        <v/>
      </c>
      <c r="G214" s="33">
        <f>IF($A214&gt;NYears*12,"",INT($F214/$E214))</f>
        <v/>
      </c>
      <c r="H214" s="35">
        <f>IF($A214&gt;NYears*12,"",$G214*$E214)</f>
        <v/>
      </c>
      <c r="I214" s="35">
        <f>IF($A214&gt;NYears*12,"",$F214-$H214)</f>
        <v/>
      </c>
      <c r="J214" s="35">
        <f>IF($A214&gt;NYears*12,"",$H214*RateB)</f>
        <v/>
      </c>
      <c r="K214" s="35">
        <f>IF($A214&gt;NYears*12,"",IF($D214=1,$J214,$K213+$J214))</f>
        <v/>
      </c>
      <c r="L214" s="35">
        <f>IF($A214&gt;NYears*12,"",IF(MOD($D214,3)=0,SUM($J212:$J214),0))</f>
        <v/>
      </c>
      <c r="M214" s="35">
        <f>IF($A214&gt;NYears*12,"",IF(TaxFreq="Quarterly",$K214*12/$D214,$K214))</f>
        <v/>
      </c>
      <c r="N214" s="36">
        <f>IF($A214&gt;NYears*12,"",LOOKUP($M214,TaxLower,TaxRate))</f>
        <v/>
      </c>
      <c r="O214" s="35">
        <f>IF($A214&gt;NYears*12,"",IF(TaxFreq="Quarterly",IF(MOD($D214,3)=0,$L214*$N214,0),IF($D214=12,$K214*$N214,0)))</f>
        <v/>
      </c>
      <c r="P214" s="35">
        <f>IF($A214&gt;NYears*12,"",IF($D214=1,$O214,$P213+$O214))</f>
        <v/>
      </c>
      <c r="Q214" s="35">
        <f>IF($A214&gt;NYears*12,"",IF($D214=12,MIN(WdrPct*IF(WdrBase="Post-tax profit",$K214-$P214,$K214),WdrCap),0))</f>
        <v/>
      </c>
      <c r="R214" s="35">
        <f>IF($A214&gt;NYears*12,"",$F214+$J214-$O214-$Q214)</f>
        <v/>
      </c>
      <c r="S214" s="33">
        <f>IF($A214&gt;NYears*12,"",INT($R214/$E214))</f>
        <v/>
      </c>
    </row>
    <row r="215">
      <c r="A215" s="33">
        <f>211</f>
        <v/>
      </c>
      <c r="B215" s="34">
        <f>IF($A215&gt;NYears*12,"",EDATE(StartMonth,$A215-1))</f>
        <v/>
      </c>
      <c r="C215" s="33">
        <f>IF($A215&gt;NYears*12,"",INT(($A215-1)/12)+1)</f>
        <v/>
      </c>
      <c r="D215" s="33">
        <f>IF($A215&gt;NYears*12,"",MOD($A215-1,12)+1)</f>
        <v/>
      </c>
      <c r="E215" s="35">
        <f>IF($A215&gt;NYears*12,"",LotValue0*(1+LotGrowth)^($C215-1))</f>
        <v/>
      </c>
      <c r="F215" s="35">
        <f>IF($A215&gt;NYears*12,"",IF($A215=1,InitInvest,$R214))</f>
        <v/>
      </c>
      <c r="G215" s="33">
        <f>IF($A215&gt;NYears*12,"",INT($F215/$E215))</f>
        <v/>
      </c>
      <c r="H215" s="35">
        <f>IF($A215&gt;NYears*12,"",$G215*$E215)</f>
        <v/>
      </c>
      <c r="I215" s="35">
        <f>IF($A215&gt;NYears*12,"",$F215-$H215)</f>
        <v/>
      </c>
      <c r="J215" s="35">
        <f>IF($A215&gt;NYears*12,"",$H215*RateB)</f>
        <v/>
      </c>
      <c r="K215" s="35">
        <f>IF($A215&gt;NYears*12,"",IF($D215=1,$J215,$K214+$J215))</f>
        <v/>
      </c>
      <c r="L215" s="35">
        <f>IF($A215&gt;NYears*12,"",IF(MOD($D215,3)=0,SUM($J213:$J215),0))</f>
        <v/>
      </c>
      <c r="M215" s="35">
        <f>IF($A215&gt;NYears*12,"",IF(TaxFreq="Quarterly",$K215*12/$D215,$K215))</f>
        <v/>
      </c>
      <c r="N215" s="36">
        <f>IF($A215&gt;NYears*12,"",LOOKUP($M215,TaxLower,TaxRate))</f>
        <v/>
      </c>
      <c r="O215" s="35">
        <f>IF($A215&gt;NYears*12,"",IF(TaxFreq="Quarterly",IF(MOD($D215,3)=0,$L215*$N215,0),IF($D215=12,$K215*$N215,0)))</f>
        <v/>
      </c>
      <c r="P215" s="35">
        <f>IF($A215&gt;NYears*12,"",IF($D215=1,$O215,$P214+$O215))</f>
        <v/>
      </c>
      <c r="Q215" s="35">
        <f>IF($A215&gt;NYears*12,"",IF($D215=12,MIN(WdrPct*IF(WdrBase="Post-tax profit",$K215-$P215,$K215),WdrCap),0))</f>
        <v/>
      </c>
      <c r="R215" s="35">
        <f>IF($A215&gt;NYears*12,"",$F215+$J215-$O215-$Q215)</f>
        <v/>
      </c>
      <c r="S215" s="33">
        <f>IF($A215&gt;NYears*12,"",INT($R215/$E215))</f>
        <v/>
      </c>
    </row>
    <row r="216">
      <c r="A216" s="33">
        <f>212</f>
        <v/>
      </c>
      <c r="B216" s="34">
        <f>IF($A216&gt;NYears*12,"",EDATE(StartMonth,$A216-1))</f>
        <v/>
      </c>
      <c r="C216" s="33">
        <f>IF($A216&gt;NYears*12,"",INT(($A216-1)/12)+1)</f>
        <v/>
      </c>
      <c r="D216" s="33">
        <f>IF($A216&gt;NYears*12,"",MOD($A216-1,12)+1)</f>
        <v/>
      </c>
      <c r="E216" s="35">
        <f>IF($A216&gt;NYears*12,"",LotValue0*(1+LotGrowth)^($C216-1))</f>
        <v/>
      </c>
      <c r="F216" s="35">
        <f>IF($A216&gt;NYears*12,"",IF($A216=1,InitInvest,$R215))</f>
        <v/>
      </c>
      <c r="G216" s="33">
        <f>IF($A216&gt;NYears*12,"",INT($F216/$E216))</f>
        <v/>
      </c>
      <c r="H216" s="35">
        <f>IF($A216&gt;NYears*12,"",$G216*$E216)</f>
        <v/>
      </c>
      <c r="I216" s="35">
        <f>IF($A216&gt;NYears*12,"",$F216-$H216)</f>
        <v/>
      </c>
      <c r="J216" s="35">
        <f>IF($A216&gt;NYears*12,"",$H216*RateB)</f>
        <v/>
      </c>
      <c r="K216" s="35">
        <f>IF($A216&gt;NYears*12,"",IF($D216=1,$J216,$K215+$J216))</f>
        <v/>
      </c>
      <c r="L216" s="35">
        <f>IF($A216&gt;NYears*12,"",IF(MOD($D216,3)=0,SUM($J214:$J216),0))</f>
        <v/>
      </c>
      <c r="M216" s="35">
        <f>IF($A216&gt;NYears*12,"",IF(TaxFreq="Quarterly",$K216*12/$D216,$K216))</f>
        <v/>
      </c>
      <c r="N216" s="36">
        <f>IF($A216&gt;NYears*12,"",LOOKUP($M216,TaxLower,TaxRate))</f>
        <v/>
      </c>
      <c r="O216" s="35">
        <f>IF($A216&gt;NYears*12,"",IF(TaxFreq="Quarterly",IF(MOD($D216,3)=0,$L216*$N216,0),IF($D216=12,$K216*$N216,0)))</f>
        <v/>
      </c>
      <c r="P216" s="35">
        <f>IF($A216&gt;NYears*12,"",IF($D216=1,$O216,$P215+$O216))</f>
        <v/>
      </c>
      <c r="Q216" s="35">
        <f>IF($A216&gt;NYears*12,"",IF($D216=12,MIN(WdrPct*IF(WdrBase="Post-tax profit",$K216-$P216,$K216),WdrCap),0))</f>
        <v/>
      </c>
      <c r="R216" s="35">
        <f>IF($A216&gt;NYears*12,"",$F216+$J216-$O216-$Q216)</f>
        <v/>
      </c>
      <c r="S216" s="33">
        <f>IF($A216&gt;NYears*12,"",INT($R216/$E216))</f>
        <v/>
      </c>
    </row>
    <row r="217">
      <c r="A217" s="33">
        <f>213</f>
        <v/>
      </c>
      <c r="B217" s="34">
        <f>IF($A217&gt;NYears*12,"",EDATE(StartMonth,$A217-1))</f>
        <v/>
      </c>
      <c r="C217" s="33">
        <f>IF($A217&gt;NYears*12,"",INT(($A217-1)/12)+1)</f>
        <v/>
      </c>
      <c r="D217" s="33">
        <f>IF($A217&gt;NYears*12,"",MOD($A217-1,12)+1)</f>
        <v/>
      </c>
      <c r="E217" s="35">
        <f>IF($A217&gt;NYears*12,"",LotValue0*(1+LotGrowth)^($C217-1))</f>
        <v/>
      </c>
      <c r="F217" s="35">
        <f>IF($A217&gt;NYears*12,"",IF($A217=1,InitInvest,$R216))</f>
        <v/>
      </c>
      <c r="G217" s="33">
        <f>IF($A217&gt;NYears*12,"",INT($F217/$E217))</f>
        <v/>
      </c>
      <c r="H217" s="35">
        <f>IF($A217&gt;NYears*12,"",$G217*$E217)</f>
        <v/>
      </c>
      <c r="I217" s="35">
        <f>IF($A217&gt;NYears*12,"",$F217-$H217)</f>
        <v/>
      </c>
      <c r="J217" s="35">
        <f>IF($A217&gt;NYears*12,"",$H217*RateB)</f>
        <v/>
      </c>
      <c r="K217" s="35">
        <f>IF($A217&gt;NYears*12,"",IF($D217=1,$J217,$K216+$J217))</f>
        <v/>
      </c>
      <c r="L217" s="35">
        <f>IF($A217&gt;NYears*12,"",IF(MOD($D217,3)=0,SUM($J215:$J217),0))</f>
        <v/>
      </c>
      <c r="M217" s="35">
        <f>IF($A217&gt;NYears*12,"",IF(TaxFreq="Quarterly",$K217*12/$D217,$K217))</f>
        <v/>
      </c>
      <c r="N217" s="36">
        <f>IF($A217&gt;NYears*12,"",LOOKUP($M217,TaxLower,TaxRate))</f>
        <v/>
      </c>
      <c r="O217" s="35">
        <f>IF($A217&gt;NYears*12,"",IF(TaxFreq="Quarterly",IF(MOD($D217,3)=0,$L217*$N217,0),IF($D217=12,$K217*$N217,0)))</f>
        <v/>
      </c>
      <c r="P217" s="35">
        <f>IF($A217&gt;NYears*12,"",IF($D217=1,$O217,$P216+$O217))</f>
        <v/>
      </c>
      <c r="Q217" s="35">
        <f>IF($A217&gt;NYears*12,"",IF($D217=12,MIN(WdrPct*IF(WdrBase="Post-tax profit",$K217-$P217,$K217),WdrCap),0))</f>
        <v/>
      </c>
      <c r="R217" s="35">
        <f>IF($A217&gt;NYears*12,"",$F217+$J217-$O217-$Q217)</f>
        <v/>
      </c>
      <c r="S217" s="33">
        <f>IF($A217&gt;NYears*12,"",INT($R217/$E217))</f>
        <v/>
      </c>
    </row>
    <row r="218">
      <c r="A218" s="33">
        <f>214</f>
        <v/>
      </c>
      <c r="B218" s="34">
        <f>IF($A218&gt;NYears*12,"",EDATE(StartMonth,$A218-1))</f>
        <v/>
      </c>
      <c r="C218" s="33">
        <f>IF($A218&gt;NYears*12,"",INT(($A218-1)/12)+1)</f>
        <v/>
      </c>
      <c r="D218" s="33">
        <f>IF($A218&gt;NYears*12,"",MOD($A218-1,12)+1)</f>
        <v/>
      </c>
      <c r="E218" s="35">
        <f>IF($A218&gt;NYears*12,"",LotValue0*(1+LotGrowth)^($C218-1))</f>
        <v/>
      </c>
      <c r="F218" s="35">
        <f>IF($A218&gt;NYears*12,"",IF($A218=1,InitInvest,$R217))</f>
        <v/>
      </c>
      <c r="G218" s="33">
        <f>IF($A218&gt;NYears*12,"",INT($F218/$E218))</f>
        <v/>
      </c>
      <c r="H218" s="35">
        <f>IF($A218&gt;NYears*12,"",$G218*$E218)</f>
        <v/>
      </c>
      <c r="I218" s="35">
        <f>IF($A218&gt;NYears*12,"",$F218-$H218)</f>
        <v/>
      </c>
      <c r="J218" s="35">
        <f>IF($A218&gt;NYears*12,"",$H218*RateB)</f>
        <v/>
      </c>
      <c r="K218" s="35">
        <f>IF($A218&gt;NYears*12,"",IF($D218=1,$J218,$K217+$J218))</f>
        <v/>
      </c>
      <c r="L218" s="35">
        <f>IF($A218&gt;NYears*12,"",IF(MOD($D218,3)=0,SUM($J216:$J218),0))</f>
        <v/>
      </c>
      <c r="M218" s="35">
        <f>IF($A218&gt;NYears*12,"",IF(TaxFreq="Quarterly",$K218*12/$D218,$K218))</f>
        <v/>
      </c>
      <c r="N218" s="36">
        <f>IF($A218&gt;NYears*12,"",LOOKUP($M218,TaxLower,TaxRate))</f>
        <v/>
      </c>
      <c r="O218" s="35">
        <f>IF($A218&gt;NYears*12,"",IF(TaxFreq="Quarterly",IF(MOD($D218,3)=0,$L218*$N218,0),IF($D218=12,$K218*$N218,0)))</f>
        <v/>
      </c>
      <c r="P218" s="35">
        <f>IF($A218&gt;NYears*12,"",IF($D218=1,$O218,$P217+$O218))</f>
        <v/>
      </c>
      <c r="Q218" s="35">
        <f>IF($A218&gt;NYears*12,"",IF($D218=12,MIN(WdrPct*IF(WdrBase="Post-tax profit",$K218-$P218,$K218),WdrCap),0))</f>
        <v/>
      </c>
      <c r="R218" s="35">
        <f>IF($A218&gt;NYears*12,"",$F218+$J218-$O218-$Q218)</f>
        <v/>
      </c>
      <c r="S218" s="33">
        <f>IF($A218&gt;NYears*12,"",INT($R218/$E218))</f>
        <v/>
      </c>
    </row>
    <row r="219">
      <c r="A219" s="33">
        <f>215</f>
        <v/>
      </c>
      <c r="B219" s="34">
        <f>IF($A219&gt;NYears*12,"",EDATE(StartMonth,$A219-1))</f>
        <v/>
      </c>
      <c r="C219" s="33">
        <f>IF($A219&gt;NYears*12,"",INT(($A219-1)/12)+1)</f>
        <v/>
      </c>
      <c r="D219" s="33">
        <f>IF($A219&gt;NYears*12,"",MOD($A219-1,12)+1)</f>
        <v/>
      </c>
      <c r="E219" s="35">
        <f>IF($A219&gt;NYears*12,"",LotValue0*(1+LotGrowth)^($C219-1))</f>
        <v/>
      </c>
      <c r="F219" s="35">
        <f>IF($A219&gt;NYears*12,"",IF($A219=1,InitInvest,$R218))</f>
        <v/>
      </c>
      <c r="G219" s="33">
        <f>IF($A219&gt;NYears*12,"",INT($F219/$E219))</f>
        <v/>
      </c>
      <c r="H219" s="35">
        <f>IF($A219&gt;NYears*12,"",$G219*$E219)</f>
        <v/>
      </c>
      <c r="I219" s="35">
        <f>IF($A219&gt;NYears*12,"",$F219-$H219)</f>
        <v/>
      </c>
      <c r="J219" s="35">
        <f>IF($A219&gt;NYears*12,"",$H219*RateB)</f>
        <v/>
      </c>
      <c r="K219" s="35">
        <f>IF($A219&gt;NYears*12,"",IF($D219=1,$J219,$K218+$J219))</f>
        <v/>
      </c>
      <c r="L219" s="35">
        <f>IF($A219&gt;NYears*12,"",IF(MOD($D219,3)=0,SUM($J217:$J219),0))</f>
        <v/>
      </c>
      <c r="M219" s="35">
        <f>IF($A219&gt;NYears*12,"",IF(TaxFreq="Quarterly",$K219*12/$D219,$K219))</f>
        <v/>
      </c>
      <c r="N219" s="36">
        <f>IF($A219&gt;NYears*12,"",LOOKUP($M219,TaxLower,TaxRate))</f>
        <v/>
      </c>
      <c r="O219" s="35">
        <f>IF($A219&gt;NYears*12,"",IF(TaxFreq="Quarterly",IF(MOD($D219,3)=0,$L219*$N219,0),IF($D219=12,$K219*$N219,0)))</f>
        <v/>
      </c>
      <c r="P219" s="35">
        <f>IF($A219&gt;NYears*12,"",IF($D219=1,$O219,$P218+$O219))</f>
        <v/>
      </c>
      <c r="Q219" s="35">
        <f>IF($A219&gt;NYears*12,"",IF($D219=12,MIN(WdrPct*IF(WdrBase="Post-tax profit",$K219-$P219,$K219),WdrCap),0))</f>
        <v/>
      </c>
      <c r="R219" s="35">
        <f>IF($A219&gt;NYears*12,"",$F219+$J219-$O219-$Q219)</f>
        <v/>
      </c>
      <c r="S219" s="33">
        <f>IF($A219&gt;NYears*12,"",INT($R219/$E219))</f>
        <v/>
      </c>
    </row>
    <row r="220">
      <c r="A220" s="37">
        <f>216</f>
        <v/>
      </c>
      <c r="B220" s="38">
        <f>IF($A220&gt;NYears*12,"",EDATE(StartMonth,$A220-1))</f>
        <v/>
      </c>
      <c r="C220" s="37">
        <f>IF($A220&gt;NYears*12,"",INT(($A220-1)/12)+1)</f>
        <v/>
      </c>
      <c r="D220" s="37">
        <f>IF($A220&gt;NYears*12,"",MOD($A220-1,12)+1)</f>
        <v/>
      </c>
      <c r="E220" s="39">
        <f>IF($A220&gt;NYears*12,"",LotValue0*(1+LotGrowth)^($C220-1))</f>
        <v/>
      </c>
      <c r="F220" s="39">
        <f>IF($A220&gt;NYears*12,"",IF($A220=1,InitInvest,$R219))</f>
        <v/>
      </c>
      <c r="G220" s="37">
        <f>IF($A220&gt;NYears*12,"",INT($F220/$E220))</f>
        <v/>
      </c>
      <c r="H220" s="39">
        <f>IF($A220&gt;NYears*12,"",$G220*$E220)</f>
        <v/>
      </c>
      <c r="I220" s="39">
        <f>IF($A220&gt;NYears*12,"",$F220-$H220)</f>
        <v/>
      </c>
      <c r="J220" s="39">
        <f>IF($A220&gt;NYears*12,"",$H220*RateB)</f>
        <v/>
      </c>
      <c r="K220" s="39">
        <f>IF($A220&gt;NYears*12,"",IF($D220=1,$J220,$K219+$J220))</f>
        <v/>
      </c>
      <c r="L220" s="39">
        <f>IF($A220&gt;NYears*12,"",IF(MOD($D220,3)=0,SUM($J218:$J220),0))</f>
        <v/>
      </c>
      <c r="M220" s="39">
        <f>IF($A220&gt;NYears*12,"",IF(TaxFreq="Quarterly",$K220*12/$D220,$K220))</f>
        <v/>
      </c>
      <c r="N220" s="40">
        <f>IF($A220&gt;NYears*12,"",LOOKUP($M220,TaxLower,TaxRate))</f>
        <v/>
      </c>
      <c r="O220" s="39">
        <f>IF($A220&gt;NYears*12,"",IF(TaxFreq="Quarterly",IF(MOD($D220,3)=0,$L220*$N220,0),IF($D220=12,$K220*$N220,0)))</f>
        <v/>
      </c>
      <c r="P220" s="39">
        <f>IF($A220&gt;NYears*12,"",IF($D220=1,$O220,$P219+$O220))</f>
        <v/>
      </c>
      <c r="Q220" s="39">
        <f>IF($A220&gt;NYears*12,"",IF($D220=12,MIN(WdrPct*IF(WdrBase="Post-tax profit",$K220-$P220,$K220),WdrCap),0))</f>
        <v/>
      </c>
      <c r="R220" s="39">
        <f>IF($A220&gt;NYears*12,"",$F220+$J220-$O220-$Q220)</f>
        <v/>
      </c>
      <c r="S220" s="37">
        <f>IF($A220&gt;NYears*12,"",INT($R220/$E220))</f>
        <v/>
      </c>
    </row>
    <row r="221">
      <c r="A221" s="33">
        <f>217</f>
        <v/>
      </c>
      <c r="B221" s="34">
        <f>IF($A221&gt;NYears*12,"",EDATE(StartMonth,$A221-1))</f>
        <v/>
      </c>
      <c r="C221" s="33">
        <f>IF($A221&gt;NYears*12,"",INT(($A221-1)/12)+1)</f>
        <v/>
      </c>
      <c r="D221" s="33">
        <f>IF($A221&gt;NYears*12,"",MOD($A221-1,12)+1)</f>
        <v/>
      </c>
      <c r="E221" s="35">
        <f>IF($A221&gt;NYears*12,"",LotValue0*(1+LotGrowth)^($C221-1))</f>
        <v/>
      </c>
      <c r="F221" s="35">
        <f>IF($A221&gt;NYears*12,"",IF($A221=1,InitInvest,$R220))</f>
        <v/>
      </c>
      <c r="G221" s="33">
        <f>IF($A221&gt;NYears*12,"",INT($F221/$E221))</f>
        <v/>
      </c>
      <c r="H221" s="35">
        <f>IF($A221&gt;NYears*12,"",$G221*$E221)</f>
        <v/>
      </c>
      <c r="I221" s="35">
        <f>IF($A221&gt;NYears*12,"",$F221-$H221)</f>
        <v/>
      </c>
      <c r="J221" s="35">
        <f>IF($A221&gt;NYears*12,"",$H221*RateB)</f>
        <v/>
      </c>
      <c r="K221" s="35">
        <f>IF($A221&gt;NYears*12,"",IF($D221=1,$J221,$K220+$J221))</f>
        <v/>
      </c>
      <c r="L221" s="35">
        <f>IF($A221&gt;NYears*12,"",IF(MOD($D221,3)=0,SUM($J219:$J221),0))</f>
        <v/>
      </c>
      <c r="M221" s="35">
        <f>IF($A221&gt;NYears*12,"",IF(TaxFreq="Quarterly",$K221*12/$D221,$K221))</f>
        <v/>
      </c>
      <c r="N221" s="36">
        <f>IF($A221&gt;NYears*12,"",LOOKUP($M221,TaxLower,TaxRate))</f>
        <v/>
      </c>
      <c r="O221" s="35">
        <f>IF($A221&gt;NYears*12,"",IF(TaxFreq="Quarterly",IF(MOD($D221,3)=0,$L221*$N221,0),IF($D221=12,$K221*$N221,0)))</f>
        <v/>
      </c>
      <c r="P221" s="35">
        <f>IF($A221&gt;NYears*12,"",IF($D221=1,$O221,$P220+$O221))</f>
        <v/>
      </c>
      <c r="Q221" s="35">
        <f>IF($A221&gt;NYears*12,"",IF($D221=12,MIN(WdrPct*IF(WdrBase="Post-tax profit",$K221-$P221,$K221),WdrCap),0))</f>
        <v/>
      </c>
      <c r="R221" s="35">
        <f>IF($A221&gt;NYears*12,"",$F221+$J221-$O221-$Q221)</f>
        <v/>
      </c>
      <c r="S221" s="33">
        <f>IF($A221&gt;NYears*12,"",INT($R221/$E221))</f>
        <v/>
      </c>
    </row>
    <row r="222">
      <c r="A222" s="33">
        <f>218</f>
        <v/>
      </c>
      <c r="B222" s="34">
        <f>IF($A222&gt;NYears*12,"",EDATE(StartMonth,$A222-1))</f>
        <v/>
      </c>
      <c r="C222" s="33">
        <f>IF($A222&gt;NYears*12,"",INT(($A222-1)/12)+1)</f>
        <v/>
      </c>
      <c r="D222" s="33">
        <f>IF($A222&gt;NYears*12,"",MOD($A222-1,12)+1)</f>
        <v/>
      </c>
      <c r="E222" s="35">
        <f>IF($A222&gt;NYears*12,"",LotValue0*(1+LotGrowth)^($C222-1))</f>
        <v/>
      </c>
      <c r="F222" s="35">
        <f>IF($A222&gt;NYears*12,"",IF($A222=1,InitInvest,$R221))</f>
        <v/>
      </c>
      <c r="G222" s="33">
        <f>IF($A222&gt;NYears*12,"",INT($F222/$E222))</f>
        <v/>
      </c>
      <c r="H222" s="35">
        <f>IF($A222&gt;NYears*12,"",$G222*$E222)</f>
        <v/>
      </c>
      <c r="I222" s="35">
        <f>IF($A222&gt;NYears*12,"",$F222-$H222)</f>
        <v/>
      </c>
      <c r="J222" s="35">
        <f>IF($A222&gt;NYears*12,"",$H222*RateB)</f>
        <v/>
      </c>
      <c r="K222" s="35">
        <f>IF($A222&gt;NYears*12,"",IF($D222=1,$J222,$K221+$J222))</f>
        <v/>
      </c>
      <c r="L222" s="35">
        <f>IF($A222&gt;NYears*12,"",IF(MOD($D222,3)=0,SUM($J220:$J222),0))</f>
        <v/>
      </c>
      <c r="M222" s="35">
        <f>IF($A222&gt;NYears*12,"",IF(TaxFreq="Quarterly",$K222*12/$D222,$K222))</f>
        <v/>
      </c>
      <c r="N222" s="36">
        <f>IF($A222&gt;NYears*12,"",LOOKUP($M222,TaxLower,TaxRate))</f>
        <v/>
      </c>
      <c r="O222" s="35">
        <f>IF($A222&gt;NYears*12,"",IF(TaxFreq="Quarterly",IF(MOD($D222,3)=0,$L222*$N222,0),IF($D222=12,$K222*$N222,0)))</f>
        <v/>
      </c>
      <c r="P222" s="35">
        <f>IF($A222&gt;NYears*12,"",IF($D222=1,$O222,$P221+$O222))</f>
        <v/>
      </c>
      <c r="Q222" s="35">
        <f>IF($A222&gt;NYears*12,"",IF($D222=12,MIN(WdrPct*IF(WdrBase="Post-tax profit",$K222-$P222,$K222),WdrCap),0))</f>
        <v/>
      </c>
      <c r="R222" s="35">
        <f>IF($A222&gt;NYears*12,"",$F222+$J222-$O222-$Q222)</f>
        <v/>
      </c>
      <c r="S222" s="33">
        <f>IF($A222&gt;NYears*12,"",INT($R222/$E222))</f>
        <v/>
      </c>
    </row>
    <row r="223">
      <c r="A223" s="33">
        <f>219</f>
        <v/>
      </c>
      <c r="B223" s="34">
        <f>IF($A223&gt;NYears*12,"",EDATE(StartMonth,$A223-1))</f>
        <v/>
      </c>
      <c r="C223" s="33">
        <f>IF($A223&gt;NYears*12,"",INT(($A223-1)/12)+1)</f>
        <v/>
      </c>
      <c r="D223" s="33">
        <f>IF($A223&gt;NYears*12,"",MOD($A223-1,12)+1)</f>
        <v/>
      </c>
      <c r="E223" s="35">
        <f>IF($A223&gt;NYears*12,"",LotValue0*(1+LotGrowth)^($C223-1))</f>
        <v/>
      </c>
      <c r="F223" s="35">
        <f>IF($A223&gt;NYears*12,"",IF($A223=1,InitInvest,$R222))</f>
        <v/>
      </c>
      <c r="G223" s="33">
        <f>IF($A223&gt;NYears*12,"",INT($F223/$E223))</f>
        <v/>
      </c>
      <c r="H223" s="35">
        <f>IF($A223&gt;NYears*12,"",$G223*$E223)</f>
        <v/>
      </c>
      <c r="I223" s="35">
        <f>IF($A223&gt;NYears*12,"",$F223-$H223)</f>
        <v/>
      </c>
      <c r="J223" s="35">
        <f>IF($A223&gt;NYears*12,"",$H223*RateB)</f>
        <v/>
      </c>
      <c r="K223" s="35">
        <f>IF($A223&gt;NYears*12,"",IF($D223=1,$J223,$K222+$J223))</f>
        <v/>
      </c>
      <c r="L223" s="35">
        <f>IF($A223&gt;NYears*12,"",IF(MOD($D223,3)=0,SUM($J221:$J223),0))</f>
        <v/>
      </c>
      <c r="M223" s="35">
        <f>IF($A223&gt;NYears*12,"",IF(TaxFreq="Quarterly",$K223*12/$D223,$K223))</f>
        <v/>
      </c>
      <c r="N223" s="36">
        <f>IF($A223&gt;NYears*12,"",LOOKUP($M223,TaxLower,TaxRate))</f>
        <v/>
      </c>
      <c r="O223" s="35">
        <f>IF($A223&gt;NYears*12,"",IF(TaxFreq="Quarterly",IF(MOD($D223,3)=0,$L223*$N223,0),IF($D223=12,$K223*$N223,0)))</f>
        <v/>
      </c>
      <c r="P223" s="35">
        <f>IF($A223&gt;NYears*12,"",IF($D223=1,$O223,$P222+$O223))</f>
        <v/>
      </c>
      <c r="Q223" s="35">
        <f>IF($A223&gt;NYears*12,"",IF($D223=12,MIN(WdrPct*IF(WdrBase="Post-tax profit",$K223-$P223,$K223),WdrCap),0))</f>
        <v/>
      </c>
      <c r="R223" s="35">
        <f>IF($A223&gt;NYears*12,"",$F223+$J223-$O223-$Q223)</f>
        <v/>
      </c>
      <c r="S223" s="33">
        <f>IF($A223&gt;NYears*12,"",INT($R223/$E223))</f>
        <v/>
      </c>
    </row>
    <row r="224">
      <c r="A224" s="33">
        <f>220</f>
        <v/>
      </c>
      <c r="B224" s="34">
        <f>IF($A224&gt;NYears*12,"",EDATE(StartMonth,$A224-1))</f>
        <v/>
      </c>
      <c r="C224" s="33">
        <f>IF($A224&gt;NYears*12,"",INT(($A224-1)/12)+1)</f>
        <v/>
      </c>
      <c r="D224" s="33">
        <f>IF($A224&gt;NYears*12,"",MOD($A224-1,12)+1)</f>
        <v/>
      </c>
      <c r="E224" s="35">
        <f>IF($A224&gt;NYears*12,"",LotValue0*(1+LotGrowth)^($C224-1))</f>
        <v/>
      </c>
      <c r="F224" s="35">
        <f>IF($A224&gt;NYears*12,"",IF($A224=1,InitInvest,$R223))</f>
        <v/>
      </c>
      <c r="G224" s="33">
        <f>IF($A224&gt;NYears*12,"",INT($F224/$E224))</f>
        <v/>
      </c>
      <c r="H224" s="35">
        <f>IF($A224&gt;NYears*12,"",$G224*$E224)</f>
        <v/>
      </c>
      <c r="I224" s="35">
        <f>IF($A224&gt;NYears*12,"",$F224-$H224)</f>
        <v/>
      </c>
      <c r="J224" s="35">
        <f>IF($A224&gt;NYears*12,"",$H224*RateB)</f>
        <v/>
      </c>
      <c r="K224" s="35">
        <f>IF($A224&gt;NYears*12,"",IF($D224=1,$J224,$K223+$J224))</f>
        <v/>
      </c>
      <c r="L224" s="35">
        <f>IF($A224&gt;NYears*12,"",IF(MOD($D224,3)=0,SUM($J222:$J224),0))</f>
        <v/>
      </c>
      <c r="M224" s="35">
        <f>IF($A224&gt;NYears*12,"",IF(TaxFreq="Quarterly",$K224*12/$D224,$K224))</f>
        <v/>
      </c>
      <c r="N224" s="36">
        <f>IF($A224&gt;NYears*12,"",LOOKUP($M224,TaxLower,TaxRate))</f>
        <v/>
      </c>
      <c r="O224" s="35">
        <f>IF($A224&gt;NYears*12,"",IF(TaxFreq="Quarterly",IF(MOD($D224,3)=0,$L224*$N224,0),IF($D224=12,$K224*$N224,0)))</f>
        <v/>
      </c>
      <c r="P224" s="35">
        <f>IF($A224&gt;NYears*12,"",IF($D224=1,$O224,$P223+$O224))</f>
        <v/>
      </c>
      <c r="Q224" s="35">
        <f>IF($A224&gt;NYears*12,"",IF($D224=12,MIN(WdrPct*IF(WdrBase="Post-tax profit",$K224-$P224,$K224),WdrCap),0))</f>
        <v/>
      </c>
      <c r="R224" s="35">
        <f>IF($A224&gt;NYears*12,"",$F224+$J224-$O224-$Q224)</f>
        <v/>
      </c>
      <c r="S224" s="33">
        <f>IF($A224&gt;NYears*12,"",INT($R224/$E224))</f>
        <v/>
      </c>
    </row>
    <row r="225">
      <c r="A225" s="33">
        <f>221</f>
        <v/>
      </c>
      <c r="B225" s="34">
        <f>IF($A225&gt;NYears*12,"",EDATE(StartMonth,$A225-1))</f>
        <v/>
      </c>
      <c r="C225" s="33">
        <f>IF($A225&gt;NYears*12,"",INT(($A225-1)/12)+1)</f>
        <v/>
      </c>
      <c r="D225" s="33">
        <f>IF($A225&gt;NYears*12,"",MOD($A225-1,12)+1)</f>
        <v/>
      </c>
      <c r="E225" s="35">
        <f>IF($A225&gt;NYears*12,"",LotValue0*(1+LotGrowth)^($C225-1))</f>
        <v/>
      </c>
      <c r="F225" s="35">
        <f>IF($A225&gt;NYears*12,"",IF($A225=1,InitInvest,$R224))</f>
        <v/>
      </c>
      <c r="G225" s="33">
        <f>IF($A225&gt;NYears*12,"",INT($F225/$E225))</f>
        <v/>
      </c>
      <c r="H225" s="35">
        <f>IF($A225&gt;NYears*12,"",$G225*$E225)</f>
        <v/>
      </c>
      <c r="I225" s="35">
        <f>IF($A225&gt;NYears*12,"",$F225-$H225)</f>
        <v/>
      </c>
      <c r="J225" s="35">
        <f>IF($A225&gt;NYears*12,"",$H225*RateB)</f>
        <v/>
      </c>
      <c r="K225" s="35">
        <f>IF($A225&gt;NYears*12,"",IF($D225=1,$J225,$K224+$J225))</f>
        <v/>
      </c>
      <c r="L225" s="35">
        <f>IF($A225&gt;NYears*12,"",IF(MOD($D225,3)=0,SUM($J223:$J225),0))</f>
        <v/>
      </c>
      <c r="M225" s="35">
        <f>IF($A225&gt;NYears*12,"",IF(TaxFreq="Quarterly",$K225*12/$D225,$K225))</f>
        <v/>
      </c>
      <c r="N225" s="36">
        <f>IF($A225&gt;NYears*12,"",LOOKUP($M225,TaxLower,TaxRate))</f>
        <v/>
      </c>
      <c r="O225" s="35">
        <f>IF($A225&gt;NYears*12,"",IF(TaxFreq="Quarterly",IF(MOD($D225,3)=0,$L225*$N225,0),IF($D225=12,$K225*$N225,0)))</f>
        <v/>
      </c>
      <c r="P225" s="35">
        <f>IF($A225&gt;NYears*12,"",IF($D225=1,$O225,$P224+$O225))</f>
        <v/>
      </c>
      <c r="Q225" s="35">
        <f>IF($A225&gt;NYears*12,"",IF($D225=12,MIN(WdrPct*IF(WdrBase="Post-tax profit",$K225-$P225,$K225),WdrCap),0))</f>
        <v/>
      </c>
      <c r="R225" s="35">
        <f>IF($A225&gt;NYears*12,"",$F225+$J225-$O225-$Q225)</f>
        <v/>
      </c>
      <c r="S225" s="33">
        <f>IF($A225&gt;NYears*12,"",INT($R225/$E225))</f>
        <v/>
      </c>
    </row>
    <row r="226">
      <c r="A226" s="33">
        <f>222</f>
        <v/>
      </c>
      <c r="B226" s="34">
        <f>IF($A226&gt;NYears*12,"",EDATE(StartMonth,$A226-1))</f>
        <v/>
      </c>
      <c r="C226" s="33">
        <f>IF($A226&gt;NYears*12,"",INT(($A226-1)/12)+1)</f>
        <v/>
      </c>
      <c r="D226" s="33">
        <f>IF($A226&gt;NYears*12,"",MOD($A226-1,12)+1)</f>
        <v/>
      </c>
      <c r="E226" s="35">
        <f>IF($A226&gt;NYears*12,"",LotValue0*(1+LotGrowth)^($C226-1))</f>
        <v/>
      </c>
      <c r="F226" s="35">
        <f>IF($A226&gt;NYears*12,"",IF($A226=1,InitInvest,$R225))</f>
        <v/>
      </c>
      <c r="G226" s="33">
        <f>IF($A226&gt;NYears*12,"",INT($F226/$E226))</f>
        <v/>
      </c>
      <c r="H226" s="35">
        <f>IF($A226&gt;NYears*12,"",$G226*$E226)</f>
        <v/>
      </c>
      <c r="I226" s="35">
        <f>IF($A226&gt;NYears*12,"",$F226-$H226)</f>
        <v/>
      </c>
      <c r="J226" s="35">
        <f>IF($A226&gt;NYears*12,"",$H226*RateB)</f>
        <v/>
      </c>
      <c r="K226" s="35">
        <f>IF($A226&gt;NYears*12,"",IF($D226=1,$J226,$K225+$J226))</f>
        <v/>
      </c>
      <c r="L226" s="35">
        <f>IF($A226&gt;NYears*12,"",IF(MOD($D226,3)=0,SUM($J224:$J226),0))</f>
        <v/>
      </c>
      <c r="M226" s="35">
        <f>IF($A226&gt;NYears*12,"",IF(TaxFreq="Quarterly",$K226*12/$D226,$K226))</f>
        <v/>
      </c>
      <c r="N226" s="36">
        <f>IF($A226&gt;NYears*12,"",LOOKUP($M226,TaxLower,TaxRate))</f>
        <v/>
      </c>
      <c r="O226" s="35">
        <f>IF($A226&gt;NYears*12,"",IF(TaxFreq="Quarterly",IF(MOD($D226,3)=0,$L226*$N226,0),IF($D226=12,$K226*$N226,0)))</f>
        <v/>
      </c>
      <c r="P226" s="35">
        <f>IF($A226&gt;NYears*12,"",IF($D226=1,$O226,$P225+$O226))</f>
        <v/>
      </c>
      <c r="Q226" s="35">
        <f>IF($A226&gt;NYears*12,"",IF($D226=12,MIN(WdrPct*IF(WdrBase="Post-tax profit",$K226-$P226,$K226),WdrCap),0))</f>
        <v/>
      </c>
      <c r="R226" s="35">
        <f>IF($A226&gt;NYears*12,"",$F226+$J226-$O226-$Q226)</f>
        <v/>
      </c>
      <c r="S226" s="33">
        <f>IF($A226&gt;NYears*12,"",INT($R226/$E226))</f>
        <v/>
      </c>
    </row>
    <row r="227">
      <c r="A227" s="33">
        <f>223</f>
        <v/>
      </c>
      <c r="B227" s="34">
        <f>IF($A227&gt;NYears*12,"",EDATE(StartMonth,$A227-1))</f>
        <v/>
      </c>
      <c r="C227" s="33">
        <f>IF($A227&gt;NYears*12,"",INT(($A227-1)/12)+1)</f>
        <v/>
      </c>
      <c r="D227" s="33">
        <f>IF($A227&gt;NYears*12,"",MOD($A227-1,12)+1)</f>
        <v/>
      </c>
      <c r="E227" s="35">
        <f>IF($A227&gt;NYears*12,"",LotValue0*(1+LotGrowth)^($C227-1))</f>
        <v/>
      </c>
      <c r="F227" s="35">
        <f>IF($A227&gt;NYears*12,"",IF($A227=1,InitInvest,$R226))</f>
        <v/>
      </c>
      <c r="G227" s="33">
        <f>IF($A227&gt;NYears*12,"",INT($F227/$E227))</f>
        <v/>
      </c>
      <c r="H227" s="35">
        <f>IF($A227&gt;NYears*12,"",$G227*$E227)</f>
        <v/>
      </c>
      <c r="I227" s="35">
        <f>IF($A227&gt;NYears*12,"",$F227-$H227)</f>
        <v/>
      </c>
      <c r="J227" s="35">
        <f>IF($A227&gt;NYears*12,"",$H227*RateB)</f>
        <v/>
      </c>
      <c r="K227" s="35">
        <f>IF($A227&gt;NYears*12,"",IF($D227=1,$J227,$K226+$J227))</f>
        <v/>
      </c>
      <c r="L227" s="35">
        <f>IF($A227&gt;NYears*12,"",IF(MOD($D227,3)=0,SUM($J225:$J227),0))</f>
        <v/>
      </c>
      <c r="M227" s="35">
        <f>IF($A227&gt;NYears*12,"",IF(TaxFreq="Quarterly",$K227*12/$D227,$K227))</f>
        <v/>
      </c>
      <c r="N227" s="36">
        <f>IF($A227&gt;NYears*12,"",LOOKUP($M227,TaxLower,TaxRate))</f>
        <v/>
      </c>
      <c r="O227" s="35">
        <f>IF($A227&gt;NYears*12,"",IF(TaxFreq="Quarterly",IF(MOD($D227,3)=0,$L227*$N227,0),IF($D227=12,$K227*$N227,0)))</f>
        <v/>
      </c>
      <c r="P227" s="35">
        <f>IF($A227&gt;NYears*12,"",IF($D227=1,$O227,$P226+$O227))</f>
        <v/>
      </c>
      <c r="Q227" s="35">
        <f>IF($A227&gt;NYears*12,"",IF($D227=12,MIN(WdrPct*IF(WdrBase="Post-tax profit",$K227-$P227,$K227),WdrCap),0))</f>
        <v/>
      </c>
      <c r="R227" s="35">
        <f>IF($A227&gt;NYears*12,"",$F227+$J227-$O227-$Q227)</f>
        <v/>
      </c>
      <c r="S227" s="33">
        <f>IF($A227&gt;NYears*12,"",INT($R227/$E227))</f>
        <v/>
      </c>
    </row>
    <row r="228">
      <c r="A228" s="33">
        <f>224</f>
        <v/>
      </c>
      <c r="B228" s="34">
        <f>IF($A228&gt;NYears*12,"",EDATE(StartMonth,$A228-1))</f>
        <v/>
      </c>
      <c r="C228" s="33">
        <f>IF($A228&gt;NYears*12,"",INT(($A228-1)/12)+1)</f>
        <v/>
      </c>
      <c r="D228" s="33">
        <f>IF($A228&gt;NYears*12,"",MOD($A228-1,12)+1)</f>
        <v/>
      </c>
      <c r="E228" s="35">
        <f>IF($A228&gt;NYears*12,"",LotValue0*(1+LotGrowth)^($C228-1))</f>
        <v/>
      </c>
      <c r="F228" s="35">
        <f>IF($A228&gt;NYears*12,"",IF($A228=1,InitInvest,$R227))</f>
        <v/>
      </c>
      <c r="G228" s="33">
        <f>IF($A228&gt;NYears*12,"",INT($F228/$E228))</f>
        <v/>
      </c>
      <c r="H228" s="35">
        <f>IF($A228&gt;NYears*12,"",$G228*$E228)</f>
        <v/>
      </c>
      <c r="I228" s="35">
        <f>IF($A228&gt;NYears*12,"",$F228-$H228)</f>
        <v/>
      </c>
      <c r="J228" s="35">
        <f>IF($A228&gt;NYears*12,"",$H228*RateB)</f>
        <v/>
      </c>
      <c r="K228" s="35">
        <f>IF($A228&gt;NYears*12,"",IF($D228=1,$J228,$K227+$J228))</f>
        <v/>
      </c>
      <c r="L228" s="35">
        <f>IF($A228&gt;NYears*12,"",IF(MOD($D228,3)=0,SUM($J226:$J228),0))</f>
        <v/>
      </c>
      <c r="M228" s="35">
        <f>IF($A228&gt;NYears*12,"",IF(TaxFreq="Quarterly",$K228*12/$D228,$K228))</f>
        <v/>
      </c>
      <c r="N228" s="36">
        <f>IF($A228&gt;NYears*12,"",LOOKUP($M228,TaxLower,TaxRate))</f>
        <v/>
      </c>
      <c r="O228" s="35">
        <f>IF($A228&gt;NYears*12,"",IF(TaxFreq="Quarterly",IF(MOD($D228,3)=0,$L228*$N228,0),IF($D228=12,$K228*$N228,0)))</f>
        <v/>
      </c>
      <c r="P228" s="35">
        <f>IF($A228&gt;NYears*12,"",IF($D228=1,$O228,$P227+$O228))</f>
        <v/>
      </c>
      <c r="Q228" s="35">
        <f>IF($A228&gt;NYears*12,"",IF($D228=12,MIN(WdrPct*IF(WdrBase="Post-tax profit",$K228-$P228,$K228),WdrCap),0))</f>
        <v/>
      </c>
      <c r="R228" s="35">
        <f>IF($A228&gt;NYears*12,"",$F228+$J228-$O228-$Q228)</f>
        <v/>
      </c>
      <c r="S228" s="33">
        <f>IF($A228&gt;NYears*12,"",INT($R228/$E228))</f>
        <v/>
      </c>
    </row>
    <row r="229">
      <c r="A229" s="33">
        <f>225</f>
        <v/>
      </c>
      <c r="B229" s="34">
        <f>IF($A229&gt;NYears*12,"",EDATE(StartMonth,$A229-1))</f>
        <v/>
      </c>
      <c r="C229" s="33">
        <f>IF($A229&gt;NYears*12,"",INT(($A229-1)/12)+1)</f>
        <v/>
      </c>
      <c r="D229" s="33">
        <f>IF($A229&gt;NYears*12,"",MOD($A229-1,12)+1)</f>
        <v/>
      </c>
      <c r="E229" s="35">
        <f>IF($A229&gt;NYears*12,"",LotValue0*(1+LotGrowth)^($C229-1))</f>
        <v/>
      </c>
      <c r="F229" s="35">
        <f>IF($A229&gt;NYears*12,"",IF($A229=1,InitInvest,$R228))</f>
        <v/>
      </c>
      <c r="G229" s="33">
        <f>IF($A229&gt;NYears*12,"",INT($F229/$E229))</f>
        <v/>
      </c>
      <c r="H229" s="35">
        <f>IF($A229&gt;NYears*12,"",$G229*$E229)</f>
        <v/>
      </c>
      <c r="I229" s="35">
        <f>IF($A229&gt;NYears*12,"",$F229-$H229)</f>
        <v/>
      </c>
      <c r="J229" s="35">
        <f>IF($A229&gt;NYears*12,"",$H229*RateB)</f>
        <v/>
      </c>
      <c r="K229" s="35">
        <f>IF($A229&gt;NYears*12,"",IF($D229=1,$J229,$K228+$J229))</f>
        <v/>
      </c>
      <c r="L229" s="35">
        <f>IF($A229&gt;NYears*12,"",IF(MOD($D229,3)=0,SUM($J227:$J229),0))</f>
        <v/>
      </c>
      <c r="M229" s="35">
        <f>IF($A229&gt;NYears*12,"",IF(TaxFreq="Quarterly",$K229*12/$D229,$K229))</f>
        <v/>
      </c>
      <c r="N229" s="36">
        <f>IF($A229&gt;NYears*12,"",LOOKUP($M229,TaxLower,TaxRate))</f>
        <v/>
      </c>
      <c r="O229" s="35">
        <f>IF($A229&gt;NYears*12,"",IF(TaxFreq="Quarterly",IF(MOD($D229,3)=0,$L229*$N229,0),IF($D229=12,$K229*$N229,0)))</f>
        <v/>
      </c>
      <c r="P229" s="35">
        <f>IF($A229&gt;NYears*12,"",IF($D229=1,$O229,$P228+$O229))</f>
        <v/>
      </c>
      <c r="Q229" s="35">
        <f>IF($A229&gt;NYears*12,"",IF($D229=12,MIN(WdrPct*IF(WdrBase="Post-tax profit",$K229-$P229,$K229),WdrCap),0))</f>
        <v/>
      </c>
      <c r="R229" s="35">
        <f>IF($A229&gt;NYears*12,"",$F229+$J229-$O229-$Q229)</f>
        <v/>
      </c>
      <c r="S229" s="33">
        <f>IF($A229&gt;NYears*12,"",INT($R229/$E229))</f>
        <v/>
      </c>
    </row>
    <row r="230">
      <c r="A230" s="33">
        <f>226</f>
        <v/>
      </c>
      <c r="B230" s="34">
        <f>IF($A230&gt;NYears*12,"",EDATE(StartMonth,$A230-1))</f>
        <v/>
      </c>
      <c r="C230" s="33">
        <f>IF($A230&gt;NYears*12,"",INT(($A230-1)/12)+1)</f>
        <v/>
      </c>
      <c r="D230" s="33">
        <f>IF($A230&gt;NYears*12,"",MOD($A230-1,12)+1)</f>
        <v/>
      </c>
      <c r="E230" s="35">
        <f>IF($A230&gt;NYears*12,"",LotValue0*(1+LotGrowth)^($C230-1))</f>
        <v/>
      </c>
      <c r="F230" s="35">
        <f>IF($A230&gt;NYears*12,"",IF($A230=1,InitInvest,$R229))</f>
        <v/>
      </c>
      <c r="G230" s="33">
        <f>IF($A230&gt;NYears*12,"",INT($F230/$E230))</f>
        <v/>
      </c>
      <c r="H230" s="35">
        <f>IF($A230&gt;NYears*12,"",$G230*$E230)</f>
        <v/>
      </c>
      <c r="I230" s="35">
        <f>IF($A230&gt;NYears*12,"",$F230-$H230)</f>
        <v/>
      </c>
      <c r="J230" s="35">
        <f>IF($A230&gt;NYears*12,"",$H230*RateB)</f>
        <v/>
      </c>
      <c r="K230" s="35">
        <f>IF($A230&gt;NYears*12,"",IF($D230=1,$J230,$K229+$J230))</f>
        <v/>
      </c>
      <c r="L230" s="35">
        <f>IF($A230&gt;NYears*12,"",IF(MOD($D230,3)=0,SUM($J228:$J230),0))</f>
        <v/>
      </c>
      <c r="M230" s="35">
        <f>IF($A230&gt;NYears*12,"",IF(TaxFreq="Quarterly",$K230*12/$D230,$K230))</f>
        <v/>
      </c>
      <c r="N230" s="36">
        <f>IF($A230&gt;NYears*12,"",LOOKUP($M230,TaxLower,TaxRate))</f>
        <v/>
      </c>
      <c r="O230" s="35">
        <f>IF($A230&gt;NYears*12,"",IF(TaxFreq="Quarterly",IF(MOD($D230,3)=0,$L230*$N230,0),IF($D230=12,$K230*$N230,0)))</f>
        <v/>
      </c>
      <c r="P230" s="35">
        <f>IF($A230&gt;NYears*12,"",IF($D230=1,$O230,$P229+$O230))</f>
        <v/>
      </c>
      <c r="Q230" s="35">
        <f>IF($A230&gt;NYears*12,"",IF($D230=12,MIN(WdrPct*IF(WdrBase="Post-tax profit",$K230-$P230,$K230),WdrCap),0))</f>
        <v/>
      </c>
      <c r="R230" s="35">
        <f>IF($A230&gt;NYears*12,"",$F230+$J230-$O230-$Q230)</f>
        <v/>
      </c>
      <c r="S230" s="33">
        <f>IF($A230&gt;NYears*12,"",INT($R230/$E230))</f>
        <v/>
      </c>
    </row>
    <row r="231">
      <c r="A231" s="33">
        <f>227</f>
        <v/>
      </c>
      <c r="B231" s="34">
        <f>IF($A231&gt;NYears*12,"",EDATE(StartMonth,$A231-1))</f>
        <v/>
      </c>
      <c r="C231" s="33">
        <f>IF($A231&gt;NYears*12,"",INT(($A231-1)/12)+1)</f>
        <v/>
      </c>
      <c r="D231" s="33">
        <f>IF($A231&gt;NYears*12,"",MOD($A231-1,12)+1)</f>
        <v/>
      </c>
      <c r="E231" s="35">
        <f>IF($A231&gt;NYears*12,"",LotValue0*(1+LotGrowth)^($C231-1))</f>
        <v/>
      </c>
      <c r="F231" s="35">
        <f>IF($A231&gt;NYears*12,"",IF($A231=1,InitInvest,$R230))</f>
        <v/>
      </c>
      <c r="G231" s="33">
        <f>IF($A231&gt;NYears*12,"",INT($F231/$E231))</f>
        <v/>
      </c>
      <c r="H231" s="35">
        <f>IF($A231&gt;NYears*12,"",$G231*$E231)</f>
        <v/>
      </c>
      <c r="I231" s="35">
        <f>IF($A231&gt;NYears*12,"",$F231-$H231)</f>
        <v/>
      </c>
      <c r="J231" s="35">
        <f>IF($A231&gt;NYears*12,"",$H231*RateB)</f>
        <v/>
      </c>
      <c r="K231" s="35">
        <f>IF($A231&gt;NYears*12,"",IF($D231=1,$J231,$K230+$J231))</f>
        <v/>
      </c>
      <c r="L231" s="35">
        <f>IF($A231&gt;NYears*12,"",IF(MOD($D231,3)=0,SUM($J229:$J231),0))</f>
        <v/>
      </c>
      <c r="M231" s="35">
        <f>IF($A231&gt;NYears*12,"",IF(TaxFreq="Quarterly",$K231*12/$D231,$K231))</f>
        <v/>
      </c>
      <c r="N231" s="36">
        <f>IF($A231&gt;NYears*12,"",LOOKUP($M231,TaxLower,TaxRate))</f>
        <v/>
      </c>
      <c r="O231" s="35">
        <f>IF($A231&gt;NYears*12,"",IF(TaxFreq="Quarterly",IF(MOD($D231,3)=0,$L231*$N231,0),IF($D231=12,$K231*$N231,0)))</f>
        <v/>
      </c>
      <c r="P231" s="35">
        <f>IF($A231&gt;NYears*12,"",IF($D231=1,$O231,$P230+$O231))</f>
        <v/>
      </c>
      <c r="Q231" s="35">
        <f>IF($A231&gt;NYears*12,"",IF($D231=12,MIN(WdrPct*IF(WdrBase="Post-tax profit",$K231-$P231,$K231),WdrCap),0))</f>
        <v/>
      </c>
      <c r="R231" s="35">
        <f>IF($A231&gt;NYears*12,"",$F231+$J231-$O231-$Q231)</f>
        <v/>
      </c>
      <c r="S231" s="33">
        <f>IF($A231&gt;NYears*12,"",INT($R231/$E231))</f>
        <v/>
      </c>
    </row>
    <row r="232">
      <c r="A232" s="37">
        <f>228</f>
        <v/>
      </c>
      <c r="B232" s="38">
        <f>IF($A232&gt;NYears*12,"",EDATE(StartMonth,$A232-1))</f>
        <v/>
      </c>
      <c r="C232" s="37">
        <f>IF($A232&gt;NYears*12,"",INT(($A232-1)/12)+1)</f>
        <v/>
      </c>
      <c r="D232" s="37">
        <f>IF($A232&gt;NYears*12,"",MOD($A232-1,12)+1)</f>
        <v/>
      </c>
      <c r="E232" s="39">
        <f>IF($A232&gt;NYears*12,"",LotValue0*(1+LotGrowth)^($C232-1))</f>
        <v/>
      </c>
      <c r="F232" s="39">
        <f>IF($A232&gt;NYears*12,"",IF($A232=1,InitInvest,$R231))</f>
        <v/>
      </c>
      <c r="G232" s="37">
        <f>IF($A232&gt;NYears*12,"",INT($F232/$E232))</f>
        <v/>
      </c>
      <c r="H232" s="39">
        <f>IF($A232&gt;NYears*12,"",$G232*$E232)</f>
        <v/>
      </c>
      <c r="I232" s="39">
        <f>IF($A232&gt;NYears*12,"",$F232-$H232)</f>
        <v/>
      </c>
      <c r="J232" s="39">
        <f>IF($A232&gt;NYears*12,"",$H232*RateB)</f>
        <v/>
      </c>
      <c r="K232" s="39">
        <f>IF($A232&gt;NYears*12,"",IF($D232=1,$J232,$K231+$J232))</f>
        <v/>
      </c>
      <c r="L232" s="39">
        <f>IF($A232&gt;NYears*12,"",IF(MOD($D232,3)=0,SUM($J230:$J232),0))</f>
        <v/>
      </c>
      <c r="M232" s="39">
        <f>IF($A232&gt;NYears*12,"",IF(TaxFreq="Quarterly",$K232*12/$D232,$K232))</f>
        <v/>
      </c>
      <c r="N232" s="40">
        <f>IF($A232&gt;NYears*12,"",LOOKUP($M232,TaxLower,TaxRate))</f>
        <v/>
      </c>
      <c r="O232" s="39">
        <f>IF($A232&gt;NYears*12,"",IF(TaxFreq="Quarterly",IF(MOD($D232,3)=0,$L232*$N232,0),IF($D232=12,$K232*$N232,0)))</f>
        <v/>
      </c>
      <c r="P232" s="39">
        <f>IF($A232&gt;NYears*12,"",IF($D232=1,$O232,$P231+$O232))</f>
        <v/>
      </c>
      <c r="Q232" s="39">
        <f>IF($A232&gt;NYears*12,"",IF($D232=12,MIN(WdrPct*IF(WdrBase="Post-tax profit",$K232-$P232,$K232),WdrCap),0))</f>
        <v/>
      </c>
      <c r="R232" s="39">
        <f>IF($A232&gt;NYears*12,"",$F232+$J232-$O232-$Q232)</f>
        <v/>
      </c>
      <c r="S232" s="37">
        <f>IF($A232&gt;NYears*12,"",INT($R232/$E232))</f>
        <v/>
      </c>
    </row>
    <row r="233">
      <c r="A233" s="33">
        <f>229</f>
        <v/>
      </c>
      <c r="B233" s="34">
        <f>IF($A233&gt;NYears*12,"",EDATE(StartMonth,$A233-1))</f>
        <v/>
      </c>
      <c r="C233" s="33">
        <f>IF($A233&gt;NYears*12,"",INT(($A233-1)/12)+1)</f>
        <v/>
      </c>
      <c r="D233" s="33">
        <f>IF($A233&gt;NYears*12,"",MOD($A233-1,12)+1)</f>
        <v/>
      </c>
      <c r="E233" s="35">
        <f>IF($A233&gt;NYears*12,"",LotValue0*(1+LotGrowth)^($C233-1))</f>
        <v/>
      </c>
      <c r="F233" s="35">
        <f>IF($A233&gt;NYears*12,"",IF($A233=1,InitInvest,$R232))</f>
        <v/>
      </c>
      <c r="G233" s="33">
        <f>IF($A233&gt;NYears*12,"",INT($F233/$E233))</f>
        <v/>
      </c>
      <c r="H233" s="35">
        <f>IF($A233&gt;NYears*12,"",$G233*$E233)</f>
        <v/>
      </c>
      <c r="I233" s="35">
        <f>IF($A233&gt;NYears*12,"",$F233-$H233)</f>
        <v/>
      </c>
      <c r="J233" s="35">
        <f>IF($A233&gt;NYears*12,"",$H233*RateB)</f>
        <v/>
      </c>
      <c r="K233" s="35">
        <f>IF($A233&gt;NYears*12,"",IF($D233=1,$J233,$K232+$J233))</f>
        <v/>
      </c>
      <c r="L233" s="35">
        <f>IF($A233&gt;NYears*12,"",IF(MOD($D233,3)=0,SUM($J231:$J233),0))</f>
        <v/>
      </c>
      <c r="M233" s="35">
        <f>IF($A233&gt;NYears*12,"",IF(TaxFreq="Quarterly",$K233*12/$D233,$K233))</f>
        <v/>
      </c>
      <c r="N233" s="36">
        <f>IF($A233&gt;NYears*12,"",LOOKUP($M233,TaxLower,TaxRate))</f>
        <v/>
      </c>
      <c r="O233" s="35">
        <f>IF($A233&gt;NYears*12,"",IF(TaxFreq="Quarterly",IF(MOD($D233,3)=0,$L233*$N233,0),IF($D233=12,$K233*$N233,0)))</f>
        <v/>
      </c>
      <c r="P233" s="35">
        <f>IF($A233&gt;NYears*12,"",IF($D233=1,$O233,$P232+$O233))</f>
        <v/>
      </c>
      <c r="Q233" s="35">
        <f>IF($A233&gt;NYears*12,"",IF($D233=12,MIN(WdrPct*IF(WdrBase="Post-tax profit",$K233-$P233,$K233),WdrCap),0))</f>
        <v/>
      </c>
      <c r="R233" s="35">
        <f>IF($A233&gt;NYears*12,"",$F233+$J233-$O233-$Q233)</f>
        <v/>
      </c>
      <c r="S233" s="33">
        <f>IF($A233&gt;NYears*12,"",INT($R233/$E233))</f>
        <v/>
      </c>
    </row>
    <row r="234">
      <c r="A234" s="33">
        <f>230</f>
        <v/>
      </c>
      <c r="B234" s="34">
        <f>IF($A234&gt;NYears*12,"",EDATE(StartMonth,$A234-1))</f>
        <v/>
      </c>
      <c r="C234" s="33">
        <f>IF($A234&gt;NYears*12,"",INT(($A234-1)/12)+1)</f>
        <v/>
      </c>
      <c r="D234" s="33">
        <f>IF($A234&gt;NYears*12,"",MOD($A234-1,12)+1)</f>
        <v/>
      </c>
      <c r="E234" s="35">
        <f>IF($A234&gt;NYears*12,"",LotValue0*(1+LotGrowth)^($C234-1))</f>
        <v/>
      </c>
      <c r="F234" s="35">
        <f>IF($A234&gt;NYears*12,"",IF($A234=1,InitInvest,$R233))</f>
        <v/>
      </c>
      <c r="G234" s="33">
        <f>IF($A234&gt;NYears*12,"",INT($F234/$E234))</f>
        <v/>
      </c>
      <c r="H234" s="35">
        <f>IF($A234&gt;NYears*12,"",$G234*$E234)</f>
        <v/>
      </c>
      <c r="I234" s="35">
        <f>IF($A234&gt;NYears*12,"",$F234-$H234)</f>
        <v/>
      </c>
      <c r="J234" s="35">
        <f>IF($A234&gt;NYears*12,"",$H234*RateB)</f>
        <v/>
      </c>
      <c r="K234" s="35">
        <f>IF($A234&gt;NYears*12,"",IF($D234=1,$J234,$K233+$J234))</f>
        <v/>
      </c>
      <c r="L234" s="35">
        <f>IF($A234&gt;NYears*12,"",IF(MOD($D234,3)=0,SUM($J232:$J234),0))</f>
        <v/>
      </c>
      <c r="M234" s="35">
        <f>IF($A234&gt;NYears*12,"",IF(TaxFreq="Quarterly",$K234*12/$D234,$K234))</f>
        <v/>
      </c>
      <c r="N234" s="36">
        <f>IF($A234&gt;NYears*12,"",LOOKUP($M234,TaxLower,TaxRate))</f>
        <v/>
      </c>
      <c r="O234" s="35">
        <f>IF($A234&gt;NYears*12,"",IF(TaxFreq="Quarterly",IF(MOD($D234,3)=0,$L234*$N234,0),IF($D234=12,$K234*$N234,0)))</f>
        <v/>
      </c>
      <c r="P234" s="35">
        <f>IF($A234&gt;NYears*12,"",IF($D234=1,$O234,$P233+$O234))</f>
        <v/>
      </c>
      <c r="Q234" s="35">
        <f>IF($A234&gt;NYears*12,"",IF($D234=12,MIN(WdrPct*IF(WdrBase="Post-tax profit",$K234-$P234,$K234),WdrCap),0))</f>
        <v/>
      </c>
      <c r="R234" s="35">
        <f>IF($A234&gt;NYears*12,"",$F234+$J234-$O234-$Q234)</f>
        <v/>
      </c>
      <c r="S234" s="33">
        <f>IF($A234&gt;NYears*12,"",INT($R234/$E234))</f>
        <v/>
      </c>
    </row>
    <row r="235">
      <c r="A235" s="33">
        <f>231</f>
        <v/>
      </c>
      <c r="B235" s="34">
        <f>IF($A235&gt;NYears*12,"",EDATE(StartMonth,$A235-1))</f>
        <v/>
      </c>
      <c r="C235" s="33">
        <f>IF($A235&gt;NYears*12,"",INT(($A235-1)/12)+1)</f>
        <v/>
      </c>
      <c r="D235" s="33">
        <f>IF($A235&gt;NYears*12,"",MOD($A235-1,12)+1)</f>
        <v/>
      </c>
      <c r="E235" s="35">
        <f>IF($A235&gt;NYears*12,"",LotValue0*(1+LotGrowth)^($C235-1))</f>
        <v/>
      </c>
      <c r="F235" s="35">
        <f>IF($A235&gt;NYears*12,"",IF($A235=1,InitInvest,$R234))</f>
        <v/>
      </c>
      <c r="G235" s="33">
        <f>IF($A235&gt;NYears*12,"",INT($F235/$E235))</f>
        <v/>
      </c>
      <c r="H235" s="35">
        <f>IF($A235&gt;NYears*12,"",$G235*$E235)</f>
        <v/>
      </c>
      <c r="I235" s="35">
        <f>IF($A235&gt;NYears*12,"",$F235-$H235)</f>
        <v/>
      </c>
      <c r="J235" s="35">
        <f>IF($A235&gt;NYears*12,"",$H235*RateB)</f>
        <v/>
      </c>
      <c r="K235" s="35">
        <f>IF($A235&gt;NYears*12,"",IF($D235=1,$J235,$K234+$J235))</f>
        <v/>
      </c>
      <c r="L235" s="35">
        <f>IF($A235&gt;NYears*12,"",IF(MOD($D235,3)=0,SUM($J233:$J235),0))</f>
        <v/>
      </c>
      <c r="M235" s="35">
        <f>IF($A235&gt;NYears*12,"",IF(TaxFreq="Quarterly",$K235*12/$D235,$K235))</f>
        <v/>
      </c>
      <c r="N235" s="36">
        <f>IF($A235&gt;NYears*12,"",LOOKUP($M235,TaxLower,TaxRate))</f>
        <v/>
      </c>
      <c r="O235" s="35">
        <f>IF($A235&gt;NYears*12,"",IF(TaxFreq="Quarterly",IF(MOD($D235,3)=0,$L235*$N235,0),IF($D235=12,$K235*$N235,0)))</f>
        <v/>
      </c>
      <c r="P235" s="35">
        <f>IF($A235&gt;NYears*12,"",IF($D235=1,$O235,$P234+$O235))</f>
        <v/>
      </c>
      <c r="Q235" s="35">
        <f>IF($A235&gt;NYears*12,"",IF($D235=12,MIN(WdrPct*IF(WdrBase="Post-tax profit",$K235-$P235,$K235),WdrCap),0))</f>
        <v/>
      </c>
      <c r="R235" s="35">
        <f>IF($A235&gt;NYears*12,"",$F235+$J235-$O235-$Q235)</f>
        <v/>
      </c>
      <c r="S235" s="33">
        <f>IF($A235&gt;NYears*12,"",INT($R235/$E235))</f>
        <v/>
      </c>
    </row>
    <row r="236">
      <c r="A236" s="33">
        <f>232</f>
        <v/>
      </c>
      <c r="B236" s="34">
        <f>IF($A236&gt;NYears*12,"",EDATE(StartMonth,$A236-1))</f>
        <v/>
      </c>
      <c r="C236" s="33">
        <f>IF($A236&gt;NYears*12,"",INT(($A236-1)/12)+1)</f>
        <v/>
      </c>
      <c r="D236" s="33">
        <f>IF($A236&gt;NYears*12,"",MOD($A236-1,12)+1)</f>
        <v/>
      </c>
      <c r="E236" s="35">
        <f>IF($A236&gt;NYears*12,"",LotValue0*(1+LotGrowth)^($C236-1))</f>
        <v/>
      </c>
      <c r="F236" s="35">
        <f>IF($A236&gt;NYears*12,"",IF($A236=1,InitInvest,$R235))</f>
        <v/>
      </c>
      <c r="G236" s="33">
        <f>IF($A236&gt;NYears*12,"",INT($F236/$E236))</f>
        <v/>
      </c>
      <c r="H236" s="35">
        <f>IF($A236&gt;NYears*12,"",$G236*$E236)</f>
        <v/>
      </c>
      <c r="I236" s="35">
        <f>IF($A236&gt;NYears*12,"",$F236-$H236)</f>
        <v/>
      </c>
      <c r="J236" s="35">
        <f>IF($A236&gt;NYears*12,"",$H236*RateB)</f>
        <v/>
      </c>
      <c r="K236" s="35">
        <f>IF($A236&gt;NYears*12,"",IF($D236=1,$J236,$K235+$J236))</f>
        <v/>
      </c>
      <c r="L236" s="35">
        <f>IF($A236&gt;NYears*12,"",IF(MOD($D236,3)=0,SUM($J234:$J236),0))</f>
        <v/>
      </c>
      <c r="M236" s="35">
        <f>IF($A236&gt;NYears*12,"",IF(TaxFreq="Quarterly",$K236*12/$D236,$K236))</f>
        <v/>
      </c>
      <c r="N236" s="36">
        <f>IF($A236&gt;NYears*12,"",LOOKUP($M236,TaxLower,TaxRate))</f>
        <v/>
      </c>
      <c r="O236" s="35">
        <f>IF($A236&gt;NYears*12,"",IF(TaxFreq="Quarterly",IF(MOD($D236,3)=0,$L236*$N236,0),IF($D236=12,$K236*$N236,0)))</f>
        <v/>
      </c>
      <c r="P236" s="35">
        <f>IF($A236&gt;NYears*12,"",IF($D236=1,$O236,$P235+$O236))</f>
        <v/>
      </c>
      <c r="Q236" s="35">
        <f>IF($A236&gt;NYears*12,"",IF($D236=12,MIN(WdrPct*IF(WdrBase="Post-tax profit",$K236-$P236,$K236),WdrCap),0))</f>
        <v/>
      </c>
      <c r="R236" s="35">
        <f>IF($A236&gt;NYears*12,"",$F236+$J236-$O236-$Q236)</f>
        <v/>
      </c>
      <c r="S236" s="33">
        <f>IF($A236&gt;NYears*12,"",INT($R236/$E236))</f>
        <v/>
      </c>
    </row>
    <row r="237">
      <c r="A237" s="33">
        <f>233</f>
        <v/>
      </c>
      <c r="B237" s="34">
        <f>IF($A237&gt;NYears*12,"",EDATE(StartMonth,$A237-1))</f>
        <v/>
      </c>
      <c r="C237" s="33">
        <f>IF($A237&gt;NYears*12,"",INT(($A237-1)/12)+1)</f>
        <v/>
      </c>
      <c r="D237" s="33">
        <f>IF($A237&gt;NYears*12,"",MOD($A237-1,12)+1)</f>
        <v/>
      </c>
      <c r="E237" s="35">
        <f>IF($A237&gt;NYears*12,"",LotValue0*(1+LotGrowth)^($C237-1))</f>
        <v/>
      </c>
      <c r="F237" s="35">
        <f>IF($A237&gt;NYears*12,"",IF($A237=1,InitInvest,$R236))</f>
        <v/>
      </c>
      <c r="G237" s="33">
        <f>IF($A237&gt;NYears*12,"",INT($F237/$E237))</f>
        <v/>
      </c>
      <c r="H237" s="35">
        <f>IF($A237&gt;NYears*12,"",$G237*$E237)</f>
        <v/>
      </c>
      <c r="I237" s="35">
        <f>IF($A237&gt;NYears*12,"",$F237-$H237)</f>
        <v/>
      </c>
      <c r="J237" s="35">
        <f>IF($A237&gt;NYears*12,"",$H237*RateB)</f>
        <v/>
      </c>
      <c r="K237" s="35">
        <f>IF($A237&gt;NYears*12,"",IF($D237=1,$J237,$K236+$J237))</f>
        <v/>
      </c>
      <c r="L237" s="35">
        <f>IF($A237&gt;NYears*12,"",IF(MOD($D237,3)=0,SUM($J235:$J237),0))</f>
        <v/>
      </c>
      <c r="M237" s="35">
        <f>IF($A237&gt;NYears*12,"",IF(TaxFreq="Quarterly",$K237*12/$D237,$K237))</f>
        <v/>
      </c>
      <c r="N237" s="36">
        <f>IF($A237&gt;NYears*12,"",LOOKUP($M237,TaxLower,TaxRate))</f>
        <v/>
      </c>
      <c r="O237" s="35">
        <f>IF($A237&gt;NYears*12,"",IF(TaxFreq="Quarterly",IF(MOD($D237,3)=0,$L237*$N237,0),IF($D237=12,$K237*$N237,0)))</f>
        <v/>
      </c>
      <c r="P237" s="35">
        <f>IF($A237&gt;NYears*12,"",IF($D237=1,$O237,$P236+$O237))</f>
        <v/>
      </c>
      <c r="Q237" s="35">
        <f>IF($A237&gt;NYears*12,"",IF($D237=12,MIN(WdrPct*IF(WdrBase="Post-tax profit",$K237-$P237,$K237),WdrCap),0))</f>
        <v/>
      </c>
      <c r="R237" s="35">
        <f>IF($A237&gt;NYears*12,"",$F237+$J237-$O237-$Q237)</f>
        <v/>
      </c>
      <c r="S237" s="33">
        <f>IF($A237&gt;NYears*12,"",INT($R237/$E237))</f>
        <v/>
      </c>
    </row>
    <row r="238">
      <c r="A238" s="33">
        <f>234</f>
        <v/>
      </c>
      <c r="B238" s="34">
        <f>IF($A238&gt;NYears*12,"",EDATE(StartMonth,$A238-1))</f>
        <v/>
      </c>
      <c r="C238" s="33">
        <f>IF($A238&gt;NYears*12,"",INT(($A238-1)/12)+1)</f>
        <v/>
      </c>
      <c r="D238" s="33">
        <f>IF($A238&gt;NYears*12,"",MOD($A238-1,12)+1)</f>
        <v/>
      </c>
      <c r="E238" s="35">
        <f>IF($A238&gt;NYears*12,"",LotValue0*(1+LotGrowth)^($C238-1))</f>
        <v/>
      </c>
      <c r="F238" s="35">
        <f>IF($A238&gt;NYears*12,"",IF($A238=1,InitInvest,$R237))</f>
        <v/>
      </c>
      <c r="G238" s="33">
        <f>IF($A238&gt;NYears*12,"",INT($F238/$E238))</f>
        <v/>
      </c>
      <c r="H238" s="35">
        <f>IF($A238&gt;NYears*12,"",$G238*$E238)</f>
        <v/>
      </c>
      <c r="I238" s="35">
        <f>IF($A238&gt;NYears*12,"",$F238-$H238)</f>
        <v/>
      </c>
      <c r="J238" s="35">
        <f>IF($A238&gt;NYears*12,"",$H238*RateB)</f>
        <v/>
      </c>
      <c r="K238" s="35">
        <f>IF($A238&gt;NYears*12,"",IF($D238=1,$J238,$K237+$J238))</f>
        <v/>
      </c>
      <c r="L238" s="35">
        <f>IF($A238&gt;NYears*12,"",IF(MOD($D238,3)=0,SUM($J236:$J238),0))</f>
        <v/>
      </c>
      <c r="M238" s="35">
        <f>IF($A238&gt;NYears*12,"",IF(TaxFreq="Quarterly",$K238*12/$D238,$K238))</f>
        <v/>
      </c>
      <c r="N238" s="36">
        <f>IF($A238&gt;NYears*12,"",LOOKUP($M238,TaxLower,TaxRate))</f>
        <v/>
      </c>
      <c r="O238" s="35">
        <f>IF($A238&gt;NYears*12,"",IF(TaxFreq="Quarterly",IF(MOD($D238,3)=0,$L238*$N238,0),IF($D238=12,$K238*$N238,0)))</f>
        <v/>
      </c>
      <c r="P238" s="35">
        <f>IF($A238&gt;NYears*12,"",IF($D238=1,$O238,$P237+$O238))</f>
        <v/>
      </c>
      <c r="Q238" s="35">
        <f>IF($A238&gt;NYears*12,"",IF($D238=12,MIN(WdrPct*IF(WdrBase="Post-tax profit",$K238-$P238,$K238),WdrCap),0))</f>
        <v/>
      </c>
      <c r="R238" s="35">
        <f>IF($A238&gt;NYears*12,"",$F238+$J238-$O238-$Q238)</f>
        <v/>
      </c>
      <c r="S238" s="33">
        <f>IF($A238&gt;NYears*12,"",INT($R238/$E238))</f>
        <v/>
      </c>
    </row>
    <row r="239">
      <c r="A239" s="33">
        <f>235</f>
        <v/>
      </c>
      <c r="B239" s="34">
        <f>IF($A239&gt;NYears*12,"",EDATE(StartMonth,$A239-1))</f>
        <v/>
      </c>
      <c r="C239" s="33">
        <f>IF($A239&gt;NYears*12,"",INT(($A239-1)/12)+1)</f>
        <v/>
      </c>
      <c r="D239" s="33">
        <f>IF($A239&gt;NYears*12,"",MOD($A239-1,12)+1)</f>
        <v/>
      </c>
      <c r="E239" s="35">
        <f>IF($A239&gt;NYears*12,"",LotValue0*(1+LotGrowth)^($C239-1))</f>
        <v/>
      </c>
      <c r="F239" s="35">
        <f>IF($A239&gt;NYears*12,"",IF($A239=1,InitInvest,$R238))</f>
        <v/>
      </c>
      <c r="G239" s="33">
        <f>IF($A239&gt;NYears*12,"",INT($F239/$E239))</f>
        <v/>
      </c>
      <c r="H239" s="35">
        <f>IF($A239&gt;NYears*12,"",$G239*$E239)</f>
        <v/>
      </c>
      <c r="I239" s="35">
        <f>IF($A239&gt;NYears*12,"",$F239-$H239)</f>
        <v/>
      </c>
      <c r="J239" s="35">
        <f>IF($A239&gt;NYears*12,"",$H239*RateB)</f>
        <v/>
      </c>
      <c r="K239" s="35">
        <f>IF($A239&gt;NYears*12,"",IF($D239=1,$J239,$K238+$J239))</f>
        <v/>
      </c>
      <c r="L239" s="35">
        <f>IF($A239&gt;NYears*12,"",IF(MOD($D239,3)=0,SUM($J237:$J239),0))</f>
        <v/>
      </c>
      <c r="M239" s="35">
        <f>IF($A239&gt;NYears*12,"",IF(TaxFreq="Quarterly",$K239*12/$D239,$K239))</f>
        <v/>
      </c>
      <c r="N239" s="36">
        <f>IF($A239&gt;NYears*12,"",LOOKUP($M239,TaxLower,TaxRate))</f>
        <v/>
      </c>
      <c r="O239" s="35">
        <f>IF($A239&gt;NYears*12,"",IF(TaxFreq="Quarterly",IF(MOD($D239,3)=0,$L239*$N239,0),IF($D239=12,$K239*$N239,0)))</f>
        <v/>
      </c>
      <c r="P239" s="35">
        <f>IF($A239&gt;NYears*12,"",IF($D239=1,$O239,$P238+$O239))</f>
        <v/>
      </c>
      <c r="Q239" s="35">
        <f>IF($A239&gt;NYears*12,"",IF($D239=12,MIN(WdrPct*IF(WdrBase="Post-tax profit",$K239-$P239,$K239),WdrCap),0))</f>
        <v/>
      </c>
      <c r="R239" s="35">
        <f>IF($A239&gt;NYears*12,"",$F239+$J239-$O239-$Q239)</f>
        <v/>
      </c>
      <c r="S239" s="33">
        <f>IF($A239&gt;NYears*12,"",INT($R239/$E239))</f>
        <v/>
      </c>
    </row>
    <row r="240">
      <c r="A240" s="33">
        <f>236</f>
        <v/>
      </c>
      <c r="B240" s="34">
        <f>IF($A240&gt;NYears*12,"",EDATE(StartMonth,$A240-1))</f>
        <v/>
      </c>
      <c r="C240" s="33">
        <f>IF($A240&gt;NYears*12,"",INT(($A240-1)/12)+1)</f>
        <v/>
      </c>
      <c r="D240" s="33">
        <f>IF($A240&gt;NYears*12,"",MOD($A240-1,12)+1)</f>
        <v/>
      </c>
      <c r="E240" s="35">
        <f>IF($A240&gt;NYears*12,"",LotValue0*(1+LotGrowth)^($C240-1))</f>
        <v/>
      </c>
      <c r="F240" s="35">
        <f>IF($A240&gt;NYears*12,"",IF($A240=1,InitInvest,$R239))</f>
        <v/>
      </c>
      <c r="G240" s="33">
        <f>IF($A240&gt;NYears*12,"",INT($F240/$E240))</f>
        <v/>
      </c>
      <c r="H240" s="35">
        <f>IF($A240&gt;NYears*12,"",$G240*$E240)</f>
        <v/>
      </c>
      <c r="I240" s="35">
        <f>IF($A240&gt;NYears*12,"",$F240-$H240)</f>
        <v/>
      </c>
      <c r="J240" s="35">
        <f>IF($A240&gt;NYears*12,"",$H240*RateB)</f>
        <v/>
      </c>
      <c r="K240" s="35">
        <f>IF($A240&gt;NYears*12,"",IF($D240=1,$J240,$K239+$J240))</f>
        <v/>
      </c>
      <c r="L240" s="35">
        <f>IF($A240&gt;NYears*12,"",IF(MOD($D240,3)=0,SUM($J238:$J240),0))</f>
        <v/>
      </c>
      <c r="M240" s="35">
        <f>IF($A240&gt;NYears*12,"",IF(TaxFreq="Quarterly",$K240*12/$D240,$K240))</f>
        <v/>
      </c>
      <c r="N240" s="36">
        <f>IF($A240&gt;NYears*12,"",LOOKUP($M240,TaxLower,TaxRate))</f>
        <v/>
      </c>
      <c r="O240" s="35">
        <f>IF($A240&gt;NYears*12,"",IF(TaxFreq="Quarterly",IF(MOD($D240,3)=0,$L240*$N240,0),IF($D240=12,$K240*$N240,0)))</f>
        <v/>
      </c>
      <c r="P240" s="35">
        <f>IF($A240&gt;NYears*12,"",IF($D240=1,$O240,$P239+$O240))</f>
        <v/>
      </c>
      <c r="Q240" s="35">
        <f>IF($A240&gt;NYears*12,"",IF($D240=12,MIN(WdrPct*IF(WdrBase="Post-tax profit",$K240-$P240,$K240),WdrCap),0))</f>
        <v/>
      </c>
      <c r="R240" s="35">
        <f>IF($A240&gt;NYears*12,"",$F240+$J240-$O240-$Q240)</f>
        <v/>
      </c>
      <c r="S240" s="33">
        <f>IF($A240&gt;NYears*12,"",INT($R240/$E240))</f>
        <v/>
      </c>
    </row>
    <row r="241">
      <c r="A241" s="33">
        <f>237</f>
        <v/>
      </c>
      <c r="B241" s="34">
        <f>IF($A241&gt;NYears*12,"",EDATE(StartMonth,$A241-1))</f>
        <v/>
      </c>
      <c r="C241" s="33">
        <f>IF($A241&gt;NYears*12,"",INT(($A241-1)/12)+1)</f>
        <v/>
      </c>
      <c r="D241" s="33">
        <f>IF($A241&gt;NYears*12,"",MOD($A241-1,12)+1)</f>
        <v/>
      </c>
      <c r="E241" s="35">
        <f>IF($A241&gt;NYears*12,"",LotValue0*(1+LotGrowth)^($C241-1))</f>
        <v/>
      </c>
      <c r="F241" s="35">
        <f>IF($A241&gt;NYears*12,"",IF($A241=1,InitInvest,$R240))</f>
        <v/>
      </c>
      <c r="G241" s="33">
        <f>IF($A241&gt;NYears*12,"",INT($F241/$E241))</f>
        <v/>
      </c>
      <c r="H241" s="35">
        <f>IF($A241&gt;NYears*12,"",$G241*$E241)</f>
        <v/>
      </c>
      <c r="I241" s="35">
        <f>IF($A241&gt;NYears*12,"",$F241-$H241)</f>
        <v/>
      </c>
      <c r="J241" s="35">
        <f>IF($A241&gt;NYears*12,"",$H241*RateB)</f>
        <v/>
      </c>
      <c r="K241" s="35">
        <f>IF($A241&gt;NYears*12,"",IF($D241=1,$J241,$K240+$J241))</f>
        <v/>
      </c>
      <c r="L241" s="35">
        <f>IF($A241&gt;NYears*12,"",IF(MOD($D241,3)=0,SUM($J239:$J241),0))</f>
        <v/>
      </c>
      <c r="M241" s="35">
        <f>IF($A241&gt;NYears*12,"",IF(TaxFreq="Quarterly",$K241*12/$D241,$K241))</f>
        <v/>
      </c>
      <c r="N241" s="36">
        <f>IF($A241&gt;NYears*12,"",LOOKUP($M241,TaxLower,TaxRate))</f>
        <v/>
      </c>
      <c r="O241" s="35">
        <f>IF($A241&gt;NYears*12,"",IF(TaxFreq="Quarterly",IF(MOD($D241,3)=0,$L241*$N241,0),IF($D241=12,$K241*$N241,0)))</f>
        <v/>
      </c>
      <c r="P241" s="35">
        <f>IF($A241&gt;NYears*12,"",IF($D241=1,$O241,$P240+$O241))</f>
        <v/>
      </c>
      <c r="Q241" s="35">
        <f>IF($A241&gt;NYears*12,"",IF($D241=12,MIN(WdrPct*IF(WdrBase="Post-tax profit",$K241-$P241,$K241),WdrCap),0))</f>
        <v/>
      </c>
      <c r="R241" s="35">
        <f>IF($A241&gt;NYears*12,"",$F241+$J241-$O241-$Q241)</f>
        <v/>
      </c>
      <c r="S241" s="33">
        <f>IF($A241&gt;NYears*12,"",INT($R241/$E241))</f>
        <v/>
      </c>
    </row>
    <row r="242">
      <c r="A242" s="33">
        <f>238</f>
        <v/>
      </c>
      <c r="B242" s="34">
        <f>IF($A242&gt;NYears*12,"",EDATE(StartMonth,$A242-1))</f>
        <v/>
      </c>
      <c r="C242" s="33">
        <f>IF($A242&gt;NYears*12,"",INT(($A242-1)/12)+1)</f>
        <v/>
      </c>
      <c r="D242" s="33">
        <f>IF($A242&gt;NYears*12,"",MOD($A242-1,12)+1)</f>
        <v/>
      </c>
      <c r="E242" s="35">
        <f>IF($A242&gt;NYears*12,"",LotValue0*(1+LotGrowth)^($C242-1))</f>
        <v/>
      </c>
      <c r="F242" s="35">
        <f>IF($A242&gt;NYears*12,"",IF($A242=1,InitInvest,$R241))</f>
        <v/>
      </c>
      <c r="G242" s="33">
        <f>IF($A242&gt;NYears*12,"",INT($F242/$E242))</f>
        <v/>
      </c>
      <c r="H242" s="35">
        <f>IF($A242&gt;NYears*12,"",$G242*$E242)</f>
        <v/>
      </c>
      <c r="I242" s="35">
        <f>IF($A242&gt;NYears*12,"",$F242-$H242)</f>
        <v/>
      </c>
      <c r="J242" s="35">
        <f>IF($A242&gt;NYears*12,"",$H242*RateB)</f>
        <v/>
      </c>
      <c r="K242" s="35">
        <f>IF($A242&gt;NYears*12,"",IF($D242=1,$J242,$K241+$J242))</f>
        <v/>
      </c>
      <c r="L242" s="35">
        <f>IF($A242&gt;NYears*12,"",IF(MOD($D242,3)=0,SUM($J240:$J242),0))</f>
        <v/>
      </c>
      <c r="M242" s="35">
        <f>IF($A242&gt;NYears*12,"",IF(TaxFreq="Quarterly",$K242*12/$D242,$K242))</f>
        <v/>
      </c>
      <c r="N242" s="36">
        <f>IF($A242&gt;NYears*12,"",LOOKUP($M242,TaxLower,TaxRate))</f>
        <v/>
      </c>
      <c r="O242" s="35">
        <f>IF($A242&gt;NYears*12,"",IF(TaxFreq="Quarterly",IF(MOD($D242,3)=0,$L242*$N242,0),IF($D242=12,$K242*$N242,0)))</f>
        <v/>
      </c>
      <c r="P242" s="35">
        <f>IF($A242&gt;NYears*12,"",IF($D242=1,$O242,$P241+$O242))</f>
        <v/>
      </c>
      <c r="Q242" s="35">
        <f>IF($A242&gt;NYears*12,"",IF($D242=12,MIN(WdrPct*IF(WdrBase="Post-tax profit",$K242-$P242,$K242),WdrCap),0))</f>
        <v/>
      </c>
      <c r="R242" s="35">
        <f>IF($A242&gt;NYears*12,"",$F242+$J242-$O242-$Q242)</f>
        <v/>
      </c>
      <c r="S242" s="33">
        <f>IF($A242&gt;NYears*12,"",INT($R242/$E242))</f>
        <v/>
      </c>
    </row>
    <row r="243">
      <c r="A243" s="33">
        <f>239</f>
        <v/>
      </c>
      <c r="B243" s="34">
        <f>IF($A243&gt;NYears*12,"",EDATE(StartMonth,$A243-1))</f>
        <v/>
      </c>
      <c r="C243" s="33">
        <f>IF($A243&gt;NYears*12,"",INT(($A243-1)/12)+1)</f>
        <v/>
      </c>
      <c r="D243" s="33">
        <f>IF($A243&gt;NYears*12,"",MOD($A243-1,12)+1)</f>
        <v/>
      </c>
      <c r="E243" s="35">
        <f>IF($A243&gt;NYears*12,"",LotValue0*(1+LotGrowth)^($C243-1))</f>
        <v/>
      </c>
      <c r="F243" s="35">
        <f>IF($A243&gt;NYears*12,"",IF($A243=1,InitInvest,$R242))</f>
        <v/>
      </c>
      <c r="G243" s="33">
        <f>IF($A243&gt;NYears*12,"",INT($F243/$E243))</f>
        <v/>
      </c>
      <c r="H243" s="35">
        <f>IF($A243&gt;NYears*12,"",$G243*$E243)</f>
        <v/>
      </c>
      <c r="I243" s="35">
        <f>IF($A243&gt;NYears*12,"",$F243-$H243)</f>
        <v/>
      </c>
      <c r="J243" s="35">
        <f>IF($A243&gt;NYears*12,"",$H243*RateB)</f>
        <v/>
      </c>
      <c r="K243" s="35">
        <f>IF($A243&gt;NYears*12,"",IF($D243=1,$J243,$K242+$J243))</f>
        <v/>
      </c>
      <c r="L243" s="35">
        <f>IF($A243&gt;NYears*12,"",IF(MOD($D243,3)=0,SUM($J241:$J243),0))</f>
        <v/>
      </c>
      <c r="M243" s="35">
        <f>IF($A243&gt;NYears*12,"",IF(TaxFreq="Quarterly",$K243*12/$D243,$K243))</f>
        <v/>
      </c>
      <c r="N243" s="36">
        <f>IF($A243&gt;NYears*12,"",LOOKUP($M243,TaxLower,TaxRate))</f>
        <v/>
      </c>
      <c r="O243" s="35">
        <f>IF($A243&gt;NYears*12,"",IF(TaxFreq="Quarterly",IF(MOD($D243,3)=0,$L243*$N243,0),IF($D243=12,$K243*$N243,0)))</f>
        <v/>
      </c>
      <c r="P243" s="35">
        <f>IF($A243&gt;NYears*12,"",IF($D243=1,$O243,$P242+$O243))</f>
        <v/>
      </c>
      <c r="Q243" s="35">
        <f>IF($A243&gt;NYears*12,"",IF($D243=12,MIN(WdrPct*IF(WdrBase="Post-tax profit",$K243-$P243,$K243),WdrCap),0))</f>
        <v/>
      </c>
      <c r="R243" s="35">
        <f>IF($A243&gt;NYears*12,"",$F243+$J243-$O243-$Q243)</f>
        <v/>
      </c>
      <c r="S243" s="33">
        <f>IF($A243&gt;NYears*12,"",INT($R243/$E243))</f>
        <v/>
      </c>
    </row>
    <row r="244">
      <c r="A244" s="37">
        <f>240</f>
        <v/>
      </c>
      <c r="B244" s="38">
        <f>IF($A244&gt;NYears*12,"",EDATE(StartMonth,$A244-1))</f>
        <v/>
      </c>
      <c r="C244" s="37">
        <f>IF($A244&gt;NYears*12,"",INT(($A244-1)/12)+1)</f>
        <v/>
      </c>
      <c r="D244" s="37">
        <f>IF($A244&gt;NYears*12,"",MOD($A244-1,12)+1)</f>
        <v/>
      </c>
      <c r="E244" s="39">
        <f>IF($A244&gt;NYears*12,"",LotValue0*(1+LotGrowth)^($C244-1))</f>
        <v/>
      </c>
      <c r="F244" s="39">
        <f>IF($A244&gt;NYears*12,"",IF($A244=1,InitInvest,$R243))</f>
        <v/>
      </c>
      <c r="G244" s="37">
        <f>IF($A244&gt;NYears*12,"",INT($F244/$E244))</f>
        <v/>
      </c>
      <c r="H244" s="39">
        <f>IF($A244&gt;NYears*12,"",$G244*$E244)</f>
        <v/>
      </c>
      <c r="I244" s="39">
        <f>IF($A244&gt;NYears*12,"",$F244-$H244)</f>
        <v/>
      </c>
      <c r="J244" s="39">
        <f>IF($A244&gt;NYears*12,"",$H244*RateB)</f>
        <v/>
      </c>
      <c r="K244" s="39">
        <f>IF($A244&gt;NYears*12,"",IF($D244=1,$J244,$K243+$J244))</f>
        <v/>
      </c>
      <c r="L244" s="39">
        <f>IF($A244&gt;NYears*12,"",IF(MOD($D244,3)=0,SUM($J242:$J244),0))</f>
        <v/>
      </c>
      <c r="M244" s="39">
        <f>IF($A244&gt;NYears*12,"",IF(TaxFreq="Quarterly",$K244*12/$D244,$K244))</f>
        <v/>
      </c>
      <c r="N244" s="40">
        <f>IF($A244&gt;NYears*12,"",LOOKUP($M244,TaxLower,TaxRate))</f>
        <v/>
      </c>
      <c r="O244" s="39">
        <f>IF($A244&gt;NYears*12,"",IF(TaxFreq="Quarterly",IF(MOD($D244,3)=0,$L244*$N244,0),IF($D244=12,$K244*$N244,0)))</f>
        <v/>
      </c>
      <c r="P244" s="39">
        <f>IF($A244&gt;NYears*12,"",IF($D244=1,$O244,$P243+$O244))</f>
        <v/>
      </c>
      <c r="Q244" s="39">
        <f>IF($A244&gt;NYears*12,"",IF($D244=12,MIN(WdrPct*IF(WdrBase="Post-tax profit",$K244-$P244,$K244),WdrCap),0))</f>
        <v/>
      </c>
      <c r="R244" s="39">
        <f>IF($A244&gt;NYears*12,"",$F244+$J244-$O244-$Q244)</f>
        <v/>
      </c>
      <c r="S244" s="37">
        <f>IF($A244&gt;NYears*12,"",INT($R244/$E244))</f>
        <v/>
      </c>
    </row>
    <row r="245">
      <c r="A245" s="33">
        <f>241</f>
        <v/>
      </c>
      <c r="B245" s="34">
        <f>IF($A245&gt;NYears*12,"",EDATE(StartMonth,$A245-1))</f>
        <v/>
      </c>
      <c r="C245" s="33">
        <f>IF($A245&gt;NYears*12,"",INT(($A245-1)/12)+1)</f>
        <v/>
      </c>
      <c r="D245" s="33">
        <f>IF($A245&gt;NYears*12,"",MOD($A245-1,12)+1)</f>
        <v/>
      </c>
      <c r="E245" s="35">
        <f>IF($A245&gt;NYears*12,"",LotValue0*(1+LotGrowth)^($C245-1))</f>
        <v/>
      </c>
      <c r="F245" s="35">
        <f>IF($A245&gt;NYears*12,"",IF($A245=1,InitInvest,$R244))</f>
        <v/>
      </c>
      <c r="G245" s="33">
        <f>IF($A245&gt;NYears*12,"",INT($F245/$E245))</f>
        <v/>
      </c>
      <c r="H245" s="35">
        <f>IF($A245&gt;NYears*12,"",$G245*$E245)</f>
        <v/>
      </c>
      <c r="I245" s="35">
        <f>IF($A245&gt;NYears*12,"",$F245-$H245)</f>
        <v/>
      </c>
      <c r="J245" s="35">
        <f>IF($A245&gt;NYears*12,"",$H245*RateB)</f>
        <v/>
      </c>
      <c r="K245" s="35">
        <f>IF($A245&gt;NYears*12,"",IF($D245=1,$J245,$K244+$J245))</f>
        <v/>
      </c>
      <c r="L245" s="35">
        <f>IF($A245&gt;NYears*12,"",IF(MOD($D245,3)=0,SUM($J243:$J245),0))</f>
        <v/>
      </c>
      <c r="M245" s="35">
        <f>IF($A245&gt;NYears*12,"",IF(TaxFreq="Quarterly",$K245*12/$D245,$K245))</f>
        <v/>
      </c>
      <c r="N245" s="36">
        <f>IF($A245&gt;NYears*12,"",LOOKUP($M245,TaxLower,TaxRate))</f>
        <v/>
      </c>
      <c r="O245" s="35">
        <f>IF($A245&gt;NYears*12,"",IF(TaxFreq="Quarterly",IF(MOD($D245,3)=0,$L245*$N245,0),IF($D245=12,$K245*$N245,0)))</f>
        <v/>
      </c>
      <c r="P245" s="35">
        <f>IF($A245&gt;NYears*12,"",IF($D245=1,$O245,$P244+$O245))</f>
        <v/>
      </c>
      <c r="Q245" s="35">
        <f>IF($A245&gt;NYears*12,"",IF($D245=12,MIN(WdrPct*IF(WdrBase="Post-tax profit",$K245-$P245,$K245),WdrCap),0))</f>
        <v/>
      </c>
      <c r="R245" s="35">
        <f>IF($A245&gt;NYears*12,"",$F245+$J245-$O245-$Q245)</f>
        <v/>
      </c>
      <c r="S245" s="33">
        <f>IF($A245&gt;NYears*12,"",INT($R245/$E245))</f>
        <v/>
      </c>
    </row>
    <row r="246">
      <c r="A246" s="33">
        <f>242</f>
        <v/>
      </c>
      <c r="B246" s="34">
        <f>IF($A246&gt;NYears*12,"",EDATE(StartMonth,$A246-1))</f>
        <v/>
      </c>
      <c r="C246" s="33">
        <f>IF($A246&gt;NYears*12,"",INT(($A246-1)/12)+1)</f>
        <v/>
      </c>
      <c r="D246" s="33">
        <f>IF($A246&gt;NYears*12,"",MOD($A246-1,12)+1)</f>
        <v/>
      </c>
      <c r="E246" s="35">
        <f>IF($A246&gt;NYears*12,"",LotValue0*(1+LotGrowth)^($C246-1))</f>
        <v/>
      </c>
      <c r="F246" s="35">
        <f>IF($A246&gt;NYears*12,"",IF($A246=1,InitInvest,$R245))</f>
        <v/>
      </c>
      <c r="G246" s="33">
        <f>IF($A246&gt;NYears*12,"",INT($F246/$E246))</f>
        <v/>
      </c>
      <c r="H246" s="35">
        <f>IF($A246&gt;NYears*12,"",$G246*$E246)</f>
        <v/>
      </c>
      <c r="I246" s="35">
        <f>IF($A246&gt;NYears*12,"",$F246-$H246)</f>
        <v/>
      </c>
      <c r="J246" s="35">
        <f>IF($A246&gt;NYears*12,"",$H246*RateB)</f>
        <v/>
      </c>
      <c r="K246" s="35">
        <f>IF($A246&gt;NYears*12,"",IF($D246=1,$J246,$K245+$J246))</f>
        <v/>
      </c>
      <c r="L246" s="35">
        <f>IF($A246&gt;NYears*12,"",IF(MOD($D246,3)=0,SUM($J244:$J246),0))</f>
        <v/>
      </c>
      <c r="M246" s="35">
        <f>IF($A246&gt;NYears*12,"",IF(TaxFreq="Quarterly",$K246*12/$D246,$K246))</f>
        <v/>
      </c>
      <c r="N246" s="36">
        <f>IF($A246&gt;NYears*12,"",LOOKUP($M246,TaxLower,TaxRate))</f>
        <v/>
      </c>
      <c r="O246" s="35">
        <f>IF($A246&gt;NYears*12,"",IF(TaxFreq="Quarterly",IF(MOD($D246,3)=0,$L246*$N246,0),IF($D246=12,$K246*$N246,0)))</f>
        <v/>
      </c>
      <c r="P246" s="35">
        <f>IF($A246&gt;NYears*12,"",IF($D246=1,$O246,$P245+$O246))</f>
        <v/>
      </c>
      <c r="Q246" s="35">
        <f>IF($A246&gt;NYears*12,"",IF($D246=12,MIN(WdrPct*IF(WdrBase="Post-tax profit",$K246-$P246,$K246),WdrCap),0))</f>
        <v/>
      </c>
      <c r="R246" s="35">
        <f>IF($A246&gt;NYears*12,"",$F246+$J246-$O246-$Q246)</f>
        <v/>
      </c>
      <c r="S246" s="33">
        <f>IF($A246&gt;NYears*12,"",INT($R246/$E246))</f>
        <v/>
      </c>
    </row>
    <row r="247">
      <c r="A247" s="33">
        <f>243</f>
        <v/>
      </c>
      <c r="B247" s="34">
        <f>IF($A247&gt;NYears*12,"",EDATE(StartMonth,$A247-1))</f>
        <v/>
      </c>
      <c r="C247" s="33">
        <f>IF($A247&gt;NYears*12,"",INT(($A247-1)/12)+1)</f>
        <v/>
      </c>
      <c r="D247" s="33">
        <f>IF($A247&gt;NYears*12,"",MOD($A247-1,12)+1)</f>
        <v/>
      </c>
      <c r="E247" s="35">
        <f>IF($A247&gt;NYears*12,"",LotValue0*(1+LotGrowth)^($C247-1))</f>
        <v/>
      </c>
      <c r="F247" s="35">
        <f>IF($A247&gt;NYears*12,"",IF($A247=1,InitInvest,$R246))</f>
        <v/>
      </c>
      <c r="G247" s="33">
        <f>IF($A247&gt;NYears*12,"",INT($F247/$E247))</f>
        <v/>
      </c>
      <c r="H247" s="35">
        <f>IF($A247&gt;NYears*12,"",$G247*$E247)</f>
        <v/>
      </c>
      <c r="I247" s="35">
        <f>IF($A247&gt;NYears*12,"",$F247-$H247)</f>
        <v/>
      </c>
      <c r="J247" s="35">
        <f>IF($A247&gt;NYears*12,"",$H247*RateB)</f>
        <v/>
      </c>
      <c r="K247" s="35">
        <f>IF($A247&gt;NYears*12,"",IF($D247=1,$J247,$K246+$J247))</f>
        <v/>
      </c>
      <c r="L247" s="35">
        <f>IF($A247&gt;NYears*12,"",IF(MOD($D247,3)=0,SUM($J245:$J247),0))</f>
        <v/>
      </c>
      <c r="M247" s="35">
        <f>IF($A247&gt;NYears*12,"",IF(TaxFreq="Quarterly",$K247*12/$D247,$K247))</f>
        <v/>
      </c>
      <c r="N247" s="36">
        <f>IF($A247&gt;NYears*12,"",LOOKUP($M247,TaxLower,TaxRate))</f>
        <v/>
      </c>
      <c r="O247" s="35">
        <f>IF($A247&gt;NYears*12,"",IF(TaxFreq="Quarterly",IF(MOD($D247,3)=0,$L247*$N247,0),IF($D247=12,$K247*$N247,0)))</f>
        <v/>
      </c>
      <c r="P247" s="35">
        <f>IF($A247&gt;NYears*12,"",IF($D247=1,$O247,$P246+$O247))</f>
        <v/>
      </c>
      <c r="Q247" s="35">
        <f>IF($A247&gt;NYears*12,"",IF($D247=12,MIN(WdrPct*IF(WdrBase="Post-tax profit",$K247-$P247,$K247),WdrCap),0))</f>
        <v/>
      </c>
      <c r="R247" s="35">
        <f>IF($A247&gt;NYears*12,"",$F247+$J247-$O247-$Q247)</f>
        <v/>
      </c>
      <c r="S247" s="33">
        <f>IF($A247&gt;NYears*12,"",INT($R247/$E247))</f>
        <v/>
      </c>
    </row>
    <row r="248">
      <c r="A248" s="33">
        <f>244</f>
        <v/>
      </c>
      <c r="B248" s="34">
        <f>IF($A248&gt;NYears*12,"",EDATE(StartMonth,$A248-1))</f>
        <v/>
      </c>
      <c r="C248" s="33">
        <f>IF($A248&gt;NYears*12,"",INT(($A248-1)/12)+1)</f>
        <v/>
      </c>
      <c r="D248" s="33">
        <f>IF($A248&gt;NYears*12,"",MOD($A248-1,12)+1)</f>
        <v/>
      </c>
      <c r="E248" s="35">
        <f>IF($A248&gt;NYears*12,"",LotValue0*(1+LotGrowth)^($C248-1))</f>
        <v/>
      </c>
      <c r="F248" s="35">
        <f>IF($A248&gt;NYears*12,"",IF($A248=1,InitInvest,$R247))</f>
        <v/>
      </c>
      <c r="G248" s="33">
        <f>IF($A248&gt;NYears*12,"",INT($F248/$E248))</f>
        <v/>
      </c>
      <c r="H248" s="35">
        <f>IF($A248&gt;NYears*12,"",$G248*$E248)</f>
        <v/>
      </c>
      <c r="I248" s="35">
        <f>IF($A248&gt;NYears*12,"",$F248-$H248)</f>
        <v/>
      </c>
      <c r="J248" s="35">
        <f>IF($A248&gt;NYears*12,"",$H248*RateB)</f>
        <v/>
      </c>
      <c r="K248" s="35">
        <f>IF($A248&gt;NYears*12,"",IF($D248=1,$J248,$K247+$J248))</f>
        <v/>
      </c>
      <c r="L248" s="35">
        <f>IF($A248&gt;NYears*12,"",IF(MOD($D248,3)=0,SUM($J246:$J248),0))</f>
        <v/>
      </c>
      <c r="M248" s="35">
        <f>IF($A248&gt;NYears*12,"",IF(TaxFreq="Quarterly",$K248*12/$D248,$K248))</f>
        <v/>
      </c>
      <c r="N248" s="36">
        <f>IF($A248&gt;NYears*12,"",LOOKUP($M248,TaxLower,TaxRate))</f>
        <v/>
      </c>
      <c r="O248" s="35">
        <f>IF($A248&gt;NYears*12,"",IF(TaxFreq="Quarterly",IF(MOD($D248,3)=0,$L248*$N248,0),IF($D248=12,$K248*$N248,0)))</f>
        <v/>
      </c>
      <c r="P248" s="35">
        <f>IF($A248&gt;NYears*12,"",IF($D248=1,$O248,$P247+$O248))</f>
        <v/>
      </c>
      <c r="Q248" s="35">
        <f>IF($A248&gt;NYears*12,"",IF($D248=12,MIN(WdrPct*IF(WdrBase="Post-tax profit",$K248-$P248,$K248),WdrCap),0))</f>
        <v/>
      </c>
      <c r="R248" s="35">
        <f>IF($A248&gt;NYears*12,"",$F248+$J248-$O248-$Q248)</f>
        <v/>
      </c>
      <c r="S248" s="33">
        <f>IF($A248&gt;NYears*12,"",INT($R248/$E248))</f>
        <v/>
      </c>
    </row>
    <row r="249">
      <c r="A249" s="33">
        <f>245</f>
        <v/>
      </c>
      <c r="B249" s="34">
        <f>IF($A249&gt;NYears*12,"",EDATE(StartMonth,$A249-1))</f>
        <v/>
      </c>
      <c r="C249" s="33">
        <f>IF($A249&gt;NYears*12,"",INT(($A249-1)/12)+1)</f>
        <v/>
      </c>
      <c r="D249" s="33">
        <f>IF($A249&gt;NYears*12,"",MOD($A249-1,12)+1)</f>
        <v/>
      </c>
      <c r="E249" s="35">
        <f>IF($A249&gt;NYears*12,"",LotValue0*(1+LotGrowth)^($C249-1))</f>
        <v/>
      </c>
      <c r="F249" s="35">
        <f>IF($A249&gt;NYears*12,"",IF($A249=1,InitInvest,$R248))</f>
        <v/>
      </c>
      <c r="G249" s="33">
        <f>IF($A249&gt;NYears*12,"",INT($F249/$E249))</f>
        <v/>
      </c>
      <c r="H249" s="35">
        <f>IF($A249&gt;NYears*12,"",$G249*$E249)</f>
        <v/>
      </c>
      <c r="I249" s="35">
        <f>IF($A249&gt;NYears*12,"",$F249-$H249)</f>
        <v/>
      </c>
      <c r="J249" s="35">
        <f>IF($A249&gt;NYears*12,"",$H249*RateB)</f>
        <v/>
      </c>
      <c r="K249" s="35">
        <f>IF($A249&gt;NYears*12,"",IF($D249=1,$J249,$K248+$J249))</f>
        <v/>
      </c>
      <c r="L249" s="35">
        <f>IF($A249&gt;NYears*12,"",IF(MOD($D249,3)=0,SUM($J247:$J249),0))</f>
        <v/>
      </c>
      <c r="M249" s="35">
        <f>IF($A249&gt;NYears*12,"",IF(TaxFreq="Quarterly",$K249*12/$D249,$K249))</f>
        <v/>
      </c>
      <c r="N249" s="36">
        <f>IF($A249&gt;NYears*12,"",LOOKUP($M249,TaxLower,TaxRate))</f>
        <v/>
      </c>
      <c r="O249" s="35">
        <f>IF($A249&gt;NYears*12,"",IF(TaxFreq="Quarterly",IF(MOD($D249,3)=0,$L249*$N249,0),IF($D249=12,$K249*$N249,0)))</f>
        <v/>
      </c>
      <c r="P249" s="35">
        <f>IF($A249&gt;NYears*12,"",IF($D249=1,$O249,$P248+$O249))</f>
        <v/>
      </c>
      <c r="Q249" s="35">
        <f>IF($A249&gt;NYears*12,"",IF($D249=12,MIN(WdrPct*IF(WdrBase="Post-tax profit",$K249-$P249,$K249),WdrCap),0))</f>
        <v/>
      </c>
      <c r="R249" s="35">
        <f>IF($A249&gt;NYears*12,"",$F249+$J249-$O249-$Q249)</f>
        <v/>
      </c>
      <c r="S249" s="33">
        <f>IF($A249&gt;NYears*12,"",INT($R249/$E249))</f>
        <v/>
      </c>
    </row>
    <row r="250">
      <c r="A250" s="33">
        <f>246</f>
        <v/>
      </c>
      <c r="B250" s="34">
        <f>IF($A250&gt;NYears*12,"",EDATE(StartMonth,$A250-1))</f>
        <v/>
      </c>
      <c r="C250" s="33">
        <f>IF($A250&gt;NYears*12,"",INT(($A250-1)/12)+1)</f>
        <v/>
      </c>
      <c r="D250" s="33">
        <f>IF($A250&gt;NYears*12,"",MOD($A250-1,12)+1)</f>
        <v/>
      </c>
      <c r="E250" s="35">
        <f>IF($A250&gt;NYears*12,"",LotValue0*(1+LotGrowth)^($C250-1))</f>
        <v/>
      </c>
      <c r="F250" s="35">
        <f>IF($A250&gt;NYears*12,"",IF($A250=1,InitInvest,$R249))</f>
        <v/>
      </c>
      <c r="G250" s="33">
        <f>IF($A250&gt;NYears*12,"",INT($F250/$E250))</f>
        <v/>
      </c>
      <c r="H250" s="35">
        <f>IF($A250&gt;NYears*12,"",$G250*$E250)</f>
        <v/>
      </c>
      <c r="I250" s="35">
        <f>IF($A250&gt;NYears*12,"",$F250-$H250)</f>
        <v/>
      </c>
      <c r="J250" s="35">
        <f>IF($A250&gt;NYears*12,"",$H250*RateB)</f>
        <v/>
      </c>
      <c r="K250" s="35">
        <f>IF($A250&gt;NYears*12,"",IF($D250=1,$J250,$K249+$J250))</f>
        <v/>
      </c>
      <c r="L250" s="35">
        <f>IF($A250&gt;NYears*12,"",IF(MOD($D250,3)=0,SUM($J248:$J250),0))</f>
        <v/>
      </c>
      <c r="M250" s="35">
        <f>IF($A250&gt;NYears*12,"",IF(TaxFreq="Quarterly",$K250*12/$D250,$K250))</f>
        <v/>
      </c>
      <c r="N250" s="36">
        <f>IF($A250&gt;NYears*12,"",LOOKUP($M250,TaxLower,TaxRate))</f>
        <v/>
      </c>
      <c r="O250" s="35">
        <f>IF($A250&gt;NYears*12,"",IF(TaxFreq="Quarterly",IF(MOD($D250,3)=0,$L250*$N250,0),IF($D250=12,$K250*$N250,0)))</f>
        <v/>
      </c>
      <c r="P250" s="35">
        <f>IF($A250&gt;NYears*12,"",IF($D250=1,$O250,$P249+$O250))</f>
        <v/>
      </c>
      <c r="Q250" s="35">
        <f>IF($A250&gt;NYears*12,"",IF($D250=12,MIN(WdrPct*IF(WdrBase="Post-tax profit",$K250-$P250,$K250),WdrCap),0))</f>
        <v/>
      </c>
      <c r="R250" s="35">
        <f>IF($A250&gt;NYears*12,"",$F250+$J250-$O250-$Q250)</f>
        <v/>
      </c>
      <c r="S250" s="33">
        <f>IF($A250&gt;NYears*12,"",INT($R250/$E250))</f>
        <v/>
      </c>
    </row>
    <row r="251">
      <c r="A251" s="33">
        <f>247</f>
        <v/>
      </c>
      <c r="B251" s="34">
        <f>IF($A251&gt;NYears*12,"",EDATE(StartMonth,$A251-1))</f>
        <v/>
      </c>
      <c r="C251" s="33">
        <f>IF($A251&gt;NYears*12,"",INT(($A251-1)/12)+1)</f>
        <v/>
      </c>
      <c r="D251" s="33">
        <f>IF($A251&gt;NYears*12,"",MOD($A251-1,12)+1)</f>
        <v/>
      </c>
      <c r="E251" s="35">
        <f>IF($A251&gt;NYears*12,"",LotValue0*(1+LotGrowth)^($C251-1))</f>
        <v/>
      </c>
      <c r="F251" s="35">
        <f>IF($A251&gt;NYears*12,"",IF($A251=1,InitInvest,$R250))</f>
        <v/>
      </c>
      <c r="G251" s="33">
        <f>IF($A251&gt;NYears*12,"",INT($F251/$E251))</f>
        <v/>
      </c>
      <c r="H251" s="35">
        <f>IF($A251&gt;NYears*12,"",$G251*$E251)</f>
        <v/>
      </c>
      <c r="I251" s="35">
        <f>IF($A251&gt;NYears*12,"",$F251-$H251)</f>
        <v/>
      </c>
      <c r="J251" s="35">
        <f>IF($A251&gt;NYears*12,"",$H251*RateB)</f>
        <v/>
      </c>
      <c r="K251" s="35">
        <f>IF($A251&gt;NYears*12,"",IF($D251=1,$J251,$K250+$J251))</f>
        <v/>
      </c>
      <c r="L251" s="35">
        <f>IF($A251&gt;NYears*12,"",IF(MOD($D251,3)=0,SUM($J249:$J251),0))</f>
        <v/>
      </c>
      <c r="M251" s="35">
        <f>IF($A251&gt;NYears*12,"",IF(TaxFreq="Quarterly",$K251*12/$D251,$K251))</f>
        <v/>
      </c>
      <c r="N251" s="36">
        <f>IF($A251&gt;NYears*12,"",LOOKUP($M251,TaxLower,TaxRate))</f>
        <v/>
      </c>
      <c r="O251" s="35">
        <f>IF($A251&gt;NYears*12,"",IF(TaxFreq="Quarterly",IF(MOD($D251,3)=0,$L251*$N251,0),IF($D251=12,$K251*$N251,0)))</f>
        <v/>
      </c>
      <c r="P251" s="35">
        <f>IF($A251&gt;NYears*12,"",IF($D251=1,$O251,$P250+$O251))</f>
        <v/>
      </c>
      <c r="Q251" s="35">
        <f>IF($A251&gt;NYears*12,"",IF($D251=12,MIN(WdrPct*IF(WdrBase="Post-tax profit",$K251-$P251,$K251),WdrCap),0))</f>
        <v/>
      </c>
      <c r="R251" s="35">
        <f>IF($A251&gt;NYears*12,"",$F251+$J251-$O251-$Q251)</f>
        <v/>
      </c>
      <c r="S251" s="33">
        <f>IF($A251&gt;NYears*12,"",INT($R251/$E251))</f>
        <v/>
      </c>
    </row>
    <row r="252">
      <c r="A252" s="33">
        <f>248</f>
        <v/>
      </c>
      <c r="B252" s="34">
        <f>IF($A252&gt;NYears*12,"",EDATE(StartMonth,$A252-1))</f>
        <v/>
      </c>
      <c r="C252" s="33">
        <f>IF($A252&gt;NYears*12,"",INT(($A252-1)/12)+1)</f>
        <v/>
      </c>
      <c r="D252" s="33">
        <f>IF($A252&gt;NYears*12,"",MOD($A252-1,12)+1)</f>
        <v/>
      </c>
      <c r="E252" s="35">
        <f>IF($A252&gt;NYears*12,"",LotValue0*(1+LotGrowth)^($C252-1))</f>
        <v/>
      </c>
      <c r="F252" s="35">
        <f>IF($A252&gt;NYears*12,"",IF($A252=1,InitInvest,$R251))</f>
        <v/>
      </c>
      <c r="G252" s="33">
        <f>IF($A252&gt;NYears*12,"",INT($F252/$E252))</f>
        <v/>
      </c>
      <c r="H252" s="35">
        <f>IF($A252&gt;NYears*12,"",$G252*$E252)</f>
        <v/>
      </c>
      <c r="I252" s="35">
        <f>IF($A252&gt;NYears*12,"",$F252-$H252)</f>
        <v/>
      </c>
      <c r="J252" s="35">
        <f>IF($A252&gt;NYears*12,"",$H252*RateB)</f>
        <v/>
      </c>
      <c r="K252" s="35">
        <f>IF($A252&gt;NYears*12,"",IF($D252=1,$J252,$K251+$J252))</f>
        <v/>
      </c>
      <c r="L252" s="35">
        <f>IF($A252&gt;NYears*12,"",IF(MOD($D252,3)=0,SUM($J250:$J252),0))</f>
        <v/>
      </c>
      <c r="M252" s="35">
        <f>IF($A252&gt;NYears*12,"",IF(TaxFreq="Quarterly",$K252*12/$D252,$K252))</f>
        <v/>
      </c>
      <c r="N252" s="36">
        <f>IF($A252&gt;NYears*12,"",LOOKUP($M252,TaxLower,TaxRate))</f>
        <v/>
      </c>
      <c r="O252" s="35">
        <f>IF($A252&gt;NYears*12,"",IF(TaxFreq="Quarterly",IF(MOD($D252,3)=0,$L252*$N252,0),IF($D252=12,$K252*$N252,0)))</f>
        <v/>
      </c>
      <c r="P252" s="35">
        <f>IF($A252&gt;NYears*12,"",IF($D252=1,$O252,$P251+$O252))</f>
        <v/>
      </c>
      <c r="Q252" s="35">
        <f>IF($A252&gt;NYears*12,"",IF($D252=12,MIN(WdrPct*IF(WdrBase="Post-tax profit",$K252-$P252,$K252),WdrCap),0))</f>
        <v/>
      </c>
      <c r="R252" s="35">
        <f>IF($A252&gt;NYears*12,"",$F252+$J252-$O252-$Q252)</f>
        <v/>
      </c>
      <c r="S252" s="33">
        <f>IF($A252&gt;NYears*12,"",INT($R252/$E252))</f>
        <v/>
      </c>
    </row>
    <row r="253">
      <c r="A253" s="33">
        <f>249</f>
        <v/>
      </c>
      <c r="B253" s="34">
        <f>IF($A253&gt;NYears*12,"",EDATE(StartMonth,$A253-1))</f>
        <v/>
      </c>
      <c r="C253" s="33">
        <f>IF($A253&gt;NYears*12,"",INT(($A253-1)/12)+1)</f>
        <v/>
      </c>
      <c r="D253" s="33">
        <f>IF($A253&gt;NYears*12,"",MOD($A253-1,12)+1)</f>
        <v/>
      </c>
      <c r="E253" s="35">
        <f>IF($A253&gt;NYears*12,"",LotValue0*(1+LotGrowth)^($C253-1))</f>
        <v/>
      </c>
      <c r="F253" s="35">
        <f>IF($A253&gt;NYears*12,"",IF($A253=1,InitInvest,$R252))</f>
        <v/>
      </c>
      <c r="G253" s="33">
        <f>IF($A253&gt;NYears*12,"",INT($F253/$E253))</f>
        <v/>
      </c>
      <c r="H253" s="35">
        <f>IF($A253&gt;NYears*12,"",$G253*$E253)</f>
        <v/>
      </c>
      <c r="I253" s="35">
        <f>IF($A253&gt;NYears*12,"",$F253-$H253)</f>
        <v/>
      </c>
      <c r="J253" s="35">
        <f>IF($A253&gt;NYears*12,"",$H253*RateB)</f>
        <v/>
      </c>
      <c r="K253" s="35">
        <f>IF($A253&gt;NYears*12,"",IF($D253=1,$J253,$K252+$J253))</f>
        <v/>
      </c>
      <c r="L253" s="35">
        <f>IF($A253&gt;NYears*12,"",IF(MOD($D253,3)=0,SUM($J251:$J253),0))</f>
        <v/>
      </c>
      <c r="M253" s="35">
        <f>IF($A253&gt;NYears*12,"",IF(TaxFreq="Quarterly",$K253*12/$D253,$K253))</f>
        <v/>
      </c>
      <c r="N253" s="36">
        <f>IF($A253&gt;NYears*12,"",LOOKUP($M253,TaxLower,TaxRate))</f>
        <v/>
      </c>
      <c r="O253" s="35">
        <f>IF($A253&gt;NYears*12,"",IF(TaxFreq="Quarterly",IF(MOD($D253,3)=0,$L253*$N253,0),IF($D253=12,$K253*$N253,0)))</f>
        <v/>
      </c>
      <c r="P253" s="35">
        <f>IF($A253&gt;NYears*12,"",IF($D253=1,$O253,$P252+$O253))</f>
        <v/>
      </c>
      <c r="Q253" s="35">
        <f>IF($A253&gt;NYears*12,"",IF($D253=12,MIN(WdrPct*IF(WdrBase="Post-tax profit",$K253-$P253,$K253),WdrCap),0))</f>
        <v/>
      </c>
      <c r="R253" s="35">
        <f>IF($A253&gt;NYears*12,"",$F253+$J253-$O253-$Q253)</f>
        <v/>
      </c>
      <c r="S253" s="33">
        <f>IF($A253&gt;NYears*12,"",INT($R253/$E253))</f>
        <v/>
      </c>
    </row>
    <row r="254">
      <c r="A254" s="33">
        <f>250</f>
        <v/>
      </c>
      <c r="B254" s="34">
        <f>IF($A254&gt;NYears*12,"",EDATE(StartMonth,$A254-1))</f>
        <v/>
      </c>
      <c r="C254" s="33">
        <f>IF($A254&gt;NYears*12,"",INT(($A254-1)/12)+1)</f>
        <v/>
      </c>
      <c r="D254" s="33">
        <f>IF($A254&gt;NYears*12,"",MOD($A254-1,12)+1)</f>
        <v/>
      </c>
      <c r="E254" s="35">
        <f>IF($A254&gt;NYears*12,"",LotValue0*(1+LotGrowth)^($C254-1))</f>
        <v/>
      </c>
      <c r="F254" s="35">
        <f>IF($A254&gt;NYears*12,"",IF($A254=1,InitInvest,$R253))</f>
        <v/>
      </c>
      <c r="G254" s="33">
        <f>IF($A254&gt;NYears*12,"",INT($F254/$E254))</f>
        <v/>
      </c>
      <c r="H254" s="35">
        <f>IF($A254&gt;NYears*12,"",$G254*$E254)</f>
        <v/>
      </c>
      <c r="I254" s="35">
        <f>IF($A254&gt;NYears*12,"",$F254-$H254)</f>
        <v/>
      </c>
      <c r="J254" s="35">
        <f>IF($A254&gt;NYears*12,"",$H254*RateB)</f>
        <v/>
      </c>
      <c r="K254" s="35">
        <f>IF($A254&gt;NYears*12,"",IF($D254=1,$J254,$K253+$J254))</f>
        <v/>
      </c>
      <c r="L254" s="35">
        <f>IF($A254&gt;NYears*12,"",IF(MOD($D254,3)=0,SUM($J252:$J254),0))</f>
        <v/>
      </c>
      <c r="M254" s="35">
        <f>IF($A254&gt;NYears*12,"",IF(TaxFreq="Quarterly",$K254*12/$D254,$K254))</f>
        <v/>
      </c>
      <c r="N254" s="36">
        <f>IF($A254&gt;NYears*12,"",LOOKUP($M254,TaxLower,TaxRate))</f>
        <v/>
      </c>
      <c r="O254" s="35">
        <f>IF($A254&gt;NYears*12,"",IF(TaxFreq="Quarterly",IF(MOD($D254,3)=0,$L254*$N254,0),IF($D254=12,$K254*$N254,0)))</f>
        <v/>
      </c>
      <c r="P254" s="35">
        <f>IF($A254&gt;NYears*12,"",IF($D254=1,$O254,$P253+$O254))</f>
        <v/>
      </c>
      <c r="Q254" s="35">
        <f>IF($A254&gt;NYears*12,"",IF($D254=12,MIN(WdrPct*IF(WdrBase="Post-tax profit",$K254-$P254,$K254),WdrCap),0))</f>
        <v/>
      </c>
      <c r="R254" s="35">
        <f>IF($A254&gt;NYears*12,"",$F254+$J254-$O254-$Q254)</f>
        <v/>
      </c>
      <c r="S254" s="33">
        <f>IF($A254&gt;NYears*12,"",INT($R254/$E254))</f>
        <v/>
      </c>
    </row>
    <row r="255">
      <c r="A255" s="33">
        <f>251</f>
        <v/>
      </c>
      <c r="B255" s="34">
        <f>IF($A255&gt;NYears*12,"",EDATE(StartMonth,$A255-1))</f>
        <v/>
      </c>
      <c r="C255" s="33">
        <f>IF($A255&gt;NYears*12,"",INT(($A255-1)/12)+1)</f>
        <v/>
      </c>
      <c r="D255" s="33">
        <f>IF($A255&gt;NYears*12,"",MOD($A255-1,12)+1)</f>
        <v/>
      </c>
      <c r="E255" s="35">
        <f>IF($A255&gt;NYears*12,"",LotValue0*(1+LotGrowth)^($C255-1))</f>
        <v/>
      </c>
      <c r="F255" s="35">
        <f>IF($A255&gt;NYears*12,"",IF($A255=1,InitInvest,$R254))</f>
        <v/>
      </c>
      <c r="G255" s="33">
        <f>IF($A255&gt;NYears*12,"",INT($F255/$E255))</f>
        <v/>
      </c>
      <c r="H255" s="35">
        <f>IF($A255&gt;NYears*12,"",$G255*$E255)</f>
        <v/>
      </c>
      <c r="I255" s="35">
        <f>IF($A255&gt;NYears*12,"",$F255-$H255)</f>
        <v/>
      </c>
      <c r="J255" s="35">
        <f>IF($A255&gt;NYears*12,"",$H255*RateB)</f>
        <v/>
      </c>
      <c r="K255" s="35">
        <f>IF($A255&gt;NYears*12,"",IF($D255=1,$J255,$K254+$J255))</f>
        <v/>
      </c>
      <c r="L255" s="35">
        <f>IF($A255&gt;NYears*12,"",IF(MOD($D255,3)=0,SUM($J253:$J255),0))</f>
        <v/>
      </c>
      <c r="M255" s="35">
        <f>IF($A255&gt;NYears*12,"",IF(TaxFreq="Quarterly",$K255*12/$D255,$K255))</f>
        <v/>
      </c>
      <c r="N255" s="36">
        <f>IF($A255&gt;NYears*12,"",LOOKUP($M255,TaxLower,TaxRate))</f>
        <v/>
      </c>
      <c r="O255" s="35">
        <f>IF($A255&gt;NYears*12,"",IF(TaxFreq="Quarterly",IF(MOD($D255,3)=0,$L255*$N255,0),IF($D255=12,$K255*$N255,0)))</f>
        <v/>
      </c>
      <c r="P255" s="35">
        <f>IF($A255&gt;NYears*12,"",IF($D255=1,$O255,$P254+$O255))</f>
        <v/>
      </c>
      <c r="Q255" s="35">
        <f>IF($A255&gt;NYears*12,"",IF($D255=12,MIN(WdrPct*IF(WdrBase="Post-tax profit",$K255-$P255,$K255),WdrCap),0))</f>
        <v/>
      </c>
      <c r="R255" s="35">
        <f>IF($A255&gt;NYears*12,"",$F255+$J255-$O255-$Q255)</f>
        <v/>
      </c>
      <c r="S255" s="33">
        <f>IF($A255&gt;NYears*12,"",INT($R255/$E255))</f>
        <v/>
      </c>
    </row>
    <row r="256">
      <c r="A256" s="37">
        <f>252</f>
        <v/>
      </c>
      <c r="B256" s="38">
        <f>IF($A256&gt;NYears*12,"",EDATE(StartMonth,$A256-1))</f>
        <v/>
      </c>
      <c r="C256" s="37">
        <f>IF($A256&gt;NYears*12,"",INT(($A256-1)/12)+1)</f>
        <v/>
      </c>
      <c r="D256" s="37">
        <f>IF($A256&gt;NYears*12,"",MOD($A256-1,12)+1)</f>
        <v/>
      </c>
      <c r="E256" s="39">
        <f>IF($A256&gt;NYears*12,"",LotValue0*(1+LotGrowth)^($C256-1))</f>
        <v/>
      </c>
      <c r="F256" s="39">
        <f>IF($A256&gt;NYears*12,"",IF($A256=1,InitInvest,$R255))</f>
        <v/>
      </c>
      <c r="G256" s="37">
        <f>IF($A256&gt;NYears*12,"",INT($F256/$E256))</f>
        <v/>
      </c>
      <c r="H256" s="39">
        <f>IF($A256&gt;NYears*12,"",$G256*$E256)</f>
        <v/>
      </c>
      <c r="I256" s="39">
        <f>IF($A256&gt;NYears*12,"",$F256-$H256)</f>
        <v/>
      </c>
      <c r="J256" s="39">
        <f>IF($A256&gt;NYears*12,"",$H256*RateB)</f>
        <v/>
      </c>
      <c r="K256" s="39">
        <f>IF($A256&gt;NYears*12,"",IF($D256=1,$J256,$K255+$J256))</f>
        <v/>
      </c>
      <c r="L256" s="39">
        <f>IF($A256&gt;NYears*12,"",IF(MOD($D256,3)=0,SUM($J254:$J256),0))</f>
        <v/>
      </c>
      <c r="M256" s="39">
        <f>IF($A256&gt;NYears*12,"",IF(TaxFreq="Quarterly",$K256*12/$D256,$K256))</f>
        <v/>
      </c>
      <c r="N256" s="40">
        <f>IF($A256&gt;NYears*12,"",LOOKUP($M256,TaxLower,TaxRate))</f>
        <v/>
      </c>
      <c r="O256" s="39">
        <f>IF($A256&gt;NYears*12,"",IF(TaxFreq="Quarterly",IF(MOD($D256,3)=0,$L256*$N256,0),IF($D256=12,$K256*$N256,0)))</f>
        <v/>
      </c>
      <c r="P256" s="39">
        <f>IF($A256&gt;NYears*12,"",IF($D256=1,$O256,$P255+$O256))</f>
        <v/>
      </c>
      <c r="Q256" s="39">
        <f>IF($A256&gt;NYears*12,"",IF($D256=12,MIN(WdrPct*IF(WdrBase="Post-tax profit",$K256-$P256,$K256),WdrCap),0))</f>
        <v/>
      </c>
      <c r="R256" s="39">
        <f>IF($A256&gt;NYears*12,"",$F256+$J256-$O256-$Q256)</f>
        <v/>
      </c>
      <c r="S256" s="37">
        <f>IF($A256&gt;NYears*12,"",INT($R256/$E256))</f>
        <v/>
      </c>
    </row>
    <row r="257">
      <c r="A257" s="33">
        <f>253</f>
        <v/>
      </c>
      <c r="B257" s="34">
        <f>IF($A257&gt;NYears*12,"",EDATE(StartMonth,$A257-1))</f>
        <v/>
      </c>
      <c r="C257" s="33">
        <f>IF($A257&gt;NYears*12,"",INT(($A257-1)/12)+1)</f>
        <v/>
      </c>
      <c r="D257" s="33">
        <f>IF($A257&gt;NYears*12,"",MOD($A257-1,12)+1)</f>
        <v/>
      </c>
      <c r="E257" s="35">
        <f>IF($A257&gt;NYears*12,"",LotValue0*(1+LotGrowth)^($C257-1))</f>
        <v/>
      </c>
      <c r="F257" s="35">
        <f>IF($A257&gt;NYears*12,"",IF($A257=1,InitInvest,$R256))</f>
        <v/>
      </c>
      <c r="G257" s="33">
        <f>IF($A257&gt;NYears*12,"",INT($F257/$E257))</f>
        <v/>
      </c>
      <c r="H257" s="35">
        <f>IF($A257&gt;NYears*12,"",$G257*$E257)</f>
        <v/>
      </c>
      <c r="I257" s="35">
        <f>IF($A257&gt;NYears*12,"",$F257-$H257)</f>
        <v/>
      </c>
      <c r="J257" s="35">
        <f>IF($A257&gt;NYears*12,"",$H257*RateB)</f>
        <v/>
      </c>
      <c r="K257" s="35">
        <f>IF($A257&gt;NYears*12,"",IF($D257=1,$J257,$K256+$J257))</f>
        <v/>
      </c>
      <c r="L257" s="35">
        <f>IF($A257&gt;NYears*12,"",IF(MOD($D257,3)=0,SUM($J255:$J257),0))</f>
        <v/>
      </c>
      <c r="M257" s="35">
        <f>IF($A257&gt;NYears*12,"",IF(TaxFreq="Quarterly",$K257*12/$D257,$K257))</f>
        <v/>
      </c>
      <c r="N257" s="36">
        <f>IF($A257&gt;NYears*12,"",LOOKUP($M257,TaxLower,TaxRate))</f>
        <v/>
      </c>
      <c r="O257" s="35">
        <f>IF($A257&gt;NYears*12,"",IF(TaxFreq="Quarterly",IF(MOD($D257,3)=0,$L257*$N257,0),IF($D257=12,$K257*$N257,0)))</f>
        <v/>
      </c>
      <c r="P257" s="35">
        <f>IF($A257&gt;NYears*12,"",IF($D257=1,$O257,$P256+$O257))</f>
        <v/>
      </c>
      <c r="Q257" s="35">
        <f>IF($A257&gt;NYears*12,"",IF($D257=12,MIN(WdrPct*IF(WdrBase="Post-tax profit",$K257-$P257,$K257),WdrCap),0))</f>
        <v/>
      </c>
      <c r="R257" s="35">
        <f>IF($A257&gt;NYears*12,"",$F257+$J257-$O257-$Q257)</f>
        <v/>
      </c>
      <c r="S257" s="33">
        <f>IF($A257&gt;NYears*12,"",INT($R257/$E257))</f>
        <v/>
      </c>
    </row>
    <row r="258">
      <c r="A258" s="33">
        <f>254</f>
        <v/>
      </c>
      <c r="B258" s="34">
        <f>IF($A258&gt;NYears*12,"",EDATE(StartMonth,$A258-1))</f>
        <v/>
      </c>
      <c r="C258" s="33">
        <f>IF($A258&gt;NYears*12,"",INT(($A258-1)/12)+1)</f>
        <v/>
      </c>
      <c r="D258" s="33">
        <f>IF($A258&gt;NYears*12,"",MOD($A258-1,12)+1)</f>
        <v/>
      </c>
      <c r="E258" s="35">
        <f>IF($A258&gt;NYears*12,"",LotValue0*(1+LotGrowth)^($C258-1))</f>
        <v/>
      </c>
      <c r="F258" s="35">
        <f>IF($A258&gt;NYears*12,"",IF($A258=1,InitInvest,$R257))</f>
        <v/>
      </c>
      <c r="G258" s="33">
        <f>IF($A258&gt;NYears*12,"",INT($F258/$E258))</f>
        <v/>
      </c>
      <c r="H258" s="35">
        <f>IF($A258&gt;NYears*12,"",$G258*$E258)</f>
        <v/>
      </c>
      <c r="I258" s="35">
        <f>IF($A258&gt;NYears*12,"",$F258-$H258)</f>
        <v/>
      </c>
      <c r="J258" s="35">
        <f>IF($A258&gt;NYears*12,"",$H258*RateB)</f>
        <v/>
      </c>
      <c r="K258" s="35">
        <f>IF($A258&gt;NYears*12,"",IF($D258=1,$J258,$K257+$J258))</f>
        <v/>
      </c>
      <c r="L258" s="35">
        <f>IF($A258&gt;NYears*12,"",IF(MOD($D258,3)=0,SUM($J256:$J258),0))</f>
        <v/>
      </c>
      <c r="M258" s="35">
        <f>IF($A258&gt;NYears*12,"",IF(TaxFreq="Quarterly",$K258*12/$D258,$K258))</f>
        <v/>
      </c>
      <c r="N258" s="36">
        <f>IF($A258&gt;NYears*12,"",LOOKUP($M258,TaxLower,TaxRate))</f>
        <v/>
      </c>
      <c r="O258" s="35">
        <f>IF($A258&gt;NYears*12,"",IF(TaxFreq="Quarterly",IF(MOD($D258,3)=0,$L258*$N258,0),IF($D258=12,$K258*$N258,0)))</f>
        <v/>
      </c>
      <c r="P258" s="35">
        <f>IF($A258&gt;NYears*12,"",IF($D258=1,$O258,$P257+$O258))</f>
        <v/>
      </c>
      <c r="Q258" s="35">
        <f>IF($A258&gt;NYears*12,"",IF($D258=12,MIN(WdrPct*IF(WdrBase="Post-tax profit",$K258-$P258,$K258),WdrCap),0))</f>
        <v/>
      </c>
      <c r="R258" s="35">
        <f>IF($A258&gt;NYears*12,"",$F258+$J258-$O258-$Q258)</f>
        <v/>
      </c>
      <c r="S258" s="33">
        <f>IF($A258&gt;NYears*12,"",INT($R258/$E258))</f>
        <v/>
      </c>
    </row>
    <row r="259">
      <c r="A259" s="33">
        <f>255</f>
        <v/>
      </c>
      <c r="B259" s="34">
        <f>IF($A259&gt;NYears*12,"",EDATE(StartMonth,$A259-1))</f>
        <v/>
      </c>
      <c r="C259" s="33">
        <f>IF($A259&gt;NYears*12,"",INT(($A259-1)/12)+1)</f>
        <v/>
      </c>
      <c r="D259" s="33">
        <f>IF($A259&gt;NYears*12,"",MOD($A259-1,12)+1)</f>
        <v/>
      </c>
      <c r="E259" s="35">
        <f>IF($A259&gt;NYears*12,"",LotValue0*(1+LotGrowth)^($C259-1))</f>
        <v/>
      </c>
      <c r="F259" s="35">
        <f>IF($A259&gt;NYears*12,"",IF($A259=1,InitInvest,$R258))</f>
        <v/>
      </c>
      <c r="G259" s="33">
        <f>IF($A259&gt;NYears*12,"",INT($F259/$E259))</f>
        <v/>
      </c>
      <c r="H259" s="35">
        <f>IF($A259&gt;NYears*12,"",$G259*$E259)</f>
        <v/>
      </c>
      <c r="I259" s="35">
        <f>IF($A259&gt;NYears*12,"",$F259-$H259)</f>
        <v/>
      </c>
      <c r="J259" s="35">
        <f>IF($A259&gt;NYears*12,"",$H259*RateB)</f>
        <v/>
      </c>
      <c r="K259" s="35">
        <f>IF($A259&gt;NYears*12,"",IF($D259=1,$J259,$K258+$J259))</f>
        <v/>
      </c>
      <c r="L259" s="35">
        <f>IF($A259&gt;NYears*12,"",IF(MOD($D259,3)=0,SUM($J257:$J259),0))</f>
        <v/>
      </c>
      <c r="M259" s="35">
        <f>IF($A259&gt;NYears*12,"",IF(TaxFreq="Quarterly",$K259*12/$D259,$K259))</f>
        <v/>
      </c>
      <c r="N259" s="36">
        <f>IF($A259&gt;NYears*12,"",LOOKUP($M259,TaxLower,TaxRate))</f>
        <v/>
      </c>
      <c r="O259" s="35">
        <f>IF($A259&gt;NYears*12,"",IF(TaxFreq="Quarterly",IF(MOD($D259,3)=0,$L259*$N259,0),IF($D259=12,$K259*$N259,0)))</f>
        <v/>
      </c>
      <c r="P259" s="35">
        <f>IF($A259&gt;NYears*12,"",IF($D259=1,$O259,$P258+$O259))</f>
        <v/>
      </c>
      <c r="Q259" s="35">
        <f>IF($A259&gt;NYears*12,"",IF($D259=12,MIN(WdrPct*IF(WdrBase="Post-tax profit",$K259-$P259,$K259),WdrCap),0))</f>
        <v/>
      </c>
      <c r="R259" s="35">
        <f>IF($A259&gt;NYears*12,"",$F259+$J259-$O259-$Q259)</f>
        <v/>
      </c>
      <c r="S259" s="33">
        <f>IF($A259&gt;NYears*12,"",INT($R259/$E259))</f>
        <v/>
      </c>
    </row>
    <row r="260">
      <c r="A260" s="33">
        <f>256</f>
        <v/>
      </c>
      <c r="B260" s="34">
        <f>IF($A260&gt;NYears*12,"",EDATE(StartMonth,$A260-1))</f>
        <v/>
      </c>
      <c r="C260" s="33">
        <f>IF($A260&gt;NYears*12,"",INT(($A260-1)/12)+1)</f>
        <v/>
      </c>
      <c r="D260" s="33">
        <f>IF($A260&gt;NYears*12,"",MOD($A260-1,12)+1)</f>
        <v/>
      </c>
      <c r="E260" s="35">
        <f>IF($A260&gt;NYears*12,"",LotValue0*(1+LotGrowth)^($C260-1))</f>
        <v/>
      </c>
      <c r="F260" s="35">
        <f>IF($A260&gt;NYears*12,"",IF($A260=1,InitInvest,$R259))</f>
        <v/>
      </c>
      <c r="G260" s="33">
        <f>IF($A260&gt;NYears*12,"",INT($F260/$E260))</f>
        <v/>
      </c>
      <c r="H260" s="35">
        <f>IF($A260&gt;NYears*12,"",$G260*$E260)</f>
        <v/>
      </c>
      <c r="I260" s="35">
        <f>IF($A260&gt;NYears*12,"",$F260-$H260)</f>
        <v/>
      </c>
      <c r="J260" s="35">
        <f>IF($A260&gt;NYears*12,"",$H260*RateB)</f>
        <v/>
      </c>
      <c r="K260" s="35">
        <f>IF($A260&gt;NYears*12,"",IF($D260=1,$J260,$K259+$J260))</f>
        <v/>
      </c>
      <c r="L260" s="35">
        <f>IF($A260&gt;NYears*12,"",IF(MOD($D260,3)=0,SUM($J258:$J260),0))</f>
        <v/>
      </c>
      <c r="M260" s="35">
        <f>IF($A260&gt;NYears*12,"",IF(TaxFreq="Quarterly",$K260*12/$D260,$K260))</f>
        <v/>
      </c>
      <c r="N260" s="36">
        <f>IF($A260&gt;NYears*12,"",LOOKUP($M260,TaxLower,TaxRate))</f>
        <v/>
      </c>
      <c r="O260" s="35">
        <f>IF($A260&gt;NYears*12,"",IF(TaxFreq="Quarterly",IF(MOD($D260,3)=0,$L260*$N260,0),IF($D260=12,$K260*$N260,0)))</f>
        <v/>
      </c>
      <c r="P260" s="35">
        <f>IF($A260&gt;NYears*12,"",IF($D260=1,$O260,$P259+$O260))</f>
        <v/>
      </c>
      <c r="Q260" s="35">
        <f>IF($A260&gt;NYears*12,"",IF($D260=12,MIN(WdrPct*IF(WdrBase="Post-tax profit",$K260-$P260,$K260),WdrCap),0))</f>
        <v/>
      </c>
      <c r="R260" s="35">
        <f>IF($A260&gt;NYears*12,"",$F260+$J260-$O260-$Q260)</f>
        <v/>
      </c>
      <c r="S260" s="33">
        <f>IF($A260&gt;NYears*12,"",INT($R260/$E260))</f>
        <v/>
      </c>
    </row>
    <row r="261">
      <c r="A261" s="33">
        <f>257</f>
        <v/>
      </c>
      <c r="B261" s="34">
        <f>IF($A261&gt;NYears*12,"",EDATE(StartMonth,$A261-1))</f>
        <v/>
      </c>
      <c r="C261" s="33">
        <f>IF($A261&gt;NYears*12,"",INT(($A261-1)/12)+1)</f>
        <v/>
      </c>
      <c r="D261" s="33">
        <f>IF($A261&gt;NYears*12,"",MOD($A261-1,12)+1)</f>
        <v/>
      </c>
      <c r="E261" s="35">
        <f>IF($A261&gt;NYears*12,"",LotValue0*(1+LotGrowth)^($C261-1))</f>
        <v/>
      </c>
      <c r="F261" s="35">
        <f>IF($A261&gt;NYears*12,"",IF($A261=1,InitInvest,$R260))</f>
        <v/>
      </c>
      <c r="G261" s="33">
        <f>IF($A261&gt;NYears*12,"",INT($F261/$E261))</f>
        <v/>
      </c>
      <c r="H261" s="35">
        <f>IF($A261&gt;NYears*12,"",$G261*$E261)</f>
        <v/>
      </c>
      <c r="I261" s="35">
        <f>IF($A261&gt;NYears*12,"",$F261-$H261)</f>
        <v/>
      </c>
      <c r="J261" s="35">
        <f>IF($A261&gt;NYears*12,"",$H261*RateB)</f>
        <v/>
      </c>
      <c r="K261" s="35">
        <f>IF($A261&gt;NYears*12,"",IF($D261=1,$J261,$K260+$J261))</f>
        <v/>
      </c>
      <c r="L261" s="35">
        <f>IF($A261&gt;NYears*12,"",IF(MOD($D261,3)=0,SUM($J259:$J261),0))</f>
        <v/>
      </c>
      <c r="M261" s="35">
        <f>IF($A261&gt;NYears*12,"",IF(TaxFreq="Quarterly",$K261*12/$D261,$K261))</f>
        <v/>
      </c>
      <c r="N261" s="36">
        <f>IF($A261&gt;NYears*12,"",LOOKUP($M261,TaxLower,TaxRate))</f>
        <v/>
      </c>
      <c r="O261" s="35">
        <f>IF($A261&gt;NYears*12,"",IF(TaxFreq="Quarterly",IF(MOD($D261,3)=0,$L261*$N261,0),IF($D261=12,$K261*$N261,0)))</f>
        <v/>
      </c>
      <c r="P261" s="35">
        <f>IF($A261&gt;NYears*12,"",IF($D261=1,$O261,$P260+$O261))</f>
        <v/>
      </c>
      <c r="Q261" s="35">
        <f>IF($A261&gt;NYears*12,"",IF($D261=12,MIN(WdrPct*IF(WdrBase="Post-tax profit",$K261-$P261,$K261),WdrCap),0))</f>
        <v/>
      </c>
      <c r="R261" s="35">
        <f>IF($A261&gt;NYears*12,"",$F261+$J261-$O261-$Q261)</f>
        <v/>
      </c>
      <c r="S261" s="33">
        <f>IF($A261&gt;NYears*12,"",INT($R261/$E261))</f>
        <v/>
      </c>
    </row>
    <row r="262">
      <c r="A262" s="33">
        <f>258</f>
        <v/>
      </c>
      <c r="B262" s="34">
        <f>IF($A262&gt;NYears*12,"",EDATE(StartMonth,$A262-1))</f>
        <v/>
      </c>
      <c r="C262" s="33">
        <f>IF($A262&gt;NYears*12,"",INT(($A262-1)/12)+1)</f>
        <v/>
      </c>
      <c r="D262" s="33">
        <f>IF($A262&gt;NYears*12,"",MOD($A262-1,12)+1)</f>
        <v/>
      </c>
      <c r="E262" s="35">
        <f>IF($A262&gt;NYears*12,"",LotValue0*(1+LotGrowth)^($C262-1))</f>
        <v/>
      </c>
      <c r="F262" s="35">
        <f>IF($A262&gt;NYears*12,"",IF($A262=1,InitInvest,$R261))</f>
        <v/>
      </c>
      <c r="G262" s="33">
        <f>IF($A262&gt;NYears*12,"",INT($F262/$E262))</f>
        <v/>
      </c>
      <c r="H262" s="35">
        <f>IF($A262&gt;NYears*12,"",$G262*$E262)</f>
        <v/>
      </c>
      <c r="I262" s="35">
        <f>IF($A262&gt;NYears*12,"",$F262-$H262)</f>
        <v/>
      </c>
      <c r="J262" s="35">
        <f>IF($A262&gt;NYears*12,"",$H262*RateB)</f>
        <v/>
      </c>
      <c r="K262" s="35">
        <f>IF($A262&gt;NYears*12,"",IF($D262=1,$J262,$K261+$J262))</f>
        <v/>
      </c>
      <c r="L262" s="35">
        <f>IF($A262&gt;NYears*12,"",IF(MOD($D262,3)=0,SUM($J260:$J262),0))</f>
        <v/>
      </c>
      <c r="M262" s="35">
        <f>IF($A262&gt;NYears*12,"",IF(TaxFreq="Quarterly",$K262*12/$D262,$K262))</f>
        <v/>
      </c>
      <c r="N262" s="36">
        <f>IF($A262&gt;NYears*12,"",LOOKUP($M262,TaxLower,TaxRate))</f>
        <v/>
      </c>
      <c r="O262" s="35">
        <f>IF($A262&gt;NYears*12,"",IF(TaxFreq="Quarterly",IF(MOD($D262,3)=0,$L262*$N262,0),IF($D262=12,$K262*$N262,0)))</f>
        <v/>
      </c>
      <c r="P262" s="35">
        <f>IF($A262&gt;NYears*12,"",IF($D262=1,$O262,$P261+$O262))</f>
        <v/>
      </c>
      <c r="Q262" s="35">
        <f>IF($A262&gt;NYears*12,"",IF($D262=12,MIN(WdrPct*IF(WdrBase="Post-tax profit",$K262-$P262,$K262),WdrCap),0))</f>
        <v/>
      </c>
      <c r="R262" s="35">
        <f>IF($A262&gt;NYears*12,"",$F262+$J262-$O262-$Q262)</f>
        <v/>
      </c>
      <c r="S262" s="33">
        <f>IF($A262&gt;NYears*12,"",INT($R262/$E262))</f>
        <v/>
      </c>
    </row>
    <row r="263">
      <c r="A263" s="33">
        <f>259</f>
        <v/>
      </c>
      <c r="B263" s="34">
        <f>IF($A263&gt;NYears*12,"",EDATE(StartMonth,$A263-1))</f>
        <v/>
      </c>
      <c r="C263" s="33">
        <f>IF($A263&gt;NYears*12,"",INT(($A263-1)/12)+1)</f>
        <v/>
      </c>
      <c r="D263" s="33">
        <f>IF($A263&gt;NYears*12,"",MOD($A263-1,12)+1)</f>
        <v/>
      </c>
      <c r="E263" s="35">
        <f>IF($A263&gt;NYears*12,"",LotValue0*(1+LotGrowth)^($C263-1))</f>
        <v/>
      </c>
      <c r="F263" s="35">
        <f>IF($A263&gt;NYears*12,"",IF($A263=1,InitInvest,$R262))</f>
        <v/>
      </c>
      <c r="G263" s="33">
        <f>IF($A263&gt;NYears*12,"",INT($F263/$E263))</f>
        <v/>
      </c>
      <c r="H263" s="35">
        <f>IF($A263&gt;NYears*12,"",$G263*$E263)</f>
        <v/>
      </c>
      <c r="I263" s="35">
        <f>IF($A263&gt;NYears*12,"",$F263-$H263)</f>
        <v/>
      </c>
      <c r="J263" s="35">
        <f>IF($A263&gt;NYears*12,"",$H263*RateB)</f>
        <v/>
      </c>
      <c r="K263" s="35">
        <f>IF($A263&gt;NYears*12,"",IF($D263=1,$J263,$K262+$J263))</f>
        <v/>
      </c>
      <c r="L263" s="35">
        <f>IF($A263&gt;NYears*12,"",IF(MOD($D263,3)=0,SUM($J261:$J263),0))</f>
        <v/>
      </c>
      <c r="M263" s="35">
        <f>IF($A263&gt;NYears*12,"",IF(TaxFreq="Quarterly",$K263*12/$D263,$K263))</f>
        <v/>
      </c>
      <c r="N263" s="36">
        <f>IF($A263&gt;NYears*12,"",LOOKUP($M263,TaxLower,TaxRate))</f>
        <v/>
      </c>
      <c r="O263" s="35">
        <f>IF($A263&gt;NYears*12,"",IF(TaxFreq="Quarterly",IF(MOD($D263,3)=0,$L263*$N263,0),IF($D263=12,$K263*$N263,0)))</f>
        <v/>
      </c>
      <c r="P263" s="35">
        <f>IF($A263&gt;NYears*12,"",IF($D263=1,$O263,$P262+$O263))</f>
        <v/>
      </c>
      <c r="Q263" s="35">
        <f>IF($A263&gt;NYears*12,"",IF($D263=12,MIN(WdrPct*IF(WdrBase="Post-tax profit",$K263-$P263,$K263),WdrCap),0))</f>
        <v/>
      </c>
      <c r="R263" s="35">
        <f>IF($A263&gt;NYears*12,"",$F263+$J263-$O263-$Q263)</f>
        <v/>
      </c>
      <c r="S263" s="33">
        <f>IF($A263&gt;NYears*12,"",INT($R263/$E263))</f>
        <v/>
      </c>
    </row>
    <row r="264">
      <c r="A264" s="33">
        <f>260</f>
        <v/>
      </c>
      <c r="B264" s="34">
        <f>IF($A264&gt;NYears*12,"",EDATE(StartMonth,$A264-1))</f>
        <v/>
      </c>
      <c r="C264" s="33">
        <f>IF($A264&gt;NYears*12,"",INT(($A264-1)/12)+1)</f>
        <v/>
      </c>
      <c r="D264" s="33">
        <f>IF($A264&gt;NYears*12,"",MOD($A264-1,12)+1)</f>
        <v/>
      </c>
      <c r="E264" s="35">
        <f>IF($A264&gt;NYears*12,"",LotValue0*(1+LotGrowth)^($C264-1))</f>
        <v/>
      </c>
      <c r="F264" s="35">
        <f>IF($A264&gt;NYears*12,"",IF($A264=1,InitInvest,$R263))</f>
        <v/>
      </c>
      <c r="G264" s="33">
        <f>IF($A264&gt;NYears*12,"",INT($F264/$E264))</f>
        <v/>
      </c>
      <c r="H264" s="35">
        <f>IF($A264&gt;NYears*12,"",$G264*$E264)</f>
        <v/>
      </c>
      <c r="I264" s="35">
        <f>IF($A264&gt;NYears*12,"",$F264-$H264)</f>
        <v/>
      </c>
      <c r="J264" s="35">
        <f>IF($A264&gt;NYears*12,"",$H264*RateB)</f>
        <v/>
      </c>
      <c r="K264" s="35">
        <f>IF($A264&gt;NYears*12,"",IF($D264=1,$J264,$K263+$J264))</f>
        <v/>
      </c>
      <c r="L264" s="35">
        <f>IF($A264&gt;NYears*12,"",IF(MOD($D264,3)=0,SUM($J262:$J264),0))</f>
        <v/>
      </c>
      <c r="M264" s="35">
        <f>IF($A264&gt;NYears*12,"",IF(TaxFreq="Quarterly",$K264*12/$D264,$K264))</f>
        <v/>
      </c>
      <c r="N264" s="36">
        <f>IF($A264&gt;NYears*12,"",LOOKUP($M264,TaxLower,TaxRate))</f>
        <v/>
      </c>
      <c r="O264" s="35">
        <f>IF($A264&gt;NYears*12,"",IF(TaxFreq="Quarterly",IF(MOD($D264,3)=0,$L264*$N264,0),IF($D264=12,$K264*$N264,0)))</f>
        <v/>
      </c>
      <c r="P264" s="35">
        <f>IF($A264&gt;NYears*12,"",IF($D264=1,$O264,$P263+$O264))</f>
        <v/>
      </c>
      <c r="Q264" s="35">
        <f>IF($A264&gt;NYears*12,"",IF($D264=12,MIN(WdrPct*IF(WdrBase="Post-tax profit",$K264-$P264,$K264),WdrCap),0))</f>
        <v/>
      </c>
      <c r="R264" s="35">
        <f>IF($A264&gt;NYears*12,"",$F264+$J264-$O264-$Q264)</f>
        <v/>
      </c>
      <c r="S264" s="33">
        <f>IF($A264&gt;NYears*12,"",INT($R264/$E264))</f>
        <v/>
      </c>
    </row>
    <row r="265">
      <c r="A265" s="33">
        <f>261</f>
        <v/>
      </c>
      <c r="B265" s="34">
        <f>IF($A265&gt;NYears*12,"",EDATE(StartMonth,$A265-1))</f>
        <v/>
      </c>
      <c r="C265" s="33">
        <f>IF($A265&gt;NYears*12,"",INT(($A265-1)/12)+1)</f>
        <v/>
      </c>
      <c r="D265" s="33">
        <f>IF($A265&gt;NYears*12,"",MOD($A265-1,12)+1)</f>
        <v/>
      </c>
      <c r="E265" s="35">
        <f>IF($A265&gt;NYears*12,"",LotValue0*(1+LotGrowth)^($C265-1))</f>
        <v/>
      </c>
      <c r="F265" s="35">
        <f>IF($A265&gt;NYears*12,"",IF($A265=1,InitInvest,$R264))</f>
        <v/>
      </c>
      <c r="G265" s="33">
        <f>IF($A265&gt;NYears*12,"",INT($F265/$E265))</f>
        <v/>
      </c>
      <c r="H265" s="35">
        <f>IF($A265&gt;NYears*12,"",$G265*$E265)</f>
        <v/>
      </c>
      <c r="I265" s="35">
        <f>IF($A265&gt;NYears*12,"",$F265-$H265)</f>
        <v/>
      </c>
      <c r="J265" s="35">
        <f>IF($A265&gt;NYears*12,"",$H265*RateB)</f>
        <v/>
      </c>
      <c r="K265" s="35">
        <f>IF($A265&gt;NYears*12,"",IF($D265=1,$J265,$K264+$J265))</f>
        <v/>
      </c>
      <c r="L265" s="35">
        <f>IF($A265&gt;NYears*12,"",IF(MOD($D265,3)=0,SUM($J263:$J265),0))</f>
        <v/>
      </c>
      <c r="M265" s="35">
        <f>IF($A265&gt;NYears*12,"",IF(TaxFreq="Quarterly",$K265*12/$D265,$K265))</f>
        <v/>
      </c>
      <c r="N265" s="36">
        <f>IF($A265&gt;NYears*12,"",LOOKUP($M265,TaxLower,TaxRate))</f>
        <v/>
      </c>
      <c r="O265" s="35">
        <f>IF($A265&gt;NYears*12,"",IF(TaxFreq="Quarterly",IF(MOD($D265,3)=0,$L265*$N265,0),IF($D265=12,$K265*$N265,0)))</f>
        <v/>
      </c>
      <c r="P265" s="35">
        <f>IF($A265&gt;NYears*12,"",IF($D265=1,$O265,$P264+$O265))</f>
        <v/>
      </c>
      <c r="Q265" s="35">
        <f>IF($A265&gt;NYears*12,"",IF($D265=12,MIN(WdrPct*IF(WdrBase="Post-tax profit",$K265-$P265,$K265),WdrCap),0))</f>
        <v/>
      </c>
      <c r="R265" s="35">
        <f>IF($A265&gt;NYears*12,"",$F265+$J265-$O265-$Q265)</f>
        <v/>
      </c>
      <c r="S265" s="33">
        <f>IF($A265&gt;NYears*12,"",INT($R265/$E265))</f>
        <v/>
      </c>
    </row>
    <row r="266">
      <c r="A266" s="33">
        <f>262</f>
        <v/>
      </c>
      <c r="B266" s="34">
        <f>IF($A266&gt;NYears*12,"",EDATE(StartMonth,$A266-1))</f>
        <v/>
      </c>
      <c r="C266" s="33">
        <f>IF($A266&gt;NYears*12,"",INT(($A266-1)/12)+1)</f>
        <v/>
      </c>
      <c r="D266" s="33">
        <f>IF($A266&gt;NYears*12,"",MOD($A266-1,12)+1)</f>
        <v/>
      </c>
      <c r="E266" s="35">
        <f>IF($A266&gt;NYears*12,"",LotValue0*(1+LotGrowth)^($C266-1))</f>
        <v/>
      </c>
      <c r="F266" s="35">
        <f>IF($A266&gt;NYears*12,"",IF($A266=1,InitInvest,$R265))</f>
        <v/>
      </c>
      <c r="G266" s="33">
        <f>IF($A266&gt;NYears*12,"",INT($F266/$E266))</f>
        <v/>
      </c>
      <c r="H266" s="35">
        <f>IF($A266&gt;NYears*12,"",$G266*$E266)</f>
        <v/>
      </c>
      <c r="I266" s="35">
        <f>IF($A266&gt;NYears*12,"",$F266-$H266)</f>
        <v/>
      </c>
      <c r="J266" s="35">
        <f>IF($A266&gt;NYears*12,"",$H266*RateB)</f>
        <v/>
      </c>
      <c r="K266" s="35">
        <f>IF($A266&gt;NYears*12,"",IF($D266=1,$J266,$K265+$J266))</f>
        <v/>
      </c>
      <c r="L266" s="35">
        <f>IF($A266&gt;NYears*12,"",IF(MOD($D266,3)=0,SUM($J264:$J266),0))</f>
        <v/>
      </c>
      <c r="M266" s="35">
        <f>IF($A266&gt;NYears*12,"",IF(TaxFreq="Quarterly",$K266*12/$D266,$K266))</f>
        <v/>
      </c>
      <c r="N266" s="36">
        <f>IF($A266&gt;NYears*12,"",LOOKUP($M266,TaxLower,TaxRate))</f>
        <v/>
      </c>
      <c r="O266" s="35">
        <f>IF($A266&gt;NYears*12,"",IF(TaxFreq="Quarterly",IF(MOD($D266,3)=0,$L266*$N266,0),IF($D266=12,$K266*$N266,0)))</f>
        <v/>
      </c>
      <c r="P266" s="35">
        <f>IF($A266&gt;NYears*12,"",IF($D266=1,$O266,$P265+$O266))</f>
        <v/>
      </c>
      <c r="Q266" s="35">
        <f>IF($A266&gt;NYears*12,"",IF($D266=12,MIN(WdrPct*IF(WdrBase="Post-tax profit",$K266-$P266,$K266),WdrCap),0))</f>
        <v/>
      </c>
      <c r="R266" s="35">
        <f>IF($A266&gt;NYears*12,"",$F266+$J266-$O266-$Q266)</f>
        <v/>
      </c>
      <c r="S266" s="33">
        <f>IF($A266&gt;NYears*12,"",INT($R266/$E266))</f>
        <v/>
      </c>
    </row>
    <row r="267">
      <c r="A267" s="33">
        <f>263</f>
        <v/>
      </c>
      <c r="B267" s="34">
        <f>IF($A267&gt;NYears*12,"",EDATE(StartMonth,$A267-1))</f>
        <v/>
      </c>
      <c r="C267" s="33">
        <f>IF($A267&gt;NYears*12,"",INT(($A267-1)/12)+1)</f>
        <v/>
      </c>
      <c r="D267" s="33">
        <f>IF($A267&gt;NYears*12,"",MOD($A267-1,12)+1)</f>
        <v/>
      </c>
      <c r="E267" s="35">
        <f>IF($A267&gt;NYears*12,"",LotValue0*(1+LotGrowth)^($C267-1))</f>
        <v/>
      </c>
      <c r="F267" s="35">
        <f>IF($A267&gt;NYears*12,"",IF($A267=1,InitInvest,$R266))</f>
        <v/>
      </c>
      <c r="G267" s="33">
        <f>IF($A267&gt;NYears*12,"",INT($F267/$E267))</f>
        <v/>
      </c>
      <c r="H267" s="35">
        <f>IF($A267&gt;NYears*12,"",$G267*$E267)</f>
        <v/>
      </c>
      <c r="I267" s="35">
        <f>IF($A267&gt;NYears*12,"",$F267-$H267)</f>
        <v/>
      </c>
      <c r="J267" s="35">
        <f>IF($A267&gt;NYears*12,"",$H267*RateB)</f>
        <v/>
      </c>
      <c r="K267" s="35">
        <f>IF($A267&gt;NYears*12,"",IF($D267=1,$J267,$K266+$J267))</f>
        <v/>
      </c>
      <c r="L267" s="35">
        <f>IF($A267&gt;NYears*12,"",IF(MOD($D267,3)=0,SUM($J265:$J267),0))</f>
        <v/>
      </c>
      <c r="M267" s="35">
        <f>IF($A267&gt;NYears*12,"",IF(TaxFreq="Quarterly",$K267*12/$D267,$K267))</f>
        <v/>
      </c>
      <c r="N267" s="36">
        <f>IF($A267&gt;NYears*12,"",LOOKUP($M267,TaxLower,TaxRate))</f>
        <v/>
      </c>
      <c r="O267" s="35">
        <f>IF($A267&gt;NYears*12,"",IF(TaxFreq="Quarterly",IF(MOD($D267,3)=0,$L267*$N267,0),IF($D267=12,$K267*$N267,0)))</f>
        <v/>
      </c>
      <c r="P267" s="35">
        <f>IF($A267&gt;NYears*12,"",IF($D267=1,$O267,$P266+$O267))</f>
        <v/>
      </c>
      <c r="Q267" s="35">
        <f>IF($A267&gt;NYears*12,"",IF($D267=12,MIN(WdrPct*IF(WdrBase="Post-tax profit",$K267-$P267,$K267),WdrCap),0))</f>
        <v/>
      </c>
      <c r="R267" s="35">
        <f>IF($A267&gt;NYears*12,"",$F267+$J267-$O267-$Q267)</f>
        <v/>
      </c>
      <c r="S267" s="33">
        <f>IF($A267&gt;NYears*12,"",INT($R267/$E267))</f>
        <v/>
      </c>
    </row>
    <row r="268">
      <c r="A268" s="37">
        <f>264</f>
        <v/>
      </c>
      <c r="B268" s="38">
        <f>IF($A268&gt;NYears*12,"",EDATE(StartMonth,$A268-1))</f>
        <v/>
      </c>
      <c r="C268" s="37">
        <f>IF($A268&gt;NYears*12,"",INT(($A268-1)/12)+1)</f>
        <v/>
      </c>
      <c r="D268" s="37">
        <f>IF($A268&gt;NYears*12,"",MOD($A268-1,12)+1)</f>
        <v/>
      </c>
      <c r="E268" s="39">
        <f>IF($A268&gt;NYears*12,"",LotValue0*(1+LotGrowth)^($C268-1))</f>
        <v/>
      </c>
      <c r="F268" s="39">
        <f>IF($A268&gt;NYears*12,"",IF($A268=1,InitInvest,$R267))</f>
        <v/>
      </c>
      <c r="G268" s="37">
        <f>IF($A268&gt;NYears*12,"",INT($F268/$E268))</f>
        <v/>
      </c>
      <c r="H268" s="39">
        <f>IF($A268&gt;NYears*12,"",$G268*$E268)</f>
        <v/>
      </c>
      <c r="I268" s="39">
        <f>IF($A268&gt;NYears*12,"",$F268-$H268)</f>
        <v/>
      </c>
      <c r="J268" s="39">
        <f>IF($A268&gt;NYears*12,"",$H268*RateB)</f>
        <v/>
      </c>
      <c r="K268" s="39">
        <f>IF($A268&gt;NYears*12,"",IF($D268=1,$J268,$K267+$J268))</f>
        <v/>
      </c>
      <c r="L268" s="39">
        <f>IF($A268&gt;NYears*12,"",IF(MOD($D268,3)=0,SUM($J266:$J268),0))</f>
        <v/>
      </c>
      <c r="M268" s="39">
        <f>IF($A268&gt;NYears*12,"",IF(TaxFreq="Quarterly",$K268*12/$D268,$K268))</f>
        <v/>
      </c>
      <c r="N268" s="40">
        <f>IF($A268&gt;NYears*12,"",LOOKUP($M268,TaxLower,TaxRate))</f>
        <v/>
      </c>
      <c r="O268" s="39">
        <f>IF($A268&gt;NYears*12,"",IF(TaxFreq="Quarterly",IF(MOD($D268,3)=0,$L268*$N268,0),IF($D268=12,$K268*$N268,0)))</f>
        <v/>
      </c>
      <c r="P268" s="39">
        <f>IF($A268&gt;NYears*12,"",IF($D268=1,$O268,$P267+$O268))</f>
        <v/>
      </c>
      <c r="Q268" s="39">
        <f>IF($A268&gt;NYears*12,"",IF($D268=12,MIN(WdrPct*IF(WdrBase="Post-tax profit",$K268-$P268,$K268),WdrCap),0))</f>
        <v/>
      </c>
      <c r="R268" s="39">
        <f>IF($A268&gt;NYears*12,"",$F268+$J268-$O268-$Q268)</f>
        <v/>
      </c>
      <c r="S268" s="37">
        <f>IF($A268&gt;NYears*12,"",INT($R268/$E268))</f>
        <v/>
      </c>
    </row>
    <row r="269">
      <c r="A269" s="33">
        <f>265</f>
        <v/>
      </c>
      <c r="B269" s="34">
        <f>IF($A269&gt;NYears*12,"",EDATE(StartMonth,$A269-1))</f>
        <v/>
      </c>
      <c r="C269" s="33">
        <f>IF($A269&gt;NYears*12,"",INT(($A269-1)/12)+1)</f>
        <v/>
      </c>
      <c r="D269" s="33">
        <f>IF($A269&gt;NYears*12,"",MOD($A269-1,12)+1)</f>
        <v/>
      </c>
      <c r="E269" s="35">
        <f>IF($A269&gt;NYears*12,"",LotValue0*(1+LotGrowth)^($C269-1))</f>
        <v/>
      </c>
      <c r="F269" s="35">
        <f>IF($A269&gt;NYears*12,"",IF($A269=1,InitInvest,$R268))</f>
        <v/>
      </c>
      <c r="G269" s="33">
        <f>IF($A269&gt;NYears*12,"",INT($F269/$E269))</f>
        <v/>
      </c>
      <c r="H269" s="35">
        <f>IF($A269&gt;NYears*12,"",$G269*$E269)</f>
        <v/>
      </c>
      <c r="I269" s="35">
        <f>IF($A269&gt;NYears*12,"",$F269-$H269)</f>
        <v/>
      </c>
      <c r="J269" s="35">
        <f>IF($A269&gt;NYears*12,"",$H269*RateB)</f>
        <v/>
      </c>
      <c r="K269" s="35">
        <f>IF($A269&gt;NYears*12,"",IF($D269=1,$J269,$K268+$J269))</f>
        <v/>
      </c>
      <c r="L269" s="35">
        <f>IF($A269&gt;NYears*12,"",IF(MOD($D269,3)=0,SUM($J267:$J269),0))</f>
        <v/>
      </c>
      <c r="M269" s="35">
        <f>IF($A269&gt;NYears*12,"",IF(TaxFreq="Quarterly",$K269*12/$D269,$K269))</f>
        <v/>
      </c>
      <c r="N269" s="36">
        <f>IF($A269&gt;NYears*12,"",LOOKUP($M269,TaxLower,TaxRate))</f>
        <v/>
      </c>
      <c r="O269" s="35">
        <f>IF($A269&gt;NYears*12,"",IF(TaxFreq="Quarterly",IF(MOD($D269,3)=0,$L269*$N269,0),IF($D269=12,$K269*$N269,0)))</f>
        <v/>
      </c>
      <c r="P269" s="35">
        <f>IF($A269&gt;NYears*12,"",IF($D269=1,$O269,$P268+$O269))</f>
        <v/>
      </c>
      <c r="Q269" s="35">
        <f>IF($A269&gt;NYears*12,"",IF($D269=12,MIN(WdrPct*IF(WdrBase="Post-tax profit",$K269-$P269,$K269),WdrCap),0))</f>
        <v/>
      </c>
      <c r="R269" s="35">
        <f>IF($A269&gt;NYears*12,"",$F269+$J269-$O269-$Q269)</f>
        <v/>
      </c>
      <c r="S269" s="33">
        <f>IF($A269&gt;NYears*12,"",INT($R269/$E269))</f>
        <v/>
      </c>
    </row>
    <row r="270">
      <c r="A270" s="33">
        <f>266</f>
        <v/>
      </c>
      <c r="B270" s="34">
        <f>IF($A270&gt;NYears*12,"",EDATE(StartMonth,$A270-1))</f>
        <v/>
      </c>
      <c r="C270" s="33">
        <f>IF($A270&gt;NYears*12,"",INT(($A270-1)/12)+1)</f>
        <v/>
      </c>
      <c r="D270" s="33">
        <f>IF($A270&gt;NYears*12,"",MOD($A270-1,12)+1)</f>
        <v/>
      </c>
      <c r="E270" s="35">
        <f>IF($A270&gt;NYears*12,"",LotValue0*(1+LotGrowth)^($C270-1))</f>
        <v/>
      </c>
      <c r="F270" s="35">
        <f>IF($A270&gt;NYears*12,"",IF($A270=1,InitInvest,$R269))</f>
        <v/>
      </c>
      <c r="G270" s="33">
        <f>IF($A270&gt;NYears*12,"",INT($F270/$E270))</f>
        <v/>
      </c>
      <c r="H270" s="35">
        <f>IF($A270&gt;NYears*12,"",$G270*$E270)</f>
        <v/>
      </c>
      <c r="I270" s="35">
        <f>IF($A270&gt;NYears*12,"",$F270-$H270)</f>
        <v/>
      </c>
      <c r="J270" s="35">
        <f>IF($A270&gt;NYears*12,"",$H270*RateB)</f>
        <v/>
      </c>
      <c r="K270" s="35">
        <f>IF($A270&gt;NYears*12,"",IF($D270=1,$J270,$K269+$J270))</f>
        <v/>
      </c>
      <c r="L270" s="35">
        <f>IF($A270&gt;NYears*12,"",IF(MOD($D270,3)=0,SUM($J268:$J270),0))</f>
        <v/>
      </c>
      <c r="M270" s="35">
        <f>IF($A270&gt;NYears*12,"",IF(TaxFreq="Quarterly",$K270*12/$D270,$K270))</f>
        <v/>
      </c>
      <c r="N270" s="36">
        <f>IF($A270&gt;NYears*12,"",LOOKUP($M270,TaxLower,TaxRate))</f>
        <v/>
      </c>
      <c r="O270" s="35">
        <f>IF($A270&gt;NYears*12,"",IF(TaxFreq="Quarterly",IF(MOD($D270,3)=0,$L270*$N270,0),IF($D270=12,$K270*$N270,0)))</f>
        <v/>
      </c>
      <c r="P270" s="35">
        <f>IF($A270&gt;NYears*12,"",IF($D270=1,$O270,$P269+$O270))</f>
        <v/>
      </c>
      <c r="Q270" s="35">
        <f>IF($A270&gt;NYears*12,"",IF($D270=12,MIN(WdrPct*IF(WdrBase="Post-tax profit",$K270-$P270,$K270),WdrCap),0))</f>
        <v/>
      </c>
      <c r="R270" s="35">
        <f>IF($A270&gt;NYears*12,"",$F270+$J270-$O270-$Q270)</f>
        <v/>
      </c>
      <c r="S270" s="33">
        <f>IF($A270&gt;NYears*12,"",INT($R270/$E270))</f>
        <v/>
      </c>
    </row>
    <row r="271">
      <c r="A271" s="33">
        <f>267</f>
        <v/>
      </c>
      <c r="B271" s="34">
        <f>IF($A271&gt;NYears*12,"",EDATE(StartMonth,$A271-1))</f>
        <v/>
      </c>
      <c r="C271" s="33">
        <f>IF($A271&gt;NYears*12,"",INT(($A271-1)/12)+1)</f>
        <v/>
      </c>
      <c r="D271" s="33">
        <f>IF($A271&gt;NYears*12,"",MOD($A271-1,12)+1)</f>
        <v/>
      </c>
      <c r="E271" s="35">
        <f>IF($A271&gt;NYears*12,"",LotValue0*(1+LotGrowth)^($C271-1))</f>
        <v/>
      </c>
      <c r="F271" s="35">
        <f>IF($A271&gt;NYears*12,"",IF($A271=1,InitInvest,$R270))</f>
        <v/>
      </c>
      <c r="G271" s="33">
        <f>IF($A271&gt;NYears*12,"",INT($F271/$E271))</f>
        <v/>
      </c>
      <c r="H271" s="35">
        <f>IF($A271&gt;NYears*12,"",$G271*$E271)</f>
        <v/>
      </c>
      <c r="I271" s="35">
        <f>IF($A271&gt;NYears*12,"",$F271-$H271)</f>
        <v/>
      </c>
      <c r="J271" s="35">
        <f>IF($A271&gt;NYears*12,"",$H271*RateB)</f>
        <v/>
      </c>
      <c r="K271" s="35">
        <f>IF($A271&gt;NYears*12,"",IF($D271=1,$J271,$K270+$J271))</f>
        <v/>
      </c>
      <c r="L271" s="35">
        <f>IF($A271&gt;NYears*12,"",IF(MOD($D271,3)=0,SUM($J269:$J271),0))</f>
        <v/>
      </c>
      <c r="M271" s="35">
        <f>IF($A271&gt;NYears*12,"",IF(TaxFreq="Quarterly",$K271*12/$D271,$K271))</f>
        <v/>
      </c>
      <c r="N271" s="36">
        <f>IF($A271&gt;NYears*12,"",LOOKUP($M271,TaxLower,TaxRate))</f>
        <v/>
      </c>
      <c r="O271" s="35">
        <f>IF($A271&gt;NYears*12,"",IF(TaxFreq="Quarterly",IF(MOD($D271,3)=0,$L271*$N271,0),IF($D271=12,$K271*$N271,0)))</f>
        <v/>
      </c>
      <c r="P271" s="35">
        <f>IF($A271&gt;NYears*12,"",IF($D271=1,$O271,$P270+$O271))</f>
        <v/>
      </c>
      <c r="Q271" s="35">
        <f>IF($A271&gt;NYears*12,"",IF($D271=12,MIN(WdrPct*IF(WdrBase="Post-tax profit",$K271-$P271,$K271),WdrCap),0))</f>
        <v/>
      </c>
      <c r="R271" s="35">
        <f>IF($A271&gt;NYears*12,"",$F271+$J271-$O271-$Q271)</f>
        <v/>
      </c>
      <c r="S271" s="33">
        <f>IF($A271&gt;NYears*12,"",INT($R271/$E271))</f>
        <v/>
      </c>
    </row>
    <row r="272">
      <c r="A272" s="33">
        <f>268</f>
        <v/>
      </c>
      <c r="B272" s="34">
        <f>IF($A272&gt;NYears*12,"",EDATE(StartMonth,$A272-1))</f>
        <v/>
      </c>
      <c r="C272" s="33">
        <f>IF($A272&gt;NYears*12,"",INT(($A272-1)/12)+1)</f>
        <v/>
      </c>
      <c r="D272" s="33">
        <f>IF($A272&gt;NYears*12,"",MOD($A272-1,12)+1)</f>
        <v/>
      </c>
      <c r="E272" s="35">
        <f>IF($A272&gt;NYears*12,"",LotValue0*(1+LotGrowth)^($C272-1))</f>
        <v/>
      </c>
      <c r="F272" s="35">
        <f>IF($A272&gt;NYears*12,"",IF($A272=1,InitInvest,$R271))</f>
        <v/>
      </c>
      <c r="G272" s="33">
        <f>IF($A272&gt;NYears*12,"",INT($F272/$E272))</f>
        <v/>
      </c>
      <c r="H272" s="35">
        <f>IF($A272&gt;NYears*12,"",$G272*$E272)</f>
        <v/>
      </c>
      <c r="I272" s="35">
        <f>IF($A272&gt;NYears*12,"",$F272-$H272)</f>
        <v/>
      </c>
      <c r="J272" s="35">
        <f>IF($A272&gt;NYears*12,"",$H272*RateB)</f>
        <v/>
      </c>
      <c r="K272" s="35">
        <f>IF($A272&gt;NYears*12,"",IF($D272=1,$J272,$K271+$J272))</f>
        <v/>
      </c>
      <c r="L272" s="35">
        <f>IF($A272&gt;NYears*12,"",IF(MOD($D272,3)=0,SUM($J270:$J272),0))</f>
        <v/>
      </c>
      <c r="M272" s="35">
        <f>IF($A272&gt;NYears*12,"",IF(TaxFreq="Quarterly",$K272*12/$D272,$K272))</f>
        <v/>
      </c>
      <c r="N272" s="36">
        <f>IF($A272&gt;NYears*12,"",LOOKUP($M272,TaxLower,TaxRate))</f>
        <v/>
      </c>
      <c r="O272" s="35">
        <f>IF($A272&gt;NYears*12,"",IF(TaxFreq="Quarterly",IF(MOD($D272,3)=0,$L272*$N272,0),IF($D272=12,$K272*$N272,0)))</f>
        <v/>
      </c>
      <c r="P272" s="35">
        <f>IF($A272&gt;NYears*12,"",IF($D272=1,$O272,$P271+$O272))</f>
        <v/>
      </c>
      <c r="Q272" s="35">
        <f>IF($A272&gt;NYears*12,"",IF($D272=12,MIN(WdrPct*IF(WdrBase="Post-tax profit",$K272-$P272,$K272),WdrCap),0))</f>
        <v/>
      </c>
      <c r="R272" s="35">
        <f>IF($A272&gt;NYears*12,"",$F272+$J272-$O272-$Q272)</f>
        <v/>
      </c>
      <c r="S272" s="33">
        <f>IF($A272&gt;NYears*12,"",INT($R272/$E272))</f>
        <v/>
      </c>
    </row>
    <row r="273">
      <c r="A273" s="33">
        <f>269</f>
        <v/>
      </c>
      <c r="B273" s="34">
        <f>IF($A273&gt;NYears*12,"",EDATE(StartMonth,$A273-1))</f>
        <v/>
      </c>
      <c r="C273" s="33">
        <f>IF($A273&gt;NYears*12,"",INT(($A273-1)/12)+1)</f>
        <v/>
      </c>
      <c r="D273" s="33">
        <f>IF($A273&gt;NYears*12,"",MOD($A273-1,12)+1)</f>
        <v/>
      </c>
      <c r="E273" s="35">
        <f>IF($A273&gt;NYears*12,"",LotValue0*(1+LotGrowth)^($C273-1))</f>
        <v/>
      </c>
      <c r="F273" s="35">
        <f>IF($A273&gt;NYears*12,"",IF($A273=1,InitInvest,$R272))</f>
        <v/>
      </c>
      <c r="G273" s="33">
        <f>IF($A273&gt;NYears*12,"",INT($F273/$E273))</f>
        <v/>
      </c>
      <c r="H273" s="35">
        <f>IF($A273&gt;NYears*12,"",$G273*$E273)</f>
        <v/>
      </c>
      <c r="I273" s="35">
        <f>IF($A273&gt;NYears*12,"",$F273-$H273)</f>
        <v/>
      </c>
      <c r="J273" s="35">
        <f>IF($A273&gt;NYears*12,"",$H273*RateB)</f>
        <v/>
      </c>
      <c r="K273" s="35">
        <f>IF($A273&gt;NYears*12,"",IF($D273=1,$J273,$K272+$J273))</f>
        <v/>
      </c>
      <c r="L273" s="35">
        <f>IF($A273&gt;NYears*12,"",IF(MOD($D273,3)=0,SUM($J271:$J273),0))</f>
        <v/>
      </c>
      <c r="M273" s="35">
        <f>IF($A273&gt;NYears*12,"",IF(TaxFreq="Quarterly",$K273*12/$D273,$K273))</f>
        <v/>
      </c>
      <c r="N273" s="36">
        <f>IF($A273&gt;NYears*12,"",LOOKUP($M273,TaxLower,TaxRate))</f>
        <v/>
      </c>
      <c r="O273" s="35">
        <f>IF($A273&gt;NYears*12,"",IF(TaxFreq="Quarterly",IF(MOD($D273,3)=0,$L273*$N273,0),IF($D273=12,$K273*$N273,0)))</f>
        <v/>
      </c>
      <c r="P273" s="35">
        <f>IF($A273&gt;NYears*12,"",IF($D273=1,$O273,$P272+$O273))</f>
        <v/>
      </c>
      <c r="Q273" s="35">
        <f>IF($A273&gt;NYears*12,"",IF($D273=12,MIN(WdrPct*IF(WdrBase="Post-tax profit",$K273-$P273,$K273),WdrCap),0))</f>
        <v/>
      </c>
      <c r="R273" s="35">
        <f>IF($A273&gt;NYears*12,"",$F273+$J273-$O273-$Q273)</f>
        <v/>
      </c>
      <c r="S273" s="33">
        <f>IF($A273&gt;NYears*12,"",INT($R273/$E273))</f>
        <v/>
      </c>
    </row>
    <row r="274">
      <c r="A274" s="33">
        <f>270</f>
        <v/>
      </c>
      <c r="B274" s="34">
        <f>IF($A274&gt;NYears*12,"",EDATE(StartMonth,$A274-1))</f>
        <v/>
      </c>
      <c r="C274" s="33">
        <f>IF($A274&gt;NYears*12,"",INT(($A274-1)/12)+1)</f>
        <v/>
      </c>
      <c r="D274" s="33">
        <f>IF($A274&gt;NYears*12,"",MOD($A274-1,12)+1)</f>
        <v/>
      </c>
      <c r="E274" s="35">
        <f>IF($A274&gt;NYears*12,"",LotValue0*(1+LotGrowth)^($C274-1))</f>
        <v/>
      </c>
      <c r="F274" s="35">
        <f>IF($A274&gt;NYears*12,"",IF($A274=1,InitInvest,$R273))</f>
        <v/>
      </c>
      <c r="G274" s="33">
        <f>IF($A274&gt;NYears*12,"",INT($F274/$E274))</f>
        <v/>
      </c>
      <c r="H274" s="35">
        <f>IF($A274&gt;NYears*12,"",$G274*$E274)</f>
        <v/>
      </c>
      <c r="I274" s="35">
        <f>IF($A274&gt;NYears*12,"",$F274-$H274)</f>
        <v/>
      </c>
      <c r="J274" s="35">
        <f>IF($A274&gt;NYears*12,"",$H274*RateB)</f>
        <v/>
      </c>
      <c r="K274" s="35">
        <f>IF($A274&gt;NYears*12,"",IF($D274=1,$J274,$K273+$J274))</f>
        <v/>
      </c>
      <c r="L274" s="35">
        <f>IF($A274&gt;NYears*12,"",IF(MOD($D274,3)=0,SUM($J272:$J274),0))</f>
        <v/>
      </c>
      <c r="M274" s="35">
        <f>IF($A274&gt;NYears*12,"",IF(TaxFreq="Quarterly",$K274*12/$D274,$K274))</f>
        <v/>
      </c>
      <c r="N274" s="36">
        <f>IF($A274&gt;NYears*12,"",LOOKUP($M274,TaxLower,TaxRate))</f>
        <v/>
      </c>
      <c r="O274" s="35">
        <f>IF($A274&gt;NYears*12,"",IF(TaxFreq="Quarterly",IF(MOD($D274,3)=0,$L274*$N274,0),IF($D274=12,$K274*$N274,0)))</f>
        <v/>
      </c>
      <c r="P274" s="35">
        <f>IF($A274&gt;NYears*12,"",IF($D274=1,$O274,$P273+$O274))</f>
        <v/>
      </c>
      <c r="Q274" s="35">
        <f>IF($A274&gt;NYears*12,"",IF($D274=12,MIN(WdrPct*IF(WdrBase="Post-tax profit",$K274-$P274,$K274),WdrCap),0))</f>
        <v/>
      </c>
      <c r="R274" s="35">
        <f>IF($A274&gt;NYears*12,"",$F274+$J274-$O274-$Q274)</f>
        <v/>
      </c>
      <c r="S274" s="33">
        <f>IF($A274&gt;NYears*12,"",INT($R274/$E274))</f>
        <v/>
      </c>
    </row>
    <row r="275">
      <c r="A275" s="33">
        <f>271</f>
        <v/>
      </c>
      <c r="B275" s="34">
        <f>IF($A275&gt;NYears*12,"",EDATE(StartMonth,$A275-1))</f>
        <v/>
      </c>
      <c r="C275" s="33">
        <f>IF($A275&gt;NYears*12,"",INT(($A275-1)/12)+1)</f>
        <v/>
      </c>
      <c r="D275" s="33">
        <f>IF($A275&gt;NYears*12,"",MOD($A275-1,12)+1)</f>
        <v/>
      </c>
      <c r="E275" s="35">
        <f>IF($A275&gt;NYears*12,"",LotValue0*(1+LotGrowth)^($C275-1))</f>
        <v/>
      </c>
      <c r="F275" s="35">
        <f>IF($A275&gt;NYears*12,"",IF($A275=1,InitInvest,$R274))</f>
        <v/>
      </c>
      <c r="G275" s="33">
        <f>IF($A275&gt;NYears*12,"",INT($F275/$E275))</f>
        <v/>
      </c>
      <c r="H275" s="35">
        <f>IF($A275&gt;NYears*12,"",$G275*$E275)</f>
        <v/>
      </c>
      <c r="I275" s="35">
        <f>IF($A275&gt;NYears*12,"",$F275-$H275)</f>
        <v/>
      </c>
      <c r="J275" s="35">
        <f>IF($A275&gt;NYears*12,"",$H275*RateB)</f>
        <v/>
      </c>
      <c r="K275" s="35">
        <f>IF($A275&gt;NYears*12,"",IF($D275=1,$J275,$K274+$J275))</f>
        <v/>
      </c>
      <c r="L275" s="35">
        <f>IF($A275&gt;NYears*12,"",IF(MOD($D275,3)=0,SUM($J273:$J275),0))</f>
        <v/>
      </c>
      <c r="M275" s="35">
        <f>IF($A275&gt;NYears*12,"",IF(TaxFreq="Quarterly",$K275*12/$D275,$K275))</f>
        <v/>
      </c>
      <c r="N275" s="36">
        <f>IF($A275&gt;NYears*12,"",LOOKUP($M275,TaxLower,TaxRate))</f>
        <v/>
      </c>
      <c r="O275" s="35">
        <f>IF($A275&gt;NYears*12,"",IF(TaxFreq="Quarterly",IF(MOD($D275,3)=0,$L275*$N275,0),IF($D275=12,$K275*$N275,0)))</f>
        <v/>
      </c>
      <c r="P275" s="35">
        <f>IF($A275&gt;NYears*12,"",IF($D275=1,$O275,$P274+$O275))</f>
        <v/>
      </c>
      <c r="Q275" s="35">
        <f>IF($A275&gt;NYears*12,"",IF($D275=12,MIN(WdrPct*IF(WdrBase="Post-tax profit",$K275-$P275,$K275),WdrCap),0))</f>
        <v/>
      </c>
      <c r="R275" s="35">
        <f>IF($A275&gt;NYears*12,"",$F275+$J275-$O275-$Q275)</f>
        <v/>
      </c>
      <c r="S275" s="33">
        <f>IF($A275&gt;NYears*12,"",INT($R275/$E275))</f>
        <v/>
      </c>
    </row>
    <row r="276">
      <c r="A276" s="33">
        <f>272</f>
        <v/>
      </c>
      <c r="B276" s="34">
        <f>IF($A276&gt;NYears*12,"",EDATE(StartMonth,$A276-1))</f>
        <v/>
      </c>
      <c r="C276" s="33">
        <f>IF($A276&gt;NYears*12,"",INT(($A276-1)/12)+1)</f>
        <v/>
      </c>
      <c r="D276" s="33">
        <f>IF($A276&gt;NYears*12,"",MOD($A276-1,12)+1)</f>
        <v/>
      </c>
      <c r="E276" s="35">
        <f>IF($A276&gt;NYears*12,"",LotValue0*(1+LotGrowth)^($C276-1))</f>
        <v/>
      </c>
      <c r="F276" s="35">
        <f>IF($A276&gt;NYears*12,"",IF($A276=1,InitInvest,$R275))</f>
        <v/>
      </c>
      <c r="G276" s="33">
        <f>IF($A276&gt;NYears*12,"",INT($F276/$E276))</f>
        <v/>
      </c>
      <c r="H276" s="35">
        <f>IF($A276&gt;NYears*12,"",$G276*$E276)</f>
        <v/>
      </c>
      <c r="I276" s="35">
        <f>IF($A276&gt;NYears*12,"",$F276-$H276)</f>
        <v/>
      </c>
      <c r="J276" s="35">
        <f>IF($A276&gt;NYears*12,"",$H276*RateB)</f>
        <v/>
      </c>
      <c r="K276" s="35">
        <f>IF($A276&gt;NYears*12,"",IF($D276=1,$J276,$K275+$J276))</f>
        <v/>
      </c>
      <c r="L276" s="35">
        <f>IF($A276&gt;NYears*12,"",IF(MOD($D276,3)=0,SUM($J274:$J276),0))</f>
        <v/>
      </c>
      <c r="M276" s="35">
        <f>IF($A276&gt;NYears*12,"",IF(TaxFreq="Quarterly",$K276*12/$D276,$K276))</f>
        <v/>
      </c>
      <c r="N276" s="36">
        <f>IF($A276&gt;NYears*12,"",LOOKUP($M276,TaxLower,TaxRate))</f>
        <v/>
      </c>
      <c r="O276" s="35">
        <f>IF($A276&gt;NYears*12,"",IF(TaxFreq="Quarterly",IF(MOD($D276,3)=0,$L276*$N276,0),IF($D276=12,$K276*$N276,0)))</f>
        <v/>
      </c>
      <c r="P276" s="35">
        <f>IF($A276&gt;NYears*12,"",IF($D276=1,$O276,$P275+$O276))</f>
        <v/>
      </c>
      <c r="Q276" s="35">
        <f>IF($A276&gt;NYears*12,"",IF($D276=12,MIN(WdrPct*IF(WdrBase="Post-tax profit",$K276-$P276,$K276),WdrCap),0))</f>
        <v/>
      </c>
      <c r="R276" s="35">
        <f>IF($A276&gt;NYears*12,"",$F276+$J276-$O276-$Q276)</f>
        <v/>
      </c>
      <c r="S276" s="33">
        <f>IF($A276&gt;NYears*12,"",INT($R276/$E276))</f>
        <v/>
      </c>
    </row>
    <row r="277">
      <c r="A277" s="33">
        <f>273</f>
        <v/>
      </c>
      <c r="B277" s="34">
        <f>IF($A277&gt;NYears*12,"",EDATE(StartMonth,$A277-1))</f>
        <v/>
      </c>
      <c r="C277" s="33">
        <f>IF($A277&gt;NYears*12,"",INT(($A277-1)/12)+1)</f>
        <v/>
      </c>
      <c r="D277" s="33">
        <f>IF($A277&gt;NYears*12,"",MOD($A277-1,12)+1)</f>
        <v/>
      </c>
      <c r="E277" s="35">
        <f>IF($A277&gt;NYears*12,"",LotValue0*(1+LotGrowth)^($C277-1))</f>
        <v/>
      </c>
      <c r="F277" s="35">
        <f>IF($A277&gt;NYears*12,"",IF($A277=1,InitInvest,$R276))</f>
        <v/>
      </c>
      <c r="G277" s="33">
        <f>IF($A277&gt;NYears*12,"",INT($F277/$E277))</f>
        <v/>
      </c>
      <c r="H277" s="35">
        <f>IF($A277&gt;NYears*12,"",$G277*$E277)</f>
        <v/>
      </c>
      <c r="I277" s="35">
        <f>IF($A277&gt;NYears*12,"",$F277-$H277)</f>
        <v/>
      </c>
      <c r="J277" s="35">
        <f>IF($A277&gt;NYears*12,"",$H277*RateB)</f>
        <v/>
      </c>
      <c r="K277" s="35">
        <f>IF($A277&gt;NYears*12,"",IF($D277=1,$J277,$K276+$J277))</f>
        <v/>
      </c>
      <c r="L277" s="35">
        <f>IF($A277&gt;NYears*12,"",IF(MOD($D277,3)=0,SUM($J275:$J277),0))</f>
        <v/>
      </c>
      <c r="M277" s="35">
        <f>IF($A277&gt;NYears*12,"",IF(TaxFreq="Quarterly",$K277*12/$D277,$K277))</f>
        <v/>
      </c>
      <c r="N277" s="36">
        <f>IF($A277&gt;NYears*12,"",LOOKUP($M277,TaxLower,TaxRate))</f>
        <v/>
      </c>
      <c r="O277" s="35">
        <f>IF($A277&gt;NYears*12,"",IF(TaxFreq="Quarterly",IF(MOD($D277,3)=0,$L277*$N277,0),IF($D277=12,$K277*$N277,0)))</f>
        <v/>
      </c>
      <c r="P277" s="35">
        <f>IF($A277&gt;NYears*12,"",IF($D277=1,$O277,$P276+$O277))</f>
        <v/>
      </c>
      <c r="Q277" s="35">
        <f>IF($A277&gt;NYears*12,"",IF($D277=12,MIN(WdrPct*IF(WdrBase="Post-tax profit",$K277-$P277,$K277),WdrCap),0))</f>
        <v/>
      </c>
      <c r="R277" s="35">
        <f>IF($A277&gt;NYears*12,"",$F277+$J277-$O277-$Q277)</f>
        <v/>
      </c>
      <c r="S277" s="33">
        <f>IF($A277&gt;NYears*12,"",INT($R277/$E277))</f>
        <v/>
      </c>
    </row>
    <row r="278">
      <c r="A278" s="33">
        <f>274</f>
        <v/>
      </c>
      <c r="B278" s="34">
        <f>IF($A278&gt;NYears*12,"",EDATE(StartMonth,$A278-1))</f>
        <v/>
      </c>
      <c r="C278" s="33">
        <f>IF($A278&gt;NYears*12,"",INT(($A278-1)/12)+1)</f>
        <v/>
      </c>
      <c r="D278" s="33">
        <f>IF($A278&gt;NYears*12,"",MOD($A278-1,12)+1)</f>
        <v/>
      </c>
      <c r="E278" s="35">
        <f>IF($A278&gt;NYears*12,"",LotValue0*(1+LotGrowth)^($C278-1))</f>
        <v/>
      </c>
      <c r="F278" s="35">
        <f>IF($A278&gt;NYears*12,"",IF($A278=1,InitInvest,$R277))</f>
        <v/>
      </c>
      <c r="G278" s="33">
        <f>IF($A278&gt;NYears*12,"",INT($F278/$E278))</f>
        <v/>
      </c>
      <c r="H278" s="35">
        <f>IF($A278&gt;NYears*12,"",$G278*$E278)</f>
        <v/>
      </c>
      <c r="I278" s="35">
        <f>IF($A278&gt;NYears*12,"",$F278-$H278)</f>
        <v/>
      </c>
      <c r="J278" s="35">
        <f>IF($A278&gt;NYears*12,"",$H278*RateB)</f>
        <v/>
      </c>
      <c r="K278" s="35">
        <f>IF($A278&gt;NYears*12,"",IF($D278=1,$J278,$K277+$J278))</f>
        <v/>
      </c>
      <c r="L278" s="35">
        <f>IF($A278&gt;NYears*12,"",IF(MOD($D278,3)=0,SUM($J276:$J278),0))</f>
        <v/>
      </c>
      <c r="M278" s="35">
        <f>IF($A278&gt;NYears*12,"",IF(TaxFreq="Quarterly",$K278*12/$D278,$K278))</f>
        <v/>
      </c>
      <c r="N278" s="36">
        <f>IF($A278&gt;NYears*12,"",LOOKUP($M278,TaxLower,TaxRate))</f>
        <v/>
      </c>
      <c r="O278" s="35">
        <f>IF($A278&gt;NYears*12,"",IF(TaxFreq="Quarterly",IF(MOD($D278,3)=0,$L278*$N278,0),IF($D278=12,$K278*$N278,0)))</f>
        <v/>
      </c>
      <c r="P278" s="35">
        <f>IF($A278&gt;NYears*12,"",IF($D278=1,$O278,$P277+$O278))</f>
        <v/>
      </c>
      <c r="Q278" s="35">
        <f>IF($A278&gt;NYears*12,"",IF($D278=12,MIN(WdrPct*IF(WdrBase="Post-tax profit",$K278-$P278,$K278),WdrCap),0))</f>
        <v/>
      </c>
      <c r="R278" s="35">
        <f>IF($A278&gt;NYears*12,"",$F278+$J278-$O278-$Q278)</f>
        <v/>
      </c>
      <c r="S278" s="33">
        <f>IF($A278&gt;NYears*12,"",INT($R278/$E278))</f>
        <v/>
      </c>
    </row>
    <row r="279">
      <c r="A279" s="33">
        <f>275</f>
        <v/>
      </c>
      <c r="B279" s="34">
        <f>IF($A279&gt;NYears*12,"",EDATE(StartMonth,$A279-1))</f>
        <v/>
      </c>
      <c r="C279" s="33">
        <f>IF($A279&gt;NYears*12,"",INT(($A279-1)/12)+1)</f>
        <v/>
      </c>
      <c r="D279" s="33">
        <f>IF($A279&gt;NYears*12,"",MOD($A279-1,12)+1)</f>
        <v/>
      </c>
      <c r="E279" s="35">
        <f>IF($A279&gt;NYears*12,"",LotValue0*(1+LotGrowth)^($C279-1))</f>
        <v/>
      </c>
      <c r="F279" s="35">
        <f>IF($A279&gt;NYears*12,"",IF($A279=1,InitInvest,$R278))</f>
        <v/>
      </c>
      <c r="G279" s="33">
        <f>IF($A279&gt;NYears*12,"",INT($F279/$E279))</f>
        <v/>
      </c>
      <c r="H279" s="35">
        <f>IF($A279&gt;NYears*12,"",$G279*$E279)</f>
        <v/>
      </c>
      <c r="I279" s="35">
        <f>IF($A279&gt;NYears*12,"",$F279-$H279)</f>
        <v/>
      </c>
      <c r="J279" s="35">
        <f>IF($A279&gt;NYears*12,"",$H279*RateB)</f>
        <v/>
      </c>
      <c r="K279" s="35">
        <f>IF($A279&gt;NYears*12,"",IF($D279=1,$J279,$K278+$J279))</f>
        <v/>
      </c>
      <c r="L279" s="35">
        <f>IF($A279&gt;NYears*12,"",IF(MOD($D279,3)=0,SUM($J277:$J279),0))</f>
        <v/>
      </c>
      <c r="M279" s="35">
        <f>IF($A279&gt;NYears*12,"",IF(TaxFreq="Quarterly",$K279*12/$D279,$K279))</f>
        <v/>
      </c>
      <c r="N279" s="36">
        <f>IF($A279&gt;NYears*12,"",LOOKUP($M279,TaxLower,TaxRate))</f>
        <v/>
      </c>
      <c r="O279" s="35">
        <f>IF($A279&gt;NYears*12,"",IF(TaxFreq="Quarterly",IF(MOD($D279,3)=0,$L279*$N279,0),IF($D279=12,$K279*$N279,0)))</f>
        <v/>
      </c>
      <c r="P279" s="35">
        <f>IF($A279&gt;NYears*12,"",IF($D279=1,$O279,$P278+$O279))</f>
        <v/>
      </c>
      <c r="Q279" s="35">
        <f>IF($A279&gt;NYears*12,"",IF($D279=12,MIN(WdrPct*IF(WdrBase="Post-tax profit",$K279-$P279,$K279),WdrCap),0))</f>
        <v/>
      </c>
      <c r="R279" s="35">
        <f>IF($A279&gt;NYears*12,"",$F279+$J279-$O279-$Q279)</f>
        <v/>
      </c>
      <c r="S279" s="33">
        <f>IF($A279&gt;NYears*12,"",INT($R279/$E279))</f>
        <v/>
      </c>
    </row>
    <row r="280">
      <c r="A280" s="37">
        <f>276</f>
        <v/>
      </c>
      <c r="B280" s="38">
        <f>IF($A280&gt;NYears*12,"",EDATE(StartMonth,$A280-1))</f>
        <v/>
      </c>
      <c r="C280" s="37">
        <f>IF($A280&gt;NYears*12,"",INT(($A280-1)/12)+1)</f>
        <v/>
      </c>
      <c r="D280" s="37">
        <f>IF($A280&gt;NYears*12,"",MOD($A280-1,12)+1)</f>
        <v/>
      </c>
      <c r="E280" s="39">
        <f>IF($A280&gt;NYears*12,"",LotValue0*(1+LotGrowth)^($C280-1))</f>
        <v/>
      </c>
      <c r="F280" s="39">
        <f>IF($A280&gt;NYears*12,"",IF($A280=1,InitInvest,$R279))</f>
        <v/>
      </c>
      <c r="G280" s="37">
        <f>IF($A280&gt;NYears*12,"",INT($F280/$E280))</f>
        <v/>
      </c>
      <c r="H280" s="39">
        <f>IF($A280&gt;NYears*12,"",$G280*$E280)</f>
        <v/>
      </c>
      <c r="I280" s="39">
        <f>IF($A280&gt;NYears*12,"",$F280-$H280)</f>
        <v/>
      </c>
      <c r="J280" s="39">
        <f>IF($A280&gt;NYears*12,"",$H280*RateB)</f>
        <v/>
      </c>
      <c r="K280" s="39">
        <f>IF($A280&gt;NYears*12,"",IF($D280=1,$J280,$K279+$J280))</f>
        <v/>
      </c>
      <c r="L280" s="39">
        <f>IF($A280&gt;NYears*12,"",IF(MOD($D280,3)=0,SUM($J278:$J280),0))</f>
        <v/>
      </c>
      <c r="M280" s="39">
        <f>IF($A280&gt;NYears*12,"",IF(TaxFreq="Quarterly",$K280*12/$D280,$K280))</f>
        <v/>
      </c>
      <c r="N280" s="40">
        <f>IF($A280&gt;NYears*12,"",LOOKUP($M280,TaxLower,TaxRate))</f>
        <v/>
      </c>
      <c r="O280" s="39">
        <f>IF($A280&gt;NYears*12,"",IF(TaxFreq="Quarterly",IF(MOD($D280,3)=0,$L280*$N280,0),IF($D280=12,$K280*$N280,0)))</f>
        <v/>
      </c>
      <c r="P280" s="39">
        <f>IF($A280&gt;NYears*12,"",IF($D280=1,$O280,$P279+$O280))</f>
        <v/>
      </c>
      <c r="Q280" s="39">
        <f>IF($A280&gt;NYears*12,"",IF($D280=12,MIN(WdrPct*IF(WdrBase="Post-tax profit",$K280-$P280,$K280),WdrCap),0))</f>
        <v/>
      </c>
      <c r="R280" s="39">
        <f>IF($A280&gt;NYears*12,"",$F280+$J280-$O280-$Q280)</f>
        <v/>
      </c>
      <c r="S280" s="37">
        <f>IF($A280&gt;NYears*12,"",INT($R280/$E280))</f>
        <v/>
      </c>
    </row>
    <row r="281">
      <c r="A281" s="33">
        <f>277</f>
        <v/>
      </c>
      <c r="B281" s="34">
        <f>IF($A281&gt;NYears*12,"",EDATE(StartMonth,$A281-1))</f>
        <v/>
      </c>
      <c r="C281" s="33">
        <f>IF($A281&gt;NYears*12,"",INT(($A281-1)/12)+1)</f>
        <v/>
      </c>
      <c r="D281" s="33">
        <f>IF($A281&gt;NYears*12,"",MOD($A281-1,12)+1)</f>
        <v/>
      </c>
      <c r="E281" s="35">
        <f>IF($A281&gt;NYears*12,"",LotValue0*(1+LotGrowth)^($C281-1))</f>
        <v/>
      </c>
      <c r="F281" s="35">
        <f>IF($A281&gt;NYears*12,"",IF($A281=1,InitInvest,$R280))</f>
        <v/>
      </c>
      <c r="G281" s="33">
        <f>IF($A281&gt;NYears*12,"",INT($F281/$E281))</f>
        <v/>
      </c>
      <c r="H281" s="35">
        <f>IF($A281&gt;NYears*12,"",$G281*$E281)</f>
        <v/>
      </c>
      <c r="I281" s="35">
        <f>IF($A281&gt;NYears*12,"",$F281-$H281)</f>
        <v/>
      </c>
      <c r="J281" s="35">
        <f>IF($A281&gt;NYears*12,"",$H281*RateB)</f>
        <v/>
      </c>
      <c r="K281" s="35">
        <f>IF($A281&gt;NYears*12,"",IF($D281=1,$J281,$K280+$J281))</f>
        <v/>
      </c>
      <c r="L281" s="35">
        <f>IF($A281&gt;NYears*12,"",IF(MOD($D281,3)=0,SUM($J279:$J281),0))</f>
        <v/>
      </c>
      <c r="M281" s="35">
        <f>IF($A281&gt;NYears*12,"",IF(TaxFreq="Quarterly",$K281*12/$D281,$K281))</f>
        <v/>
      </c>
      <c r="N281" s="36">
        <f>IF($A281&gt;NYears*12,"",LOOKUP($M281,TaxLower,TaxRate))</f>
        <v/>
      </c>
      <c r="O281" s="35">
        <f>IF($A281&gt;NYears*12,"",IF(TaxFreq="Quarterly",IF(MOD($D281,3)=0,$L281*$N281,0),IF($D281=12,$K281*$N281,0)))</f>
        <v/>
      </c>
      <c r="P281" s="35">
        <f>IF($A281&gt;NYears*12,"",IF($D281=1,$O281,$P280+$O281))</f>
        <v/>
      </c>
      <c r="Q281" s="35">
        <f>IF($A281&gt;NYears*12,"",IF($D281=12,MIN(WdrPct*IF(WdrBase="Post-tax profit",$K281-$P281,$K281),WdrCap),0))</f>
        <v/>
      </c>
      <c r="R281" s="35">
        <f>IF($A281&gt;NYears*12,"",$F281+$J281-$O281-$Q281)</f>
        <v/>
      </c>
      <c r="S281" s="33">
        <f>IF($A281&gt;NYears*12,"",INT($R281/$E281))</f>
        <v/>
      </c>
    </row>
    <row r="282">
      <c r="A282" s="33">
        <f>278</f>
        <v/>
      </c>
      <c r="B282" s="34">
        <f>IF($A282&gt;NYears*12,"",EDATE(StartMonth,$A282-1))</f>
        <v/>
      </c>
      <c r="C282" s="33">
        <f>IF($A282&gt;NYears*12,"",INT(($A282-1)/12)+1)</f>
        <v/>
      </c>
      <c r="D282" s="33">
        <f>IF($A282&gt;NYears*12,"",MOD($A282-1,12)+1)</f>
        <v/>
      </c>
      <c r="E282" s="35">
        <f>IF($A282&gt;NYears*12,"",LotValue0*(1+LotGrowth)^($C282-1))</f>
        <v/>
      </c>
      <c r="F282" s="35">
        <f>IF($A282&gt;NYears*12,"",IF($A282=1,InitInvest,$R281))</f>
        <v/>
      </c>
      <c r="G282" s="33">
        <f>IF($A282&gt;NYears*12,"",INT($F282/$E282))</f>
        <v/>
      </c>
      <c r="H282" s="35">
        <f>IF($A282&gt;NYears*12,"",$G282*$E282)</f>
        <v/>
      </c>
      <c r="I282" s="35">
        <f>IF($A282&gt;NYears*12,"",$F282-$H282)</f>
        <v/>
      </c>
      <c r="J282" s="35">
        <f>IF($A282&gt;NYears*12,"",$H282*RateB)</f>
        <v/>
      </c>
      <c r="K282" s="35">
        <f>IF($A282&gt;NYears*12,"",IF($D282=1,$J282,$K281+$J282))</f>
        <v/>
      </c>
      <c r="L282" s="35">
        <f>IF($A282&gt;NYears*12,"",IF(MOD($D282,3)=0,SUM($J280:$J282),0))</f>
        <v/>
      </c>
      <c r="M282" s="35">
        <f>IF($A282&gt;NYears*12,"",IF(TaxFreq="Quarterly",$K282*12/$D282,$K282))</f>
        <v/>
      </c>
      <c r="N282" s="36">
        <f>IF($A282&gt;NYears*12,"",LOOKUP($M282,TaxLower,TaxRate))</f>
        <v/>
      </c>
      <c r="O282" s="35">
        <f>IF($A282&gt;NYears*12,"",IF(TaxFreq="Quarterly",IF(MOD($D282,3)=0,$L282*$N282,0),IF($D282=12,$K282*$N282,0)))</f>
        <v/>
      </c>
      <c r="P282" s="35">
        <f>IF($A282&gt;NYears*12,"",IF($D282=1,$O282,$P281+$O282))</f>
        <v/>
      </c>
      <c r="Q282" s="35">
        <f>IF($A282&gt;NYears*12,"",IF($D282=12,MIN(WdrPct*IF(WdrBase="Post-tax profit",$K282-$P282,$K282),WdrCap),0))</f>
        <v/>
      </c>
      <c r="R282" s="35">
        <f>IF($A282&gt;NYears*12,"",$F282+$J282-$O282-$Q282)</f>
        <v/>
      </c>
      <c r="S282" s="33">
        <f>IF($A282&gt;NYears*12,"",INT($R282/$E282))</f>
        <v/>
      </c>
    </row>
    <row r="283">
      <c r="A283" s="33">
        <f>279</f>
        <v/>
      </c>
      <c r="B283" s="34">
        <f>IF($A283&gt;NYears*12,"",EDATE(StartMonth,$A283-1))</f>
        <v/>
      </c>
      <c r="C283" s="33">
        <f>IF($A283&gt;NYears*12,"",INT(($A283-1)/12)+1)</f>
        <v/>
      </c>
      <c r="D283" s="33">
        <f>IF($A283&gt;NYears*12,"",MOD($A283-1,12)+1)</f>
        <v/>
      </c>
      <c r="E283" s="35">
        <f>IF($A283&gt;NYears*12,"",LotValue0*(1+LotGrowth)^($C283-1))</f>
        <v/>
      </c>
      <c r="F283" s="35">
        <f>IF($A283&gt;NYears*12,"",IF($A283=1,InitInvest,$R282))</f>
        <v/>
      </c>
      <c r="G283" s="33">
        <f>IF($A283&gt;NYears*12,"",INT($F283/$E283))</f>
        <v/>
      </c>
      <c r="H283" s="35">
        <f>IF($A283&gt;NYears*12,"",$G283*$E283)</f>
        <v/>
      </c>
      <c r="I283" s="35">
        <f>IF($A283&gt;NYears*12,"",$F283-$H283)</f>
        <v/>
      </c>
      <c r="J283" s="35">
        <f>IF($A283&gt;NYears*12,"",$H283*RateB)</f>
        <v/>
      </c>
      <c r="K283" s="35">
        <f>IF($A283&gt;NYears*12,"",IF($D283=1,$J283,$K282+$J283))</f>
        <v/>
      </c>
      <c r="L283" s="35">
        <f>IF($A283&gt;NYears*12,"",IF(MOD($D283,3)=0,SUM($J281:$J283),0))</f>
        <v/>
      </c>
      <c r="M283" s="35">
        <f>IF($A283&gt;NYears*12,"",IF(TaxFreq="Quarterly",$K283*12/$D283,$K283))</f>
        <v/>
      </c>
      <c r="N283" s="36">
        <f>IF($A283&gt;NYears*12,"",LOOKUP($M283,TaxLower,TaxRate))</f>
        <v/>
      </c>
      <c r="O283" s="35">
        <f>IF($A283&gt;NYears*12,"",IF(TaxFreq="Quarterly",IF(MOD($D283,3)=0,$L283*$N283,0),IF($D283=12,$K283*$N283,0)))</f>
        <v/>
      </c>
      <c r="P283" s="35">
        <f>IF($A283&gt;NYears*12,"",IF($D283=1,$O283,$P282+$O283))</f>
        <v/>
      </c>
      <c r="Q283" s="35">
        <f>IF($A283&gt;NYears*12,"",IF($D283=12,MIN(WdrPct*IF(WdrBase="Post-tax profit",$K283-$P283,$K283),WdrCap),0))</f>
        <v/>
      </c>
      <c r="R283" s="35">
        <f>IF($A283&gt;NYears*12,"",$F283+$J283-$O283-$Q283)</f>
        <v/>
      </c>
      <c r="S283" s="33">
        <f>IF($A283&gt;NYears*12,"",INT($R283/$E283))</f>
        <v/>
      </c>
    </row>
    <row r="284">
      <c r="A284" s="33">
        <f>280</f>
        <v/>
      </c>
      <c r="B284" s="34">
        <f>IF($A284&gt;NYears*12,"",EDATE(StartMonth,$A284-1))</f>
        <v/>
      </c>
      <c r="C284" s="33">
        <f>IF($A284&gt;NYears*12,"",INT(($A284-1)/12)+1)</f>
        <v/>
      </c>
      <c r="D284" s="33">
        <f>IF($A284&gt;NYears*12,"",MOD($A284-1,12)+1)</f>
        <v/>
      </c>
      <c r="E284" s="35">
        <f>IF($A284&gt;NYears*12,"",LotValue0*(1+LotGrowth)^($C284-1))</f>
        <v/>
      </c>
      <c r="F284" s="35">
        <f>IF($A284&gt;NYears*12,"",IF($A284=1,InitInvest,$R283))</f>
        <v/>
      </c>
      <c r="G284" s="33">
        <f>IF($A284&gt;NYears*12,"",INT($F284/$E284))</f>
        <v/>
      </c>
      <c r="H284" s="35">
        <f>IF($A284&gt;NYears*12,"",$G284*$E284)</f>
        <v/>
      </c>
      <c r="I284" s="35">
        <f>IF($A284&gt;NYears*12,"",$F284-$H284)</f>
        <v/>
      </c>
      <c r="J284" s="35">
        <f>IF($A284&gt;NYears*12,"",$H284*RateB)</f>
        <v/>
      </c>
      <c r="K284" s="35">
        <f>IF($A284&gt;NYears*12,"",IF($D284=1,$J284,$K283+$J284))</f>
        <v/>
      </c>
      <c r="L284" s="35">
        <f>IF($A284&gt;NYears*12,"",IF(MOD($D284,3)=0,SUM($J282:$J284),0))</f>
        <v/>
      </c>
      <c r="M284" s="35">
        <f>IF($A284&gt;NYears*12,"",IF(TaxFreq="Quarterly",$K284*12/$D284,$K284))</f>
        <v/>
      </c>
      <c r="N284" s="36">
        <f>IF($A284&gt;NYears*12,"",LOOKUP($M284,TaxLower,TaxRate))</f>
        <v/>
      </c>
      <c r="O284" s="35">
        <f>IF($A284&gt;NYears*12,"",IF(TaxFreq="Quarterly",IF(MOD($D284,3)=0,$L284*$N284,0),IF($D284=12,$K284*$N284,0)))</f>
        <v/>
      </c>
      <c r="P284" s="35">
        <f>IF($A284&gt;NYears*12,"",IF($D284=1,$O284,$P283+$O284))</f>
        <v/>
      </c>
      <c r="Q284" s="35">
        <f>IF($A284&gt;NYears*12,"",IF($D284=12,MIN(WdrPct*IF(WdrBase="Post-tax profit",$K284-$P284,$K284),WdrCap),0))</f>
        <v/>
      </c>
      <c r="R284" s="35">
        <f>IF($A284&gt;NYears*12,"",$F284+$J284-$O284-$Q284)</f>
        <v/>
      </c>
      <c r="S284" s="33">
        <f>IF($A284&gt;NYears*12,"",INT($R284/$E284))</f>
        <v/>
      </c>
    </row>
    <row r="285">
      <c r="A285" s="33">
        <f>281</f>
        <v/>
      </c>
      <c r="B285" s="34">
        <f>IF($A285&gt;NYears*12,"",EDATE(StartMonth,$A285-1))</f>
        <v/>
      </c>
      <c r="C285" s="33">
        <f>IF($A285&gt;NYears*12,"",INT(($A285-1)/12)+1)</f>
        <v/>
      </c>
      <c r="D285" s="33">
        <f>IF($A285&gt;NYears*12,"",MOD($A285-1,12)+1)</f>
        <v/>
      </c>
      <c r="E285" s="35">
        <f>IF($A285&gt;NYears*12,"",LotValue0*(1+LotGrowth)^($C285-1))</f>
        <v/>
      </c>
      <c r="F285" s="35">
        <f>IF($A285&gt;NYears*12,"",IF($A285=1,InitInvest,$R284))</f>
        <v/>
      </c>
      <c r="G285" s="33">
        <f>IF($A285&gt;NYears*12,"",INT($F285/$E285))</f>
        <v/>
      </c>
      <c r="H285" s="35">
        <f>IF($A285&gt;NYears*12,"",$G285*$E285)</f>
        <v/>
      </c>
      <c r="I285" s="35">
        <f>IF($A285&gt;NYears*12,"",$F285-$H285)</f>
        <v/>
      </c>
      <c r="J285" s="35">
        <f>IF($A285&gt;NYears*12,"",$H285*RateB)</f>
        <v/>
      </c>
      <c r="K285" s="35">
        <f>IF($A285&gt;NYears*12,"",IF($D285=1,$J285,$K284+$J285))</f>
        <v/>
      </c>
      <c r="L285" s="35">
        <f>IF($A285&gt;NYears*12,"",IF(MOD($D285,3)=0,SUM($J283:$J285),0))</f>
        <v/>
      </c>
      <c r="M285" s="35">
        <f>IF($A285&gt;NYears*12,"",IF(TaxFreq="Quarterly",$K285*12/$D285,$K285))</f>
        <v/>
      </c>
      <c r="N285" s="36">
        <f>IF($A285&gt;NYears*12,"",LOOKUP($M285,TaxLower,TaxRate))</f>
        <v/>
      </c>
      <c r="O285" s="35">
        <f>IF($A285&gt;NYears*12,"",IF(TaxFreq="Quarterly",IF(MOD($D285,3)=0,$L285*$N285,0),IF($D285=12,$K285*$N285,0)))</f>
        <v/>
      </c>
      <c r="P285" s="35">
        <f>IF($A285&gt;NYears*12,"",IF($D285=1,$O285,$P284+$O285))</f>
        <v/>
      </c>
      <c r="Q285" s="35">
        <f>IF($A285&gt;NYears*12,"",IF($D285=12,MIN(WdrPct*IF(WdrBase="Post-tax profit",$K285-$P285,$K285),WdrCap),0))</f>
        <v/>
      </c>
      <c r="R285" s="35">
        <f>IF($A285&gt;NYears*12,"",$F285+$J285-$O285-$Q285)</f>
        <v/>
      </c>
      <c r="S285" s="33">
        <f>IF($A285&gt;NYears*12,"",INT($R285/$E285))</f>
        <v/>
      </c>
    </row>
    <row r="286">
      <c r="A286" s="33">
        <f>282</f>
        <v/>
      </c>
      <c r="B286" s="34">
        <f>IF($A286&gt;NYears*12,"",EDATE(StartMonth,$A286-1))</f>
        <v/>
      </c>
      <c r="C286" s="33">
        <f>IF($A286&gt;NYears*12,"",INT(($A286-1)/12)+1)</f>
        <v/>
      </c>
      <c r="D286" s="33">
        <f>IF($A286&gt;NYears*12,"",MOD($A286-1,12)+1)</f>
        <v/>
      </c>
      <c r="E286" s="35">
        <f>IF($A286&gt;NYears*12,"",LotValue0*(1+LotGrowth)^($C286-1))</f>
        <v/>
      </c>
      <c r="F286" s="35">
        <f>IF($A286&gt;NYears*12,"",IF($A286=1,InitInvest,$R285))</f>
        <v/>
      </c>
      <c r="G286" s="33">
        <f>IF($A286&gt;NYears*12,"",INT($F286/$E286))</f>
        <v/>
      </c>
      <c r="H286" s="35">
        <f>IF($A286&gt;NYears*12,"",$G286*$E286)</f>
        <v/>
      </c>
      <c r="I286" s="35">
        <f>IF($A286&gt;NYears*12,"",$F286-$H286)</f>
        <v/>
      </c>
      <c r="J286" s="35">
        <f>IF($A286&gt;NYears*12,"",$H286*RateB)</f>
        <v/>
      </c>
      <c r="K286" s="35">
        <f>IF($A286&gt;NYears*12,"",IF($D286=1,$J286,$K285+$J286))</f>
        <v/>
      </c>
      <c r="L286" s="35">
        <f>IF($A286&gt;NYears*12,"",IF(MOD($D286,3)=0,SUM($J284:$J286),0))</f>
        <v/>
      </c>
      <c r="M286" s="35">
        <f>IF($A286&gt;NYears*12,"",IF(TaxFreq="Quarterly",$K286*12/$D286,$K286))</f>
        <v/>
      </c>
      <c r="N286" s="36">
        <f>IF($A286&gt;NYears*12,"",LOOKUP($M286,TaxLower,TaxRate))</f>
        <v/>
      </c>
      <c r="O286" s="35">
        <f>IF($A286&gt;NYears*12,"",IF(TaxFreq="Quarterly",IF(MOD($D286,3)=0,$L286*$N286,0),IF($D286=12,$K286*$N286,0)))</f>
        <v/>
      </c>
      <c r="P286" s="35">
        <f>IF($A286&gt;NYears*12,"",IF($D286=1,$O286,$P285+$O286))</f>
        <v/>
      </c>
      <c r="Q286" s="35">
        <f>IF($A286&gt;NYears*12,"",IF($D286=12,MIN(WdrPct*IF(WdrBase="Post-tax profit",$K286-$P286,$K286),WdrCap),0))</f>
        <v/>
      </c>
      <c r="R286" s="35">
        <f>IF($A286&gt;NYears*12,"",$F286+$J286-$O286-$Q286)</f>
        <v/>
      </c>
      <c r="S286" s="33">
        <f>IF($A286&gt;NYears*12,"",INT($R286/$E286))</f>
        <v/>
      </c>
    </row>
    <row r="287">
      <c r="A287" s="33">
        <f>283</f>
        <v/>
      </c>
      <c r="B287" s="34">
        <f>IF($A287&gt;NYears*12,"",EDATE(StartMonth,$A287-1))</f>
        <v/>
      </c>
      <c r="C287" s="33">
        <f>IF($A287&gt;NYears*12,"",INT(($A287-1)/12)+1)</f>
        <v/>
      </c>
      <c r="D287" s="33">
        <f>IF($A287&gt;NYears*12,"",MOD($A287-1,12)+1)</f>
        <v/>
      </c>
      <c r="E287" s="35">
        <f>IF($A287&gt;NYears*12,"",LotValue0*(1+LotGrowth)^($C287-1))</f>
        <v/>
      </c>
      <c r="F287" s="35">
        <f>IF($A287&gt;NYears*12,"",IF($A287=1,InitInvest,$R286))</f>
        <v/>
      </c>
      <c r="G287" s="33">
        <f>IF($A287&gt;NYears*12,"",INT($F287/$E287))</f>
        <v/>
      </c>
      <c r="H287" s="35">
        <f>IF($A287&gt;NYears*12,"",$G287*$E287)</f>
        <v/>
      </c>
      <c r="I287" s="35">
        <f>IF($A287&gt;NYears*12,"",$F287-$H287)</f>
        <v/>
      </c>
      <c r="J287" s="35">
        <f>IF($A287&gt;NYears*12,"",$H287*RateB)</f>
        <v/>
      </c>
      <c r="K287" s="35">
        <f>IF($A287&gt;NYears*12,"",IF($D287=1,$J287,$K286+$J287))</f>
        <v/>
      </c>
      <c r="L287" s="35">
        <f>IF($A287&gt;NYears*12,"",IF(MOD($D287,3)=0,SUM($J285:$J287),0))</f>
        <v/>
      </c>
      <c r="M287" s="35">
        <f>IF($A287&gt;NYears*12,"",IF(TaxFreq="Quarterly",$K287*12/$D287,$K287))</f>
        <v/>
      </c>
      <c r="N287" s="36">
        <f>IF($A287&gt;NYears*12,"",LOOKUP($M287,TaxLower,TaxRate))</f>
        <v/>
      </c>
      <c r="O287" s="35">
        <f>IF($A287&gt;NYears*12,"",IF(TaxFreq="Quarterly",IF(MOD($D287,3)=0,$L287*$N287,0),IF($D287=12,$K287*$N287,0)))</f>
        <v/>
      </c>
      <c r="P287" s="35">
        <f>IF($A287&gt;NYears*12,"",IF($D287=1,$O287,$P286+$O287))</f>
        <v/>
      </c>
      <c r="Q287" s="35">
        <f>IF($A287&gt;NYears*12,"",IF($D287=12,MIN(WdrPct*IF(WdrBase="Post-tax profit",$K287-$P287,$K287),WdrCap),0))</f>
        <v/>
      </c>
      <c r="R287" s="35">
        <f>IF($A287&gt;NYears*12,"",$F287+$J287-$O287-$Q287)</f>
        <v/>
      </c>
      <c r="S287" s="33">
        <f>IF($A287&gt;NYears*12,"",INT($R287/$E287))</f>
        <v/>
      </c>
    </row>
    <row r="288">
      <c r="A288" s="33">
        <f>284</f>
        <v/>
      </c>
      <c r="B288" s="34">
        <f>IF($A288&gt;NYears*12,"",EDATE(StartMonth,$A288-1))</f>
        <v/>
      </c>
      <c r="C288" s="33">
        <f>IF($A288&gt;NYears*12,"",INT(($A288-1)/12)+1)</f>
        <v/>
      </c>
      <c r="D288" s="33">
        <f>IF($A288&gt;NYears*12,"",MOD($A288-1,12)+1)</f>
        <v/>
      </c>
      <c r="E288" s="35">
        <f>IF($A288&gt;NYears*12,"",LotValue0*(1+LotGrowth)^($C288-1))</f>
        <v/>
      </c>
      <c r="F288" s="35">
        <f>IF($A288&gt;NYears*12,"",IF($A288=1,InitInvest,$R287))</f>
        <v/>
      </c>
      <c r="G288" s="33">
        <f>IF($A288&gt;NYears*12,"",INT($F288/$E288))</f>
        <v/>
      </c>
      <c r="H288" s="35">
        <f>IF($A288&gt;NYears*12,"",$G288*$E288)</f>
        <v/>
      </c>
      <c r="I288" s="35">
        <f>IF($A288&gt;NYears*12,"",$F288-$H288)</f>
        <v/>
      </c>
      <c r="J288" s="35">
        <f>IF($A288&gt;NYears*12,"",$H288*RateB)</f>
        <v/>
      </c>
      <c r="K288" s="35">
        <f>IF($A288&gt;NYears*12,"",IF($D288=1,$J288,$K287+$J288))</f>
        <v/>
      </c>
      <c r="L288" s="35">
        <f>IF($A288&gt;NYears*12,"",IF(MOD($D288,3)=0,SUM($J286:$J288),0))</f>
        <v/>
      </c>
      <c r="M288" s="35">
        <f>IF($A288&gt;NYears*12,"",IF(TaxFreq="Quarterly",$K288*12/$D288,$K288))</f>
        <v/>
      </c>
      <c r="N288" s="36">
        <f>IF($A288&gt;NYears*12,"",LOOKUP($M288,TaxLower,TaxRate))</f>
        <v/>
      </c>
      <c r="O288" s="35">
        <f>IF($A288&gt;NYears*12,"",IF(TaxFreq="Quarterly",IF(MOD($D288,3)=0,$L288*$N288,0),IF($D288=12,$K288*$N288,0)))</f>
        <v/>
      </c>
      <c r="P288" s="35">
        <f>IF($A288&gt;NYears*12,"",IF($D288=1,$O288,$P287+$O288))</f>
        <v/>
      </c>
      <c r="Q288" s="35">
        <f>IF($A288&gt;NYears*12,"",IF($D288=12,MIN(WdrPct*IF(WdrBase="Post-tax profit",$K288-$P288,$K288),WdrCap),0))</f>
        <v/>
      </c>
      <c r="R288" s="35">
        <f>IF($A288&gt;NYears*12,"",$F288+$J288-$O288-$Q288)</f>
        <v/>
      </c>
      <c r="S288" s="33">
        <f>IF($A288&gt;NYears*12,"",INT($R288/$E288))</f>
        <v/>
      </c>
    </row>
    <row r="289">
      <c r="A289" s="33">
        <f>285</f>
        <v/>
      </c>
      <c r="B289" s="34">
        <f>IF($A289&gt;NYears*12,"",EDATE(StartMonth,$A289-1))</f>
        <v/>
      </c>
      <c r="C289" s="33">
        <f>IF($A289&gt;NYears*12,"",INT(($A289-1)/12)+1)</f>
        <v/>
      </c>
      <c r="D289" s="33">
        <f>IF($A289&gt;NYears*12,"",MOD($A289-1,12)+1)</f>
        <v/>
      </c>
      <c r="E289" s="35">
        <f>IF($A289&gt;NYears*12,"",LotValue0*(1+LotGrowth)^($C289-1))</f>
        <v/>
      </c>
      <c r="F289" s="35">
        <f>IF($A289&gt;NYears*12,"",IF($A289=1,InitInvest,$R288))</f>
        <v/>
      </c>
      <c r="G289" s="33">
        <f>IF($A289&gt;NYears*12,"",INT($F289/$E289))</f>
        <v/>
      </c>
      <c r="H289" s="35">
        <f>IF($A289&gt;NYears*12,"",$G289*$E289)</f>
        <v/>
      </c>
      <c r="I289" s="35">
        <f>IF($A289&gt;NYears*12,"",$F289-$H289)</f>
        <v/>
      </c>
      <c r="J289" s="35">
        <f>IF($A289&gt;NYears*12,"",$H289*RateB)</f>
        <v/>
      </c>
      <c r="K289" s="35">
        <f>IF($A289&gt;NYears*12,"",IF($D289=1,$J289,$K288+$J289))</f>
        <v/>
      </c>
      <c r="L289" s="35">
        <f>IF($A289&gt;NYears*12,"",IF(MOD($D289,3)=0,SUM($J287:$J289),0))</f>
        <v/>
      </c>
      <c r="M289" s="35">
        <f>IF($A289&gt;NYears*12,"",IF(TaxFreq="Quarterly",$K289*12/$D289,$K289))</f>
        <v/>
      </c>
      <c r="N289" s="36">
        <f>IF($A289&gt;NYears*12,"",LOOKUP($M289,TaxLower,TaxRate))</f>
        <v/>
      </c>
      <c r="O289" s="35">
        <f>IF($A289&gt;NYears*12,"",IF(TaxFreq="Quarterly",IF(MOD($D289,3)=0,$L289*$N289,0),IF($D289=12,$K289*$N289,0)))</f>
        <v/>
      </c>
      <c r="P289" s="35">
        <f>IF($A289&gt;NYears*12,"",IF($D289=1,$O289,$P288+$O289))</f>
        <v/>
      </c>
      <c r="Q289" s="35">
        <f>IF($A289&gt;NYears*12,"",IF($D289=12,MIN(WdrPct*IF(WdrBase="Post-tax profit",$K289-$P289,$K289),WdrCap),0))</f>
        <v/>
      </c>
      <c r="R289" s="35">
        <f>IF($A289&gt;NYears*12,"",$F289+$J289-$O289-$Q289)</f>
        <v/>
      </c>
      <c r="S289" s="33">
        <f>IF($A289&gt;NYears*12,"",INT($R289/$E289))</f>
        <v/>
      </c>
    </row>
    <row r="290">
      <c r="A290" s="33">
        <f>286</f>
        <v/>
      </c>
      <c r="B290" s="34">
        <f>IF($A290&gt;NYears*12,"",EDATE(StartMonth,$A290-1))</f>
        <v/>
      </c>
      <c r="C290" s="33">
        <f>IF($A290&gt;NYears*12,"",INT(($A290-1)/12)+1)</f>
        <v/>
      </c>
      <c r="D290" s="33">
        <f>IF($A290&gt;NYears*12,"",MOD($A290-1,12)+1)</f>
        <v/>
      </c>
      <c r="E290" s="35">
        <f>IF($A290&gt;NYears*12,"",LotValue0*(1+LotGrowth)^($C290-1))</f>
        <v/>
      </c>
      <c r="F290" s="35">
        <f>IF($A290&gt;NYears*12,"",IF($A290=1,InitInvest,$R289))</f>
        <v/>
      </c>
      <c r="G290" s="33">
        <f>IF($A290&gt;NYears*12,"",INT($F290/$E290))</f>
        <v/>
      </c>
      <c r="H290" s="35">
        <f>IF($A290&gt;NYears*12,"",$G290*$E290)</f>
        <v/>
      </c>
      <c r="I290" s="35">
        <f>IF($A290&gt;NYears*12,"",$F290-$H290)</f>
        <v/>
      </c>
      <c r="J290" s="35">
        <f>IF($A290&gt;NYears*12,"",$H290*RateB)</f>
        <v/>
      </c>
      <c r="K290" s="35">
        <f>IF($A290&gt;NYears*12,"",IF($D290=1,$J290,$K289+$J290))</f>
        <v/>
      </c>
      <c r="L290" s="35">
        <f>IF($A290&gt;NYears*12,"",IF(MOD($D290,3)=0,SUM($J288:$J290),0))</f>
        <v/>
      </c>
      <c r="M290" s="35">
        <f>IF($A290&gt;NYears*12,"",IF(TaxFreq="Quarterly",$K290*12/$D290,$K290))</f>
        <v/>
      </c>
      <c r="N290" s="36">
        <f>IF($A290&gt;NYears*12,"",LOOKUP($M290,TaxLower,TaxRate))</f>
        <v/>
      </c>
      <c r="O290" s="35">
        <f>IF($A290&gt;NYears*12,"",IF(TaxFreq="Quarterly",IF(MOD($D290,3)=0,$L290*$N290,0),IF($D290=12,$K290*$N290,0)))</f>
        <v/>
      </c>
      <c r="P290" s="35">
        <f>IF($A290&gt;NYears*12,"",IF($D290=1,$O290,$P289+$O290))</f>
        <v/>
      </c>
      <c r="Q290" s="35">
        <f>IF($A290&gt;NYears*12,"",IF($D290=12,MIN(WdrPct*IF(WdrBase="Post-tax profit",$K290-$P290,$K290),WdrCap),0))</f>
        <v/>
      </c>
      <c r="R290" s="35">
        <f>IF($A290&gt;NYears*12,"",$F290+$J290-$O290-$Q290)</f>
        <v/>
      </c>
      <c r="S290" s="33">
        <f>IF($A290&gt;NYears*12,"",INT($R290/$E290))</f>
        <v/>
      </c>
    </row>
    <row r="291">
      <c r="A291" s="33">
        <f>287</f>
        <v/>
      </c>
      <c r="B291" s="34">
        <f>IF($A291&gt;NYears*12,"",EDATE(StartMonth,$A291-1))</f>
        <v/>
      </c>
      <c r="C291" s="33">
        <f>IF($A291&gt;NYears*12,"",INT(($A291-1)/12)+1)</f>
        <v/>
      </c>
      <c r="D291" s="33">
        <f>IF($A291&gt;NYears*12,"",MOD($A291-1,12)+1)</f>
        <v/>
      </c>
      <c r="E291" s="35">
        <f>IF($A291&gt;NYears*12,"",LotValue0*(1+LotGrowth)^($C291-1))</f>
        <v/>
      </c>
      <c r="F291" s="35">
        <f>IF($A291&gt;NYears*12,"",IF($A291=1,InitInvest,$R290))</f>
        <v/>
      </c>
      <c r="G291" s="33">
        <f>IF($A291&gt;NYears*12,"",INT($F291/$E291))</f>
        <v/>
      </c>
      <c r="H291" s="35">
        <f>IF($A291&gt;NYears*12,"",$G291*$E291)</f>
        <v/>
      </c>
      <c r="I291" s="35">
        <f>IF($A291&gt;NYears*12,"",$F291-$H291)</f>
        <v/>
      </c>
      <c r="J291" s="35">
        <f>IF($A291&gt;NYears*12,"",$H291*RateB)</f>
        <v/>
      </c>
      <c r="K291" s="35">
        <f>IF($A291&gt;NYears*12,"",IF($D291=1,$J291,$K290+$J291))</f>
        <v/>
      </c>
      <c r="L291" s="35">
        <f>IF($A291&gt;NYears*12,"",IF(MOD($D291,3)=0,SUM($J289:$J291),0))</f>
        <v/>
      </c>
      <c r="M291" s="35">
        <f>IF($A291&gt;NYears*12,"",IF(TaxFreq="Quarterly",$K291*12/$D291,$K291))</f>
        <v/>
      </c>
      <c r="N291" s="36">
        <f>IF($A291&gt;NYears*12,"",LOOKUP($M291,TaxLower,TaxRate))</f>
        <v/>
      </c>
      <c r="O291" s="35">
        <f>IF($A291&gt;NYears*12,"",IF(TaxFreq="Quarterly",IF(MOD($D291,3)=0,$L291*$N291,0),IF($D291=12,$K291*$N291,0)))</f>
        <v/>
      </c>
      <c r="P291" s="35">
        <f>IF($A291&gt;NYears*12,"",IF($D291=1,$O291,$P290+$O291))</f>
        <v/>
      </c>
      <c r="Q291" s="35">
        <f>IF($A291&gt;NYears*12,"",IF($D291=12,MIN(WdrPct*IF(WdrBase="Post-tax profit",$K291-$P291,$K291),WdrCap),0))</f>
        <v/>
      </c>
      <c r="R291" s="35">
        <f>IF($A291&gt;NYears*12,"",$F291+$J291-$O291-$Q291)</f>
        <v/>
      </c>
      <c r="S291" s="33">
        <f>IF($A291&gt;NYears*12,"",INT($R291/$E291))</f>
        <v/>
      </c>
    </row>
    <row r="292">
      <c r="A292" s="37">
        <f>288</f>
        <v/>
      </c>
      <c r="B292" s="38">
        <f>IF($A292&gt;NYears*12,"",EDATE(StartMonth,$A292-1))</f>
        <v/>
      </c>
      <c r="C292" s="37">
        <f>IF($A292&gt;NYears*12,"",INT(($A292-1)/12)+1)</f>
        <v/>
      </c>
      <c r="D292" s="37">
        <f>IF($A292&gt;NYears*12,"",MOD($A292-1,12)+1)</f>
        <v/>
      </c>
      <c r="E292" s="39">
        <f>IF($A292&gt;NYears*12,"",LotValue0*(1+LotGrowth)^($C292-1))</f>
        <v/>
      </c>
      <c r="F292" s="39">
        <f>IF($A292&gt;NYears*12,"",IF($A292=1,InitInvest,$R291))</f>
        <v/>
      </c>
      <c r="G292" s="37">
        <f>IF($A292&gt;NYears*12,"",INT($F292/$E292))</f>
        <v/>
      </c>
      <c r="H292" s="39">
        <f>IF($A292&gt;NYears*12,"",$G292*$E292)</f>
        <v/>
      </c>
      <c r="I292" s="39">
        <f>IF($A292&gt;NYears*12,"",$F292-$H292)</f>
        <v/>
      </c>
      <c r="J292" s="39">
        <f>IF($A292&gt;NYears*12,"",$H292*RateB)</f>
        <v/>
      </c>
      <c r="K292" s="39">
        <f>IF($A292&gt;NYears*12,"",IF($D292=1,$J292,$K291+$J292))</f>
        <v/>
      </c>
      <c r="L292" s="39">
        <f>IF($A292&gt;NYears*12,"",IF(MOD($D292,3)=0,SUM($J290:$J292),0))</f>
        <v/>
      </c>
      <c r="M292" s="39">
        <f>IF($A292&gt;NYears*12,"",IF(TaxFreq="Quarterly",$K292*12/$D292,$K292))</f>
        <v/>
      </c>
      <c r="N292" s="40">
        <f>IF($A292&gt;NYears*12,"",LOOKUP($M292,TaxLower,TaxRate))</f>
        <v/>
      </c>
      <c r="O292" s="39">
        <f>IF($A292&gt;NYears*12,"",IF(TaxFreq="Quarterly",IF(MOD($D292,3)=0,$L292*$N292,0),IF($D292=12,$K292*$N292,0)))</f>
        <v/>
      </c>
      <c r="P292" s="39">
        <f>IF($A292&gt;NYears*12,"",IF($D292=1,$O292,$P291+$O292))</f>
        <v/>
      </c>
      <c r="Q292" s="39">
        <f>IF($A292&gt;NYears*12,"",IF($D292=12,MIN(WdrPct*IF(WdrBase="Post-tax profit",$K292-$P292,$K292),WdrCap),0))</f>
        <v/>
      </c>
      <c r="R292" s="39">
        <f>IF($A292&gt;NYears*12,"",$F292+$J292-$O292-$Q292)</f>
        <v/>
      </c>
      <c r="S292" s="37">
        <f>IF($A292&gt;NYears*12,"",INT($R292/$E292))</f>
        <v/>
      </c>
    </row>
    <row r="293">
      <c r="A293" s="33">
        <f>289</f>
        <v/>
      </c>
      <c r="B293" s="34">
        <f>IF($A293&gt;NYears*12,"",EDATE(StartMonth,$A293-1))</f>
        <v/>
      </c>
      <c r="C293" s="33">
        <f>IF($A293&gt;NYears*12,"",INT(($A293-1)/12)+1)</f>
        <v/>
      </c>
      <c r="D293" s="33">
        <f>IF($A293&gt;NYears*12,"",MOD($A293-1,12)+1)</f>
        <v/>
      </c>
      <c r="E293" s="35">
        <f>IF($A293&gt;NYears*12,"",LotValue0*(1+LotGrowth)^($C293-1))</f>
        <v/>
      </c>
      <c r="F293" s="35">
        <f>IF($A293&gt;NYears*12,"",IF($A293=1,InitInvest,$R292))</f>
        <v/>
      </c>
      <c r="G293" s="33">
        <f>IF($A293&gt;NYears*12,"",INT($F293/$E293))</f>
        <v/>
      </c>
      <c r="H293" s="35">
        <f>IF($A293&gt;NYears*12,"",$G293*$E293)</f>
        <v/>
      </c>
      <c r="I293" s="35">
        <f>IF($A293&gt;NYears*12,"",$F293-$H293)</f>
        <v/>
      </c>
      <c r="J293" s="35">
        <f>IF($A293&gt;NYears*12,"",$H293*RateB)</f>
        <v/>
      </c>
      <c r="K293" s="35">
        <f>IF($A293&gt;NYears*12,"",IF($D293=1,$J293,$K292+$J293))</f>
        <v/>
      </c>
      <c r="L293" s="35">
        <f>IF($A293&gt;NYears*12,"",IF(MOD($D293,3)=0,SUM($J291:$J293),0))</f>
        <v/>
      </c>
      <c r="M293" s="35">
        <f>IF($A293&gt;NYears*12,"",IF(TaxFreq="Quarterly",$K293*12/$D293,$K293))</f>
        <v/>
      </c>
      <c r="N293" s="36">
        <f>IF($A293&gt;NYears*12,"",LOOKUP($M293,TaxLower,TaxRate))</f>
        <v/>
      </c>
      <c r="O293" s="35">
        <f>IF($A293&gt;NYears*12,"",IF(TaxFreq="Quarterly",IF(MOD($D293,3)=0,$L293*$N293,0),IF($D293=12,$K293*$N293,0)))</f>
        <v/>
      </c>
      <c r="P293" s="35">
        <f>IF($A293&gt;NYears*12,"",IF($D293=1,$O293,$P292+$O293))</f>
        <v/>
      </c>
      <c r="Q293" s="35">
        <f>IF($A293&gt;NYears*12,"",IF($D293=12,MIN(WdrPct*IF(WdrBase="Post-tax profit",$K293-$P293,$K293),WdrCap),0))</f>
        <v/>
      </c>
      <c r="R293" s="35">
        <f>IF($A293&gt;NYears*12,"",$F293+$J293-$O293-$Q293)</f>
        <v/>
      </c>
      <c r="S293" s="33">
        <f>IF($A293&gt;NYears*12,"",INT($R293/$E293))</f>
        <v/>
      </c>
    </row>
    <row r="294">
      <c r="A294" s="33">
        <f>290</f>
        <v/>
      </c>
      <c r="B294" s="34">
        <f>IF($A294&gt;NYears*12,"",EDATE(StartMonth,$A294-1))</f>
        <v/>
      </c>
      <c r="C294" s="33">
        <f>IF($A294&gt;NYears*12,"",INT(($A294-1)/12)+1)</f>
        <v/>
      </c>
      <c r="D294" s="33">
        <f>IF($A294&gt;NYears*12,"",MOD($A294-1,12)+1)</f>
        <v/>
      </c>
      <c r="E294" s="35">
        <f>IF($A294&gt;NYears*12,"",LotValue0*(1+LotGrowth)^($C294-1))</f>
        <v/>
      </c>
      <c r="F294" s="35">
        <f>IF($A294&gt;NYears*12,"",IF($A294=1,InitInvest,$R293))</f>
        <v/>
      </c>
      <c r="G294" s="33">
        <f>IF($A294&gt;NYears*12,"",INT($F294/$E294))</f>
        <v/>
      </c>
      <c r="H294" s="35">
        <f>IF($A294&gt;NYears*12,"",$G294*$E294)</f>
        <v/>
      </c>
      <c r="I294" s="35">
        <f>IF($A294&gt;NYears*12,"",$F294-$H294)</f>
        <v/>
      </c>
      <c r="J294" s="35">
        <f>IF($A294&gt;NYears*12,"",$H294*RateB)</f>
        <v/>
      </c>
      <c r="K294" s="35">
        <f>IF($A294&gt;NYears*12,"",IF($D294=1,$J294,$K293+$J294))</f>
        <v/>
      </c>
      <c r="L294" s="35">
        <f>IF($A294&gt;NYears*12,"",IF(MOD($D294,3)=0,SUM($J292:$J294),0))</f>
        <v/>
      </c>
      <c r="M294" s="35">
        <f>IF($A294&gt;NYears*12,"",IF(TaxFreq="Quarterly",$K294*12/$D294,$K294))</f>
        <v/>
      </c>
      <c r="N294" s="36">
        <f>IF($A294&gt;NYears*12,"",LOOKUP($M294,TaxLower,TaxRate))</f>
        <v/>
      </c>
      <c r="O294" s="35">
        <f>IF($A294&gt;NYears*12,"",IF(TaxFreq="Quarterly",IF(MOD($D294,3)=0,$L294*$N294,0),IF($D294=12,$K294*$N294,0)))</f>
        <v/>
      </c>
      <c r="P294" s="35">
        <f>IF($A294&gt;NYears*12,"",IF($D294=1,$O294,$P293+$O294))</f>
        <v/>
      </c>
      <c r="Q294" s="35">
        <f>IF($A294&gt;NYears*12,"",IF($D294=12,MIN(WdrPct*IF(WdrBase="Post-tax profit",$K294-$P294,$K294),WdrCap),0))</f>
        <v/>
      </c>
      <c r="R294" s="35">
        <f>IF($A294&gt;NYears*12,"",$F294+$J294-$O294-$Q294)</f>
        <v/>
      </c>
      <c r="S294" s="33">
        <f>IF($A294&gt;NYears*12,"",INT($R294/$E294))</f>
        <v/>
      </c>
    </row>
    <row r="295">
      <c r="A295" s="33">
        <f>291</f>
        <v/>
      </c>
      <c r="B295" s="34">
        <f>IF($A295&gt;NYears*12,"",EDATE(StartMonth,$A295-1))</f>
        <v/>
      </c>
      <c r="C295" s="33">
        <f>IF($A295&gt;NYears*12,"",INT(($A295-1)/12)+1)</f>
        <v/>
      </c>
      <c r="D295" s="33">
        <f>IF($A295&gt;NYears*12,"",MOD($A295-1,12)+1)</f>
        <v/>
      </c>
      <c r="E295" s="35">
        <f>IF($A295&gt;NYears*12,"",LotValue0*(1+LotGrowth)^($C295-1))</f>
        <v/>
      </c>
      <c r="F295" s="35">
        <f>IF($A295&gt;NYears*12,"",IF($A295=1,InitInvest,$R294))</f>
        <v/>
      </c>
      <c r="G295" s="33">
        <f>IF($A295&gt;NYears*12,"",INT($F295/$E295))</f>
        <v/>
      </c>
      <c r="H295" s="35">
        <f>IF($A295&gt;NYears*12,"",$G295*$E295)</f>
        <v/>
      </c>
      <c r="I295" s="35">
        <f>IF($A295&gt;NYears*12,"",$F295-$H295)</f>
        <v/>
      </c>
      <c r="J295" s="35">
        <f>IF($A295&gt;NYears*12,"",$H295*RateB)</f>
        <v/>
      </c>
      <c r="K295" s="35">
        <f>IF($A295&gt;NYears*12,"",IF($D295=1,$J295,$K294+$J295))</f>
        <v/>
      </c>
      <c r="L295" s="35">
        <f>IF($A295&gt;NYears*12,"",IF(MOD($D295,3)=0,SUM($J293:$J295),0))</f>
        <v/>
      </c>
      <c r="M295" s="35">
        <f>IF($A295&gt;NYears*12,"",IF(TaxFreq="Quarterly",$K295*12/$D295,$K295))</f>
        <v/>
      </c>
      <c r="N295" s="36">
        <f>IF($A295&gt;NYears*12,"",LOOKUP($M295,TaxLower,TaxRate))</f>
        <v/>
      </c>
      <c r="O295" s="35">
        <f>IF($A295&gt;NYears*12,"",IF(TaxFreq="Quarterly",IF(MOD($D295,3)=0,$L295*$N295,0),IF($D295=12,$K295*$N295,0)))</f>
        <v/>
      </c>
      <c r="P295" s="35">
        <f>IF($A295&gt;NYears*12,"",IF($D295=1,$O295,$P294+$O295))</f>
        <v/>
      </c>
      <c r="Q295" s="35">
        <f>IF($A295&gt;NYears*12,"",IF($D295=12,MIN(WdrPct*IF(WdrBase="Post-tax profit",$K295-$P295,$K295),WdrCap),0))</f>
        <v/>
      </c>
      <c r="R295" s="35">
        <f>IF($A295&gt;NYears*12,"",$F295+$J295-$O295-$Q295)</f>
        <v/>
      </c>
      <c r="S295" s="33">
        <f>IF($A295&gt;NYears*12,"",INT($R295/$E295))</f>
        <v/>
      </c>
    </row>
    <row r="296">
      <c r="A296" s="33">
        <f>292</f>
        <v/>
      </c>
      <c r="B296" s="34">
        <f>IF($A296&gt;NYears*12,"",EDATE(StartMonth,$A296-1))</f>
        <v/>
      </c>
      <c r="C296" s="33">
        <f>IF($A296&gt;NYears*12,"",INT(($A296-1)/12)+1)</f>
        <v/>
      </c>
      <c r="D296" s="33">
        <f>IF($A296&gt;NYears*12,"",MOD($A296-1,12)+1)</f>
        <v/>
      </c>
      <c r="E296" s="35">
        <f>IF($A296&gt;NYears*12,"",LotValue0*(1+LotGrowth)^($C296-1))</f>
        <v/>
      </c>
      <c r="F296" s="35">
        <f>IF($A296&gt;NYears*12,"",IF($A296=1,InitInvest,$R295))</f>
        <v/>
      </c>
      <c r="G296" s="33">
        <f>IF($A296&gt;NYears*12,"",INT($F296/$E296))</f>
        <v/>
      </c>
      <c r="H296" s="35">
        <f>IF($A296&gt;NYears*12,"",$G296*$E296)</f>
        <v/>
      </c>
      <c r="I296" s="35">
        <f>IF($A296&gt;NYears*12,"",$F296-$H296)</f>
        <v/>
      </c>
      <c r="J296" s="35">
        <f>IF($A296&gt;NYears*12,"",$H296*RateB)</f>
        <v/>
      </c>
      <c r="K296" s="35">
        <f>IF($A296&gt;NYears*12,"",IF($D296=1,$J296,$K295+$J296))</f>
        <v/>
      </c>
      <c r="L296" s="35">
        <f>IF($A296&gt;NYears*12,"",IF(MOD($D296,3)=0,SUM($J294:$J296),0))</f>
        <v/>
      </c>
      <c r="M296" s="35">
        <f>IF($A296&gt;NYears*12,"",IF(TaxFreq="Quarterly",$K296*12/$D296,$K296))</f>
        <v/>
      </c>
      <c r="N296" s="36">
        <f>IF($A296&gt;NYears*12,"",LOOKUP($M296,TaxLower,TaxRate))</f>
        <v/>
      </c>
      <c r="O296" s="35">
        <f>IF($A296&gt;NYears*12,"",IF(TaxFreq="Quarterly",IF(MOD($D296,3)=0,$L296*$N296,0),IF($D296=12,$K296*$N296,0)))</f>
        <v/>
      </c>
      <c r="P296" s="35">
        <f>IF($A296&gt;NYears*12,"",IF($D296=1,$O296,$P295+$O296))</f>
        <v/>
      </c>
      <c r="Q296" s="35">
        <f>IF($A296&gt;NYears*12,"",IF($D296=12,MIN(WdrPct*IF(WdrBase="Post-tax profit",$K296-$P296,$K296),WdrCap),0))</f>
        <v/>
      </c>
      <c r="R296" s="35">
        <f>IF($A296&gt;NYears*12,"",$F296+$J296-$O296-$Q296)</f>
        <v/>
      </c>
      <c r="S296" s="33">
        <f>IF($A296&gt;NYears*12,"",INT($R296/$E296))</f>
        <v/>
      </c>
    </row>
    <row r="297">
      <c r="A297" s="33">
        <f>293</f>
        <v/>
      </c>
      <c r="B297" s="34">
        <f>IF($A297&gt;NYears*12,"",EDATE(StartMonth,$A297-1))</f>
        <v/>
      </c>
      <c r="C297" s="33">
        <f>IF($A297&gt;NYears*12,"",INT(($A297-1)/12)+1)</f>
        <v/>
      </c>
      <c r="D297" s="33">
        <f>IF($A297&gt;NYears*12,"",MOD($A297-1,12)+1)</f>
        <v/>
      </c>
      <c r="E297" s="35">
        <f>IF($A297&gt;NYears*12,"",LotValue0*(1+LotGrowth)^($C297-1))</f>
        <v/>
      </c>
      <c r="F297" s="35">
        <f>IF($A297&gt;NYears*12,"",IF($A297=1,InitInvest,$R296))</f>
        <v/>
      </c>
      <c r="G297" s="33">
        <f>IF($A297&gt;NYears*12,"",INT($F297/$E297))</f>
        <v/>
      </c>
      <c r="H297" s="35">
        <f>IF($A297&gt;NYears*12,"",$G297*$E297)</f>
        <v/>
      </c>
      <c r="I297" s="35">
        <f>IF($A297&gt;NYears*12,"",$F297-$H297)</f>
        <v/>
      </c>
      <c r="J297" s="35">
        <f>IF($A297&gt;NYears*12,"",$H297*RateB)</f>
        <v/>
      </c>
      <c r="K297" s="35">
        <f>IF($A297&gt;NYears*12,"",IF($D297=1,$J297,$K296+$J297))</f>
        <v/>
      </c>
      <c r="L297" s="35">
        <f>IF($A297&gt;NYears*12,"",IF(MOD($D297,3)=0,SUM($J295:$J297),0))</f>
        <v/>
      </c>
      <c r="M297" s="35">
        <f>IF($A297&gt;NYears*12,"",IF(TaxFreq="Quarterly",$K297*12/$D297,$K297))</f>
        <v/>
      </c>
      <c r="N297" s="36">
        <f>IF($A297&gt;NYears*12,"",LOOKUP($M297,TaxLower,TaxRate))</f>
        <v/>
      </c>
      <c r="O297" s="35">
        <f>IF($A297&gt;NYears*12,"",IF(TaxFreq="Quarterly",IF(MOD($D297,3)=0,$L297*$N297,0),IF($D297=12,$K297*$N297,0)))</f>
        <v/>
      </c>
      <c r="P297" s="35">
        <f>IF($A297&gt;NYears*12,"",IF($D297=1,$O297,$P296+$O297))</f>
        <v/>
      </c>
      <c r="Q297" s="35">
        <f>IF($A297&gt;NYears*12,"",IF($D297=12,MIN(WdrPct*IF(WdrBase="Post-tax profit",$K297-$P297,$K297),WdrCap),0))</f>
        <v/>
      </c>
      <c r="R297" s="35">
        <f>IF($A297&gt;NYears*12,"",$F297+$J297-$O297-$Q297)</f>
        <v/>
      </c>
      <c r="S297" s="33">
        <f>IF($A297&gt;NYears*12,"",INT($R297/$E297))</f>
        <v/>
      </c>
    </row>
    <row r="298">
      <c r="A298" s="33">
        <f>294</f>
        <v/>
      </c>
      <c r="B298" s="34">
        <f>IF($A298&gt;NYears*12,"",EDATE(StartMonth,$A298-1))</f>
        <v/>
      </c>
      <c r="C298" s="33">
        <f>IF($A298&gt;NYears*12,"",INT(($A298-1)/12)+1)</f>
        <v/>
      </c>
      <c r="D298" s="33">
        <f>IF($A298&gt;NYears*12,"",MOD($A298-1,12)+1)</f>
        <v/>
      </c>
      <c r="E298" s="35">
        <f>IF($A298&gt;NYears*12,"",LotValue0*(1+LotGrowth)^($C298-1))</f>
        <v/>
      </c>
      <c r="F298" s="35">
        <f>IF($A298&gt;NYears*12,"",IF($A298=1,InitInvest,$R297))</f>
        <v/>
      </c>
      <c r="G298" s="33">
        <f>IF($A298&gt;NYears*12,"",INT($F298/$E298))</f>
        <v/>
      </c>
      <c r="H298" s="35">
        <f>IF($A298&gt;NYears*12,"",$G298*$E298)</f>
        <v/>
      </c>
      <c r="I298" s="35">
        <f>IF($A298&gt;NYears*12,"",$F298-$H298)</f>
        <v/>
      </c>
      <c r="J298" s="35">
        <f>IF($A298&gt;NYears*12,"",$H298*RateB)</f>
        <v/>
      </c>
      <c r="K298" s="35">
        <f>IF($A298&gt;NYears*12,"",IF($D298=1,$J298,$K297+$J298))</f>
        <v/>
      </c>
      <c r="L298" s="35">
        <f>IF($A298&gt;NYears*12,"",IF(MOD($D298,3)=0,SUM($J296:$J298),0))</f>
        <v/>
      </c>
      <c r="M298" s="35">
        <f>IF($A298&gt;NYears*12,"",IF(TaxFreq="Quarterly",$K298*12/$D298,$K298))</f>
        <v/>
      </c>
      <c r="N298" s="36">
        <f>IF($A298&gt;NYears*12,"",LOOKUP($M298,TaxLower,TaxRate))</f>
        <v/>
      </c>
      <c r="O298" s="35">
        <f>IF($A298&gt;NYears*12,"",IF(TaxFreq="Quarterly",IF(MOD($D298,3)=0,$L298*$N298,0),IF($D298=12,$K298*$N298,0)))</f>
        <v/>
      </c>
      <c r="P298" s="35">
        <f>IF($A298&gt;NYears*12,"",IF($D298=1,$O298,$P297+$O298))</f>
        <v/>
      </c>
      <c r="Q298" s="35">
        <f>IF($A298&gt;NYears*12,"",IF($D298=12,MIN(WdrPct*IF(WdrBase="Post-tax profit",$K298-$P298,$K298),WdrCap),0))</f>
        <v/>
      </c>
      <c r="R298" s="35">
        <f>IF($A298&gt;NYears*12,"",$F298+$J298-$O298-$Q298)</f>
        <v/>
      </c>
      <c r="S298" s="33">
        <f>IF($A298&gt;NYears*12,"",INT($R298/$E298))</f>
        <v/>
      </c>
    </row>
    <row r="299">
      <c r="A299" s="33">
        <f>295</f>
        <v/>
      </c>
      <c r="B299" s="34">
        <f>IF($A299&gt;NYears*12,"",EDATE(StartMonth,$A299-1))</f>
        <v/>
      </c>
      <c r="C299" s="33">
        <f>IF($A299&gt;NYears*12,"",INT(($A299-1)/12)+1)</f>
        <v/>
      </c>
      <c r="D299" s="33">
        <f>IF($A299&gt;NYears*12,"",MOD($A299-1,12)+1)</f>
        <v/>
      </c>
      <c r="E299" s="35">
        <f>IF($A299&gt;NYears*12,"",LotValue0*(1+LotGrowth)^($C299-1))</f>
        <v/>
      </c>
      <c r="F299" s="35">
        <f>IF($A299&gt;NYears*12,"",IF($A299=1,InitInvest,$R298))</f>
        <v/>
      </c>
      <c r="G299" s="33">
        <f>IF($A299&gt;NYears*12,"",INT($F299/$E299))</f>
        <v/>
      </c>
      <c r="H299" s="35">
        <f>IF($A299&gt;NYears*12,"",$G299*$E299)</f>
        <v/>
      </c>
      <c r="I299" s="35">
        <f>IF($A299&gt;NYears*12,"",$F299-$H299)</f>
        <v/>
      </c>
      <c r="J299" s="35">
        <f>IF($A299&gt;NYears*12,"",$H299*RateB)</f>
        <v/>
      </c>
      <c r="K299" s="35">
        <f>IF($A299&gt;NYears*12,"",IF($D299=1,$J299,$K298+$J299))</f>
        <v/>
      </c>
      <c r="L299" s="35">
        <f>IF($A299&gt;NYears*12,"",IF(MOD($D299,3)=0,SUM($J297:$J299),0))</f>
        <v/>
      </c>
      <c r="M299" s="35">
        <f>IF($A299&gt;NYears*12,"",IF(TaxFreq="Quarterly",$K299*12/$D299,$K299))</f>
        <v/>
      </c>
      <c r="N299" s="36">
        <f>IF($A299&gt;NYears*12,"",LOOKUP($M299,TaxLower,TaxRate))</f>
        <v/>
      </c>
      <c r="O299" s="35">
        <f>IF($A299&gt;NYears*12,"",IF(TaxFreq="Quarterly",IF(MOD($D299,3)=0,$L299*$N299,0),IF($D299=12,$K299*$N299,0)))</f>
        <v/>
      </c>
      <c r="P299" s="35">
        <f>IF($A299&gt;NYears*12,"",IF($D299=1,$O299,$P298+$O299))</f>
        <v/>
      </c>
      <c r="Q299" s="35">
        <f>IF($A299&gt;NYears*12,"",IF($D299=12,MIN(WdrPct*IF(WdrBase="Post-tax profit",$K299-$P299,$K299),WdrCap),0))</f>
        <v/>
      </c>
      <c r="R299" s="35">
        <f>IF($A299&gt;NYears*12,"",$F299+$J299-$O299-$Q299)</f>
        <v/>
      </c>
      <c r="S299" s="33">
        <f>IF($A299&gt;NYears*12,"",INT($R299/$E299))</f>
        <v/>
      </c>
    </row>
    <row r="300">
      <c r="A300" s="33">
        <f>296</f>
        <v/>
      </c>
      <c r="B300" s="34">
        <f>IF($A300&gt;NYears*12,"",EDATE(StartMonth,$A300-1))</f>
        <v/>
      </c>
      <c r="C300" s="33">
        <f>IF($A300&gt;NYears*12,"",INT(($A300-1)/12)+1)</f>
        <v/>
      </c>
      <c r="D300" s="33">
        <f>IF($A300&gt;NYears*12,"",MOD($A300-1,12)+1)</f>
        <v/>
      </c>
      <c r="E300" s="35">
        <f>IF($A300&gt;NYears*12,"",LotValue0*(1+LotGrowth)^($C300-1))</f>
        <v/>
      </c>
      <c r="F300" s="35">
        <f>IF($A300&gt;NYears*12,"",IF($A300=1,InitInvest,$R299))</f>
        <v/>
      </c>
      <c r="G300" s="33">
        <f>IF($A300&gt;NYears*12,"",INT($F300/$E300))</f>
        <v/>
      </c>
      <c r="H300" s="35">
        <f>IF($A300&gt;NYears*12,"",$G300*$E300)</f>
        <v/>
      </c>
      <c r="I300" s="35">
        <f>IF($A300&gt;NYears*12,"",$F300-$H300)</f>
        <v/>
      </c>
      <c r="J300" s="35">
        <f>IF($A300&gt;NYears*12,"",$H300*RateB)</f>
        <v/>
      </c>
      <c r="K300" s="35">
        <f>IF($A300&gt;NYears*12,"",IF($D300=1,$J300,$K299+$J300))</f>
        <v/>
      </c>
      <c r="L300" s="35">
        <f>IF($A300&gt;NYears*12,"",IF(MOD($D300,3)=0,SUM($J298:$J300),0))</f>
        <v/>
      </c>
      <c r="M300" s="35">
        <f>IF($A300&gt;NYears*12,"",IF(TaxFreq="Quarterly",$K300*12/$D300,$K300))</f>
        <v/>
      </c>
      <c r="N300" s="36">
        <f>IF($A300&gt;NYears*12,"",LOOKUP($M300,TaxLower,TaxRate))</f>
        <v/>
      </c>
      <c r="O300" s="35">
        <f>IF($A300&gt;NYears*12,"",IF(TaxFreq="Quarterly",IF(MOD($D300,3)=0,$L300*$N300,0),IF($D300=12,$K300*$N300,0)))</f>
        <v/>
      </c>
      <c r="P300" s="35">
        <f>IF($A300&gt;NYears*12,"",IF($D300=1,$O300,$P299+$O300))</f>
        <v/>
      </c>
      <c r="Q300" s="35">
        <f>IF($A300&gt;NYears*12,"",IF($D300=12,MIN(WdrPct*IF(WdrBase="Post-tax profit",$K300-$P300,$K300),WdrCap),0))</f>
        <v/>
      </c>
      <c r="R300" s="35">
        <f>IF($A300&gt;NYears*12,"",$F300+$J300-$O300-$Q300)</f>
        <v/>
      </c>
      <c r="S300" s="33">
        <f>IF($A300&gt;NYears*12,"",INT($R300/$E300))</f>
        <v/>
      </c>
    </row>
    <row r="301">
      <c r="A301" s="33">
        <f>297</f>
        <v/>
      </c>
      <c r="B301" s="34">
        <f>IF($A301&gt;NYears*12,"",EDATE(StartMonth,$A301-1))</f>
        <v/>
      </c>
      <c r="C301" s="33">
        <f>IF($A301&gt;NYears*12,"",INT(($A301-1)/12)+1)</f>
        <v/>
      </c>
      <c r="D301" s="33">
        <f>IF($A301&gt;NYears*12,"",MOD($A301-1,12)+1)</f>
        <v/>
      </c>
      <c r="E301" s="35">
        <f>IF($A301&gt;NYears*12,"",LotValue0*(1+LotGrowth)^($C301-1))</f>
        <v/>
      </c>
      <c r="F301" s="35">
        <f>IF($A301&gt;NYears*12,"",IF($A301=1,InitInvest,$R300))</f>
        <v/>
      </c>
      <c r="G301" s="33">
        <f>IF($A301&gt;NYears*12,"",INT($F301/$E301))</f>
        <v/>
      </c>
      <c r="H301" s="35">
        <f>IF($A301&gt;NYears*12,"",$G301*$E301)</f>
        <v/>
      </c>
      <c r="I301" s="35">
        <f>IF($A301&gt;NYears*12,"",$F301-$H301)</f>
        <v/>
      </c>
      <c r="J301" s="35">
        <f>IF($A301&gt;NYears*12,"",$H301*RateB)</f>
        <v/>
      </c>
      <c r="K301" s="35">
        <f>IF($A301&gt;NYears*12,"",IF($D301=1,$J301,$K300+$J301))</f>
        <v/>
      </c>
      <c r="L301" s="35">
        <f>IF($A301&gt;NYears*12,"",IF(MOD($D301,3)=0,SUM($J299:$J301),0))</f>
        <v/>
      </c>
      <c r="M301" s="35">
        <f>IF($A301&gt;NYears*12,"",IF(TaxFreq="Quarterly",$K301*12/$D301,$K301))</f>
        <v/>
      </c>
      <c r="N301" s="36">
        <f>IF($A301&gt;NYears*12,"",LOOKUP($M301,TaxLower,TaxRate))</f>
        <v/>
      </c>
      <c r="O301" s="35">
        <f>IF($A301&gt;NYears*12,"",IF(TaxFreq="Quarterly",IF(MOD($D301,3)=0,$L301*$N301,0),IF($D301=12,$K301*$N301,0)))</f>
        <v/>
      </c>
      <c r="P301" s="35">
        <f>IF($A301&gt;NYears*12,"",IF($D301=1,$O301,$P300+$O301))</f>
        <v/>
      </c>
      <c r="Q301" s="35">
        <f>IF($A301&gt;NYears*12,"",IF($D301=12,MIN(WdrPct*IF(WdrBase="Post-tax profit",$K301-$P301,$K301),WdrCap),0))</f>
        <v/>
      </c>
      <c r="R301" s="35">
        <f>IF($A301&gt;NYears*12,"",$F301+$J301-$O301-$Q301)</f>
        <v/>
      </c>
      <c r="S301" s="33">
        <f>IF($A301&gt;NYears*12,"",INT($R301/$E301))</f>
        <v/>
      </c>
    </row>
    <row r="302">
      <c r="A302" s="33">
        <f>298</f>
        <v/>
      </c>
      <c r="B302" s="34">
        <f>IF($A302&gt;NYears*12,"",EDATE(StartMonth,$A302-1))</f>
        <v/>
      </c>
      <c r="C302" s="33">
        <f>IF($A302&gt;NYears*12,"",INT(($A302-1)/12)+1)</f>
        <v/>
      </c>
      <c r="D302" s="33">
        <f>IF($A302&gt;NYears*12,"",MOD($A302-1,12)+1)</f>
        <v/>
      </c>
      <c r="E302" s="35">
        <f>IF($A302&gt;NYears*12,"",LotValue0*(1+LotGrowth)^($C302-1))</f>
        <v/>
      </c>
      <c r="F302" s="35">
        <f>IF($A302&gt;NYears*12,"",IF($A302=1,InitInvest,$R301))</f>
        <v/>
      </c>
      <c r="G302" s="33">
        <f>IF($A302&gt;NYears*12,"",INT($F302/$E302))</f>
        <v/>
      </c>
      <c r="H302" s="35">
        <f>IF($A302&gt;NYears*12,"",$G302*$E302)</f>
        <v/>
      </c>
      <c r="I302" s="35">
        <f>IF($A302&gt;NYears*12,"",$F302-$H302)</f>
        <v/>
      </c>
      <c r="J302" s="35">
        <f>IF($A302&gt;NYears*12,"",$H302*RateB)</f>
        <v/>
      </c>
      <c r="K302" s="35">
        <f>IF($A302&gt;NYears*12,"",IF($D302=1,$J302,$K301+$J302))</f>
        <v/>
      </c>
      <c r="L302" s="35">
        <f>IF($A302&gt;NYears*12,"",IF(MOD($D302,3)=0,SUM($J300:$J302),0))</f>
        <v/>
      </c>
      <c r="M302" s="35">
        <f>IF($A302&gt;NYears*12,"",IF(TaxFreq="Quarterly",$K302*12/$D302,$K302))</f>
        <v/>
      </c>
      <c r="N302" s="36">
        <f>IF($A302&gt;NYears*12,"",LOOKUP($M302,TaxLower,TaxRate))</f>
        <v/>
      </c>
      <c r="O302" s="35">
        <f>IF($A302&gt;NYears*12,"",IF(TaxFreq="Quarterly",IF(MOD($D302,3)=0,$L302*$N302,0),IF($D302=12,$K302*$N302,0)))</f>
        <v/>
      </c>
      <c r="P302" s="35">
        <f>IF($A302&gt;NYears*12,"",IF($D302=1,$O302,$P301+$O302))</f>
        <v/>
      </c>
      <c r="Q302" s="35">
        <f>IF($A302&gt;NYears*12,"",IF($D302=12,MIN(WdrPct*IF(WdrBase="Post-tax profit",$K302-$P302,$K302),WdrCap),0))</f>
        <v/>
      </c>
      <c r="R302" s="35">
        <f>IF($A302&gt;NYears*12,"",$F302+$J302-$O302-$Q302)</f>
        <v/>
      </c>
      <c r="S302" s="33">
        <f>IF($A302&gt;NYears*12,"",INT($R302/$E302))</f>
        <v/>
      </c>
    </row>
    <row r="303">
      <c r="A303" s="33">
        <f>299</f>
        <v/>
      </c>
      <c r="B303" s="34">
        <f>IF($A303&gt;NYears*12,"",EDATE(StartMonth,$A303-1))</f>
        <v/>
      </c>
      <c r="C303" s="33">
        <f>IF($A303&gt;NYears*12,"",INT(($A303-1)/12)+1)</f>
        <v/>
      </c>
      <c r="D303" s="33">
        <f>IF($A303&gt;NYears*12,"",MOD($A303-1,12)+1)</f>
        <v/>
      </c>
      <c r="E303" s="35">
        <f>IF($A303&gt;NYears*12,"",LotValue0*(1+LotGrowth)^($C303-1))</f>
        <v/>
      </c>
      <c r="F303" s="35">
        <f>IF($A303&gt;NYears*12,"",IF($A303=1,InitInvest,$R302))</f>
        <v/>
      </c>
      <c r="G303" s="33">
        <f>IF($A303&gt;NYears*12,"",INT($F303/$E303))</f>
        <v/>
      </c>
      <c r="H303" s="35">
        <f>IF($A303&gt;NYears*12,"",$G303*$E303)</f>
        <v/>
      </c>
      <c r="I303" s="35">
        <f>IF($A303&gt;NYears*12,"",$F303-$H303)</f>
        <v/>
      </c>
      <c r="J303" s="35">
        <f>IF($A303&gt;NYears*12,"",$H303*RateB)</f>
        <v/>
      </c>
      <c r="K303" s="35">
        <f>IF($A303&gt;NYears*12,"",IF($D303=1,$J303,$K302+$J303))</f>
        <v/>
      </c>
      <c r="L303" s="35">
        <f>IF($A303&gt;NYears*12,"",IF(MOD($D303,3)=0,SUM($J301:$J303),0))</f>
        <v/>
      </c>
      <c r="M303" s="35">
        <f>IF($A303&gt;NYears*12,"",IF(TaxFreq="Quarterly",$K303*12/$D303,$K303))</f>
        <v/>
      </c>
      <c r="N303" s="36">
        <f>IF($A303&gt;NYears*12,"",LOOKUP($M303,TaxLower,TaxRate))</f>
        <v/>
      </c>
      <c r="O303" s="35">
        <f>IF($A303&gt;NYears*12,"",IF(TaxFreq="Quarterly",IF(MOD($D303,3)=0,$L303*$N303,0),IF($D303=12,$K303*$N303,0)))</f>
        <v/>
      </c>
      <c r="P303" s="35">
        <f>IF($A303&gt;NYears*12,"",IF($D303=1,$O303,$P302+$O303))</f>
        <v/>
      </c>
      <c r="Q303" s="35">
        <f>IF($A303&gt;NYears*12,"",IF($D303=12,MIN(WdrPct*IF(WdrBase="Post-tax profit",$K303-$P303,$K303),WdrCap),0))</f>
        <v/>
      </c>
      <c r="R303" s="35">
        <f>IF($A303&gt;NYears*12,"",$F303+$J303-$O303-$Q303)</f>
        <v/>
      </c>
      <c r="S303" s="33">
        <f>IF($A303&gt;NYears*12,"",INT($R303/$E303))</f>
        <v/>
      </c>
    </row>
    <row r="304">
      <c r="A304" s="37">
        <f>300</f>
        <v/>
      </c>
      <c r="B304" s="38">
        <f>IF($A304&gt;NYears*12,"",EDATE(StartMonth,$A304-1))</f>
        <v/>
      </c>
      <c r="C304" s="37">
        <f>IF($A304&gt;NYears*12,"",INT(($A304-1)/12)+1)</f>
        <v/>
      </c>
      <c r="D304" s="37">
        <f>IF($A304&gt;NYears*12,"",MOD($A304-1,12)+1)</f>
        <v/>
      </c>
      <c r="E304" s="39">
        <f>IF($A304&gt;NYears*12,"",LotValue0*(1+LotGrowth)^($C304-1))</f>
        <v/>
      </c>
      <c r="F304" s="39">
        <f>IF($A304&gt;NYears*12,"",IF($A304=1,InitInvest,$R303))</f>
        <v/>
      </c>
      <c r="G304" s="37">
        <f>IF($A304&gt;NYears*12,"",INT($F304/$E304))</f>
        <v/>
      </c>
      <c r="H304" s="39">
        <f>IF($A304&gt;NYears*12,"",$G304*$E304)</f>
        <v/>
      </c>
      <c r="I304" s="39">
        <f>IF($A304&gt;NYears*12,"",$F304-$H304)</f>
        <v/>
      </c>
      <c r="J304" s="39">
        <f>IF($A304&gt;NYears*12,"",$H304*RateB)</f>
        <v/>
      </c>
      <c r="K304" s="39">
        <f>IF($A304&gt;NYears*12,"",IF($D304=1,$J304,$K303+$J304))</f>
        <v/>
      </c>
      <c r="L304" s="39">
        <f>IF($A304&gt;NYears*12,"",IF(MOD($D304,3)=0,SUM($J302:$J304),0))</f>
        <v/>
      </c>
      <c r="M304" s="39">
        <f>IF($A304&gt;NYears*12,"",IF(TaxFreq="Quarterly",$K304*12/$D304,$K304))</f>
        <v/>
      </c>
      <c r="N304" s="40">
        <f>IF($A304&gt;NYears*12,"",LOOKUP($M304,TaxLower,TaxRate))</f>
        <v/>
      </c>
      <c r="O304" s="39">
        <f>IF($A304&gt;NYears*12,"",IF(TaxFreq="Quarterly",IF(MOD($D304,3)=0,$L304*$N304,0),IF($D304=12,$K304*$N304,0)))</f>
        <v/>
      </c>
      <c r="P304" s="39">
        <f>IF($A304&gt;NYears*12,"",IF($D304=1,$O304,$P303+$O304))</f>
        <v/>
      </c>
      <c r="Q304" s="39">
        <f>IF($A304&gt;NYears*12,"",IF($D304=12,MIN(WdrPct*IF(WdrBase="Post-tax profit",$K304-$P304,$K304),WdrCap),0))</f>
        <v/>
      </c>
      <c r="R304" s="39">
        <f>IF($A304&gt;NYears*12,"",$F304+$J304-$O304-$Q304)</f>
        <v/>
      </c>
      <c r="S304" s="37">
        <f>IF($A304&gt;NYears*12,"",INT($R304/$E304))</f>
        <v/>
      </c>
    </row>
    <row r="305">
      <c r="A305" s="33">
        <f>301</f>
        <v/>
      </c>
      <c r="B305" s="34">
        <f>IF($A305&gt;NYears*12,"",EDATE(StartMonth,$A305-1))</f>
        <v/>
      </c>
      <c r="C305" s="33">
        <f>IF($A305&gt;NYears*12,"",INT(($A305-1)/12)+1)</f>
        <v/>
      </c>
      <c r="D305" s="33">
        <f>IF($A305&gt;NYears*12,"",MOD($A305-1,12)+1)</f>
        <v/>
      </c>
      <c r="E305" s="35">
        <f>IF($A305&gt;NYears*12,"",LotValue0*(1+LotGrowth)^($C305-1))</f>
        <v/>
      </c>
      <c r="F305" s="35">
        <f>IF($A305&gt;NYears*12,"",IF($A305=1,InitInvest,$R304))</f>
        <v/>
      </c>
      <c r="G305" s="33">
        <f>IF($A305&gt;NYears*12,"",INT($F305/$E305))</f>
        <v/>
      </c>
      <c r="H305" s="35">
        <f>IF($A305&gt;NYears*12,"",$G305*$E305)</f>
        <v/>
      </c>
      <c r="I305" s="35">
        <f>IF($A305&gt;NYears*12,"",$F305-$H305)</f>
        <v/>
      </c>
      <c r="J305" s="35">
        <f>IF($A305&gt;NYears*12,"",$H305*RateB)</f>
        <v/>
      </c>
      <c r="K305" s="35">
        <f>IF($A305&gt;NYears*12,"",IF($D305=1,$J305,$K304+$J305))</f>
        <v/>
      </c>
      <c r="L305" s="35">
        <f>IF($A305&gt;NYears*12,"",IF(MOD($D305,3)=0,SUM($J303:$J305),0))</f>
        <v/>
      </c>
      <c r="M305" s="35">
        <f>IF($A305&gt;NYears*12,"",IF(TaxFreq="Quarterly",$K305*12/$D305,$K305))</f>
        <v/>
      </c>
      <c r="N305" s="36">
        <f>IF($A305&gt;NYears*12,"",LOOKUP($M305,TaxLower,TaxRate))</f>
        <v/>
      </c>
      <c r="O305" s="35">
        <f>IF($A305&gt;NYears*12,"",IF(TaxFreq="Quarterly",IF(MOD($D305,3)=0,$L305*$N305,0),IF($D305=12,$K305*$N305,0)))</f>
        <v/>
      </c>
      <c r="P305" s="35">
        <f>IF($A305&gt;NYears*12,"",IF($D305=1,$O305,$P304+$O305))</f>
        <v/>
      </c>
      <c r="Q305" s="35">
        <f>IF($A305&gt;NYears*12,"",IF($D305=12,MIN(WdrPct*IF(WdrBase="Post-tax profit",$K305-$P305,$K305),WdrCap),0))</f>
        <v/>
      </c>
      <c r="R305" s="35">
        <f>IF($A305&gt;NYears*12,"",$F305+$J305-$O305-$Q305)</f>
        <v/>
      </c>
      <c r="S305" s="33">
        <f>IF($A305&gt;NYears*12,"",INT($R305/$E305))</f>
        <v/>
      </c>
    </row>
    <row r="306">
      <c r="A306" s="33">
        <f>302</f>
        <v/>
      </c>
      <c r="B306" s="34">
        <f>IF($A306&gt;NYears*12,"",EDATE(StartMonth,$A306-1))</f>
        <v/>
      </c>
      <c r="C306" s="33">
        <f>IF($A306&gt;NYears*12,"",INT(($A306-1)/12)+1)</f>
        <v/>
      </c>
      <c r="D306" s="33">
        <f>IF($A306&gt;NYears*12,"",MOD($A306-1,12)+1)</f>
        <v/>
      </c>
      <c r="E306" s="35">
        <f>IF($A306&gt;NYears*12,"",LotValue0*(1+LotGrowth)^($C306-1))</f>
        <v/>
      </c>
      <c r="F306" s="35">
        <f>IF($A306&gt;NYears*12,"",IF($A306=1,InitInvest,$R305))</f>
        <v/>
      </c>
      <c r="G306" s="33">
        <f>IF($A306&gt;NYears*12,"",INT($F306/$E306))</f>
        <v/>
      </c>
      <c r="H306" s="35">
        <f>IF($A306&gt;NYears*12,"",$G306*$E306)</f>
        <v/>
      </c>
      <c r="I306" s="35">
        <f>IF($A306&gt;NYears*12,"",$F306-$H306)</f>
        <v/>
      </c>
      <c r="J306" s="35">
        <f>IF($A306&gt;NYears*12,"",$H306*RateB)</f>
        <v/>
      </c>
      <c r="K306" s="35">
        <f>IF($A306&gt;NYears*12,"",IF($D306=1,$J306,$K305+$J306))</f>
        <v/>
      </c>
      <c r="L306" s="35">
        <f>IF($A306&gt;NYears*12,"",IF(MOD($D306,3)=0,SUM($J304:$J306),0))</f>
        <v/>
      </c>
      <c r="M306" s="35">
        <f>IF($A306&gt;NYears*12,"",IF(TaxFreq="Quarterly",$K306*12/$D306,$K306))</f>
        <v/>
      </c>
      <c r="N306" s="36">
        <f>IF($A306&gt;NYears*12,"",LOOKUP($M306,TaxLower,TaxRate))</f>
        <v/>
      </c>
      <c r="O306" s="35">
        <f>IF($A306&gt;NYears*12,"",IF(TaxFreq="Quarterly",IF(MOD($D306,3)=0,$L306*$N306,0),IF($D306=12,$K306*$N306,0)))</f>
        <v/>
      </c>
      <c r="P306" s="35">
        <f>IF($A306&gt;NYears*12,"",IF($D306=1,$O306,$P305+$O306))</f>
        <v/>
      </c>
      <c r="Q306" s="35">
        <f>IF($A306&gt;NYears*12,"",IF($D306=12,MIN(WdrPct*IF(WdrBase="Post-tax profit",$K306-$P306,$K306),WdrCap),0))</f>
        <v/>
      </c>
      <c r="R306" s="35">
        <f>IF($A306&gt;NYears*12,"",$F306+$J306-$O306-$Q306)</f>
        <v/>
      </c>
      <c r="S306" s="33">
        <f>IF($A306&gt;NYears*12,"",INT($R306/$E306))</f>
        <v/>
      </c>
    </row>
    <row r="307">
      <c r="A307" s="33">
        <f>303</f>
        <v/>
      </c>
      <c r="B307" s="34">
        <f>IF($A307&gt;NYears*12,"",EDATE(StartMonth,$A307-1))</f>
        <v/>
      </c>
      <c r="C307" s="33">
        <f>IF($A307&gt;NYears*12,"",INT(($A307-1)/12)+1)</f>
        <v/>
      </c>
      <c r="D307" s="33">
        <f>IF($A307&gt;NYears*12,"",MOD($A307-1,12)+1)</f>
        <v/>
      </c>
      <c r="E307" s="35">
        <f>IF($A307&gt;NYears*12,"",LotValue0*(1+LotGrowth)^($C307-1))</f>
        <v/>
      </c>
      <c r="F307" s="35">
        <f>IF($A307&gt;NYears*12,"",IF($A307=1,InitInvest,$R306))</f>
        <v/>
      </c>
      <c r="G307" s="33">
        <f>IF($A307&gt;NYears*12,"",INT($F307/$E307))</f>
        <v/>
      </c>
      <c r="H307" s="35">
        <f>IF($A307&gt;NYears*12,"",$G307*$E307)</f>
        <v/>
      </c>
      <c r="I307" s="35">
        <f>IF($A307&gt;NYears*12,"",$F307-$H307)</f>
        <v/>
      </c>
      <c r="J307" s="35">
        <f>IF($A307&gt;NYears*12,"",$H307*RateB)</f>
        <v/>
      </c>
      <c r="K307" s="35">
        <f>IF($A307&gt;NYears*12,"",IF($D307=1,$J307,$K306+$J307))</f>
        <v/>
      </c>
      <c r="L307" s="35">
        <f>IF($A307&gt;NYears*12,"",IF(MOD($D307,3)=0,SUM($J305:$J307),0))</f>
        <v/>
      </c>
      <c r="M307" s="35">
        <f>IF($A307&gt;NYears*12,"",IF(TaxFreq="Quarterly",$K307*12/$D307,$K307))</f>
        <v/>
      </c>
      <c r="N307" s="36">
        <f>IF($A307&gt;NYears*12,"",LOOKUP($M307,TaxLower,TaxRate))</f>
        <v/>
      </c>
      <c r="O307" s="35">
        <f>IF($A307&gt;NYears*12,"",IF(TaxFreq="Quarterly",IF(MOD($D307,3)=0,$L307*$N307,0),IF($D307=12,$K307*$N307,0)))</f>
        <v/>
      </c>
      <c r="P307" s="35">
        <f>IF($A307&gt;NYears*12,"",IF($D307=1,$O307,$P306+$O307))</f>
        <v/>
      </c>
      <c r="Q307" s="35">
        <f>IF($A307&gt;NYears*12,"",IF($D307=12,MIN(WdrPct*IF(WdrBase="Post-tax profit",$K307-$P307,$K307),WdrCap),0))</f>
        <v/>
      </c>
      <c r="R307" s="35">
        <f>IF($A307&gt;NYears*12,"",$F307+$J307-$O307-$Q307)</f>
        <v/>
      </c>
      <c r="S307" s="33">
        <f>IF($A307&gt;NYears*12,"",INT($R307/$E307))</f>
        <v/>
      </c>
    </row>
    <row r="308">
      <c r="A308" s="33">
        <f>304</f>
        <v/>
      </c>
      <c r="B308" s="34">
        <f>IF($A308&gt;NYears*12,"",EDATE(StartMonth,$A308-1))</f>
        <v/>
      </c>
      <c r="C308" s="33">
        <f>IF($A308&gt;NYears*12,"",INT(($A308-1)/12)+1)</f>
        <v/>
      </c>
      <c r="D308" s="33">
        <f>IF($A308&gt;NYears*12,"",MOD($A308-1,12)+1)</f>
        <v/>
      </c>
      <c r="E308" s="35">
        <f>IF($A308&gt;NYears*12,"",LotValue0*(1+LotGrowth)^($C308-1))</f>
        <v/>
      </c>
      <c r="F308" s="35">
        <f>IF($A308&gt;NYears*12,"",IF($A308=1,InitInvest,$R307))</f>
        <v/>
      </c>
      <c r="G308" s="33">
        <f>IF($A308&gt;NYears*12,"",INT($F308/$E308))</f>
        <v/>
      </c>
      <c r="H308" s="35">
        <f>IF($A308&gt;NYears*12,"",$G308*$E308)</f>
        <v/>
      </c>
      <c r="I308" s="35">
        <f>IF($A308&gt;NYears*12,"",$F308-$H308)</f>
        <v/>
      </c>
      <c r="J308" s="35">
        <f>IF($A308&gt;NYears*12,"",$H308*RateB)</f>
        <v/>
      </c>
      <c r="K308" s="35">
        <f>IF($A308&gt;NYears*12,"",IF($D308=1,$J308,$K307+$J308))</f>
        <v/>
      </c>
      <c r="L308" s="35">
        <f>IF($A308&gt;NYears*12,"",IF(MOD($D308,3)=0,SUM($J306:$J308),0))</f>
        <v/>
      </c>
      <c r="M308" s="35">
        <f>IF($A308&gt;NYears*12,"",IF(TaxFreq="Quarterly",$K308*12/$D308,$K308))</f>
        <v/>
      </c>
      <c r="N308" s="36">
        <f>IF($A308&gt;NYears*12,"",LOOKUP($M308,TaxLower,TaxRate))</f>
        <v/>
      </c>
      <c r="O308" s="35">
        <f>IF($A308&gt;NYears*12,"",IF(TaxFreq="Quarterly",IF(MOD($D308,3)=0,$L308*$N308,0),IF($D308=12,$K308*$N308,0)))</f>
        <v/>
      </c>
      <c r="P308" s="35">
        <f>IF($A308&gt;NYears*12,"",IF($D308=1,$O308,$P307+$O308))</f>
        <v/>
      </c>
      <c r="Q308" s="35">
        <f>IF($A308&gt;NYears*12,"",IF($D308=12,MIN(WdrPct*IF(WdrBase="Post-tax profit",$K308-$P308,$K308),WdrCap),0))</f>
        <v/>
      </c>
      <c r="R308" s="35">
        <f>IF($A308&gt;NYears*12,"",$F308+$J308-$O308-$Q308)</f>
        <v/>
      </c>
      <c r="S308" s="33">
        <f>IF($A308&gt;NYears*12,"",INT($R308/$E308))</f>
        <v/>
      </c>
    </row>
    <row r="309">
      <c r="A309" s="33">
        <f>305</f>
        <v/>
      </c>
      <c r="B309" s="34">
        <f>IF($A309&gt;NYears*12,"",EDATE(StartMonth,$A309-1))</f>
        <v/>
      </c>
      <c r="C309" s="33">
        <f>IF($A309&gt;NYears*12,"",INT(($A309-1)/12)+1)</f>
        <v/>
      </c>
      <c r="D309" s="33">
        <f>IF($A309&gt;NYears*12,"",MOD($A309-1,12)+1)</f>
        <v/>
      </c>
      <c r="E309" s="35">
        <f>IF($A309&gt;NYears*12,"",LotValue0*(1+LotGrowth)^($C309-1))</f>
        <v/>
      </c>
      <c r="F309" s="35">
        <f>IF($A309&gt;NYears*12,"",IF($A309=1,InitInvest,$R308))</f>
        <v/>
      </c>
      <c r="G309" s="33">
        <f>IF($A309&gt;NYears*12,"",INT($F309/$E309))</f>
        <v/>
      </c>
      <c r="H309" s="35">
        <f>IF($A309&gt;NYears*12,"",$G309*$E309)</f>
        <v/>
      </c>
      <c r="I309" s="35">
        <f>IF($A309&gt;NYears*12,"",$F309-$H309)</f>
        <v/>
      </c>
      <c r="J309" s="35">
        <f>IF($A309&gt;NYears*12,"",$H309*RateB)</f>
        <v/>
      </c>
      <c r="K309" s="35">
        <f>IF($A309&gt;NYears*12,"",IF($D309=1,$J309,$K308+$J309))</f>
        <v/>
      </c>
      <c r="L309" s="35">
        <f>IF($A309&gt;NYears*12,"",IF(MOD($D309,3)=0,SUM($J307:$J309),0))</f>
        <v/>
      </c>
      <c r="M309" s="35">
        <f>IF($A309&gt;NYears*12,"",IF(TaxFreq="Quarterly",$K309*12/$D309,$K309))</f>
        <v/>
      </c>
      <c r="N309" s="36">
        <f>IF($A309&gt;NYears*12,"",LOOKUP($M309,TaxLower,TaxRate))</f>
        <v/>
      </c>
      <c r="O309" s="35">
        <f>IF($A309&gt;NYears*12,"",IF(TaxFreq="Quarterly",IF(MOD($D309,3)=0,$L309*$N309,0),IF($D309=12,$K309*$N309,0)))</f>
        <v/>
      </c>
      <c r="P309" s="35">
        <f>IF($A309&gt;NYears*12,"",IF($D309=1,$O309,$P308+$O309))</f>
        <v/>
      </c>
      <c r="Q309" s="35">
        <f>IF($A309&gt;NYears*12,"",IF($D309=12,MIN(WdrPct*IF(WdrBase="Post-tax profit",$K309-$P309,$K309),WdrCap),0))</f>
        <v/>
      </c>
      <c r="R309" s="35">
        <f>IF($A309&gt;NYears*12,"",$F309+$J309-$O309-$Q309)</f>
        <v/>
      </c>
      <c r="S309" s="33">
        <f>IF($A309&gt;NYears*12,"",INT($R309/$E309))</f>
        <v/>
      </c>
    </row>
    <row r="310">
      <c r="A310" s="33">
        <f>306</f>
        <v/>
      </c>
      <c r="B310" s="34">
        <f>IF($A310&gt;NYears*12,"",EDATE(StartMonth,$A310-1))</f>
        <v/>
      </c>
      <c r="C310" s="33">
        <f>IF($A310&gt;NYears*12,"",INT(($A310-1)/12)+1)</f>
        <v/>
      </c>
      <c r="D310" s="33">
        <f>IF($A310&gt;NYears*12,"",MOD($A310-1,12)+1)</f>
        <v/>
      </c>
      <c r="E310" s="35">
        <f>IF($A310&gt;NYears*12,"",LotValue0*(1+LotGrowth)^($C310-1))</f>
        <v/>
      </c>
      <c r="F310" s="35">
        <f>IF($A310&gt;NYears*12,"",IF($A310=1,InitInvest,$R309))</f>
        <v/>
      </c>
      <c r="G310" s="33">
        <f>IF($A310&gt;NYears*12,"",INT($F310/$E310))</f>
        <v/>
      </c>
      <c r="H310" s="35">
        <f>IF($A310&gt;NYears*12,"",$G310*$E310)</f>
        <v/>
      </c>
      <c r="I310" s="35">
        <f>IF($A310&gt;NYears*12,"",$F310-$H310)</f>
        <v/>
      </c>
      <c r="J310" s="35">
        <f>IF($A310&gt;NYears*12,"",$H310*RateB)</f>
        <v/>
      </c>
      <c r="K310" s="35">
        <f>IF($A310&gt;NYears*12,"",IF($D310=1,$J310,$K309+$J310))</f>
        <v/>
      </c>
      <c r="L310" s="35">
        <f>IF($A310&gt;NYears*12,"",IF(MOD($D310,3)=0,SUM($J308:$J310),0))</f>
        <v/>
      </c>
      <c r="M310" s="35">
        <f>IF($A310&gt;NYears*12,"",IF(TaxFreq="Quarterly",$K310*12/$D310,$K310))</f>
        <v/>
      </c>
      <c r="N310" s="36">
        <f>IF($A310&gt;NYears*12,"",LOOKUP($M310,TaxLower,TaxRate))</f>
        <v/>
      </c>
      <c r="O310" s="35">
        <f>IF($A310&gt;NYears*12,"",IF(TaxFreq="Quarterly",IF(MOD($D310,3)=0,$L310*$N310,0),IF($D310=12,$K310*$N310,0)))</f>
        <v/>
      </c>
      <c r="P310" s="35">
        <f>IF($A310&gt;NYears*12,"",IF($D310=1,$O310,$P309+$O310))</f>
        <v/>
      </c>
      <c r="Q310" s="35">
        <f>IF($A310&gt;NYears*12,"",IF($D310=12,MIN(WdrPct*IF(WdrBase="Post-tax profit",$K310-$P310,$K310),WdrCap),0))</f>
        <v/>
      </c>
      <c r="R310" s="35">
        <f>IF($A310&gt;NYears*12,"",$F310+$J310-$O310-$Q310)</f>
        <v/>
      </c>
      <c r="S310" s="33">
        <f>IF($A310&gt;NYears*12,"",INT($R310/$E310))</f>
        <v/>
      </c>
    </row>
    <row r="311">
      <c r="A311" s="33">
        <f>307</f>
        <v/>
      </c>
      <c r="B311" s="34">
        <f>IF($A311&gt;NYears*12,"",EDATE(StartMonth,$A311-1))</f>
        <v/>
      </c>
      <c r="C311" s="33">
        <f>IF($A311&gt;NYears*12,"",INT(($A311-1)/12)+1)</f>
        <v/>
      </c>
      <c r="D311" s="33">
        <f>IF($A311&gt;NYears*12,"",MOD($A311-1,12)+1)</f>
        <v/>
      </c>
      <c r="E311" s="35">
        <f>IF($A311&gt;NYears*12,"",LotValue0*(1+LotGrowth)^($C311-1))</f>
        <v/>
      </c>
      <c r="F311" s="35">
        <f>IF($A311&gt;NYears*12,"",IF($A311=1,InitInvest,$R310))</f>
        <v/>
      </c>
      <c r="G311" s="33">
        <f>IF($A311&gt;NYears*12,"",INT($F311/$E311))</f>
        <v/>
      </c>
      <c r="H311" s="35">
        <f>IF($A311&gt;NYears*12,"",$G311*$E311)</f>
        <v/>
      </c>
      <c r="I311" s="35">
        <f>IF($A311&gt;NYears*12,"",$F311-$H311)</f>
        <v/>
      </c>
      <c r="J311" s="35">
        <f>IF($A311&gt;NYears*12,"",$H311*RateB)</f>
        <v/>
      </c>
      <c r="K311" s="35">
        <f>IF($A311&gt;NYears*12,"",IF($D311=1,$J311,$K310+$J311))</f>
        <v/>
      </c>
      <c r="L311" s="35">
        <f>IF($A311&gt;NYears*12,"",IF(MOD($D311,3)=0,SUM($J309:$J311),0))</f>
        <v/>
      </c>
      <c r="M311" s="35">
        <f>IF($A311&gt;NYears*12,"",IF(TaxFreq="Quarterly",$K311*12/$D311,$K311))</f>
        <v/>
      </c>
      <c r="N311" s="36">
        <f>IF($A311&gt;NYears*12,"",LOOKUP($M311,TaxLower,TaxRate))</f>
        <v/>
      </c>
      <c r="O311" s="35">
        <f>IF($A311&gt;NYears*12,"",IF(TaxFreq="Quarterly",IF(MOD($D311,3)=0,$L311*$N311,0),IF($D311=12,$K311*$N311,0)))</f>
        <v/>
      </c>
      <c r="P311" s="35">
        <f>IF($A311&gt;NYears*12,"",IF($D311=1,$O311,$P310+$O311))</f>
        <v/>
      </c>
      <c r="Q311" s="35">
        <f>IF($A311&gt;NYears*12,"",IF($D311=12,MIN(WdrPct*IF(WdrBase="Post-tax profit",$K311-$P311,$K311),WdrCap),0))</f>
        <v/>
      </c>
      <c r="R311" s="35">
        <f>IF($A311&gt;NYears*12,"",$F311+$J311-$O311-$Q311)</f>
        <v/>
      </c>
      <c r="S311" s="33">
        <f>IF($A311&gt;NYears*12,"",INT($R311/$E311))</f>
        <v/>
      </c>
    </row>
    <row r="312">
      <c r="A312" s="33">
        <f>308</f>
        <v/>
      </c>
      <c r="B312" s="34">
        <f>IF($A312&gt;NYears*12,"",EDATE(StartMonth,$A312-1))</f>
        <v/>
      </c>
      <c r="C312" s="33">
        <f>IF($A312&gt;NYears*12,"",INT(($A312-1)/12)+1)</f>
        <v/>
      </c>
      <c r="D312" s="33">
        <f>IF($A312&gt;NYears*12,"",MOD($A312-1,12)+1)</f>
        <v/>
      </c>
      <c r="E312" s="35">
        <f>IF($A312&gt;NYears*12,"",LotValue0*(1+LotGrowth)^($C312-1))</f>
        <v/>
      </c>
      <c r="F312" s="35">
        <f>IF($A312&gt;NYears*12,"",IF($A312=1,InitInvest,$R311))</f>
        <v/>
      </c>
      <c r="G312" s="33">
        <f>IF($A312&gt;NYears*12,"",INT($F312/$E312))</f>
        <v/>
      </c>
      <c r="H312" s="35">
        <f>IF($A312&gt;NYears*12,"",$G312*$E312)</f>
        <v/>
      </c>
      <c r="I312" s="35">
        <f>IF($A312&gt;NYears*12,"",$F312-$H312)</f>
        <v/>
      </c>
      <c r="J312" s="35">
        <f>IF($A312&gt;NYears*12,"",$H312*RateB)</f>
        <v/>
      </c>
      <c r="K312" s="35">
        <f>IF($A312&gt;NYears*12,"",IF($D312=1,$J312,$K311+$J312))</f>
        <v/>
      </c>
      <c r="L312" s="35">
        <f>IF($A312&gt;NYears*12,"",IF(MOD($D312,3)=0,SUM($J310:$J312),0))</f>
        <v/>
      </c>
      <c r="M312" s="35">
        <f>IF($A312&gt;NYears*12,"",IF(TaxFreq="Quarterly",$K312*12/$D312,$K312))</f>
        <v/>
      </c>
      <c r="N312" s="36">
        <f>IF($A312&gt;NYears*12,"",LOOKUP($M312,TaxLower,TaxRate))</f>
        <v/>
      </c>
      <c r="O312" s="35">
        <f>IF($A312&gt;NYears*12,"",IF(TaxFreq="Quarterly",IF(MOD($D312,3)=0,$L312*$N312,0),IF($D312=12,$K312*$N312,0)))</f>
        <v/>
      </c>
      <c r="P312" s="35">
        <f>IF($A312&gt;NYears*12,"",IF($D312=1,$O312,$P311+$O312))</f>
        <v/>
      </c>
      <c r="Q312" s="35">
        <f>IF($A312&gt;NYears*12,"",IF($D312=12,MIN(WdrPct*IF(WdrBase="Post-tax profit",$K312-$P312,$K312),WdrCap),0))</f>
        <v/>
      </c>
      <c r="R312" s="35">
        <f>IF($A312&gt;NYears*12,"",$F312+$J312-$O312-$Q312)</f>
        <v/>
      </c>
      <c r="S312" s="33">
        <f>IF($A312&gt;NYears*12,"",INT($R312/$E312))</f>
        <v/>
      </c>
    </row>
    <row r="313">
      <c r="A313" s="33">
        <f>309</f>
        <v/>
      </c>
      <c r="B313" s="34">
        <f>IF($A313&gt;NYears*12,"",EDATE(StartMonth,$A313-1))</f>
        <v/>
      </c>
      <c r="C313" s="33">
        <f>IF($A313&gt;NYears*12,"",INT(($A313-1)/12)+1)</f>
        <v/>
      </c>
      <c r="D313" s="33">
        <f>IF($A313&gt;NYears*12,"",MOD($A313-1,12)+1)</f>
        <v/>
      </c>
      <c r="E313" s="35">
        <f>IF($A313&gt;NYears*12,"",LotValue0*(1+LotGrowth)^($C313-1))</f>
        <v/>
      </c>
      <c r="F313" s="35">
        <f>IF($A313&gt;NYears*12,"",IF($A313=1,InitInvest,$R312))</f>
        <v/>
      </c>
      <c r="G313" s="33">
        <f>IF($A313&gt;NYears*12,"",INT($F313/$E313))</f>
        <v/>
      </c>
      <c r="H313" s="35">
        <f>IF($A313&gt;NYears*12,"",$G313*$E313)</f>
        <v/>
      </c>
      <c r="I313" s="35">
        <f>IF($A313&gt;NYears*12,"",$F313-$H313)</f>
        <v/>
      </c>
      <c r="J313" s="35">
        <f>IF($A313&gt;NYears*12,"",$H313*RateB)</f>
        <v/>
      </c>
      <c r="K313" s="35">
        <f>IF($A313&gt;NYears*12,"",IF($D313=1,$J313,$K312+$J313))</f>
        <v/>
      </c>
      <c r="L313" s="35">
        <f>IF($A313&gt;NYears*12,"",IF(MOD($D313,3)=0,SUM($J311:$J313),0))</f>
        <v/>
      </c>
      <c r="M313" s="35">
        <f>IF($A313&gt;NYears*12,"",IF(TaxFreq="Quarterly",$K313*12/$D313,$K313))</f>
        <v/>
      </c>
      <c r="N313" s="36">
        <f>IF($A313&gt;NYears*12,"",LOOKUP($M313,TaxLower,TaxRate))</f>
        <v/>
      </c>
      <c r="O313" s="35">
        <f>IF($A313&gt;NYears*12,"",IF(TaxFreq="Quarterly",IF(MOD($D313,3)=0,$L313*$N313,0),IF($D313=12,$K313*$N313,0)))</f>
        <v/>
      </c>
      <c r="P313" s="35">
        <f>IF($A313&gt;NYears*12,"",IF($D313=1,$O313,$P312+$O313))</f>
        <v/>
      </c>
      <c r="Q313" s="35">
        <f>IF($A313&gt;NYears*12,"",IF($D313=12,MIN(WdrPct*IF(WdrBase="Post-tax profit",$K313-$P313,$K313),WdrCap),0))</f>
        <v/>
      </c>
      <c r="R313" s="35">
        <f>IF($A313&gt;NYears*12,"",$F313+$J313-$O313-$Q313)</f>
        <v/>
      </c>
      <c r="S313" s="33">
        <f>IF($A313&gt;NYears*12,"",INT($R313/$E313))</f>
        <v/>
      </c>
    </row>
    <row r="314">
      <c r="A314" s="33">
        <f>310</f>
        <v/>
      </c>
      <c r="B314" s="34">
        <f>IF($A314&gt;NYears*12,"",EDATE(StartMonth,$A314-1))</f>
        <v/>
      </c>
      <c r="C314" s="33">
        <f>IF($A314&gt;NYears*12,"",INT(($A314-1)/12)+1)</f>
        <v/>
      </c>
      <c r="D314" s="33">
        <f>IF($A314&gt;NYears*12,"",MOD($A314-1,12)+1)</f>
        <v/>
      </c>
      <c r="E314" s="35">
        <f>IF($A314&gt;NYears*12,"",LotValue0*(1+LotGrowth)^($C314-1))</f>
        <v/>
      </c>
      <c r="F314" s="35">
        <f>IF($A314&gt;NYears*12,"",IF($A314=1,InitInvest,$R313))</f>
        <v/>
      </c>
      <c r="G314" s="33">
        <f>IF($A314&gt;NYears*12,"",INT($F314/$E314))</f>
        <v/>
      </c>
      <c r="H314" s="35">
        <f>IF($A314&gt;NYears*12,"",$G314*$E314)</f>
        <v/>
      </c>
      <c r="I314" s="35">
        <f>IF($A314&gt;NYears*12,"",$F314-$H314)</f>
        <v/>
      </c>
      <c r="J314" s="35">
        <f>IF($A314&gt;NYears*12,"",$H314*RateB)</f>
        <v/>
      </c>
      <c r="K314" s="35">
        <f>IF($A314&gt;NYears*12,"",IF($D314=1,$J314,$K313+$J314))</f>
        <v/>
      </c>
      <c r="L314" s="35">
        <f>IF($A314&gt;NYears*12,"",IF(MOD($D314,3)=0,SUM($J312:$J314),0))</f>
        <v/>
      </c>
      <c r="M314" s="35">
        <f>IF($A314&gt;NYears*12,"",IF(TaxFreq="Quarterly",$K314*12/$D314,$K314))</f>
        <v/>
      </c>
      <c r="N314" s="36">
        <f>IF($A314&gt;NYears*12,"",LOOKUP($M314,TaxLower,TaxRate))</f>
        <v/>
      </c>
      <c r="O314" s="35">
        <f>IF($A314&gt;NYears*12,"",IF(TaxFreq="Quarterly",IF(MOD($D314,3)=0,$L314*$N314,0),IF($D314=12,$K314*$N314,0)))</f>
        <v/>
      </c>
      <c r="P314" s="35">
        <f>IF($A314&gt;NYears*12,"",IF($D314=1,$O314,$P313+$O314))</f>
        <v/>
      </c>
      <c r="Q314" s="35">
        <f>IF($A314&gt;NYears*12,"",IF($D314=12,MIN(WdrPct*IF(WdrBase="Post-tax profit",$K314-$P314,$K314),WdrCap),0))</f>
        <v/>
      </c>
      <c r="R314" s="35">
        <f>IF($A314&gt;NYears*12,"",$F314+$J314-$O314-$Q314)</f>
        <v/>
      </c>
      <c r="S314" s="33">
        <f>IF($A314&gt;NYears*12,"",INT($R314/$E314))</f>
        <v/>
      </c>
    </row>
    <row r="315">
      <c r="A315" s="33">
        <f>311</f>
        <v/>
      </c>
      <c r="B315" s="34">
        <f>IF($A315&gt;NYears*12,"",EDATE(StartMonth,$A315-1))</f>
        <v/>
      </c>
      <c r="C315" s="33">
        <f>IF($A315&gt;NYears*12,"",INT(($A315-1)/12)+1)</f>
        <v/>
      </c>
      <c r="D315" s="33">
        <f>IF($A315&gt;NYears*12,"",MOD($A315-1,12)+1)</f>
        <v/>
      </c>
      <c r="E315" s="35">
        <f>IF($A315&gt;NYears*12,"",LotValue0*(1+LotGrowth)^($C315-1))</f>
        <v/>
      </c>
      <c r="F315" s="35">
        <f>IF($A315&gt;NYears*12,"",IF($A315=1,InitInvest,$R314))</f>
        <v/>
      </c>
      <c r="G315" s="33">
        <f>IF($A315&gt;NYears*12,"",INT($F315/$E315))</f>
        <v/>
      </c>
      <c r="H315" s="35">
        <f>IF($A315&gt;NYears*12,"",$G315*$E315)</f>
        <v/>
      </c>
      <c r="I315" s="35">
        <f>IF($A315&gt;NYears*12,"",$F315-$H315)</f>
        <v/>
      </c>
      <c r="J315" s="35">
        <f>IF($A315&gt;NYears*12,"",$H315*RateB)</f>
        <v/>
      </c>
      <c r="K315" s="35">
        <f>IF($A315&gt;NYears*12,"",IF($D315=1,$J315,$K314+$J315))</f>
        <v/>
      </c>
      <c r="L315" s="35">
        <f>IF($A315&gt;NYears*12,"",IF(MOD($D315,3)=0,SUM($J313:$J315),0))</f>
        <v/>
      </c>
      <c r="M315" s="35">
        <f>IF($A315&gt;NYears*12,"",IF(TaxFreq="Quarterly",$K315*12/$D315,$K315))</f>
        <v/>
      </c>
      <c r="N315" s="36">
        <f>IF($A315&gt;NYears*12,"",LOOKUP($M315,TaxLower,TaxRate))</f>
        <v/>
      </c>
      <c r="O315" s="35">
        <f>IF($A315&gt;NYears*12,"",IF(TaxFreq="Quarterly",IF(MOD($D315,3)=0,$L315*$N315,0),IF($D315=12,$K315*$N315,0)))</f>
        <v/>
      </c>
      <c r="P315" s="35">
        <f>IF($A315&gt;NYears*12,"",IF($D315=1,$O315,$P314+$O315))</f>
        <v/>
      </c>
      <c r="Q315" s="35">
        <f>IF($A315&gt;NYears*12,"",IF($D315=12,MIN(WdrPct*IF(WdrBase="Post-tax profit",$K315-$P315,$K315),WdrCap),0))</f>
        <v/>
      </c>
      <c r="R315" s="35">
        <f>IF($A315&gt;NYears*12,"",$F315+$J315-$O315-$Q315)</f>
        <v/>
      </c>
      <c r="S315" s="33">
        <f>IF($A315&gt;NYears*12,"",INT($R315/$E315))</f>
        <v/>
      </c>
    </row>
    <row r="316">
      <c r="A316" s="37">
        <f>312</f>
        <v/>
      </c>
      <c r="B316" s="38">
        <f>IF($A316&gt;NYears*12,"",EDATE(StartMonth,$A316-1))</f>
        <v/>
      </c>
      <c r="C316" s="37">
        <f>IF($A316&gt;NYears*12,"",INT(($A316-1)/12)+1)</f>
        <v/>
      </c>
      <c r="D316" s="37">
        <f>IF($A316&gt;NYears*12,"",MOD($A316-1,12)+1)</f>
        <v/>
      </c>
      <c r="E316" s="39">
        <f>IF($A316&gt;NYears*12,"",LotValue0*(1+LotGrowth)^($C316-1))</f>
        <v/>
      </c>
      <c r="F316" s="39">
        <f>IF($A316&gt;NYears*12,"",IF($A316=1,InitInvest,$R315))</f>
        <v/>
      </c>
      <c r="G316" s="37">
        <f>IF($A316&gt;NYears*12,"",INT($F316/$E316))</f>
        <v/>
      </c>
      <c r="H316" s="39">
        <f>IF($A316&gt;NYears*12,"",$G316*$E316)</f>
        <v/>
      </c>
      <c r="I316" s="39">
        <f>IF($A316&gt;NYears*12,"",$F316-$H316)</f>
        <v/>
      </c>
      <c r="J316" s="39">
        <f>IF($A316&gt;NYears*12,"",$H316*RateB)</f>
        <v/>
      </c>
      <c r="K316" s="39">
        <f>IF($A316&gt;NYears*12,"",IF($D316=1,$J316,$K315+$J316))</f>
        <v/>
      </c>
      <c r="L316" s="39">
        <f>IF($A316&gt;NYears*12,"",IF(MOD($D316,3)=0,SUM($J314:$J316),0))</f>
        <v/>
      </c>
      <c r="M316" s="39">
        <f>IF($A316&gt;NYears*12,"",IF(TaxFreq="Quarterly",$K316*12/$D316,$K316))</f>
        <v/>
      </c>
      <c r="N316" s="40">
        <f>IF($A316&gt;NYears*12,"",LOOKUP($M316,TaxLower,TaxRate))</f>
        <v/>
      </c>
      <c r="O316" s="39">
        <f>IF($A316&gt;NYears*12,"",IF(TaxFreq="Quarterly",IF(MOD($D316,3)=0,$L316*$N316,0),IF($D316=12,$K316*$N316,0)))</f>
        <v/>
      </c>
      <c r="P316" s="39">
        <f>IF($A316&gt;NYears*12,"",IF($D316=1,$O316,$P315+$O316))</f>
        <v/>
      </c>
      <c r="Q316" s="39">
        <f>IF($A316&gt;NYears*12,"",IF($D316=12,MIN(WdrPct*IF(WdrBase="Post-tax profit",$K316-$P316,$K316),WdrCap),0))</f>
        <v/>
      </c>
      <c r="R316" s="39">
        <f>IF($A316&gt;NYears*12,"",$F316+$J316-$O316-$Q316)</f>
        <v/>
      </c>
      <c r="S316" s="37">
        <f>IF($A316&gt;NYears*12,"",INT($R316/$E316))</f>
        <v/>
      </c>
    </row>
    <row r="317">
      <c r="A317" s="33">
        <f>313</f>
        <v/>
      </c>
      <c r="B317" s="34">
        <f>IF($A317&gt;NYears*12,"",EDATE(StartMonth,$A317-1))</f>
        <v/>
      </c>
      <c r="C317" s="33">
        <f>IF($A317&gt;NYears*12,"",INT(($A317-1)/12)+1)</f>
        <v/>
      </c>
      <c r="D317" s="33">
        <f>IF($A317&gt;NYears*12,"",MOD($A317-1,12)+1)</f>
        <v/>
      </c>
      <c r="E317" s="35">
        <f>IF($A317&gt;NYears*12,"",LotValue0*(1+LotGrowth)^($C317-1))</f>
        <v/>
      </c>
      <c r="F317" s="35">
        <f>IF($A317&gt;NYears*12,"",IF($A317=1,InitInvest,$R316))</f>
        <v/>
      </c>
      <c r="G317" s="33">
        <f>IF($A317&gt;NYears*12,"",INT($F317/$E317))</f>
        <v/>
      </c>
      <c r="H317" s="35">
        <f>IF($A317&gt;NYears*12,"",$G317*$E317)</f>
        <v/>
      </c>
      <c r="I317" s="35">
        <f>IF($A317&gt;NYears*12,"",$F317-$H317)</f>
        <v/>
      </c>
      <c r="J317" s="35">
        <f>IF($A317&gt;NYears*12,"",$H317*RateB)</f>
        <v/>
      </c>
      <c r="K317" s="35">
        <f>IF($A317&gt;NYears*12,"",IF($D317=1,$J317,$K316+$J317))</f>
        <v/>
      </c>
      <c r="L317" s="35">
        <f>IF($A317&gt;NYears*12,"",IF(MOD($D317,3)=0,SUM($J315:$J317),0))</f>
        <v/>
      </c>
      <c r="M317" s="35">
        <f>IF($A317&gt;NYears*12,"",IF(TaxFreq="Quarterly",$K317*12/$D317,$K317))</f>
        <v/>
      </c>
      <c r="N317" s="36">
        <f>IF($A317&gt;NYears*12,"",LOOKUP($M317,TaxLower,TaxRate))</f>
        <v/>
      </c>
      <c r="O317" s="35">
        <f>IF($A317&gt;NYears*12,"",IF(TaxFreq="Quarterly",IF(MOD($D317,3)=0,$L317*$N317,0),IF($D317=12,$K317*$N317,0)))</f>
        <v/>
      </c>
      <c r="P317" s="35">
        <f>IF($A317&gt;NYears*12,"",IF($D317=1,$O317,$P316+$O317))</f>
        <v/>
      </c>
      <c r="Q317" s="35">
        <f>IF($A317&gt;NYears*12,"",IF($D317=12,MIN(WdrPct*IF(WdrBase="Post-tax profit",$K317-$P317,$K317),WdrCap),0))</f>
        <v/>
      </c>
      <c r="R317" s="35">
        <f>IF($A317&gt;NYears*12,"",$F317+$J317-$O317-$Q317)</f>
        <v/>
      </c>
      <c r="S317" s="33">
        <f>IF($A317&gt;NYears*12,"",INT($R317/$E317))</f>
        <v/>
      </c>
    </row>
    <row r="318">
      <c r="A318" s="33">
        <f>314</f>
        <v/>
      </c>
      <c r="B318" s="34">
        <f>IF($A318&gt;NYears*12,"",EDATE(StartMonth,$A318-1))</f>
        <v/>
      </c>
      <c r="C318" s="33">
        <f>IF($A318&gt;NYears*12,"",INT(($A318-1)/12)+1)</f>
        <v/>
      </c>
      <c r="D318" s="33">
        <f>IF($A318&gt;NYears*12,"",MOD($A318-1,12)+1)</f>
        <v/>
      </c>
      <c r="E318" s="35">
        <f>IF($A318&gt;NYears*12,"",LotValue0*(1+LotGrowth)^($C318-1))</f>
        <v/>
      </c>
      <c r="F318" s="35">
        <f>IF($A318&gt;NYears*12,"",IF($A318=1,InitInvest,$R317))</f>
        <v/>
      </c>
      <c r="G318" s="33">
        <f>IF($A318&gt;NYears*12,"",INT($F318/$E318))</f>
        <v/>
      </c>
      <c r="H318" s="35">
        <f>IF($A318&gt;NYears*12,"",$G318*$E318)</f>
        <v/>
      </c>
      <c r="I318" s="35">
        <f>IF($A318&gt;NYears*12,"",$F318-$H318)</f>
        <v/>
      </c>
      <c r="J318" s="35">
        <f>IF($A318&gt;NYears*12,"",$H318*RateB)</f>
        <v/>
      </c>
      <c r="K318" s="35">
        <f>IF($A318&gt;NYears*12,"",IF($D318=1,$J318,$K317+$J318))</f>
        <v/>
      </c>
      <c r="L318" s="35">
        <f>IF($A318&gt;NYears*12,"",IF(MOD($D318,3)=0,SUM($J316:$J318),0))</f>
        <v/>
      </c>
      <c r="M318" s="35">
        <f>IF($A318&gt;NYears*12,"",IF(TaxFreq="Quarterly",$K318*12/$D318,$K318))</f>
        <v/>
      </c>
      <c r="N318" s="36">
        <f>IF($A318&gt;NYears*12,"",LOOKUP($M318,TaxLower,TaxRate))</f>
        <v/>
      </c>
      <c r="O318" s="35">
        <f>IF($A318&gt;NYears*12,"",IF(TaxFreq="Quarterly",IF(MOD($D318,3)=0,$L318*$N318,0),IF($D318=12,$K318*$N318,0)))</f>
        <v/>
      </c>
      <c r="P318" s="35">
        <f>IF($A318&gt;NYears*12,"",IF($D318=1,$O318,$P317+$O318))</f>
        <v/>
      </c>
      <c r="Q318" s="35">
        <f>IF($A318&gt;NYears*12,"",IF($D318=12,MIN(WdrPct*IF(WdrBase="Post-tax profit",$K318-$P318,$K318),WdrCap),0))</f>
        <v/>
      </c>
      <c r="R318" s="35">
        <f>IF($A318&gt;NYears*12,"",$F318+$J318-$O318-$Q318)</f>
        <v/>
      </c>
      <c r="S318" s="33">
        <f>IF($A318&gt;NYears*12,"",INT($R318/$E318))</f>
        <v/>
      </c>
    </row>
    <row r="319">
      <c r="A319" s="33">
        <f>315</f>
        <v/>
      </c>
      <c r="B319" s="34">
        <f>IF($A319&gt;NYears*12,"",EDATE(StartMonth,$A319-1))</f>
        <v/>
      </c>
      <c r="C319" s="33">
        <f>IF($A319&gt;NYears*12,"",INT(($A319-1)/12)+1)</f>
        <v/>
      </c>
      <c r="D319" s="33">
        <f>IF($A319&gt;NYears*12,"",MOD($A319-1,12)+1)</f>
        <v/>
      </c>
      <c r="E319" s="35">
        <f>IF($A319&gt;NYears*12,"",LotValue0*(1+LotGrowth)^($C319-1))</f>
        <v/>
      </c>
      <c r="F319" s="35">
        <f>IF($A319&gt;NYears*12,"",IF($A319=1,InitInvest,$R318))</f>
        <v/>
      </c>
      <c r="G319" s="33">
        <f>IF($A319&gt;NYears*12,"",INT($F319/$E319))</f>
        <v/>
      </c>
      <c r="H319" s="35">
        <f>IF($A319&gt;NYears*12,"",$G319*$E319)</f>
        <v/>
      </c>
      <c r="I319" s="35">
        <f>IF($A319&gt;NYears*12,"",$F319-$H319)</f>
        <v/>
      </c>
      <c r="J319" s="35">
        <f>IF($A319&gt;NYears*12,"",$H319*RateB)</f>
        <v/>
      </c>
      <c r="K319" s="35">
        <f>IF($A319&gt;NYears*12,"",IF($D319=1,$J319,$K318+$J319))</f>
        <v/>
      </c>
      <c r="L319" s="35">
        <f>IF($A319&gt;NYears*12,"",IF(MOD($D319,3)=0,SUM($J317:$J319),0))</f>
        <v/>
      </c>
      <c r="M319" s="35">
        <f>IF($A319&gt;NYears*12,"",IF(TaxFreq="Quarterly",$K319*12/$D319,$K319))</f>
        <v/>
      </c>
      <c r="N319" s="36">
        <f>IF($A319&gt;NYears*12,"",LOOKUP($M319,TaxLower,TaxRate))</f>
        <v/>
      </c>
      <c r="O319" s="35">
        <f>IF($A319&gt;NYears*12,"",IF(TaxFreq="Quarterly",IF(MOD($D319,3)=0,$L319*$N319,0),IF($D319=12,$K319*$N319,0)))</f>
        <v/>
      </c>
      <c r="P319" s="35">
        <f>IF($A319&gt;NYears*12,"",IF($D319=1,$O319,$P318+$O319))</f>
        <v/>
      </c>
      <c r="Q319" s="35">
        <f>IF($A319&gt;NYears*12,"",IF($D319=12,MIN(WdrPct*IF(WdrBase="Post-tax profit",$K319-$P319,$K319),WdrCap),0))</f>
        <v/>
      </c>
      <c r="R319" s="35">
        <f>IF($A319&gt;NYears*12,"",$F319+$J319-$O319-$Q319)</f>
        <v/>
      </c>
      <c r="S319" s="33">
        <f>IF($A319&gt;NYears*12,"",INT($R319/$E319))</f>
        <v/>
      </c>
    </row>
    <row r="320">
      <c r="A320" s="33">
        <f>316</f>
        <v/>
      </c>
      <c r="B320" s="34">
        <f>IF($A320&gt;NYears*12,"",EDATE(StartMonth,$A320-1))</f>
        <v/>
      </c>
      <c r="C320" s="33">
        <f>IF($A320&gt;NYears*12,"",INT(($A320-1)/12)+1)</f>
        <v/>
      </c>
      <c r="D320" s="33">
        <f>IF($A320&gt;NYears*12,"",MOD($A320-1,12)+1)</f>
        <v/>
      </c>
      <c r="E320" s="35">
        <f>IF($A320&gt;NYears*12,"",LotValue0*(1+LotGrowth)^($C320-1))</f>
        <v/>
      </c>
      <c r="F320" s="35">
        <f>IF($A320&gt;NYears*12,"",IF($A320=1,InitInvest,$R319))</f>
        <v/>
      </c>
      <c r="G320" s="33">
        <f>IF($A320&gt;NYears*12,"",INT($F320/$E320))</f>
        <v/>
      </c>
      <c r="H320" s="35">
        <f>IF($A320&gt;NYears*12,"",$G320*$E320)</f>
        <v/>
      </c>
      <c r="I320" s="35">
        <f>IF($A320&gt;NYears*12,"",$F320-$H320)</f>
        <v/>
      </c>
      <c r="J320" s="35">
        <f>IF($A320&gt;NYears*12,"",$H320*RateB)</f>
        <v/>
      </c>
      <c r="K320" s="35">
        <f>IF($A320&gt;NYears*12,"",IF($D320=1,$J320,$K319+$J320))</f>
        <v/>
      </c>
      <c r="L320" s="35">
        <f>IF($A320&gt;NYears*12,"",IF(MOD($D320,3)=0,SUM($J318:$J320),0))</f>
        <v/>
      </c>
      <c r="M320" s="35">
        <f>IF($A320&gt;NYears*12,"",IF(TaxFreq="Quarterly",$K320*12/$D320,$K320))</f>
        <v/>
      </c>
      <c r="N320" s="36">
        <f>IF($A320&gt;NYears*12,"",LOOKUP($M320,TaxLower,TaxRate))</f>
        <v/>
      </c>
      <c r="O320" s="35">
        <f>IF($A320&gt;NYears*12,"",IF(TaxFreq="Quarterly",IF(MOD($D320,3)=0,$L320*$N320,0),IF($D320=12,$K320*$N320,0)))</f>
        <v/>
      </c>
      <c r="P320" s="35">
        <f>IF($A320&gt;NYears*12,"",IF($D320=1,$O320,$P319+$O320))</f>
        <v/>
      </c>
      <c r="Q320" s="35">
        <f>IF($A320&gt;NYears*12,"",IF($D320=12,MIN(WdrPct*IF(WdrBase="Post-tax profit",$K320-$P320,$K320),WdrCap),0))</f>
        <v/>
      </c>
      <c r="R320" s="35">
        <f>IF($A320&gt;NYears*12,"",$F320+$J320-$O320-$Q320)</f>
        <v/>
      </c>
      <c r="S320" s="33">
        <f>IF($A320&gt;NYears*12,"",INT($R320/$E320))</f>
        <v/>
      </c>
    </row>
    <row r="321">
      <c r="A321" s="33">
        <f>317</f>
        <v/>
      </c>
      <c r="B321" s="34">
        <f>IF($A321&gt;NYears*12,"",EDATE(StartMonth,$A321-1))</f>
        <v/>
      </c>
      <c r="C321" s="33">
        <f>IF($A321&gt;NYears*12,"",INT(($A321-1)/12)+1)</f>
        <v/>
      </c>
      <c r="D321" s="33">
        <f>IF($A321&gt;NYears*12,"",MOD($A321-1,12)+1)</f>
        <v/>
      </c>
      <c r="E321" s="35">
        <f>IF($A321&gt;NYears*12,"",LotValue0*(1+LotGrowth)^($C321-1))</f>
        <v/>
      </c>
      <c r="F321" s="35">
        <f>IF($A321&gt;NYears*12,"",IF($A321=1,InitInvest,$R320))</f>
        <v/>
      </c>
      <c r="G321" s="33">
        <f>IF($A321&gt;NYears*12,"",INT($F321/$E321))</f>
        <v/>
      </c>
      <c r="H321" s="35">
        <f>IF($A321&gt;NYears*12,"",$G321*$E321)</f>
        <v/>
      </c>
      <c r="I321" s="35">
        <f>IF($A321&gt;NYears*12,"",$F321-$H321)</f>
        <v/>
      </c>
      <c r="J321" s="35">
        <f>IF($A321&gt;NYears*12,"",$H321*RateB)</f>
        <v/>
      </c>
      <c r="K321" s="35">
        <f>IF($A321&gt;NYears*12,"",IF($D321=1,$J321,$K320+$J321))</f>
        <v/>
      </c>
      <c r="L321" s="35">
        <f>IF($A321&gt;NYears*12,"",IF(MOD($D321,3)=0,SUM($J319:$J321),0))</f>
        <v/>
      </c>
      <c r="M321" s="35">
        <f>IF($A321&gt;NYears*12,"",IF(TaxFreq="Quarterly",$K321*12/$D321,$K321))</f>
        <v/>
      </c>
      <c r="N321" s="36">
        <f>IF($A321&gt;NYears*12,"",LOOKUP($M321,TaxLower,TaxRate))</f>
        <v/>
      </c>
      <c r="O321" s="35">
        <f>IF($A321&gt;NYears*12,"",IF(TaxFreq="Quarterly",IF(MOD($D321,3)=0,$L321*$N321,0),IF($D321=12,$K321*$N321,0)))</f>
        <v/>
      </c>
      <c r="P321" s="35">
        <f>IF($A321&gt;NYears*12,"",IF($D321=1,$O321,$P320+$O321))</f>
        <v/>
      </c>
      <c r="Q321" s="35">
        <f>IF($A321&gt;NYears*12,"",IF($D321=12,MIN(WdrPct*IF(WdrBase="Post-tax profit",$K321-$P321,$K321),WdrCap),0))</f>
        <v/>
      </c>
      <c r="R321" s="35">
        <f>IF($A321&gt;NYears*12,"",$F321+$J321-$O321-$Q321)</f>
        <v/>
      </c>
      <c r="S321" s="33">
        <f>IF($A321&gt;NYears*12,"",INT($R321/$E321))</f>
        <v/>
      </c>
    </row>
    <row r="322">
      <c r="A322" s="33">
        <f>318</f>
        <v/>
      </c>
      <c r="B322" s="34">
        <f>IF($A322&gt;NYears*12,"",EDATE(StartMonth,$A322-1))</f>
        <v/>
      </c>
      <c r="C322" s="33">
        <f>IF($A322&gt;NYears*12,"",INT(($A322-1)/12)+1)</f>
        <v/>
      </c>
      <c r="D322" s="33">
        <f>IF($A322&gt;NYears*12,"",MOD($A322-1,12)+1)</f>
        <v/>
      </c>
      <c r="E322" s="35">
        <f>IF($A322&gt;NYears*12,"",LotValue0*(1+LotGrowth)^($C322-1))</f>
        <v/>
      </c>
      <c r="F322" s="35">
        <f>IF($A322&gt;NYears*12,"",IF($A322=1,InitInvest,$R321))</f>
        <v/>
      </c>
      <c r="G322" s="33">
        <f>IF($A322&gt;NYears*12,"",INT($F322/$E322))</f>
        <v/>
      </c>
      <c r="H322" s="35">
        <f>IF($A322&gt;NYears*12,"",$G322*$E322)</f>
        <v/>
      </c>
      <c r="I322" s="35">
        <f>IF($A322&gt;NYears*12,"",$F322-$H322)</f>
        <v/>
      </c>
      <c r="J322" s="35">
        <f>IF($A322&gt;NYears*12,"",$H322*RateB)</f>
        <v/>
      </c>
      <c r="K322" s="35">
        <f>IF($A322&gt;NYears*12,"",IF($D322=1,$J322,$K321+$J322))</f>
        <v/>
      </c>
      <c r="L322" s="35">
        <f>IF($A322&gt;NYears*12,"",IF(MOD($D322,3)=0,SUM($J320:$J322),0))</f>
        <v/>
      </c>
      <c r="M322" s="35">
        <f>IF($A322&gt;NYears*12,"",IF(TaxFreq="Quarterly",$K322*12/$D322,$K322))</f>
        <v/>
      </c>
      <c r="N322" s="36">
        <f>IF($A322&gt;NYears*12,"",LOOKUP($M322,TaxLower,TaxRate))</f>
        <v/>
      </c>
      <c r="O322" s="35">
        <f>IF($A322&gt;NYears*12,"",IF(TaxFreq="Quarterly",IF(MOD($D322,3)=0,$L322*$N322,0),IF($D322=12,$K322*$N322,0)))</f>
        <v/>
      </c>
      <c r="P322" s="35">
        <f>IF($A322&gt;NYears*12,"",IF($D322=1,$O322,$P321+$O322))</f>
        <v/>
      </c>
      <c r="Q322" s="35">
        <f>IF($A322&gt;NYears*12,"",IF($D322=12,MIN(WdrPct*IF(WdrBase="Post-tax profit",$K322-$P322,$K322),WdrCap),0))</f>
        <v/>
      </c>
      <c r="R322" s="35">
        <f>IF($A322&gt;NYears*12,"",$F322+$J322-$O322-$Q322)</f>
        <v/>
      </c>
      <c r="S322" s="33">
        <f>IF($A322&gt;NYears*12,"",INT($R322/$E322))</f>
        <v/>
      </c>
    </row>
    <row r="323">
      <c r="A323" s="33">
        <f>319</f>
        <v/>
      </c>
      <c r="B323" s="34">
        <f>IF($A323&gt;NYears*12,"",EDATE(StartMonth,$A323-1))</f>
        <v/>
      </c>
      <c r="C323" s="33">
        <f>IF($A323&gt;NYears*12,"",INT(($A323-1)/12)+1)</f>
        <v/>
      </c>
      <c r="D323" s="33">
        <f>IF($A323&gt;NYears*12,"",MOD($A323-1,12)+1)</f>
        <v/>
      </c>
      <c r="E323" s="35">
        <f>IF($A323&gt;NYears*12,"",LotValue0*(1+LotGrowth)^($C323-1))</f>
        <v/>
      </c>
      <c r="F323" s="35">
        <f>IF($A323&gt;NYears*12,"",IF($A323=1,InitInvest,$R322))</f>
        <v/>
      </c>
      <c r="G323" s="33">
        <f>IF($A323&gt;NYears*12,"",INT($F323/$E323))</f>
        <v/>
      </c>
      <c r="H323" s="35">
        <f>IF($A323&gt;NYears*12,"",$G323*$E323)</f>
        <v/>
      </c>
      <c r="I323" s="35">
        <f>IF($A323&gt;NYears*12,"",$F323-$H323)</f>
        <v/>
      </c>
      <c r="J323" s="35">
        <f>IF($A323&gt;NYears*12,"",$H323*RateB)</f>
        <v/>
      </c>
      <c r="K323" s="35">
        <f>IF($A323&gt;NYears*12,"",IF($D323=1,$J323,$K322+$J323))</f>
        <v/>
      </c>
      <c r="L323" s="35">
        <f>IF($A323&gt;NYears*12,"",IF(MOD($D323,3)=0,SUM($J321:$J323),0))</f>
        <v/>
      </c>
      <c r="M323" s="35">
        <f>IF($A323&gt;NYears*12,"",IF(TaxFreq="Quarterly",$K323*12/$D323,$K323))</f>
        <v/>
      </c>
      <c r="N323" s="36">
        <f>IF($A323&gt;NYears*12,"",LOOKUP($M323,TaxLower,TaxRate))</f>
        <v/>
      </c>
      <c r="O323" s="35">
        <f>IF($A323&gt;NYears*12,"",IF(TaxFreq="Quarterly",IF(MOD($D323,3)=0,$L323*$N323,0),IF($D323=12,$K323*$N323,0)))</f>
        <v/>
      </c>
      <c r="P323" s="35">
        <f>IF($A323&gt;NYears*12,"",IF($D323=1,$O323,$P322+$O323))</f>
        <v/>
      </c>
      <c r="Q323" s="35">
        <f>IF($A323&gt;NYears*12,"",IF($D323=12,MIN(WdrPct*IF(WdrBase="Post-tax profit",$K323-$P323,$K323),WdrCap),0))</f>
        <v/>
      </c>
      <c r="R323" s="35">
        <f>IF($A323&gt;NYears*12,"",$F323+$J323-$O323-$Q323)</f>
        <v/>
      </c>
      <c r="S323" s="33">
        <f>IF($A323&gt;NYears*12,"",INT($R323/$E323))</f>
        <v/>
      </c>
    </row>
    <row r="324">
      <c r="A324" s="33">
        <f>320</f>
        <v/>
      </c>
      <c r="B324" s="34">
        <f>IF($A324&gt;NYears*12,"",EDATE(StartMonth,$A324-1))</f>
        <v/>
      </c>
      <c r="C324" s="33">
        <f>IF($A324&gt;NYears*12,"",INT(($A324-1)/12)+1)</f>
        <v/>
      </c>
      <c r="D324" s="33">
        <f>IF($A324&gt;NYears*12,"",MOD($A324-1,12)+1)</f>
        <v/>
      </c>
      <c r="E324" s="35">
        <f>IF($A324&gt;NYears*12,"",LotValue0*(1+LotGrowth)^($C324-1))</f>
        <v/>
      </c>
      <c r="F324" s="35">
        <f>IF($A324&gt;NYears*12,"",IF($A324=1,InitInvest,$R323))</f>
        <v/>
      </c>
      <c r="G324" s="33">
        <f>IF($A324&gt;NYears*12,"",INT($F324/$E324))</f>
        <v/>
      </c>
      <c r="H324" s="35">
        <f>IF($A324&gt;NYears*12,"",$G324*$E324)</f>
        <v/>
      </c>
      <c r="I324" s="35">
        <f>IF($A324&gt;NYears*12,"",$F324-$H324)</f>
        <v/>
      </c>
      <c r="J324" s="35">
        <f>IF($A324&gt;NYears*12,"",$H324*RateB)</f>
        <v/>
      </c>
      <c r="K324" s="35">
        <f>IF($A324&gt;NYears*12,"",IF($D324=1,$J324,$K323+$J324))</f>
        <v/>
      </c>
      <c r="L324" s="35">
        <f>IF($A324&gt;NYears*12,"",IF(MOD($D324,3)=0,SUM($J322:$J324),0))</f>
        <v/>
      </c>
      <c r="M324" s="35">
        <f>IF($A324&gt;NYears*12,"",IF(TaxFreq="Quarterly",$K324*12/$D324,$K324))</f>
        <v/>
      </c>
      <c r="N324" s="36">
        <f>IF($A324&gt;NYears*12,"",LOOKUP($M324,TaxLower,TaxRate))</f>
        <v/>
      </c>
      <c r="O324" s="35">
        <f>IF($A324&gt;NYears*12,"",IF(TaxFreq="Quarterly",IF(MOD($D324,3)=0,$L324*$N324,0),IF($D324=12,$K324*$N324,0)))</f>
        <v/>
      </c>
      <c r="P324" s="35">
        <f>IF($A324&gt;NYears*12,"",IF($D324=1,$O324,$P323+$O324))</f>
        <v/>
      </c>
      <c r="Q324" s="35">
        <f>IF($A324&gt;NYears*12,"",IF($D324=12,MIN(WdrPct*IF(WdrBase="Post-tax profit",$K324-$P324,$K324),WdrCap),0))</f>
        <v/>
      </c>
      <c r="R324" s="35">
        <f>IF($A324&gt;NYears*12,"",$F324+$J324-$O324-$Q324)</f>
        <v/>
      </c>
      <c r="S324" s="33">
        <f>IF($A324&gt;NYears*12,"",INT($R324/$E324))</f>
        <v/>
      </c>
    </row>
    <row r="325">
      <c r="A325" s="33">
        <f>321</f>
        <v/>
      </c>
      <c r="B325" s="34">
        <f>IF($A325&gt;NYears*12,"",EDATE(StartMonth,$A325-1))</f>
        <v/>
      </c>
      <c r="C325" s="33">
        <f>IF($A325&gt;NYears*12,"",INT(($A325-1)/12)+1)</f>
        <v/>
      </c>
      <c r="D325" s="33">
        <f>IF($A325&gt;NYears*12,"",MOD($A325-1,12)+1)</f>
        <v/>
      </c>
      <c r="E325" s="35">
        <f>IF($A325&gt;NYears*12,"",LotValue0*(1+LotGrowth)^($C325-1))</f>
        <v/>
      </c>
      <c r="F325" s="35">
        <f>IF($A325&gt;NYears*12,"",IF($A325=1,InitInvest,$R324))</f>
        <v/>
      </c>
      <c r="G325" s="33">
        <f>IF($A325&gt;NYears*12,"",INT($F325/$E325))</f>
        <v/>
      </c>
      <c r="H325" s="35">
        <f>IF($A325&gt;NYears*12,"",$G325*$E325)</f>
        <v/>
      </c>
      <c r="I325" s="35">
        <f>IF($A325&gt;NYears*12,"",$F325-$H325)</f>
        <v/>
      </c>
      <c r="J325" s="35">
        <f>IF($A325&gt;NYears*12,"",$H325*RateB)</f>
        <v/>
      </c>
      <c r="K325" s="35">
        <f>IF($A325&gt;NYears*12,"",IF($D325=1,$J325,$K324+$J325))</f>
        <v/>
      </c>
      <c r="L325" s="35">
        <f>IF($A325&gt;NYears*12,"",IF(MOD($D325,3)=0,SUM($J323:$J325),0))</f>
        <v/>
      </c>
      <c r="M325" s="35">
        <f>IF($A325&gt;NYears*12,"",IF(TaxFreq="Quarterly",$K325*12/$D325,$K325))</f>
        <v/>
      </c>
      <c r="N325" s="36">
        <f>IF($A325&gt;NYears*12,"",LOOKUP($M325,TaxLower,TaxRate))</f>
        <v/>
      </c>
      <c r="O325" s="35">
        <f>IF($A325&gt;NYears*12,"",IF(TaxFreq="Quarterly",IF(MOD($D325,3)=0,$L325*$N325,0),IF($D325=12,$K325*$N325,0)))</f>
        <v/>
      </c>
      <c r="P325" s="35">
        <f>IF($A325&gt;NYears*12,"",IF($D325=1,$O325,$P324+$O325))</f>
        <v/>
      </c>
      <c r="Q325" s="35">
        <f>IF($A325&gt;NYears*12,"",IF($D325=12,MIN(WdrPct*IF(WdrBase="Post-tax profit",$K325-$P325,$K325),WdrCap),0))</f>
        <v/>
      </c>
      <c r="R325" s="35">
        <f>IF($A325&gt;NYears*12,"",$F325+$J325-$O325-$Q325)</f>
        <v/>
      </c>
      <c r="S325" s="33">
        <f>IF($A325&gt;NYears*12,"",INT($R325/$E325))</f>
        <v/>
      </c>
    </row>
    <row r="326">
      <c r="A326" s="33">
        <f>322</f>
        <v/>
      </c>
      <c r="B326" s="34">
        <f>IF($A326&gt;NYears*12,"",EDATE(StartMonth,$A326-1))</f>
        <v/>
      </c>
      <c r="C326" s="33">
        <f>IF($A326&gt;NYears*12,"",INT(($A326-1)/12)+1)</f>
        <v/>
      </c>
      <c r="D326" s="33">
        <f>IF($A326&gt;NYears*12,"",MOD($A326-1,12)+1)</f>
        <v/>
      </c>
      <c r="E326" s="35">
        <f>IF($A326&gt;NYears*12,"",LotValue0*(1+LotGrowth)^($C326-1))</f>
        <v/>
      </c>
      <c r="F326" s="35">
        <f>IF($A326&gt;NYears*12,"",IF($A326=1,InitInvest,$R325))</f>
        <v/>
      </c>
      <c r="G326" s="33">
        <f>IF($A326&gt;NYears*12,"",INT($F326/$E326))</f>
        <v/>
      </c>
      <c r="H326" s="35">
        <f>IF($A326&gt;NYears*12,"",$G326*$E326)</f>
        <v/>
      </c>
      <c r="I326" s="35">
        <f>IF($A326&gt;NYears*12,"",$F326-$H326)</f>
        <v/>
      </c>
      <c r="J326" s="35">
        <f>IF($A326&gt;NYears*12,"",$H326*RateB)</f>
        <v/>
      </c>
      <c r="K326" s="35">
        <f>IF($A326&gt;NYears*12,"",IF($D326=1,$J326,$K325+$J326))</f>
        <v/>
      </c>
      <c r="L326" s="35">
        <f>IF($A326&gt;NYears*12,"",IF(MOD($D326,3)=0,SUM($J324:$J326),0))</f>
        <v/>
      </c>
      <c r="M326" s="35">
        <f>IF($A326&gt;NYears*12,"",IF(TaxFreq="Quarterly",$K326*12/$D326,$K326))</f>
        <v/>
      </c>
      <c r="N326" s="36">
        <f>IF($A326&gt;NYears*12,"",LOOKUP($M326,TaxLower,TaxRate))</f>
        <v/>
      </c>
      <c r="O326" s="35">
        <f>IF($A326&gt;NYears*12,"",IF(TaxFreq="Quarterly",IF(MOD($D326,3)=0,$L326*$N326,0),IF($D326=12,$K326*$N326,0)))</f>
        <v/>
      </c>
      <c r="P326" s="35">
        <f>IF($A326&gt;NYears*12,"",IF($D326=1,$O326,$P325+$O326))</f>
        <v/>
      </c>
      <c r="Q326" s="35">
        <f>IF($A326&gt;NYears*12,"",IF($D326=12,MIN(WdrPct*IF(WdrBase="Post-tax profit",$K326-$P326,$K326),WdrCap),0))</f>
        <v/>
      </c>
      <c r="R326" s="35">
        <f>IF($A326&gt;NYears*12,"",$F326+$J326-$O326-$Q326)</f>
        <v/>
      </c>
      <c r="S326" s="33">
        <f>IF($A326&gt;NYears*12,"",INT($R326/$E326))</f>
        <v/>
      </c>
    </row>
    <row r="327">
      <c r="A327" s="33">
        <f>323</f>
        <v/>
      </c>
      <c r="B327" s="34">
        <f>IF($A327&gt;NYears*12,"",EDATE(StartMonth,$A327-1))</f>
        <v/>
      </c>
      <c r="C327" s="33">
        <f>IF($A327&gt;NYears*12,"",INT(($A327-1)/12)+1)</f>
        <v/>
      </c>
      <c r="D327" s="33">
        <f>IF($A327&gt;NYears*12,"",MOD($A327-1,12)+1)</f>
        <v/>
      </c>
      <c r="E327" s="35">
        <f>IF($A327&gt;NYears*12,"",LotValue0*(1+LotGrowth)^($C327-1))</f>
        <v/>
      </c>
      <c r="F327" s="35">
        <f>IF($A327&gt;NYears*12,"",IF($A327=1,InitInvest,$R326))</f>
        <v/>
      </c>
      <c r="G327" s="33">
        <f>IF($A327&gt;NYears*12,"",INT($F327/$E327))</f>
        <v/>
      </c>
      <c r="H327" s="35">
        <f>IF($A327&gt;NYears*12,"",$G327*$E327)</f>
        <v/>
      </c>
      <c r="I327" s="35">
        <f>IF($A327&gt;NYears*12,"",$F327-$H327)</f>
        <v/>
      </c>
      <c r="J327" s="35">
        <f>IF($A327&gt;NYears*12,"",$H327*RateB)</f>
        <v/>
      </c>
      <c r="K327" s="35">
        <f>IF($A327&gt;NYears*12,"",IF($D327=1,$J327,$K326+$J327))</f>
        <v/>
      </c>
      <c r="L327" s="35">
        <f>IF($A327&gt;NYears*12,"",IF(MOD($D327,3)=0,SUM($J325:$J327),0))</f>
        <v/>
      </c>
      <c r="M327" s="35">
        <f>IF($A327&gt;NYears*12,"",IF(TaxFreq="Quarterly",$K327*12/$D327,$K327))</f>
        <v/>
      </c>
      <c r="N327" s="36">
        <f>IF($A327&gt;NYears*12,"",LOOKUP($M327,TaxLower,TaxRate))</f>
        <v/>
      </c>
      <c r="O327" s="35">
        <f>IF($A327&gt;NYears*12,"",IF(TaxFreq="Quarterly",IF(MOD($D327,3)=0,$L327*$N327,0),IF($D327=12,$K327*$N327,0)))</f>
        <v/>
      </c>
      <c r="P327" s="35">
        <f>IF($A327&gt;NYears*12,"",IF($D327=1,$O327,$P326+$O327))</f>
        <v/>
      </c>
      <c r="Q327" s="35">
        <f>IF($A327&gt;NYears*12,"",IF($D327=12,MIN(WdrPct*IF(WdrBase="Post-tax profit",$K327-$P327,$K327),WdrCap),0))</f>
        <v/>
      </c>
      <c r="R327" s="35">
        <f>IF($A327&gt;NYears*12,"",$F327+$J327-$O327-$Q327)</f>
        <v/>
      </c>
      <c r="S327" s="33">
        <f>IF($A327&gt;NYears*12,"",INT($R327/$E327))</f>
        <v/>
      </c>
    </row>
    <row r="328">
      <c r="A328" s="37">
        <f>324</f>
        <v/>
      </c>
      <c r="B328" s="38">
        <f>IF($A328&gt;NYears*12,"",EDATE(StartMonth,$A328-1))</f>
        <v/>
      </c>
      <c r="C328" s="37">
        <f>IF($A328&gt;NYears*12,"",INT(($A328-1)/12)+1)</f>
        <v/>
      </c>
      <c r="D328" s="37">
        <f>IF($A328&gt;NYears*12,"",MOD($A328-1,12)+1)</f>
        <v/>
      </c>
      <c r="E328" s="39">
        <f>IF($A328&gt;NYears*12,"",LotValue0*(1+LotGrowth)^($C328-1))</f>
        <v/>
      </c>
      <c r="F328" s="39">
        <f>IF($A328&gt;NYears*12,"",IF($A328=1,InitInvest,$R327))</f>
        <v/>
      </c>
      <c r="G328" s="37">
        <f>IF($A328&gt;NYears*12,"",INT($F328/$E328))</f>
        <v/>
      </c>
      <c r="H328" s="39">
        <f>IF($A328&gt;NYears*12,"",$G328*$E328)</f>
        <v/>
      </c>
      <c r="I328" s="39">
        <f>IF($A328&gt;NYears*12,"",$F328-$H328)</f>
        <v/>
      </c>
      <c r="J328" s="39">
        <f>IF($A328&gt;NYears*12,"",$H328*RateB)</f>
        <v/>
      </c>
      <c r="K328" s="39">
        <f>IF($A328&gt;NYears*12,"",IF($D328=1,$J328,$K327+$J328))</f>
        <v/>
      </c>
      <c r="L328" s="39">
        <f>IF($A328&gt;NYears*12,"",IF(MOD($D328,3)=0,SUM($J326:$J328),0))</f>
        <v/>
      </c>
      <c r="M328" s="39">
        <f>IF($A328&gt;NYears*12,"",IF(TaxFreq="Quarterly",$K328*12/$D328,$K328))</f>
        <v/>
      </c>
      <c r="N328" s="40">
        <f>IF($A328&gt;NYears*12,"",LOOKUP($M328,TaxLower,TaxRate))</f>
        <v/>
      </c>
      <c r="O328" s="39">
        <f>IF($A328&gt;NYears*12,"",IF(TaxFreq="Quarterly",IF(MOD($D328,3)=0,$L328*$N328,0),IF($D328=12,$K328*$N328,0)))</f>
        <v/>
      </c>
      <c r="P328" s="39">
        <f>IF($A328&gt;NYears*12,"",IF($D328=1,$O328,$P327+$O328))</f>
        <v/>
      </c>
      <c r="Q328" s="39">
        <f>IF($A328&gt;NYears*12,"",IF($D328=12,MIN(WdrPct*IF(WdrBase="Post-tax profit",$K328-$P328,$K328),WdrCap),0))</f>
        <v/>
      </c>
      <c r="R328" s="39">
        <f>IF($A328&gt;NYears*12,"",$F328+$J328-$O328-$Q328)</f>
        <v/>
      </c>
      <c r="S328" s="37">
        <f>IF($A328&gt;NYears*12,"",INT($R328/$E328))</f>
        <v/>
      </c>
    </row>
    <row r="329">
      <c r="A329" s="33">
        <f>325</f>
        <v/>
      </c>
      <c r="B329" s="34">
        <f>IF($A329&gt;NYears*12,"",EDATE(StartMonth,$A329-1))</f>
        <v/>
      </c>
      <c r="C329" s="33">
        <f>IF($A329&gt;NYears*12,"",INT(($A329-1)/12)+1)</f>
        <v/>
      </c>
      <c r="D329" s="33">
        <f>IF($A329&gt;NYears*12,"",MOD($A329-1,12)+1)</f>
        <v/>
      </c>
      <c r="E329" s="35">
        <f>IF($A329&gt;NYears*12,"",LotValue0*(1+LotGrowth)^($C329-1))</f>
        <v/>
      </c>
      <c r="F329" s="35">
        <f>IF($A329&gt;NYears*12,"",IF($A329=1,InitInvest,$R328))</f>
        <v/>
      </c>
      <c r="G329" s="33">
        <f>IF($A329&gt;NYears*12,"",INT($F329/$E329))</f>
        <v/>
      </c>
      <c r="H329" s="35">
        <f>IF($A329&gt;NYears*12,"",$G329*$E329)</f>
        <v/>
      </c>
      <c r="I329" s="35">
        <f>IF($A329&gt;NYears*12,"",$F329-$H329)</f>
        <v/>
      </c>
      <c r="J329" s="35">
        <f>IF($A329&gt;NYears*12,"",$H329*RateB)</f>
        <v/>
      </c>
      <c r="K329" s="35">
        <f>IF($A329&gt;NYears*12,"",IF($D329=1,$J329,$K328+$J329))</f>
        <v/>
      </c>
      <c r="L329" s="35">
        <f>IF($A329&gt;NYears*12,"",IF(MOD($D329,3)=0,SUM($J327:$J329),0))</f>
        <v/>
      </c>
      <c r="M329" s="35">
        <f>IF($A329&gt;NYears*12,"",IF(TaxFreq="Quarterly",$K329*12/$D329,$K329))</f>
        <v/>
      </c>
      <c r="N329" s="36">
        <f>IF($A329&gt;NYears*12,"",LOOKUP($M329,TaxLower,TaxRate))</f>
        <v/>
      </c>
      <c r="O329" s="35">
        <f>IF($A329&gt;NYears*12,"",IF(TaxFreq="Quarterly",IF(MOD($D329,3)=0,$L329*$N329,0),IF($D329=12,$K329*$N329,0)))</f>
        <v/>
      </c>
      <c r="P329" s="35">
        <f>IF($A329&gt;NYears*12,"",IF($D329=1,$O329,$P328+$O329))</f>
        <v/>
      </c>
      <c r="Q329" s="35">
        <f>IF($A329&gt;NYears*12,"",IF($D329=12,MIN(WdrPct*IF(WdrBase="Post-tax profit",$K329-$P329,$K329),WdrCap),0))</f>
        <v/>
      </c>
      <c r="R329" s="35">
        <f>IF($A329&gt;NYears*12,"",$F329+$J329-$O329-$Q329)</f>
        <v/>
      </c>
      <c r="S329" s="33">
        <f>IF($A329&gt;NYears*12,"",INT($R329/$E329))</f>
        <v/>
      </c>
    </row>
    <row r="330">
      <c r="A330" s="33">
        <f>326</f>
        <v/>
      </c>
      <c r="B330" s="34">
        <f>IF($A330&gt;NYears*12,"",EDATE(StartMonth,$A330-1))</f>
        <v/>
      </c>
      <c r="C330" s="33">
        <f>IF($A330&gt;NYears*12,"",INT(($A330-1)/12)+1)</f>
        <v/>
      </c>
      <c r="D330" s="33">
        <f>IF($A330&gt;NYears*12,"",MOD($A330-1,12)+1)</f>
        <v/>
      </c>
      <c r="E330" s="35">
        <f>IF($A330&gt;NYears*12,"",LotValue0*(1+LotGrowth)^($C330-1))</f>
        <v/>
      </c>
      <c r="F330" s="35">
        <f>IF($A330&gt;NYears*12,"",IF($A330=1,InitInvest,$R329))</f>
        <v/>
      </c>
      <c r="G330" s="33">
        <f>IF($A330&gt;NYears*12,"",INT($F330/$E330))</f>
        <v/>
      </c>
      <c r="H330" s="35">
        <f>IF($A330&gt;NYears*12,"",$G330*$E330)</f>
        <v/>
      </c>
      <c r="I330" s="35">
        <f>IF($A330&gt;NYears*12,"",$F330-$H330)</f>
        <v/>
      </c>
      <c r="J330" s="35">
        <f>IF($A330&gt;NYears*12,"",$H330*RateB)</f>
        <v/>
      </c>
      <c r="K330" s="35">
        <f>IF($A330&gt;NYears*12,"",IF($D330=1,$J330,$K329+$J330))</f>
        <v/>
      </c>
      <c r="L330" s="35">
        <f>IF($A330&gt;NYears*12,"",IF(MOD($D330,3)=0,SUM($J328:$J330),0))</f>
        <v/>
      </c>
      <c r="M330" s="35">
        <f>IF($A330&gt;NYears*12,"",IF(TaxFreq="Quarterly",$K330*12/$D330,$K330))</f>
        <v/>
      </c>
      <c r="N330" s="36">
        <f>IF($A330&gt;NYears*12,"",LOOKUP($M330,TaxLower,TaxRate))</f>
        <v/>
      </c>
      <c r="O330" s="35">
        <f>IF($A330&gt;NYears*12,"",IF(TaxFreq="Quarterly",IF(MOD($D330,3)=0,$L330*$N330,0),IF($D330=12,$K330*$N330,0)))</f>
        <v/>
      </c>
      <c r="P330" s="35">
        <f>IF($A330&gt;NYears*12,"",IF($D330=1,$O330,$P329+$O330))</f>
        <v/>
      </c>
      <c r="Q330" s="35">
        <f>IF($A330&gt;NYears*12,"",IF($D330=12,MIN(WdrPct*IF(WdrBase="Post-tax profit",$K330-$P330,$K330),WdrCap),0))</f>
        <v/>
      </c>
      <c r="R330" s="35">
        <f>IF($A330&gt;NYears*12,"",$F330+$J330-$O330-$Q330)</f>
        <v/>
      </c>
      <c r="S330" s="33">
        <f>IF($A330&gt;NYears*12,"",INT($R330/$E330))</f>
        <v/>
      </c>
    </row>
    <row r="331">
      <c r="A331" s="33">
        <f>327</f>
        <v/>
      </c>
      <c r="B331" s="34">
        <f>IF($A331&gt;NYears*12,"",EDATE(StartMonth,$A331-1))</f>
        <v/>
      </c>
      <c r="C331" s="33">
        <f>IF($A331&gt;NYears*12,"",INT(($A331-1)/12)+1)</f>
        <v/>
      </c>
      <c r="D331" s="33">
        <f>IF($A331&gt;NYears*12,"",MOD($A331-1,12)+1)</f>
        <v/>
      </c>
      <c r="E331" s="35">
        <f>IF($A331&gt;NYears*12,"",LotValue0*(1+LotGrowth)^($C331-1))</f>
        <v/>
      </c>
      <c r="F331" s="35">
        <f>IF($A331&gt;NYears*12,"",IF($A331=1,InitInvest,$R330))</f>
        <v/>
      </c>
      <c r="G331" s="33">
        <f>IF($A331&gt;NYears*12,"",INT($F331/$E331))</f>
        <v/>
      </c>
      <c r="H331" s="35">
        <f>IF($A331&gt;NYears*12,"",$G331*$E331)</f>
        <v/>
      </c>
      <c r="I331" s="35">
        <f>IF($A331&gt;NYears*12,"",$F331-$H331)</f>
        <v/>
      </c>
      <c r="J331" s="35">
        <f>IF($A331&gt;NYears*12,"",$H331*RateB)</f>
        <v/>
      </c>
      <c r="K331" s="35">
        <f>IF($A331&gt;NYears*12,"",IF($D331=1,$J331,$K330+$J331))</f>
        <v/>
      </c>
      <c r="L331" s="35">
        <f>IF($A331&gt;NYears*12,"",IF(MOD($D331,3)=0,SUM($J329:$J331),0))</f>
        <v/>
      </c>
      <c r="M331" s="35">
        <f>IF($A331&gt;NYears*12,"",IF(TaxFreq="Quarterly",$K331*12/$D331,$K331))</f>
        <v/>
      </c>
      <c r="N331" s="36">
        <f>IF($A331&gt;NYears*12,"",LOOKUP($M331,TaxLower,TaxRate))</f>
        <v/>
      </c>
      <c r="O331" s="35">
        <f>IF($A331&gt;NYears*12,"",IF(TaxFreq="Quarterly",IF(MOD($D331,3)=0,$L331*$N331,0),IF($D331=12,$K331*$N331,0)))</f>
        <v/>
      </c>
      <c r="P331" s="35">
        <f>IF($A331&gt;NYears*12,"",IF($D331=1,$O331,$P330+$O331))</f>
        <v/>
      </c>
      <c r="Q331" s="35">
        <f>IF($A331&gt;NYears*12,"",IF($D331=12,MIN(WdrPct*IF(WdrBase="Post-tax profit",$K331-$P331,$K331),WdrCap),0))</f>
        <v/>
      </c>
      <c r="R331" s="35">
        <f>IF($A331&gt;NYears*12,"",$F331+$J331-$O331-$Q331)</f>
        <v/>
      </c>
      <c r="S331" s="33">
        <f>IF($A331&gt;NYears*12,"",INT($R331/$E331))</f>
        <v/>
      </c>
    </row>
    <row r="332">
      <c r="A332" s="33">
        <f>328</f>
        <v/>
      </c>
      <c r="B332" s="34">
        <f>IF($A332&gt;NYears*12,"",EDATE(StartMonth,$A332-1))</f>
        <v/>
      </c>
      <c r="C332" s="33">
        <f>IF($A332&gt;NYears*12,"",INT(($A332-1)/12)+1)</f>
        <v/>
      </c>
      <c r="D332" s="33">
        <f>IF($A332&gt;NYears*12,"",MOD($A332-1,12)+1)</f>
        <v/>
      </c>
      <c r="E332" s="35">
        <f>IF($A332&gt;NYears*12,"",LotValue0*(1+LotGrowth)^($C332-1))</f>
        <v/>
      </c>
      <c r="F332" s="35">
        <f>IF($A332&gt;NYears*12,"",IF($A332=1,InitInvest,$R331))</f>
        <v/>
      </c>
      <c r="G332" s="33">
        <f>IF($A332&gt;NYears*12,"",INT($F332/$E332))</f>
        <v/>
      </c>
      <c r="H332" s="35">
        <f>IF($A332&gt;NYears*12,"",$G332*$E332)</f>
        <v/>
      </c>
      <c r="I332" s="35">
        <f>IF($A332&gt;NYears*12,"",$F332-$H332)</f>
        <v/>
      </c>
      <c r="J332" s="35">
        <f>IF($A332&gt;NYears*12,"",$H332*RateB)</f>
        <v/>
      </c>
      <c r="K332" s="35">
        <f>IF($A332&gt;NYears*12,"",IF($D332=1,$J332,$K331+$J332))</f>
        <v/>
      </c>
      <c r="L332" s="35">
        <f>IF($A332&gt;NYears*12,"",IF(MOD($D332,3)=0,SUM($J330:$J332),0))</f>
        <v/>
      </c>
      <c r="M332" s="35">
        <f>IF($A332&gt;NYears*12,"",IF(TaxFreq="Quarterly",$K332*12/$D332,$K332))</f>
        <v/>
      </c>
      <c r="N332" s="36">
        <f>IF($A332&gt;NYears*12,"",LOOKUP($M332,TaxLower,TaxRate))</f>
        <v/>
      </c>
      <c r="O332" s="35">
        <f>IF($A332&gt;NYears*12,"",IF(TaxFreq="Quarterly",IF(MOD($D332,3)=0,$L332*$N332,0),IF($D332=12,$K332*$N332,0)))</f>
        <v/>
      </c>
      <c r="P332" s="35">
        <f>IF($A332&gt;NYears*12,"",IF($D332=1,$O332,$P331+$O332))</f>
        <v/>
      </c>
      <c r="Q332" s="35">
        <f>IF($A332&gt;NYears*12,"",IF($D332=12,MIN(WdrPct*IF(WdrBase="Post-tax profit",$K332-$P332,$K332),WdrCap),0))</f>
        <v/>
      </c>
      <c r="R332" s="35">
        <f>IF($A332&gt;NYears*12,"",$F332+$J332-$O332-$Q332)</f>
        <v/>
      </c>
      <c r="S332" s="33">
        <f>IF($A332&gt;NYears*12,"",INT($R332/$E332))</f>
        <v/>
      </c>
    </row>
    <row r="333">
      <c r="A333" s="33">
        <f>329</f>
        <v/>
      </c>
      <c r="B333" s="34">
        <f>IF($A333&gt;NYears*12,"",EDATE(StartMonth,$A333-1))</f>
        <v/>
      </c>
      <c r="C333" s="33">
        <f>IF($A333&gt;NYears*12,"",INT(($A333-1)/12)+1)</f>
        <v/>
      </c>
      <c r="D333" s="33">
        <f>IF($A333&gt;NYears*12,"",MOD($A333-1,12)+1)</f>
        <v/>
      </c>
      <c r="E333" s="35">
        <f>IF($A333&gt;NYears*12,"",LotValue0*(1+LotGrowth)^($C333-1))</f>
        <v/>
      </c>
      <c r="F333" s="35">
        <f>IF($A333&gt;NYears*12,"",IF($A333=1,InitInvest,$R332))</f>
        <v/>
      </c>
      <c r="G333" s="33">
        <f>IF($A333&gt;NYears*12,"",INT($F333/$E333))</f>
        <v/>
      </c>
      <c r="H333" s="35">
        <f>IF($A333&gt;NYears*12,"",$G333*$E333)</f>
        <v/>
      </c>
      <c r="I333" s="35">
        <f>IF($A333&gt;NYears*12,"",$F333-$H333)</f>
        <v/>
      </c>
      <c r="J333" s="35">
        <f>IF($A333&gt;NYears*12,"",$H333*RateB)</f>
        <v/>
      </c>
      <c r="K333" s="35">
        <f>IF($A333&gt;NYears*12,"",IF($D333=1,$J333,$K332+$J333))</f>
        <v/>
      </c>
      <c r="L333" s="35">
        <f>IF($A333&gt;NYears*12,"",IF(MOD($D333,3)=0,SUM($J331:$J333),0))</f>
        <v/>
      </c>
      <c r="M333" s="35">
        <f>IF($A333&gt;NYears*12,"",IF(TaxFreq="Quarterly",$K333*12/$D333,$K333))</f>
        <v/>
      </c>
      <c r="N333" s="36">
        <f>IF($A333&gt;NYears*12,"",LOOKUP($M333,TaxLower,TaxRate))</f>
        <v/>
      </c>
      <c r="O333" s="35">
        <f>IF($A333&gt;NYears*12,"",IF(TaxFreq="Quarterly",IF(MOD($D333,3)=0,$L333*$N333,0),IF($D333=12,$K333*$N333,0)))</f>
        <v/>
      </c>
      <c r="P333" s="35">
        <f>IF($A333&gt;NYears*12,"",IF($D333=1,$O333,$P332+$O333))</f>
        <v/>
      </c>
      <c r="Q333" s="35">
        <f>IF($A333&gt;NYears*12,"",IF($D333=12,MIN(WdrPct*IF(WdrBase="Post-tax profit",$K333-$P333,$K333),WdrCap),0))</f>
        <v/>
      </c>
      <c r="R333" s="35">
        <f>IF($A333&gt;NYears*12,"",$F333+$J333-$O333-$Q333)</f>
        <v/>
      </c>
      <c r="S333" s="33">
        <f>IF($A333&gt;NYears*12,"",INT($R333/$E333))</f>
        <v/>
      </c>
    </row>
    <row r="334">
      <c r="A334" s="33">
        <f>330</f>
        <v/>
      </c>
      <c r="B334" s="34">
        <f>IF($A334&gt;NYears*12,"",EDATE(StartMonth,$A334-1))</f>
        <v/>
      </c>
      <c r="C334" s="33">
        <f>IF($A334&gt;NYears*12,"",INT(($A334-1)/12)+1)</f>
        <v/>
      </c>
      <c r="D334" s="33">
        <f>IF($A334&gt;NYears*12,"",MOD($A334-1,12)+1)</f>
        <v/>
      </c>
      <c r="E334" s="35">
        <f>IF($A334&gt;NYears*12,"",LotValue0*(1+LotGrowth)^($C334-1))</f>
        <v/>
      </c>
      <c r="F334" s="35">
        <f>IF($A334&gt;NYears*12,"",IF($A334=1,InitInvest,$R333))</f>
        <v/>
      </c>
      <c r="G334" s="33">
        <f>IF($A334&gt;NYears*12,"",INT($F334/$E334))</f>
        <v/>
      </c>
      <c r="H334" s="35">
        <f>IF($A334&gt;NYears*12,"",$G334*$E334)</f>
        <v/>
      </c>
      <c r="I334" s="35">
        <f>IF($A334&gt;NYears*12,"",$F334-$H334)</f>
        <v/>
      </c>
      <c r="J334" s="35">
        <f>IF($A334&gt;NYears*12,"",$H334*RateB)</f>
        <v/>
      </c>
      <c r="K334" s="35">
        <f>IF($A334&gt;NYears*12,"",IF($D334=1,$J334,$K333+$J334))</f>
        <v/>
      </c>
      <c r="L334" s="35">
        <f>IF($A334&gt;NYears*12,"",IF(MOD($D334,3)=0,SUM($J332:$J334),0))</f>
        <v/>
      </c>
      <c r="M334" s="35">
        <f>IF($A334&gt;NYears*12,"",IF(TaxFreq="Quarterly",$K334*12/$D334,$K334))</f>
        <v/>
      </c>
      <c r="N334" s="36">
        <f>IF($A334&gt;NYears*12,"",LOOKUP($M334,TaxLower,TaxRate))</f>
        <v/>
      </c>
      <c r="O334" s="35">
        <f>IF($A334&gt;NYears*12,"",IF(TaxFreq="Quarterly",IF(MOD($D334,3)=0,$L334*$N334,0),IF($D334=12,$K334*$N334,0)))</f>
        <v/>
      </c>
      <c r="P334" s="35">
        <f>IF($A334&gt;NYears*12,"",IF($D334=1,$O334,$P333+$O334))</f>
        <v/>
      </c>
      <c r="Q334" s="35">
        <f>IF($A334&gt;NYears*12,"",IF($D334=12,MIN(WdrPct*IF(WdrBase="Post-tax profit",$K334-$P334,$K334),WdrCap),0))</f>
        <v/>
      </c>
      <c r="R334" s="35">
        <f>IF($A334&gt;NYears*12,"",$F334+$J334-$O334-$Q334)</f>
        <v/>
      </c>
      <c r="S334" s="33">
        <f>IF($A334&gt;NYears*12,"",INT($R334/$E334))</f>
        <v/>
      </c>
    </row>
    <row r="335">
      <c r="A335" s="33">
        <f>331</f>
        <v/>
      </c>
      <c r="B335" s="34">
        <f>IF($A335&gt;NYears*12,"",EDATE(StartMonth,$A335-1))</f>
        <v/>
      </c>
      <c r="C335" s="33">
        <f>IF($A335&gt;NYears*12,"",INT(($A335-1)/12)+1)</f>
        <v/>
      </c>
      <c r="D335" s="33">
        <f>IF($A335&gt;NYears*12,"",MOD($A335-1,12)+1)</f>
        <v/>
      </c>
      <c r="E335" s="35">
        <f>IF($A335&gt;NYears*12,"",LotValue0*(1+LotGrowth)^($C335-1))</f>
        <v/>
      </c>
      <c r="F335" s="35">
        <f>IF($A335&gt;NYears*12,"",IF($A335=1,InitInvest,$R334))</f>
        <v/>
      </c>
      <c r="G335" s="33">
        <f>IF($A335&gt;NYears*12,"",INT($F335/$E335))</f>
        <v/>
      </c>
      <c r="H335" s="35">
        <f>IF($A335&gt;NYears*12,"",$G335*$E335)</f>
        <v/>
      </c>
      <c r="I335" s="35">
        <f>IF($A335&gt;NYears*12,"",$F335-$H335)</f>
        <v/>
      </c>
      <c r="J335" s="35">
        <f>IF($A335&gt;NYears*12,"",$H335*RateB)</f>
        <v/>
      </c>
      <c r="K335" s="35">
        <f>IF($A335&gt;NYears*12,"",IF($D335=1,$J335,$K334+$J335))</f>
        <v/>
      </c>
      <c r="L335" s="35">
        <f>IF($A335&gt;NYears*12,"",IF(MOD($D335,3)=0,SUM($J333:$J335),0))</f>
        <v/>
      </c>
      <c r="M335" s="35">
        <f>IF($A335&gt;NYears*12,"",IF(TaxFreq="Quarterly",$K335*12/$D335,$K335))</f>
        <v/>
      </c>
      <c r="N335" s="36">
        <f>IF($A335&gt;NYears*12,"",LOOKUP($M335,TaxLower,TaxRate))</f>
        <v/>
      </c>
      <c r="O335" s="35">
        <f>IF($A335&gt;NYears*12,"",IF(TaxFreq="Quarterly",IF(MOD($D335,3)=0,$L335*$N335,0),IF($D335=12,$K335*$N335,0)))</f>
        <v/>
      </c>
      <c r="P335" s="35">
        <f>IF($A335&gt;NYears*12,"",IF($D335=1,$O335,$P334+$O335))</f>
        <v/>
      </c>
      <c r="Q335" s="35">
        <f>IF($A335&gt;NYears*12,"",IF($D335=12,MIN(WdrPct*IF(WdrBase="Post-tax profit",$K335-$P335,$K335),WdrCap),0))</f>
        <v/>
      </c>
      <c r="R335" s="35">
        <f>IF($A335&gt;NYears*12,"",$F335+$J335-$O335-$Q335)</f>
        <v/>
      </c>
      <c r="S335" s="33">
        <f>IF($A335&gt;NYears*12,"",INT($R335/$E335))</f>
        <v/>
      </c>
    </row>
    <row r="336">
      <c r="A336" s="33">
        <f>332</f>
        <v/>
      </c>
      <c r="B336" s="34">
        <f>IF($A336&gt;NYears*12,"",EDATE(StartMonth,$A336-1))</f>
        <v/>
      </c>
      <c r="C336" s="33">
        <f>IF($A336&gt;NYears*12,"",INT(($A336-1)/12)+1)</f>
        <v/>
      </c>
      <c r="D336" s="33">
        <f>IF($A336&gt;NYears*12,"",MOD($A336-1,12)+1)</f>
        <v/>
      </c>
      <c r="E336" s="35">
        <f>IF($A336&gt;NYears*12,"",LotValue0*(1+LotGrowth)^($C336-1))</f>
        <v/>
      </c>
      <c r="F336" s="35">
        <f>IF($A336&gt;NYears*12,"",IF($A336=1,InitInvest,$R335))</f>
        <v/>
      </c>
      <c r="G336" s="33">
        <f>IF($A336&gt;NYears*12,"",INT($F336/$E336))</f>
        <v/>
      </c>
      <c r="H336" s="35">
        <f>IF($A336&gt;NYears*12,"",$G336*$E336)</f>
        <v/>
      </c>
      <c r="I336" s="35">
        <f>IF($A336&gt;NYears*12,"",$F336-$H336)</f>
        <v/>
      </c>
      <c r="J336" s="35">
        <f>IF($A336&gt;NYears*12,"",$H336*RateB)</f>
        <v/>
      </c>
      <c r="K336" s="35">
        <f>IF($A336&gt;NYears*12,"",IF($D336=1,$J336,$K335+$J336))</f>
        <v/>
      </c>
      <c r="L336" s="35">
        <f>IF($A336&gt;NYears*12,"",IF(MOD($D336,3)=0,SUM($J334:$J336),0))</f>
        <v/>
      </c>
      <c r="M336" s="35">
        <f>IF($A336&gt;NYears*12,"",IF(TaxFreq="Quarterly",$K336*12/$D336,$K336))</f>
        <v/>
      </c>
      <c r="N336" s="36">
        <f>IF($A336&gt;NYears*12,"",LOOKUP($M336,TaxLower,TaxRate))</f>
        <v/>
      </c>
      <c r="O336" s="35">
        <f>IF($A336&gt;NYears*12,"",IF(TaxFreq="Quarterly",IF(MOD($D336,3)=0,$L336*$N336,0),IF($D336=12,$K336*$N336,0)))</f>
        <v/>
      </c>
      <c r="P336" s="35">
        <f>IF($A336&gt;NYears*12,"",IF($D336=1,$O336,$P335+$O336))</f>
        <v/>
      </c>
      <c r="Q336" s="35">
        <f>IF($A336&gt;NYears*12,"",IF($D336=12,MIN(WdrPct*IF(WdrBase="Post-tax profit",$K336-$P336,$K336),WdrCap),0))</f>
        <v/>
      </c>
      <c r="R336" s="35">
        <f>IF($A336&gt;NYears*12,"",$F336+$J336-$O336-$Q336)</f>
        <v/>
      </c>
      <c r="S336" s="33">
        <f>IF($A336&gt;NYears*12,"",INT($R336/$E336))</f>
        <v/>
      </c>
    </row>
    <row r="337">
      <c r="A337" s="33">
        <f>333</f>
        <v/>
      </c>
      <c r="B337" s="34">
        <f>IF($A337&gt;NYears*12,"",EDATE(StartMonth,$A337-1))</f>
        <v/>
      </c>
      <c r="C337" s="33">
        <f>IF($A337&gt;NYears*12,"",INT(($A337-1)/12)+1)</f>
        <v/>
      </c>
      <c r="D337" s="33">
        <f>IF($A337&gt;NYears*12,"",MOD($A337-1,12)+1)</f>
        <v/>
      </c>
      <c r="E337" s="35">
        <f>IF($A337&gt;NYears*12,"",LotValue0*(1+LotGrowth)^($C337-1))</f>
        <v/>
      </c>
      <c r="F337" s="35">
        <f>IF($A337&gt;NYears*12,"",IF($A337=1,InitInvest,$R336))</f>
        <v/>
      </c>
      <c r="G337" s="33">
        <f>IF($A337&gt;NYears*12,"",INT($F337/$E337))</f>
        <v/>
      </c>
      <c r="H337" s="35">
        <f>IF($A337&gt;NYears*12,"",$G337*$E337)</f>
        <v/>
      </c>
      <c r="I337" s="35">
        <f>IF($A337&gt;NYears*12,"",$F337-$H337)</f>
        <v/>
      </c>
      <c r="J337" s="35">
        <f>IF($A337&gt;NYears*12,"",$H337*RateB)</f>
        <v/>
      </c>
      <c r="K337" s="35">
        <f>IF($A337&gt;NYears*12,"",IF($D337=1,$J337,$K336+$J337))</f>
        <v/>
      </c>
      <c r="L337" s="35">
        <f>IF($A337&gt;NYears*12,"",IF(MOD($D337,3)=0,SUM($J335:$J337),0))</f>
        <v/>
      </c>
      <c r="M337" s="35">
        <f>IF($A337&gt;NYears*12,"",IF(TaxFreq="Quarterly",$K337*12/$D337,$K337))</f>
        <v/>
      </c>
      <c r="N337" s="36">
        <f>IF($A337&gt;NYears*12,"",LOOKUP($M337,TaxLower,TaxRate))</f>
        <v/>
      </c>
      <c r="O337" s="35">
        <f>IF($A337&gt;NYears*12,"",IF(TaxFreq="Quarterly",IF(MOD($D337,3)=0,$L337*$N337,0),IF($D337=12,$K337*$N337,0)))</f>
        <v/>
      </c>
      <c r="P337" s="35">
        <f>IF($A337&gt;NYears*12,"",IF($D337=1,$O337,$P336+$O337))</f>
        <v/>
      </c>
      <c r="Q337" s="35">
        <f>IF($A337&gt;NYears*12,"",IF($D337=12,MIN(WdrPct*IF(WdrBase="Post-tax profit",$K337-$P337,$K337),WdrCap),0))</f>
        <v/>
      </c>
      <c r="R337" s="35">
        <f>IF($A337&gt;NYears*12,"",$F337+$J337-$O337-$Q337)</f>
        <v/>
      </c>
      <c r="S337" s="33">
        <f>IF($A337&gt;NYears*12,"",INT($R337/$E337))</f>
        <v/>
      </c>
    </row>
    <row r="338">
      <c r="A338" s="33">
        <f>334</f>
        <v/>
      </c>
      <c r="B338" s="34">
        <f>IF($A338&gt;NYears*12,"",EDATE(StartMonth,$A338-1))</f>
        <v/>
      </c>
      <c r="C338" s="33">
        <f>IF($A338&gt;NYears*12,"",INT(($A338-1)/12)+1)</f>
        <v/>
      </c>
      <c r="D338" s="33">
        <f>IF($A338&gt;NYears*12,"",MOD($A338-1,12)+1)</f>
        <v/>
      </c>
      <c r="E338" s="35">
        <f>IF($A338&gt;NYears*12,"",LotValue0*(1+LotGrowth)^($C338-1))</f>
        <v/>
      </c>
      <c r="F338" s="35">
        <f>IF($A338&gt;NYears*12,"",IF($A338=1,InitInvest,$R337))</f>
        <v/>
      </c>
      <c r="G338" s="33">
        <f>IF($A338&gt;NYears*12,"",INT($F338/$E338))</f>
        <v/>
      </c>
      <c r="H338" s="35">
        <f>IF($A338&gt;NYears*12,"",$G338*$E338)</f>
        <v/>
      </c>
      <c r="I338" s="35">
        <f>IF($A338&gt;NYears*12,"",$F338-$H338)</f>
        <v/>
      </c>
      <c r="J338" s="35">
        <f>IF($A338&gt;NYears*12,"",$H338*RateB)</f>
        <v/>
      </c>
      <c r="K338" s="35">
        <f>IF($A338&gt;NYears*12,"",IF($D338=1,$J338,$K337+$J338))</f>
        <v/>
      </c>
      <c r="L338" s="35">
        <f>IF($A338&gt;NYears*12,"",IF(MOD($D338,3)=0,SUM($J336:$J338),0))</f>
        <v/>
      </c>
      <c r="M338" s="35">
        <f>IF($A338&gt;NYears*12,"",IF(TaxFreq="Quarterly",$K338*12/$D338,$K338))</f>
        <v/>
      </c>
      <c r="N338" s="36">
        <f>IF($A338&gt;NYears*12,"",LOOKUP($M338,TaxLower,TaxRate))</f>
        <v/>
      </c>
      <c r="O338" s="35">
        <f>IF($A338&gt;NYears*12,"",IF(TaxFreq="Quarterly",IF(MOD($D338,3)=0,$L338*$N338,0),IF($D338=12,$K338*$N338,0)))</f>
        <v/>
      </c>
      <c r="P338" s="35">
        <f>IF($A338&gt;NYears*12,"",IF($D338=1,$O338,$P337+$O338))</f>
        <v/>
      </c>
      <c r="Q338" s="35">
        <f>IF($A338&gt;NYears*12,"",IF($D338=12,MIN(WdrPct*IF(WdrBase="Post-tax profit",$K338-$P338,$K338),WdrCap),0))</f>
        <v/>
      </c>
      <c r="R338" s="35">
        <f>IF($A338&gt;NYears*12,"",$F338+$J338-$O338-$Q338)</f>
        <v/>
      </c>
      <c r="S338" s="33">
        <f>IF($A338&gt;NYears*12,"",INT($R338/$E338))</f>
        <v/>
      </c>
    </row>
    <row r="339">
      <c r="A339" s="33">
        <f>335</f>
        <v/>
      </c>
      <c r="B339" s="34">
        <f>IF($A339&gt;NYears*12,"",EDATE(StartMonth,$A339-1))</f>
        <v/>
      </c>
      <c r="C339" s="33">
        <f>IF($A339&gt;NYears*12,"",INT(($A339-1)/12)+1)</f>
        <v/>
      </c>
      <c r="D339" s="33">
        <f>IF($A339&gt;NYears*12,"",MOD($A339-1,12)+1)</f>
        <v/>
      </c>
      <c r="E339" s="35">
        <f>IF($A339&gt;NYears*12,"",LotValue0*(1+LotGrowth)^($C339-1))</f>
        <v/>
      </c>
      <c r="F339" s="35">
        <f>IF($A339&gt;NYears*12,"",IF($A339=1,InitInvest,$R338))</f>
        <v/>
      </c>
      <c r="G339" s="33">
        <f>IF($A339&gt;NYears*12,"",INT($F339/$E339))</f>
        <v/>
      </c>
      <c r="H339" s="35">
        <f>IF($A339&gt;NYears*12,"",$G339*$E339)</f>
        <v/>
      </c>
      <c r="I339" s="35">
        <f>IF($A339&gt;NYears*12,"",$F339-$H339)</f>
        <v/>
      </c>
      <c r="J339" s="35">
        <f>IF($A339&gt;NYears*12,"",$H339*RateB)</f>
        <v/>
      </c>
      <c r="K339" s="35">
        <f>IF($A339&gt;NYears*12,"",IF($D339=1,$J339,$K338+$J339))</f>
        <v/>
      </c>
      <c r="L339" s="35">
        <f>IF($A339&gt;NYears*12,"",IF(MOD($D339,3)=0,SUM($J337:$J339),0))</f>
        <v/>
      </c>
      <c r="M339" s="35">
        <f>IF($A339&gt;NYears*12,"",IF(TaxFreq="Quarterly",$K339*12/$D339,$K339))</f>
        <v/>
      </c>
      <c r="N339" s="36">
        <f>IF($A339&gt;NYears*12,"",LOOKUP($M339,TaxLower,TaxRate))</f>
        <v/>
      </c>
      <c r="O339" s="35">
        <f>IF($A339&gt;NYears*12,"",IF(TaxFreq="Quarterly",IF(MOD($D339,3)=0,$L339*$N339,0),IF($D339=12,$K339*$N339,0)))</f>
        <v/>
      </c>
      <c r="P339" s="35">
        <f>IF($A339&gt;NYears*12,"",IF($D339=1,$O339,$P338+$O339))</f>
        <v/>
      </c>
      <c r="Q339" s="35">
        <f>IF($A339&gt;NYears*12,"",IF($D339=12,MIN(WdrPct*IF(WdrBase="Post-tax profit",$K339-$P339,$K339),WdrCap),0))</f>
        <v/>
      </c>
      <c r="R339" s="35">
        <f>IF($A339&gt;NYears*12,"",$F339+$J339-$O339-$Q339)</f>
        <v/>
      </c>
      <c r="S339" s="33">
        <f>IF($A339&gt;NYears*12,"",INT($R339/$E339))</f>
        <v/>
      </c>
    </row>
    <row r="340">
      <c r="A340" s="37">
        <f>336</f>
        <v/>
      </c>
      <c r="B340" s="38">
        <f>IF($A340&gt;NYears*12,"",EDATE(StartMonth,$A340-1))</f>
        <v/>
      </c>
      <c r="C340" s="37">
        <f>IF($A340&gt;NYears*12,"",INT(($A340-1)/12)+1)</f>
        <v/>
      </c>
      <c r="D340" s="37">
        <f>IF($A340&gt;NYears*12,"",MOD($A340-1,12)+1)</f>
        <v/>
      </c>
      <c r="E340" s="39">
        <f>IF($A340&gt;NYears*12,"",LotValue0*(1+LotGrowth)^($C340-1))</f>
        <v/>
      </c>
      <c r="F340" s="39">
        <f>IF($A340&gt;NYears*12,"",IF($A340=1,InitInvest,$R339))</f>
        <v/>
      </c>
      <c r="G340" s="37">
        <f>IF($A340&gt;NYears*12,"",INT($F340/$E340))</f>
        <v/>
      </c>
      <c r="H340" s="39">
        <f>IF($A340&gt;NYears*12,"",$G340*$E340)</f>
        <v/>
      </c>
      <c r="I340" s="39">
        <f>IF($A340&gt;NYears*12,"",$F340-$H340)</f>
        <v/>
      </c>
      <c r="J340" s="39">
        <f>IF($A340&gt;NYears*12,"",$H340*RateB)</f>
        <v/>
      </c>
      <c r="K340" s="39">
        <f>IF($A340&gt;NYears*12,"",IF($D340=1,$J340,$K339+$J340))</f>
        <v/>
      </c>
      <c r="L340" s="39">
        <f>IF($A340&gt;NYears*12,"",IF(MOD($D340,3)=0,SUM($J338:$J340),0))</f>
        <v/>
      </c>
      <c r="M340" s="39">
        <f>IF($A340&gt;NYears*12,"",IF(TaxFreq="Quarterly",$K340*12/$D340,$K340))</f>
        <v/>
      </c>
      <c r="N340" s="40">
        <f>IF($A340&gt;NYears*12,"",LOOKUP($M340,TaxLower,TaxRate))</f>
        <v/>
      </c>
      <c r="O340" s="39">
        <f>IF($A340&gt;NYears*12,"",IF(TaxFreq="Quarterly",IF(MOD($D340,3)=0,$L340*$N340,0),IF($D340=12,$K340*$N340,0)))</f>
        <v/>
      </c>
      <c r="P340" s="39">
        <f>IF($A340&gt;NYears*12,"",IF($D340=1,$O340,$P339+$O340))</f>
        <v/>
      </c>
      <c r="Q340" s="39">
        <f>IF($A340&gt;NYears*12,"",IF($D340=12,MIN(WdrPct*IF(WdrBase="Post-tax profit",$K340-$P340,$K340),WdrCap),0))</f>
        <v/>
      </c>
      <c r="R340" s="39">
        <f>IF($A340&gt;NYears*12,"",$F340+$J340-$O340-$Q340)</f>
        <v/>
      </c>
      <c r="S340" s="37">
        <f>IF($A340&gt;NYears*12,"",INT($R340/$E340))</f>
        <v/>
      </c>
    </row>
    <row r="341">
      <c r="A341" s="33">
        <f>337</f>
        <v/>
      </c>
      <c r="B341" s="34">
        <f>IF($A341&gt;NYears*12,"",EDATE(StartMonth,$A341-1))</f>
        <v/>
      </c>
      <c r="C341" s="33">
        <f>IF($A341&gt;NYears*12,"",INT(($A341-1)/12)+1)</f>
        <v/>
      </c>
      <c r="D341" s="33">
        <f>IF($A341&gt;NYears*12,"",MOD($A341-1,12)+1)</f>
        <v/>
      </c>
      <c r="E341" s="35">
        <f>IF($A341&gt;NYears*12,"",LotValue0*(1+LotGrowth)^($C341-1))</f>
        <v/>
      </c>
      <c r="F341" s="35">
        <f>IF($A341&gt;NYears*12,"",IF($A341=1,InitInvest,$R340))</f>
        <v/>
      </c>
      <c r="G341" s="33">
        <f>IF($A341&gt;NYears*12,"",INT($F341/$E341))</f>
        <v/>
      </c>
      <c r="H341" s="35">
        <f>IF($A341&gt;NYears*12,"",$G341*$E341)</f>
        <v/>
      </c>
      <c r="I341" s="35">
        <f>IF($A341&gt;NYears*12,"",$F341-$H341)</f>
        <v/>
      </c>
      <c r="J341" s="35">
        <f>IF($A341&gt;NYears*12,"",$H341*RateB)</f>
        <v/>
      </c>
      <c r="K341" s="35">
        <f>IF($A341&gt;NYears*12,"",IF($D341=1,$J341,$K340+$J341))</f>
        <v/>
      </c>
      <c r="L341" s="35">
        <f>IF($A341&gt;NYears*12,"",IF(MOD($D341,3)=0,SUM($J339:$J341),0))</f>
        <v/>
      </c>
      <c r="M341" s="35">
        <f>IF($A341&gt;NYears*12,"",IF(TaxFreq="Quarterly",$K341*12/$D341,$K341))</f>
        <v/>
      </c>
      <c r="N341" s="36">
        <f>IF($A341&gt;NYears*12,"",LOOKUP($M341,TaxLower,TaxRate))</f>
        <v/>
      </c>
      <c r="O341" s="35">
        <f>IF($A341&gt;NYears*12,"",IF(TaxFreq="Quarterly",IF(MOD($D341,3)=0,$L341*$N341,0),IF($D341=12,$K341*$N341,0)))</f>
        <v/>
      </c>
      <c r="P341" s="35">
        <f>IF($A341&gt;NYears*12,"",IF($D341=1,$O341,$P340+$O341))</f>
        <v/>
      </c>
      <c r="Q341" s="35">
        <f>IF($A341&gt;NYears*12,"",IF($D341=12,MIN(WdrPct*IF(WdrBase="Post-tax profit",$K341-$P341,$K341),WdrCap),0))</f>
        <v/>
      </c>
      <c r="R341" s="35">
        <f>IF($A341&gt;NYears*12,"",$F341+$J341-$O341-$Q341)</f>
        <v/>
      </c>
      <c r="S341" s="33">
        <f>IF($A341&gt;NYears*12,"",INT($R341/$E341))</f>
        <v/>
      </c>
    </row>
    <row r="342">
      <c r="A342" s="33">
        <f>338</f>
        <v/>
      </c>
      <c r="B342" s="34">
        <f>IF($A342&gt;NYears*12,"",EDATE(StartMonth,$A342-1))</f>
        <v/>
      </c>
      <c r="C342" s="33">
        <f>IF($A342&gt;NYears*12,"",INT(($A342-1)/12)+1)</f>
        <v/>
      </c>
      <c r="D342" s="33">
        <f>IF($A342&gt;NYears*12,"",MOD($A342-1,12)+1)</f>
        <v/>
      </c>
      <c r="E342" s="35">
        <f>IF($A342&gt;NYears*12,"",LotValue0*(1+LotGrowth)^($C342-1))</f>
        <v/>
      </c>
      <c r="F342" s="35">
        <f>IF($A342&gt;NYears*12,"",IF($A342=1,InitInvest,$R341))</f>
        <v/>
      </c>
      <c r="G342" s="33">
        <f>IF($A342&gt;NYears*12,"",INT($F342/$E342))</f>
        <v/>
      </c>
      <c r="H342" s="35">
        <f>IF($A342&gt;NYears*12,"",$G342*$E342)</f>
        <v/>
      </c>
      <c r="I342" s="35">
        <f>IF($A342&gt;NYears*12,"",$F342-$H342)</f>
        <v/>
      </c>
      <c r="J342" s="35">
        <f>IF($A342&gt;NYears*12,"",$H342*RateB)</f>
        <v/>
      </c>
      <c r="K342" s="35">
        <f>IF($A342&gt;NYears*12,"",IF($D342=1,$J342,$K341+$J342))</f>
        <v/>
      </c>
      <c r="L342" s="35">
        <f>IF($A342&gt;NYears*12,"",IF(MOD($D342,3)=0,SUM($J340:$J342),0))</f>
        <v/>
      </c>
      <c r="M342" s="35">
        <f>IF($A342&gt;NYears*12,"",IF(TaxFreq="Quarterly",$K342*12/$D342,$K342))</f>
        <v/>
      </c>
      <c r="N342" s="36">
        <f>IF($A342&gt;NYears*12,"",LOOKUP($M342,TaxLower,TaxRate))</f>
        <v/>
      </c>
      <c r="O342" s="35">
        <f>IF($A342&gt;NYears*12,"",IF(TaxFreq="Quarterly",IF(MOD($D342,3)=0,$L342*$N342,0),IF($D342=12,$K342*$N342,0)))</f>
        <v/>
      </c>
      <c r="P342" s="35">
        <f>IF($A342&gt;NYears*12,"",IF($D342=1,$O342,$P341+$O342))</f>
        <v/>
      </c>
      <c r="Q342" s="35">
        <f>IF($A342&gt;NYears*12,"",IF($D342=12,MIN(WdrPct*IF(WdrBase="Post-tax profit",$K342-$P342,$K342),WdrCap),0))</f>
        <v/>
      </c>
      <c r="R342" s="35">
        <f>IF($A342&gt;NYears*12,"",$F342+$J342-$O342-$Q342)</f>
        <v/>
      </c>
      <c r="S342" s="33">
        <f>IF($A342&gt;NYears*12,"",INT($R342/$E342))</f>
        <v/>
      </c>
    </row>
    <row r="343">
      <c r="A343" s="33">
        <f>339</f>
        <v/>
      </c>
      <c r="B343" s="34">
        <f>IF($A343&gt;NYears*12,"",EDATE(StartMonth,$A343-1))</f>
        <v/>
      </c>
      <c r="C343" s="33">
        <f>IF($A343&gt;NYears*12,"",INT(($A343-1)/12)+1)</f>
        <v/>
      </c>
      <c r="D343" s="33">
        <f>IF($A343&gt;NYears*12,"",MOD($A343-1,12)+1)</f>
        <v/>
      </c>
      <c r="E343" s="35">
        <f>IF($A343&gt;NYears*12,"",LotValue0*(1+LotGrowth)^($C343-1))</f>
        <v/>
      </c>
      <c r="F343" s="35">
        <f>IF($A343&gt;NYears*12,"",IF($A343=1,InitInvest,$R342))</f>
        <v/>
      </c>
      <c r="G343" s="33">
        <f>IF($A343&gt;NYears*12,"",INT($F343/$E343))</f>
        <v/>
      </c>
      <c r="H343" s="35">
        <f>IF($A343&gt;NYears*12,"",$G343*$E343)</f>
        <v/>
      </c>
      <c r="I343" s="35">
        <f>IF($A343&gt;NYears*12,"",$F343-$H343)</f>
        <v/>
      </c>
      <c r="J343" s="35">
        <f>IF($A343&gt;NYears*12,"",$H343*RateB)</f>
        <v/>
      </c>
      <c r="K343" s="35">
        <f>IF($A343&gt;NYears*12,"",IF($D343=1,$J343,$K342+$J343))</f>
        <v/>
      </c>
      <c r="L343" s="35">
        <f>IF($A343&gt;NYears*12,"",IF(MOD($D343,3)=0,SUM($J341:$J343),0))</f>
        <v/>
      </c>
      <c r="M343" s="35">
        <f>IF($A343&gt;NYears*12,"",IF(TaxFreq="Quarterly",$K343*12/$D343,$K343))</f>
        <v/>
      </c>
      <c r="N343" s="36">
        <f>IF($A343&gt;NYears*12,"",LOOKUP($M343,TaxLower,TaxRate))</f>
        <v/>
      </c>
      <c r="O343" s="35">
        <f>IF($A343&gt;NYears*12,"",IF(TaxFreq="Quarterly",IF(MOD($D343,3)=0,$L343*$N343,0),IF($D343=12,$K343*$N343,0)))</f>
        <v/>
      </c>
      <c r="P343" s="35">
        <f>IF($A343&gt;NYears*12,"",IF($D343=1,$O343,$P342+$O343))</f>
        <v/>
      </c>
      <c r="Q343" s="35">
        <f>IF($A343&gt;NYears*12,"",IF($D343=12,MIN(WdrPct*IF(WdrBase="Post-tax profit",$K343-$P343,$K343),WdrCap),0))</f>
        <v/>
      </c>
      <c r="R343" s="35">
        <f>IF($A343&gt;NYears*12,"",$F343+$J343-$O343-$Q343)</f>
        <v/>
      </c>
      <c r="S343" s="33">
        <f>IF($A343&gt;NYears*12,"",INT($R343/$E343))</f>
        <v/>
      </c>
    </row>
    <row r="344">
      <c r="A344" s="33">
        <f>340</f>
        <v/>
      </c>
      <c r="B344" s="34">
        <f>IF($A344&gt;NYears*12,"",EDATE(StartMonth,$A344-1))</f>
        <v/>
      </c>
      <c r="C344" s="33">
        <f>IF($A344&gt;NYears*12,"",INT(($A344-1)/12)+1)</f>
        <v/>
      </c>
      <c r="D344" s="33">
        <f>IF($A344&gt;NYears*12,"",MOD($A344-1,12)+1)</f>
        <v/>
      </c>
      <c r="E344" s="35">
        <f>IF($A344&gt;NYears*12,"",LotValue0*(1+LotGrowth)^($C344-1))</f>
        <v/>
      </c>
      <c r="F344" s="35">
        <f>IF($A344&gt;NYears*12,"",IF($A344=1,InitInvest,$R343))</f>
        <v/>
      </c>
      <c r="G344" s="33">
        <f>IF($A344&gt;NYears*12,"",INT($F344/$E344))</f>
        <v/>
      </c>
      <c r="H344" s="35">
        <f>IF($A344&gt;NYears*12,"",$G344*$E344)</f>
        <v/>
      </c>
      <c r="I344" s="35">
        <f>IF($A344&gt;NYears*12,"",$F344-$H344)</f>
        <v/>
      </c>
      <c r="J344" s="35">
        <f>IF($A344&gt;NYears*12,"",$H344*RateB)</f>
        <v/>
      </c>
      <c r="K344" s="35">
        <f>IF($A344&gt;NYears*12,"",IF($D344=1,$J344,$K343+$J344))</f>
        <v/>
      </c>
      <c r="L344" s="35">
        <f>IF($A344&gt;NYears*12,"",IF(MOD($D344,3)=0,SUM($J342:$J344),0))</f>
        <v/>
      </c>
      <c r="M344" s="35">
        <f>IF($A344&gt;NYears*12,"",IF(TaxFreq="Quarterly",$K344*12/$D344,$K344))</f>
        <v/>
      </c>
      <c r="N344" s="36">
        <f>IF($A344&gt;NYears*12,"",LOOKUP($M344,TaxLower,TaxRate))</f>
        <v/>
      </c>
      <c r="O344" s="35">
        <f>IF($A344&gt;NYears*12,"",IF(TaxFreq="Quarterly",IF(MOD($D344,3)=0,$L344*$N344,0),IF($D344=12,$K344*$N344,0)))</f>
        <v/>
      </c>
      <c r="P344" s="35">
        <f>IF($A344&gt;NYears*12,"",IF($D344=1,$O344,$P343+$O344))</f>
        <v/>
      </c>
      <c r="Q344" s="35">
        <f>IF($A344&gt;NYears*12,"",IF($D344=12,MIN(WdrPct*IF(WdrBase="Post-tax profit",$K344-$P344,$K344),WdrCap),0))</f>
        <v/>
      </c>
      <c r="R344" s="35">
        <f>IF($A344&gt;NYears*12,"",$F344+$J344-$O344-$Q344)</f>
        <v/>
      </c>
      <c r="S344" s="33">
        <f>IF($A344&gt;NYears*12,"",INT($R344/$E344))</f>
        <v/>
      </c>
    </row>
    <row r="345">
      <c r="A345" s="33">
        <f>341</f>
        <v/>
      </c>
      <c r="B345" s="34">
        <f>IF($A345&gt;NYears*12,"",EDATE(StartMonth,$A345-1))</f>
        <v/>
      </c>
      <c r="C345" s="33">
        <f>IF($A345&gt;NYears*12,"",INT(($A345-1)/12)+1)</f>
        <v/>
      </c>
      <c r="D345" s="33">
        <f>IF($A345&gt;NYears*12,"",MOD($A345-1,12)+1)</f>
        <v/>
      </c>
      <c r="E345" s="35">
        <f>IF($A345&gt;NYears*12,"",LotValue0*(1+LotGrowth)^($C345-1))</f>
        <v/>
      </c>
      <c r="F345" s="35">
        <f>IF($A345&gt;NYears*12,"",IF($A345=1,InitInvest,$R344))</f>
        <v/>
      </c>
      <c r="G345" s="33">
        <f>IF($A345&gt;NYears*12,"",INT($F345/$E345))</f>
        <v/>
      </c>
      <c r="H345" s="35">
        <f>IF($A345&gt;NYears*12,"",$G345*$E345)</f>
        <v/>
      </c>
      <c r="I345" s="35">
        <f>IF($A345&gt;NYears*12,"",$F345-$H345)</f>
        <v/>
      </c>
      <c r="J345" s="35">
        <f>IF($A345&gt;NYears*12,"",$H345*RateB)</f>
        <v/>
      </c>
      <c r="K345" s="35">
        <f>IF($A345&gt;NYears*12,"",IF($D345=1,$J345,$K344+$J345))</f>
        <v/>
      </c>
      <c r="L345" s="35">
        <f>IF($A345&gt;NYears*12,"",IF(MOD($D345,3)=0,SUM($J343:$J345),0))</f>
        <v/>
      </c>
      <c r="M345" s="35">
        <f>IF($A345&gt;NYears*12,"",IF(TaxFreq="Quarterly",$K345*12/$D345,$K345))</f>
        <v/>
      </c>
      <c r="N345" s="36">
        <f>IF($A345&gt;NYears*12,"",LOOKUP($M345,TaxLower,TaxRate))</f>
        <v/>
      </c>
      <c r="O345" s="35">
        <f>IF($A345&gt;NYears*12,"",IF(TaxFreq="Quarterly",IF(MOD($D345,3)=0,$L345*$N345,0),IF($D345=12,$K345*$N345,0)))</f>
        <v/>
      </c>
      <c r="P345" s="35">
        <f>IF($A345&gt;NYears*12,"",IF($D345=1,$O345,$P344+$O345))</f>
        <v/>
      </c>
      <c r="Q345" s="35">
        <f>IF($A345&gt;NYears*12,"",IF($D345=12,MIN(WdrPct*IF(WdrBase="Post-tax profit",$K345-$P345,$K345),WdrCap),0))</f>
        <v/>
      </c>
      <c r="R345" s="35">
        <f>IF($A345&gt;NYears*12,"",$F345+$J345-$O345-$Q345)</f>
        <v/>
      </c>
      <c r="S345" s="33">
        <f>IF($A345&gt;NYears*12,"",INT($R345/$E345))</f>
        <v/>
      </c>
    </row>
    <row r="346">
      <c r="A346" s="33">
        <f>342</f>
        <v/>
      </c>
      <c r="B346" s="34">
        <f>IF($A346&gt;NYears*12,"",EDATE(StartMonth,$A346-1))</f>
        <v/>
      </c>
      <c r="C346" s="33">
        <f>IF($A346&gt;NYears*12,"",INT(($A346-1)/12)+1)</f>
        <v/>
      </c>
      <c r="D346" s="33">
        <f>IF($A346&gt;NYears*12,"",MOD($A346-1,12)+1)</f>
        <v/>
      </c>
      <c r="E346" s="35">
        <f>IF($A346&gt;NYears*12,"",LotValue0*(1+LotGrowth)^($C346-1))</f>
        <v/>
      </c>
      <c r="F346" s="35">
        <f>IF($A346&gt;NYears*12,"",IF($A346=1,InitInvest,$R345))</f>
        <v/>
      </c>
      <c r="G346" s="33">
        <f>IF($A346&gt;NYears*12,"",INT($F346/$E346))</f>
        <v/>
      </c>
      <c r="H346" s="35">
        <f>IF($A346&gt;NYears*12,"",$G346*$E346)</f>
        <v/>
      </c>
      <c r="I346" s="35">
        <f>IF($A346&gt;NYears*12,"",$F346-$H346)</f>
        <v/>
      </c>
      <c r="J346" s="35">
        <f>IF($A346&gt;NYears*12,"",$H346*RateB)</f>
        <v/>
      </c>
      <c r="K346" s="35">
        <f>IF($A346&gt;NYears*12,"",IF($D346=1,$J346,$K345+$J346))</f>
        <v/>
      </c>
      <c r="L346" s="35">
        <f>IF($A346&gt;NYears*12,"",IF(MOD($D346,3)=0,SUM($J344:$J346),0))</f>
        <v/>
      </c>
      <c r="M346" s="35">
        <f>IF($A346&gt;NYears*12,"",IF(TaxFreq="Quarterly",$K346*12/$D346,$K346))</f>
        <v/>
      </c>
      <c r="N346" s="36">
        <f>IF($A346&gt;NYears*12,"",LOOKUP($M346,TaxLower,TaxRate))</f>
        <v/>
      </c>
      <c r="O346" s="35">
        <f>IF($A346&gt;NYears*12,"",IF(TaxFreq="Quarterly",IF(MOD($D346,3)=0,$L346*$N346,0),IF($D346=12,$K346*$N346,0)))</f>
        <v/>
      </c>
      <c r="P346" s="35">
        <f>IF($A346&gt;NYears*12,"",IF($D346=1,$O346,$P345+$O346))</f>
        <v/>
      </c>
      <c r="Q346" s="35">
        <f>IF($A346&gt;NYears*12,"",IF($D346=12,MIN(WdrPct*IF(WdrBase="Post-tax profit",$K346-$P346,$K346),WdrCap),0))</f>
        <v/>
      </c>
      <c r="R346" s="35">
        <f>IF($A346&gt;NYears*12,"",$F346+$J346-$O346-$Q346)</f>
        <v/>
      </c>
      <c r="S346" s="33">
        <f>IF($A346&gt;NYears*12,"",INT($R346/$E346))</f>
        <v/>
      </c>
    </row>
    <row r="347">
      <c r="A347" s="33">
        <f>343</f>
        <v/>
      </c>
      <c r="B347" s="34">
        <f>IF($A347&gt;NYears*12,"",EDATE(StartMonth,$A347-1))</f>
        <v/>
      </c>
      <c r="C347" s="33">
        <f>IF($A347&gt;NYears*12,"",INT(($A347-1)/12)+1)</f>
        <v/>
      </c>
      <c r="D347" s="33">
        <f>IF($A347&gt;NYears*12,"",MOD($A347-1,12)+1)</f>
        <v/>
      </c>
      <c r="E347" s="35">
        <f>IF($A347&gt;NYears*12,"",LotValue0*(1+LotGrowth)^($C347-1))</f>
        <v/>
      </c>
      <c r="F347" s="35">
        <f>IF($A347&gt;NYears*12,"",IF($A347=1,InitInvest,$R346))</f>
        <v/>
      </c>
      <c r="G347" s="33">
        <f>IF($A347&gt;NYears*12,"",INT($F347/$E347))</f>
        <v/>
      </c>
      <c r="H347" s="35">
        <f>IF($A347&gt;NYears*12,"",$G347*$E347)</f>
        <v/>
      </c>
      <c r="I347" s="35">
        <f>IF($A347&gt;NYears*12,"",$F347-$H347)</f>
        <v/>
      </c>
      <c r="J347" s="35">
        <f>IF($A347&gt;NYears*12,"",$H347*RateB)</f>
        <v/>
      </c>
      <c r="K347" s="35">
        <f>IF($A347&gt;NYears*12,"",IF($D347=1,$J347,$K346+$J347))</f>
        <v/>
      </c>
      <c r="L347" s="35">
        <f>IF($A347&gt;NYears*12,"",IF(MOD($D347,3)=0,SUM($J345:$J347),0))</f>
        <v/>
      </c>
      <c r="M347" s="35">
        <f>IF($A347&gt;NYears*12,"",IF(TaxFreq="Quarterly",$K347*12/$D347,$K347))</f>
        <v/>
      </c>
      <c r="N347" s="36">
        <f>IF($A347&gt;NYears*12,"",LOOKUP($M347,TaxLower,TaxRate))</f>
        <v/>
      </c>
      <c r="O347" s="35">
        <f>IF($A347&gt;NYears*12,"",IF(TaxFreq="Quarterly",IF(MOD($D347,3)=0,$L347*$N347,0),IF($D347=12,$K347*$N347,0)))</f>
        <v/>
      </c>
      <c r="P347" s="35">
        <f>IF($A347&gt;NYears*12,"",IF($D347=1,$O347,$P346+$O347))</f>
        <v/>
      </c>
      <c r="Q347" s="35">
        <f>IF($A347&gt;NYears*12,"",IF($D347=12,MIN(WdrPct*IF(WdrBase="Post-tax profit",$K347-$P347,$K347),WdrCap),0))</f>
        <v/>
      </c>
      <c r="R347" s="35">
        <f>IF($A347&gt;NYears*12,"",$F347+$J347-$O347-$Q347)</f>
        <v/>
      </c>
      <c r="S347" s="33">
        <f>IF($A347&gt;NYears*12,"",INT($R347/$E347))</f>
        <v/>
      </c>
    </row>
    <row r="348">
      <c r="A348" s="33">
        <f>344</f>
        <v/>
      </c>
      <c r="B348" s="34">
        <f>IF($A348&gt;NYears*12,"",EDATE(StartMonth,$A348-1))</f>
        <v/>
      </c>
      <c r="C348" s="33">
        <f>IF($A348&gt;NYears*12,"",INT(($A348-1)/12)+1)</f>
        <v/>
      </c>
      <c r="D348" s="33">
        <f>IF($A348&gt;NYears*12,"",MOD($A348-1,12)+1)</f>
        <v/>
      </c>
      <c r="E348" s="35">
        <f>IF($A348&gt;NYears*12,"",LotValue0*(1+LotGrowth)^($C348-1))</f>
        <v/>
      </c>
      <c r="F348" s="35">
        <f>IF($A348&gt;NYears*12,"",IF($A348=1,InitInvest,$R347))</f>
        <v/>
      </c>
      <c r="G348" s="33">
        <f>IF($A348&gt;NYears*12,"",INT($F348/$E348))</f>
        <v/>
      </c>
      <c r="H348" s="35">
        <f>IF($A348&gt;NYears*12,"",$G348*$E348)</f>
        <v/>
      </c>
      <c r="I348" s="35">
        <f>IF($A348&gt;NYears*12,"",$F348-$H348)</f>
        <v/>
      </c>
      <c r="J348" s="35">
        <f>IF($A348&gt;NYears*12,"",$H348*RateB)</f>
        <v/>
      </c>
      <c r="K348" s="35">
        <f>IF($A348&gt;NYears*12,"",IF($D348=1,$J348,$K347+$J348))</f>
        <v/>
      </c>
      <c r="L348" s="35">
        <f>IF($A348&gt;NYears*12,"",IF(MOD($D348,3)=0,SUM($J346:$J348),0))</f>
        <v/>
      </c>
      <c r="M348" s="35">
        <f>IF($A348&gt;NYears*12,"",IF(TaxFreq="Quarterly",$K348*12/$D348,$K348))</f>
        <v/>
      </c>
      <c r="N348" s="36">
        <f>IF($A348&gt;NYears*12,"",LOOKUP($M348,TaxLower,TaxRate))</f>
        <v/>
      </c>
      <c r="O348" s="35">
        <f>IF($A348&gt;NYears*12,"",IF(TaxFreq="Quarterly",IF(MOD($D348,3)=0,$L348*$N348,0),IF($D348=12,$K348*$N348,0)))</f>
        <v/>
      </c>
      <c r="P348" s="35">
        <f>IF($A348&gt;NYears*12,"",IF($D348=1,$O348,$P347+$O348))</f>
        <v/>
      </c>
      <c r="Q348" s="35">
        <f>IF($A348&gt;NYears*12,"",IF($D348=12,MIN(WdrPct*IF(WdrBase="Post-tax profit",$K348-$P348,$K348),WdrCap),0))</f>
        <v/>
      </c>
      <c r="R348" s="35">
        <f>IF($A348&gt;NYears*12,"",$F348+$J348-$O348-$Q348)</f>
        <v/>
      </c>
      <c r="S348" s="33">
        <f>IF($A348&gt;NYears*12,"",INT($R348/$E348))</f>
        <v/>
      </c>
    </row>
    <row r="349">
      <c r="A349" s="33">
        <f>345</f>
        <v/>
      </c>
      <c r="B349" s="34">
        <f>IF($A349&gt;NYears*12,"",EDATE(StartMonth,$A349-1))</f>
        <v/>
      </c>
      <c r="C349" s="33">
        <f>IF($A349&gt;NYears*12,"",INT(($A349-1)/12)+1)</f>
        <v/>
      </c>
      <c r="D349" s="33">
        <f>IF($A349&gt;NYears*12,"",MOD($A349-1,12)+1)</f>
        <v/>
      </c>
      <c r="E349" s="35">
        <f>IF($A349&gt;NYears*12,"",LotValue0*(1+LotGrowth)^($C349-1))</f>
        <v/>
      </c>
      <c r="F349" s="35">
        <f>IF($A349&gt;NYears*12,"",IF($A349=1,InitInvest,$R348))</f>
        <v/>
      </c>
      <c r="G349" s="33">
        <f>IF($A349&gt;NYears*12,"",INT($F349/$E349))</f>
        <v/>
      </c>
      <c r="H349" s="35">
        <f>IF($A349&gt;NYears*12,"",$G349*$E349)</f>
        <v/>
      </c>
      <c r="I349" s="35">
        <f>IF($A349&gt;NYears*12,"",$F349-$H349)</f>
        <v/>
      </c>
      <c r="J349" s="35">
        <f>IF($A349&gt;NYears*12,"",$H349*RateB)</f>
        <v/>
      </c>
      <c r="K349" s="35">
        <f>IF($A349&gt;NYears*12,"",IF($D349=1,$J349,$K348+$J349))</f>
        <v/>
      </c>
      <c r="L349" s="35">
        <f>IF($A349&gt;NYears*12,"",IF(MOD($D349,3)=0,SUM($J347:$J349),0))</f>
        <v/>
      </c>
      <c r="M349" s="35">
        <f>IF($A349&gt;NYears*12,"",IF(TaxFreq="Quarterly",$K349*12/$D349,$K349))</f>
        <v/>
      </c>
      <c r="N349" s="36">
        <f>IF($A349&gt;NYears*12,"",LOOKUP($M349,TaxLower,TaxRate))</f>
        <v/>
      </c>
      <c r="O349" s="35">
        <f>IF($A349&gt;NYears*12,"",IF(TaxFreq="Quarterly",IF(MOD($D349,3)=0,$L349*$N349,0),IF($D349=12,$K349*$N349,0)))</f>
        <v/>
      </c>
      <c r="P349" s="35">
        <f>IF($A349&gt;NYears*12,"",IF($D349=1,$O349,$P348+$O349))</f>
        <v/>
      </c>
      <c r="Q349" s="35">
        <f>IF($A349&gt;NYears*12,"",IF($D349=12,MIN(WdrPct*IF(WdrBase="Post-tax profit",$K349-$P349,$K349),WdrCap),0))</f>
        <v/>
      </c>
      <c r="R349" s="35">
        <f>IF($A349&gt;NYears*12,"",$F349+$J349-$O349-$Q349)</f>
        <v/>
      </c>
      <c r="S349" s="33">
        <f>IF($A349&gt;NYears*12,"",INT($R349/$E349))</f>
        <v/>
      </c>
    </row>
    <row r="350">
      <c r="A350" s="33">
        <f>346</f>
        <v/>
      </c>
      <c r="B350" s="34">
        <f>IF($A350&gt;NYears*12,"",EDATE(StartMonth,$A350-1))</f>
        <v/>
      </c>
      <c r="C350" s="33">
        <f>IF($A350&gt;NYears*12,"",INT(($A350-1)/12)+1)</f>
        <v/>
      </c>
      <c r="D350" s="33">
        <f>IF($A350&gt;NYears*12,"",MOD($A350-1,12)+1)</f>
        <v/>
      </c>
      <c r="E350" s="35">
        <f>IF($A350&gt;NYears*12,"",LotValue0*(1+LotGrowth)^($C350-1))</f>
        <v/>
      </c>
      <c r="F350" s="35">
        <f>IF($A350&gt;NYears*12,"",IF($A350=1,InitInvest,$R349))</f>
        <v/>
      </c>
      <c r="G350" s="33">
        <f>IF($A350&gt;NYears*12,"",INT($F350/$E350))</f>
        <v/>
      </c>
      <c r="H350" s="35">
        <f>IF($A350&gt;NYears*12,"",$G350*$E350)</f>
        <v/>
      </c>
      <c r="I350" s="35">
        <f>IF($A350&gt;NYears*12,"",$F350-$H350)</f>
        <v/>
      </c>
      <c r="J350" s="35">
        <f>IF($A350&gt;NYears*12,"",$H350*RateB)</f>
        <v/>
      </c>
      <c r="K350" s="35">
        <f>IF($A350&gt;NYears*12,"",IF($D350=1,$J350,$K349+$J350))</f>
        <v/>
      </c>
      <c r="L350" s="35">
        <f>IF($A350&gt;NYears*12,"",IF(MOD($D350,3)=0,SUM($J348:$J350),0))</f>
        <v/>
      </c>
      <c r="M350" s="35">
        <f>IF($A350&gt;NYears*12,"",IF(TaxFreq="Quarterly",$K350*12/$D350,$K350))</f>
        <v/>
      </c>
      <c r="N350" s="36">
        <f>IF($A350&gt;NYears*12,"",LOOKUP($M350,TaxLower,TaxRate))</f>
        <v/>
      </c>
      <c r="O350" s="35">
        <f>IF($A350&gt;NYears*12,"",IF(TaxFreq="Quarterly",IF(MOD($D350,3)=0,$L350*$N350,0),IF($D350=12,$K350*$N350,0)))</f>
        <v/>
      </c>
      <c r="P350" s="35">
        <f>IF($A350&gt;NYears*12,"",IF($D350=1,$O350,$P349+$O350))</f>
        <v/>
      </c>
      <c r="Q350" s="35">
        <f>IF($A350&gt;NYears*12,"",IF($D350=12,MIN(WdrPct*IF(WdrBase="Post-tax profit",$K350-$P350,$K350),WdrCap),0))</f>
        <v/>
      </c>
      <c r="R350" s="35">
        <f>IF($A350&gt;NYears*12,"",$F350+$J350-$O350-$Q350)</f>
        <v/>
      </c>
      <c r="S350" s="33">
        <f>IF($A350&gt;NYears*12,"",INT($R350/$E350))</f>
        <v/>
      </c>
    </row>
    <row r="351">
      <c r="A351" s="33">
        <f>347</f>
        <v/>
      </c>
      <c r="B351" s="34">
        <f>IF($A351&gt;NYears*12,"",EDATE(StartMonth,$A351-1))</f>
        <v/>
      </c>
      <c r="C351" s="33">
        <f>IF($A351&gt;NYears*12,"",INT(($A351-1)/12)+1)</f>
        <v/>
      </c>
      <c r="D351" s="33">
        <f>IF($A351&gt;NYears*12,"",MOD($A351-1,12)+1)</f>
        <v/>
      </c>
      <c r="E351" s="35">
        <f>IF($A351&gt;NYears*12,"",LotValue0*(1+LotGrowth)^($C351-1))</f>
        <v/>
      </c>
      <c r="F351" s="35">
        <f>IF($A351&gt;NYears*12,"",IF($A351=1,InitInvest,$R350))</f>
        <v/>
      </c>
      <c r="G351" s="33">
        <f>IF($A351&gt;NYears*12,"",INT($F351/$E351))</f>
        <v/>
      </c>
      <c r="H351" s="35">
        <f>IF($A351&gt;NYears*12,"",$G351*$E351)</f>
        <v/>
      </c>
      <c r="I351" s="35">
        <f>IF($A351&gt;NYears*12,"",$F351-$H351)</f>
        <v/>
      </c>
      <c r="J351" s="35">
        <f>IF($A351&gt;NYears*12,"",$H351*RateB)</f>
        <v/>
      </c>
      <c r="K351" s="35">
        <f>IF($A351&gt;NYears*12,"",IF($D351=1,$J351,$K350+$J351))</f>
        <v/>
      </c>
      <c r="L351" s="35">
        <f>IF($A351&gt;NYears*12,"",IF(MOD($D351,3)=0,SUM($J349:$J351),0))</f>
        <v/>
      </c>
      <c r="M351" s="35">
        <f>IF($A351&gt;NYears*12,"",IF(TaxFreq="Quarterly",$K351*12/$D351,$K351))</f>
        <v/>
      </c>
      <c r="N351" s="36">
        <f>IF($A351&gt;NYears*12,"",LOOKUP($M351,TaxLower,TaxRate))</f>
        <v/>
      </c>
      <c r="O351" s="35">
        <f>IF($A351&gt;NYears*12,"",IF(TaxFreq="Quarterly",IF(MOD($D351,3)=0,$L351*$N351,0),IF($D351=12,$K351*$N351,0)))</f>
        <v/>
      </c>
      <c r="P351" s="35">
        <f>IF($A351&gt;NYears*12,"",IF($D351=1,$O351,$P350+$O351))</f>
        <v/>
      </c>
      <c r="Q351" s="35">
        <f>IF($A351&gt;NYears*12,"",IF($D351=12,MIN(WdrPct*IF(WdrBase="Post-tax profit",$K351-$P351,$K351),WdrCap),0))</f>
        <v/>
      </c>
      <c r="R351" s="35">
        <f>IF($A351&gt;NYears*12,"",$F351+$J351-$O351-$Q351)</f>
        <v/>
      </c>
      <c r="S351" s="33">
        <f>IF($A351&gt;NYears*12,"",INT($R351/$E351))</f>
        <v/>
      </c>
    </row>
    <row r="352">
      <c r="A352" s="37">
        <f>348</f>
        <v/>
      </c>
      <c r="B352" s="38">
        <f>IF($A352&gt;NYears*12,"",EDATE(StartMonth,$A352-1))</f>
        <v/>
      </c>
      <c r="C352" s="37">
        <f>IF($A352&gt;NYears*12,"",INT(($A352-1)/12)+1)</f>
        <v/>
      </c>
      <c r="D352" s="37">
        <f>IF($A352&gt;NYears*12,"",MOD($A352-1,12)+1)</f>
        <v/>
      </c>
      <c r="E352" s="39">
        <f>IF($A352&gt;NYears*12,"",LotValue0*(1+LotGrowth)^($C352-1))</f>
        <v/>
      </c>
      <c r="F352" s="39">
        <f>IF($A352&gt;NYears*12,"",IF($A352=1,InitInvest,$R351))</f>
        <v/>
      </c>
      <c r="G352" s="37">
        <f>IF($A352&gt;NYears*12,"",INT($F352/$E352))</f>
        <v/>
      </c>
      <c r="H352" s="39">
        <f>IF($A352&gt;NYears*12,"",$G352*$E352)</f>
        <v/>
      </c>
      <c r="I352" s="39">
        <f>IF($A352&gt;NYears*12,"",$F352-$H352)</f>
        <v/>
      </c>
      <c r="J352" s="39">
        <f>IF($A352&gt;NYears*12,"",$H352*RateB)</f>
        <v/>
      </c>
      <c r="K352" s="39">
        <f>IF($A352&gt;NYears*12,"",IF($D352=1,$J352,$K351+$J352))</f>
        <v/>
      </c>
      <c r="L352" s="39">
        <f>IF($A352&gt;NYears*12,"",IF(MOD($D352,3)=0,SUM($J350:$J352),0))</f>
        <v/>
      </c>
      <c r="M352" s="39">
        <f>IF($A352&gt;NYears*12,"",IF(TaxFreq="Quarterly",$K352*12/$D352,$K352))</f>
        <v/>
      </c>
      <c r="N352" s="40">
        <f>IF($A352&gt;NYears*12,"",LOOKUP($M352,TaxLower,TaxRate))</f>
        <v/>
      </c>
      <c r="O352" s="39">
        <f>IF($A352&gt;NYears*12,"",IF(TaxFreq="Quarterly",IF(MOD($D352,3)=0,$L352*$N352,0),IF($D352=12,$K352*$N352,0)))</f>
        <v/>
      </c>
      <c r="P352" s="39">
        <f>IF($A352&gt;NYears*12,"",IF($D352=1,$O352,$P351+$O352))</f>
        <v/>
      </c>
      <c r="Q352" s="39">
        <f>IF($A352&gt;NYears*12,"",IF($D352=12,MIN(WdrPct*IF(WdrBase="Post-tax profit",$K352-$P352,$K352),WdrCap),0))</f>
        <v/>
      </c>
      <c r="R352" s="39">
        <f>IF($A352&gt;NYears*12,"",$F352+$J352-$O352-$Q352)</f>
        <v/>
      </c>
      <c r="S352" s="37">
        <f>IF($A352&gt;NYears*12,"",INT($R352/$E352))</f>
        <v/>
      </c>
    </row>
    <row r="353">
      <c r="A353" s="33">
        <f>349</f>
        <v/>
      </c>
      <c r="B353" s="34">
        <f>IF($A353&gt;NYears*12,"",EDATE(StartMonth,$A353-1))</f>
        <v/>
      </c>
      <c r="C353" s="33">
        <f>IF($A353&gt;NYears*12,"",INT(($A353-1)/12)+1)</f>
        <v/>
      </c>
      <c r="D353" s="33">
        <f>IF($A353&gt;NYears*12,"",MOD($A353-1,12)+1)</f>
        <v/>
      </c>
      <c r="E353" s="35">
        <f>IF($A353&gt;NYears*12,"",LotValue0*(1+LotGrowth)^($C353-1))</f>
        <v/>
      </c>
      <c r="F353" s="35">
        <f>IF($A353&gt;NYears*12,"",IF($A353=1,InitInvest,$R352))</f>
        <v/>
      </c>
      <c r="G353" s="33">
        <f>IF($A353&gt;NYears*12,"",INT($F353/$E353))</f>
        <v/>
      </c>
      <c r="H353" s="35">
        <f>IF($A353&gt;NYears*12,"",$G353*$E353)</f>
        <v/>
      </c>
      <c r="I353" s="35">
        <f>IF($A353&gt;NYears*12,"",$F353-$H353)</f>
        <v/>
      </c>
      <c r="J353" s="35">
        <f>IF($A353&gt;NYears*12,"",$H353*RateB)</f>
        <v/>
      </c>
      <c r="K353" s="35">
        <f>IF($A353&gt;NYears*12,"",IF($D353=1,$J353,$K352+$J353))</f>
        <v/>
      </c>
      <c r="L353" s="35">
        <f>IF($A353&gt;NYears*12,"",IF(MOD($D353,3)=0,SUM($J351:$J353),0))</f>
        <v/>
      </c>
      <c r="M353" s="35">
        <f>IF($A353&gt;NYears*12,"",IF(TaxFreq="Quarterly",$K353*12/$D353,$K353))</f>
        <v/>
      </c>
      <c r="N353" s="36">
        <f>IF($A353&gt;NYears*12,"",LOOKUP($M353,TaxLower,TaxRate))</f>
        <v/>
      </c>
      <c r="O353" s="35">
        <f>IF($A353&gt;NYears*12,"",IF(TaxFreq="Quarterly",IF(MOD($D353,3)=0,$L353*$N353,0),IF($D353=12,$K353*$N353,0)))</f>
        <v/>
      </c>
      <c r="P353" s="35">
        <f>IF($A353&gt;NYears*12,"",IF($D353=1,$O353,$P352+$O353))</f>
        <v/>
      </c>
      <c r="Q353" s="35">
        <f>IF($A353&gt;NYears*12,"",IF($D353=12,MIN(WdrPct*IF(WdrBase="Post-tax profit",$K353-$P353,$K353),WdrCap),0))</f>
        <v/>
      </c>
      <c r="R353" s="35">
        <f>IF($A353&gt;NYears*12,"",$F353+$J353-$O353-$Q353)</f>
        <v/>
      </c>
      <c r="S353" s="33">
        <f>IF($A353&gt;NYears*12,"",INT($R353/$E353))</f>
        <v/>
      </c>
    </row>
    <row r="354">
      <c r="A354" s="33">
        <f>350</f>
        <v/>
      </c>
      <c r="B354" s="34">
        <f>IF($A354&gt;NYears*12,"",EDATE(StartMonth,$A354-1))</f>
        <v/>
      </c>
      <c r="C354" s="33">
        <f>IF($A354&gt;NYears*12,"",INT(($A354-1)/12)+1)</f>
        <v/>
      </c>
      <c r="D354" s="33">
        <f>IF($A354&gt;NYears*12,"",MOD($A354-1,12)+1)</f>
        <v/>
      </c>
      <c r="E354" s="35">
        <f>IF($A354&gt;NYears*12,"",LotValue0*(1+LotGrowth)^($C354-1))</f>
        <v/>
      </c>
      <c r="F354" s="35">
        <f>IF($A354&gt;NYears*12,"",IF($A354=1,InitInvest,$R353))</f>
        <v/>
      </c>
      <c r="G354" s="33">
        <f>IF($A354&gt;NYears*12,"",INT($F354/$E354))</f>
        <v/>
      </c>
      <c r="H354" s="35">
        <f>IF($A354&gt;NYears*12,"",$G354*$E354)</f>
        <v/>
      </c>
      <c r="I354" s="35">
        <f>IF($A354&gt;NYears*12,"",$F354-$H354)</f>
        <v/>
      </c>
      <c r="J354" s="35">
        <f>IF($A354&gt;NYears*12,"",$H354*RateB)</f>
        <v/>
      </c>
      <c r="K354" s="35">
        <f>IF($A354&gt;NYears*12,"",IF($D354=1,$J354,$K353+$J354))</f>
        <v/>
      </c>
      <c r="L354" s="35">
        <f>IF($A354&gt;NYears*12,"",IF(MOD($D354,3)=0,SUM($J352:$J354),0))</f>
        <v/>
      </c>
      <c r="M354" s="35">
        <f>IF($A354&gt;NYears*12,"",IF(TaxFreq="Quarterly",$K354*12/$D354,$K354))</f>
        <v/>
      </c>
      <c r="N354" s="36">
        <f>IF($A354&gt;NYears*12,"",LOOKUP($M354,TaxLower,TaxRate))</f>
        <v/>
      </c>
      <c r="O354" s="35">
        <f>IF($A354&gt;NYears*12,"",IF(TaxFreq="Quarterly",IF(MOD($D354,3)=0,$L354*$N354,0),IF($D354=12,$K354*$N354,0)))</f>
        <v/>
      </c>
      <c r="P354" s="35">
        <f>IF($A354&gt;NYears*12,"",IF($D354=1,$O354,$P353+$O354))</f>
        <v/>
      </c>
      <c r="Q354" s="35">
        <f>IF($A354&gt;NYears*12,"",IF($D354=12,MIN(WdrPct*IF(WdrBase="Post-tax profit",$K354-$P354,$K354),WdrCap),0))</f>
        <v/>
      </c>
      <c r="R354" s="35">
        <f>IF($A354&gt;NYears*12,"",$F354+$J354-$O354-$Q354)</f>
        <v/>
      </c>
      <c r="S354" s="33">
        <f>IF($A354&gt;NYears*12,"",INT($R354/$E354))</f>
        <v/>
      </c>
    </row>
    <row r="355">
      <c r="A355" s="33">
        <f>351</f>
        <v/>
      </c>
      <c r="B355" s="34">
        <f>IF($A355&gt;NYears*12,"",EDATE(StartMonth,$A355-1))</f>
        <v/>
      </c>
      <c r="C355" s="33">
        <f>IF($A355&gt;NYears*12,"",INT(($A355-1)/12)+1)</f>
        <v/>
      </c>
      <c r="D355" s="33">
        <f>IF($A355&gt;NYears*12,"",MOD($A355-1,12)+1)</f>
        <v/>
      </c>
      <c r="E355" s="35">
        <f>IF($A355&gt;NYears*12,"",LotValue0*(1+LotGrowth)^($C355-1))</f>
        <v/>
      </c>
      <c r="F355" s="35">
        <f>IF($A355&gt;NYears*12,"",IF($A355=1,InitInvest,$R354))</f>
        <v/>
      </c>
      <c r="G355" s="33">
        <f>IF($A355&gt;NYears*12,"",INT($F355/$E355))</f>
        <v/>
      </c>
      <c r="H355" s="35">
        <f>IF($A355&gt;NYears*12,"",$G355*$E355)</f>
        <v/>
      </c>
      <c r="I355" s="35">
        <f>IF($A355&gt;NYears*12,"",$F355-$H355)</f>
        <v/>
      </c>
      <c r="J355" s="35">
        <f>IF($A355&gt;NYears*12,"",$H355*RateB)</f>
        <v/>
      </c>
      <c r="K355" s="35">
        <f>IF($A355&gt;NYears*12,"",IF($D355=1,$J355,$K354+$J355))</f>
        <v/>
      </c>
      <c r="L355" s="35">
        <f>IF($A355&gt;NYears*12,"",IF(MOD($D355,3)=0,SUM($J353:$J355),0))</f>
        <v/>
      </c>
      <c r="M355" s="35">
        <f>IF($A355&gt;NYears*12,"",IF(TaxFreq="Quarterly",$K355*12/$D355,$K355))</f>
        <v/>
      </c>
      <c r="N355" s="36">
        <f>IF($A355&gt;NYears*12,"",LOOKUP($M355,TaxLower,TaxRate))</f>
        <v/>
      </c>
      <c r="O355" s="35">
        <f>IF($A355&gt;NYears*12,"",IF(TaxFreq="Quarterly",IF(MOD($D355,3)=0,$L355*$N355,0),IF($D355=12,$K355*$N355,0)))</f>
        <v/>
      </c>
      <c r="P355" s="35">
        <f>IF($A355&gt;NYears*12,"",IF($D355=1,$O355,$P354+$O355))</f>
        <v/>
      </c>
      <c r="Q355" s="35">
        <f>IF($A355&gt;NYears*12,"",IF($D355=12,MIN(WdrPct*IF(WdrBase="Post-tax profit",$K355-$P355,$K355),WdrCap),0))</f>
        <v/>
      </c>
      <c r="R355" s="35">
        <f>IF($A355&gt;NYears*12,"",$F355+$J355-$O355-$Q355)</f>
        <v/>
      </c>
      <c r="S355" s="33">
        <f>IF($A355&gt;NYears*12,"",INT($R355/$E355))</f>
        <v/>
      </c>
    </row>
    <row r="356">
      <c r="A356" s="33">
        <f>352</f>
        <v/>
      </c>
      <c r="B356" s="34">
        <f>IF($A356&gt;NYears*12,"",EDATE(StartMonth,$A356-1))</f>
        <v/>
      </c>
      <c r="C356" s="33">
        <f>IF($A356&gt;NYears*12,"",INT(($A356-1)/12)+1)</f>
        <v/>
      </c>
      <c r="D356" s="33">
        <f>IF($A356&gt;NYears*12,"",MOD($A356-1,12)+1)</f>
        <v/>
      </c>
      <c r="E356" s="35">
        <f>IF($A356&gt;NYears*12,"",LotValue0*(1+LotGrowth)^($C356-1))</f>
        <v/>
      </c>
      <c r="F356" s="35">
        <f>IF($A356&gt;NYears*12,"",IF($A356=1,InitInvest,$R355))</f>
        <v/>
      </c>
      <c r="G356" s="33">
        <f>IF($A356&gt;NYears*12,"",INT($F356/$E356))</f>
        <v/>
      </c>
      <c r="H356" s="35">
        <f>IF($A356&gt;NYears*12,"",$G356*$E356)</f>
        <v/>
      </c>
      <c r="I356" s="35">
        <f>IF($A356&gt;NYears*12,"",$F356-$H356)</f>
        <v/>
      </c>
      <c r="J356" s="35">
        <f>IF($A356&gt;NYears*12,"",$H356*RateB)</f>
        <v/>
      </c>
      <c r="K356" s="35">
        <f>IF($A356&gt;NYears*12,"",IF($D356=1,$J356,$K355+$J356))</f>
        <v/>
      </c>
      <c r="L356" s="35">
        <f>IF($A356&gt;NYears*12,"",IF(MOD($D356,3)=0,SUM($J354:$J356),0))</f>
        <v/>
      </c>
      <c r="M356" s="35">
        <f>IF($A356&gt;NYears*12,"",IF(TaxFreq="Quarterly",$K356*12/$D356,$K356))</f>
        <v/>
      </c>
      <c r="N356" s="36">
        <f>IF($A356&gt;NYears*12,"",LOOKUP($M356,TaxLower,TaxRate))</f>
        <v/>
      </c>
      <c r="O356" s="35">
        <f>IF($A356&gt;NYears*12,"",IF(TaxFreq="Quarterly",IF(MOD($D356,3)=0,$L356*$N356,0),IF($D356=12,$K356*$N356,0)))</f>
        <v/>
      </c>
      <c r="P356" s="35">
        <f>IF($A356&gt;NYears*12,"",IF($D356=1,$O356,$P355+$O356))</f>
        <v/>
      </c>
      <c r="Q356" s="35">
        <f>IF($A356&gt;NYears*12,"",IF($D356=12,MIN(WdrPct*IF(WdrBase="Post-tax profit",$K356-$P356,$K356),WdrCap),0))</f>
        <v/>
      </c>
      <c r="R356" s="35">
        <f>IF($A356&gt;NYears*12,"",$F356+$J356-$O356-$Q356)</f>
        <v/>
      </c>
      <c r="S356" s="33">
        <f>IF($A356&gt;NYears*12,"",INT($R356/$E356))</f>
        <v/>
      </c>
    </row>
    <row r="357">
      <c r="A357" s="33">
        <f>353</f>
        <v/>
      </c>
      <c r="B357" s="34">
        <f>IF($A357&gt;NYears*12,"",EDATE(StartMonth,$A357-1))</f>
        <v/>
      </c>
      <c r="C357" s="33">
        <f>IF($A357&gt;NYears*12,"",INT(($A357-1)/12)+1)</f>
        <v/>
      </c>
      <c r="D357" s="33">
        <f>IF($A357&gt;NYears*12,"",MOD($A357-1,12)+1)</f>
        <v/>
      </c>
      <c r="E357" s="35">
        <f>IF($A357&gt;NYears*12,"",LotValue0*(1+LotGrowth)^($C357-1))</f>
        <v/>
      </c>
      <c r="F357" s="35">
        <f>IF($A357&gt;NYears*12,"",IF($A357=1,InitInvest,$R356))</f>
        <v/>
      </c>
      <c r="G357" s="33">
        <f>IF($A357&gt;NYears*12,"",INT($F357/$E357))</f>
        <v/>
      </c>
      <c r="H357" s="35">
        <f>IF($A357&gt;NYears*12,"",$G357*$E357)</f>
        <v/>
      </c>
      <c r="I357" s="35">
        <f>IF($A357&gt;NYears*12,"",$F357-$H357)</f>
        <v/>
      </c>
      <c r="J357" s="35">
        <f>IF($A357&gt;NYears*12,"",$H357*RateB)</f>
        <v/>
      </c>
      <c r="K357" s="35">
        <f>IF($A357&gt;NYears*12,"",IF($D357=1,$J357,$K356+$J357))</f>
        <v/>
      </c>
      <c r="L357" s="35">
        <f>IF($A357&gt;NYears*12,"",IF(MOD($D357,3)=0,SUM($J355:$J357),0))</f>
        <v/>
      </c>
      <c r="M357" s="35">
        <f>IF($A357&gt;NYears*12,"",IF(TaxFreq="Quarterly",$K357*12/$D357,$K357))</f>
        <v/>
      </c>
      <c r="N357" s="36">
        <f>IF($A357&gt;NYears*12,"",LOOKUP($M357,TaxLower,TaxRate))</f>
        <v/>
      </c>
      <c r="O357" s="35">
        <f>IF($A357&gt;NYears*12,"",IF(TaxFreq="Quarterly",IF(MOD($D357,3)=0,$L357*$N357,0),IF($D357=12,$K357*$N357,0)))</f>
        <v/>
      </c>
      <c r="P357" s="35">
        <f>IF($A357&gt;NYears*12,"",IF($D357=1,$O357,$P356+$O357))</f>
        <v/>
      </c>
      <c r="Q357" s="35">
        <f>IF($A357&gt;NYears*12,"",IF($D357=12,MIN(WdrPct*IF(WdrBase="Post-tax profit",$K357-$P357,$K357),WdrCap),0))</f>
        <v/>
      </c>
      <c r="R357" s="35">
        <f>IF($A357&gt;NYears*12,"",$F357+$J357-$O357-$Q357)</f>
        <v/>
      </c>
      <c r="S357" s="33">
        <f>IF($A357&gt;NYears*12,"",INT($R357/$E357))</f>
        <v/>
      </c>
    </row>
    <row r="358">
      <c r="A358" s="33">
        <f>354</f>
        <v/>
      </c>
      <c r="B358" s="34">
        <f>IF($A358&gt;NYears*12,"",EDATE(StartMonth,$A358-1))</f>
        <v/>
      </c>
      <c r="C358" s="33">
        <f>IF($A358&gt;NYears*12,"",INT(($A358-1)/12)+1)</f>
        <v/>
      </c>
      <c r="D358" s="33">
        <f>IF($A358&gt;NYears*12,"",MOD($A358-1,12)+1)</f>
        <v/>
      </c>
      <c r="E358" s="35">
        <f>IF($A358&gt;NYears*12,"",LotValue0*(1+LotGrowth)^($C358-1))</f>
        <v/>
      </c>
      <c r="F358" s="35">
        <f>IF($A358&gt;NYears*12,"",IF($A358=1,InitInvest,$R357))</f>
        <v/>
      </c>
      <c r="G358" s="33">
        <f>IF($A358&gt;NYears*12,"",INT($F358/$E358))</f>
        <v/>
      </c>
      <c r="H358" s="35">
        <f>IF($A358&gt;NYears*12,"",$G358*$E358)</f>
        <v/>
      </c>
      <c r="I358" s="35">
        <f>IF($A358&gt;NYears*12,"",$F358-$H358)</f>
        <v/>
      </c>
      <c r="J358" s="35">
        <f>IF($A358&gt;NYears*12,"",$H358*RateB)</f>
        <v/>
      </c>
      <c r="K358" s="35">
        <f>IF($A358&gt;NYears*12,"",IF($D358=1,$J358,$K357+$J358))</f>
        <v/>
      </c>
      <c r="L358" s="35">
        <f>IF($A358&gt;NYears*12,"",IF(MOD($D358,3)=0,SUM($J356:$J358),0))</f>
        <v/>
      </c>
      <c r="M358" s="35">
        <f>IF($A358&gt;NYears*12,"",IF(TaxFreq="Quarterly",$K358*12/$D358,$K358))</f>
        <v/>
      </c>
      <c r="N358" s="36">
        <f>IF($A358&gt;NYears*12,"",LOOKUP($M358,TaxLower,TaxRate))</f>
        <v/>
      </c>
      <c r="O358" s="35">
        <f>IF($A358&gt;NYears*12,"",IF(TaxFreq="Quarterly",IF(MOD($D358,3)=0,$L358*$N358,0),IF($D358=12,$K358*$N358,0)))</f>
        <v/>
      </c>
      <c r="P358" s="35">
        <f>IF($A358&gt;NYears*12,"",IF($D358=1,$O358,$P357+$O358))</f>
        <v/>
      </c>
      <c r="Q358" s="35">
        <f>IF($A358&gt;NYears*12,"",IF($D358=12,MIN(WdrPct*IF(WdrBase="Post-tax profit",$K358-$P358,$K358),WdrCap),0))</f>
        <v/>
      </c>
      <c r="R358" s="35">
        <f>IF($A358&gt;NYears*12,"",$F358+$J358-$O358-$Q358)</f>
        <v/>
      </c>
      <c r="S358" s="33">
        <f>IF($A358&gt;NYears*12,"",INT($R358/$E358))</f>
        <v/>
      </c>
    </row>
    <row r="359">
      <c r="A359" s="33">
        <f>355</f>
        <v/>
      </c>
      <c r="B359" s="34">
        <f>IF($A359&gt;NYears*12,"",EDATE(StartMonth,$A359-1))</f>
        <v/>
      </c>
      <c r="C359" s="33">
        <f>IF($A359&gt;NYears*12,"",INT(($A359-1)/12)+1)</f>
        <v/>
      </c>
      <c r="D359" s="33">
        <f>IF($A359&gt;NYears*12,"",MOD($A359-1,12)+1)</f>
        <v/>
      </c>
      <c r="E359" s="35">
        <f>IF($A359&gt;NYears*12,"",LotValue0*(1+LotGrowth)^($C359-1))</f>
        <v/>
      </c>
      <c r="F359" s="35">
        <f>IF($A359&gt;NYears*12,"",IF($A359=1,InitInvest,$R358))</f>
        <v/>
      </c>
      <c r="G359" s="33">
        <f>IF($A359&gt;NYears*12,"",INT($F359/$E359))</f>
        <v/>
      </c>
      <c r="H359" s="35">
        <f>IF($A359&gt;NYears*12,"",$G359*$E359)</f>
        <v/>
      </c>
      <c r="I359" s="35">
        <f>IF($A359&gt;NYears*12,"",$F359-$H359)</f>
        <v/>
      </c>
      <c r="J359" s="35">
        <f>IF($A359&gt;NYears*12,"",$H359*RateB)</f>
        <v/>
      </c>
      <c r="K359" s="35">
        <f>IF($A359&gt;NYears*12,"",IF($D359=1,$J359,$K358+$J359))</f>
        <v/>
      </c>
      <c r="L359" s="35">
        <f>IF($A359&gt;NYears*12,"",IF(MOD($D359,3)=0,SUM($J357:$J359),0))</f>
        <v/>
      </c>
      <c r="M359" s="35">
        <f>IF($A359&gt;NYears*12,"",IF(TaxFreq="Quarterly",$K359*12/$D359,$K359))</f>
        <v/>
      </c>
      <c r="N359" s="36">
        <f>IF($A359&gt;NYears*12,"",LOOKUP($M359,TaxLower,TaxRate))</f>
        <v/>
      </c>
      <c r="O359" s="35">
        <f>IF($A359&gt;NYears*12,"",IF(TaxFreq="Quarterly",IF(MOD($D359,3)=0,$L359*$N359,0),IF($D359=12,$K359*$N359,0)))</f>
        <v/>
      </c>
      <c r="P359" s="35">
        <f>IF($A359&gt;NYears*12,"",IF($D359=1,$O359,$P358+$O359))</f>
        <v/>
      </c>
      <c r="Q359" s="35">
        <f>IF($A359&gt;NYears*12,"",IF($D359=12,MIN(WdrPct*IF(WdrBase="Post-tax profit",$K359-$P359,$K359),WdrCap),0))</f>
        <v/>
      </c>
      <c r="R359" s="35">
        <f>IF($A359&gt;NYears*12,"",$F359+$J359-$O359-$Q359)</f>
        <v/>
      </c>
      <c r="S359" s="33">
        <f>IF($A359&gt;NYears*12,"",INT($R359/$E359))</f>
        <v/>
      </c>
    </row>
    <row r="360">
      <c r="A360" s="33">
        <f>356</f>
        <v/>
      </c>
      <c r="B360" s="34">
        <f>IF($A360&gt;NYears*12,"",EDATE(StartMonth,$A360-1))</f>
        <v/>
      </c>
      <c r="C360" s="33">
        <f>IF($A360&gt;NYears*12,"",INT(($A360-1)/12)+1)</f>
        <v/>
      </c>
      <c r="D360" s="33">
        <f>IF($A360&gt;NYears*12,"",MOD($A360-1,12)+1)</f>
        <v/>
      </c>
      <c r="E360" s="35">
        <f>IF($A360&gt;NYears*12,"",LotValue0*(1+LotGrowth)^($C360-1))</f>
        <v/>
      </c>
      <c r="F360" s="35">
        <f>IF($A360&gt;NYears*12,"",IF($A360=1,InitInvest,$R359))</f>
        <v/>
      </c>
      <c r="G360" s="33">
        <f>IF($A360&gt;NYears*12,"",INT($F360/$E360))</f>
        <v/>
      </c>
      <c r="H360" s="35">
        <f>IF($A360&gt;NYears*12,"",$G360*$E360)</f>
        <v/>
      </c>
      <c r="I360" s="35">
        <f>IF($A360&gt;NYears*12,"",$F360-$H360)</f>
        <v/>
      </c>
      <c r="J360" s="35">
        <f>IF($A360&gt;NYears*12,"",$H360*RateB)</f>
        <v/>
      </c>
      <c r="K360" s="35">
        <f>IF($A360&gt;NYears*12,"",IF($D360=1,$J360,$K359+$J360))</f>
        <v/>
      </c>
      <c r="L360" s="35">
        <f>IF($A360&gt;NYears*12,"",IF(MOD($D360,3)=0,SUM($J358:$J360),0))</f>
        <v/>
      </c>
      <c r="M360" s="35">
        <f>IF($A360&gt;NYears*12,"",IF(TaxFreq="Quarterly",$K360*12/$D360,$K360))</f>
        <v/>
      </c>
      <c r="N360" s="36">
        <f>IF($A360&gt;NYears*12,"",LOOKUP($M360,TaxLower,TaxRate))</f>
        <v/>
      </c>
      <c r="O360" s="35">
        <f>IF($A360&gt;NYears*12,"",IF(TaxFreq="Quarterly",IF(MOD($D360,3)=0,$L360*$N360,0),IF($D360=12,$K360*$N360,0)))</f>
        <v/>
      </c>
      <c r="P360" s="35">
        <f>IF($A360&gt;NYears*12,"",IF($D360=1,$O360,$P359+$O360))</f>
        <v/>
      </c>
      <c r="Q360" s="35">
        <f>IF($A360&gt;NYears*12,"",IF($D360=12,MIN(WdrPct*IF(WdrBase="Post-tax profit",$K360-$P360,$K360),WdrCap),0))</f>
        <v/>
      </c>
      <c r="R360" s="35">
        <f>IF($A360&gt;NYears*12,"",$F360+$J360-$O360-$Q360)</f>
        <v/>
      </c>
      <c r="S360" s="33">
        <f>IF($A360&gt;NYears*12,"",INT($R360/$E360))</f>
        <v/>
      </c>
    </row>
    <row r="361">
      <c r="A361" s="33">
        <f>357</f>
        <v/>
      </c>
      <c r="B361" s="34">
        <f>IF($A361&gt;NYears*12,"",EDATE(StartMonth,$A361-1))</f>
        <v/>
      </c>
      <c r="C361" s="33">
        <f>IF($A361&gt;NYears*12,"",INT(($A361-1)/12)+1)</f>
        <v/>
      </c>
      <c r="D361" s="33">
        <f>IF($A361&gt;NYears*12,"",MOD($A361-1,12)+1)</f>
        <v/>
      </c>
      <c r="E361" s="35">
        <f>IF($A361&gt;NYears*12,"",LotValue0*(1+LotGrowth)^($C361-1))</f>
        <v/>
      </c>
      <c r="F361" s="35">
        <f>IF($A361&gt;NYears*12,"",IF($A361=1,InitInvest,$R360))</f>
        <v/>
      </c>
      <c r="G361" s="33">
        <f>IF($A361&gt;NYears*12,"",INT($F361/$E361))</f>
        <v/>
      </c>
      <c r="H361" s="35">
        <f>IF($A361&gt;NYears*12,"",$G361*$E361)</f>
        <v/>
      </c>
      <c r="I361" s="35">
        <f>IF($A361&gt;NYears*12,"",$F361-$H361)</f>
        <v/>
      </c>
      <c r="J361" s="35">
        <f>IF($A361&gt;NYears*12,"",$H361*RateB)</f>
        <v/>
      </c>
      <c r="K361" s="35">
        <f>IF($A361&gt;NYears*12,"",IF($D361=1,$J361,$K360+$J361))</f>
        <v/>
      </c>
      <c r="L361" s="35">
        <f>IF($A361&gt;NYears*12,"",IF(MOD($D361,3)=0,SUM($J359:$J361),0))</f>
        <v/>
      </c>
      <c r="M361" s="35">
        <f>IF($A361&gt;NYears*12,"",IF(TaxFreq="Quarterly",$K361*12/$D361,$K361))</f>
        <v/>
      </c>
      <c r="N361" s="36">
        <f>IF($A361&gt;NYears*12,"",LOOKUP($M361,TaxLower,TaxRate))</f>
        <v/>
      </c>
      <c r="O361" s="35">
        <f>IF($A361&gt;NYears*12,"",IF(TaxFreq="Quarterly",IF(MOD($D361,3)=0,$L361*$N361,0),IF($D361=12,$K361*$N361,0)))</f>
        <v/>
      </c>
      <c r="P361" s="35">
        <f>IF($A361&gt;NYears*12,"",IF($D361=1,$O361,$P360+$O361))</f>
        <v/>
      </c>
      <c r="Q361" s="35">
        <f>IF($A361&gt;NYears*12,"",IF($D361=12,MIN(WdrPct*IF(WdrBase="Post-tax profit",$K361-$P361,$K361),WdrCap),0))</f>
        <v/>
      </c>
      <c r="R361" s="35">
        <f>IF($A361&gt;NYears*12,"",$F361+$J361-$O361-$Q361)</f>
        <v/>
      </c>
      <c r="S361" s="33">
        <f>IF($A361&gt;NYears*12,"",INT($R361/$E361))</f>
        <v/>
      </c>
    </row>
    <row r="362">
      <c r="A362" s="33">
        <f>358</f>
        <v/>
      </c>
      <c r="B362" s="34">
        <f>IF($A362&gt;NYears*12,"",EDATE(StartMonth,$A362-1))</f>
        <v/>
      </c>
      <c r="C362" s="33">
        <f>IF($A362&gt;NYears*12,"",INT(($A362-1)/12)+1)</f>
        <v/>
      </c>
      <c r="D362" s="33">
        <f>IF($A362&gt;NYears*12,"",MOD($A362-1,12)+1)</f>
        <v/>
      </c>
      <c r="E362" s="35">
        <f>IF($A362&gt;NYears*12,"",LotValue0*(1+LotGrowth)^($C362-1))</f>
        <v/>
      </c>
      <c r="F362" s="35">
        <f>IF($A362&gt;NYears*12,"",IF($A362=1,InitInvest,$R361))</f>
        <v/>
      </c>
      <c r="G362" s="33">
        <f>IF($A362&gt;NYears*12,"",INT($F362/$E362))</f>
        <v/>
      </c>
      <c r="H362" s="35">
        <f>IF($A362&gt;NYears*12,"",$G362*$E362)</f>
        <v/>
      </c>
      <c r="I362" s="35">
        <f>IF($A362&gt;NYears*12,"",$F362-$H362)</f>
        <v/>
      </c>
      <c r="J362" s="35">
        <f>IF($A362&gt;NYears*12,"",$H362*RateB)</f>
        <v/>
      </c>
      <c r="K362" s="35">
        <f>IF($A362&gt;NYears*12,"",IF($D362=1,$J362,$K361+$J362))</f>
        <v/>
      </c>
      <c r="L362" s="35">
        <f>IF($A362&gt;NYears*12,"",IF(MOD($D362,3)=0,SUM($J360:$J362),0))</f>
        <v/>
      </c>
      <c r="M362" s="35">
        <f>IF($A362&gt;NYears*12,"",IF(TaxFreq="Quarterly",$K362*12/$D362,$K362))</f>
        <v/>
      </c>
      <c r="N362" s="36">
        <f>IF($A362&gt;NYears*12,"",LOOKUP($M362,TaxLower,TaxRate))</f>
        <v/>
      </c>
      <c r="O362" s="35">
        <f>IF($A362&gt;NYears*12,"",IF(TaxFreq="Quarterly",IF(MOD($D362,3)=0,$L362*$N362,0),IF($D362=12,$K362*$N362,0)))</f>
        <v/>
      </c>
      <c r="P362" s="35">
        <f>IF($A362&gt;NYears*12,"",IF($D362=1,$O362,$P361+$O362))</f>
        <v/>
      </c>
      <c r="Q362" s="35">
        <f>IF($A362&gt;NYears*12,"",IF($D362=12,MIN(WdrPct*IF(WdrBase="Post-tax profit",$K362-$P362,$K362),WdrCap),0))</f>
        <v/>
      </c>
      <c r="R362" s="35">
        <f>IF($A362&gt;NYears*12,"",$F362+$J362-$O362-$Q362)</f>
        <v/>
      </c>
      <c r="S362" s="33">
        <f>IF($A362&gt;NYears*12,"",INT($R362/$E362))</f>
        <v/>
      </c>
    </row>
    <row r="363">
      <c r="A363" s="33">
        <f>359</f>
        <v/>
      </c>
      <c r="B363" s="34">
        <f>IF($A363&gt;NYears*12,"",EDATE(StartMonth,$A363-1))</f>
        <v/>
      </c>
      <c r="C363" s="33">
        <f>IF($A363&gt;NYears*12,"",INT(($A363-1)/12)+1)</f>
        <v/>
      </c>
      <c r="D363" s="33">
        <f>IF($A363&gt;NYears*12,"",MOD($A363-1,12)+1)</f>
        <v/>
      </c>
      <c r="E363" s="35">
        <f>IF($A363&gt;NYears*12,"",LotValue0*(1+LotGrowth)^($C363-1))</f>
        <v/>
      </c>
      <c r="F363" s="35">
        <f>IF($A363&gt;NYears*12,"",IF($A363=1,InitInvest,$R362))</f>
        <v/>
      </c>
      <c r="G363" s="33">
        <f>IF($A363&gt;NYears*12,"",INT($F363/$E363))</f>
        <v/>
      </c>
      <c r="H363" s="35">
        <f>IF($A363&gt;NYears*12,"",$G363*$E363)</f>
        <v/>
      </c>
      <c r="I363" s="35">
        <f>IF($A363&gt;NYears*12,"",$F363-$H363)</f>
        <v/>
      </c>
      <c r="J363" s="35">
        <f>IF($A363&gt;NYears*12,"",$H363*RateB)</f>
        <v/>
      </c>
      <c r="K363" s="35">
        <f>IF($A363&gt;NYears*12,"",IF($D363=1,$J363,$K362+$J363))</f>
        <v/>
      </c>
      <c r="L363" s="35">
        <f>IF($A363&gt;NYears*12,"",IF(MOD($D363,3)=0,SUM($J361:$J363),0))</f>
        <v/>
      </c>
      <c r="M363" s="35">
        <f>IF($A363&gt;NYears*12,"",IF(TaxFreq="Quarterly",$K363*12/$D363,$K363))</f>
        <v/>
      </c>
      <c r="N363" s="36">
        <f>IF($A363&gt;NYears*12,"",LOOKUP($M363,TaxLower,TaxRate))</f>
        <v/>
      </c>
      <c r="O363" s="35">
        <f>IF($A363&gt;NYears*12,"",IF(TaxFreq="Quarterly",IF(MOD($D363,3)=0,$L363*$N363,0),IF($D363=12,$K363*$N363,0)))</f>
        <v/>
      </c>
      <c r="P363" s="35">
        <f>IF($A363&gt;NYears*12,"",IF($D363=1,$O363,$P362+$O363))</f>
        <v/>
      </c>
      <c r="Q363" s="35">
        <f>IF($A363&gt;NYears*12,"",IF($D363=12,MIN(WdrPct*IF(WdrBase="Post-tax profit",$K363-$P363,$K363),WdrCap),0))</f>
        <v/>
      </c>
      <c r="R363" s="35">
        <f>IF($A363&gt;NYears*12,"",$F363+$J363-$O363-$Q363)</f>
        <v/>
      </c>
      <c r="S363" s="33">
        <f>IF($A363&gt;NYears*12,"",INT($R363/$E363))</f>
        <v/>
      </c>
    </row>
    <row r="364">
      <c r="A364" s="37">
        <f>360</f>
        <v/>
      </c>
      <c r="B364" s="38">
        <f>IF($A364&gt;NYears*12,"",EDATE(StartMonth,$A364-1))</f>
        <v/>
      </c>
      <c r="C364" s="37">
        <f>IF($A364&gt;NYears*12,"",INT(($A364-1)/12)+1)</f>
        <v/>
      </c>
      <c r="D364" s="37">
        <f>IF($A364&gt;NYears*12,"",MOD($A364-1,12)+1)</f>
        <v/>
      </c>
      <c r="E364" s="39">
        <f>IF($A364&gt;NYears*12,"",LotValue0*(1+LotGrowth)^($C364-1))</f>
        <v/>
      </c>
      <c r="F364" s="39">
        <f>IF($A364&gt;NYears*12,"",IF($A364=1,InitInvest,$R363))</f>
        <v/>
      </c>
      <c r="G364" s="37">
        <f>IF($A364&gt;NYears*12,"",INT($F364/$E364))</f>
        <v/>
      </c>
      <c r="H364" s="39">
        <f>IF($A364&gt;NYears*12,"",$G364*$E364)</f>
        <v/>
      </c>
      <c r="I364" s="39">
        <f>IF($A364&gt;NYears*12,"",$F364-$H364)</f>
        <v/>
      </c>
      <c r="J364" s="39">
        <f>IF($A364&gt;NYears*12,"",$H364*RateB)</f>
        <v/>
      </c>
      <c r="K364" s="39">
        <f>IF($A364&gt;NYears*12,"",IF($D364=1,$J364,$K363+$J364))</f>
        <v/>
      </c>
      <c r="L364" s="39">
        <f>IF($A364&gt;NYears*12,"",IF(MOD($D364,3)=0,SUM($J362:$J364),0))</f>
        <v/>
      </c>
      <c r="M364" s="39">
        <f>IF($A364&gt;NYears*12,"",IF(TaxFreq="Quarterly",$K364*12/$D364,$K364))</f>
        <v/>
      </c>
      <c r="N364" s="40">
        <f>IF($A364&gt;NYears*12,"",LOOKUP($M364,TaxLower,TaxRate))</f>
        <v/>
      </c>
      <c r="O364" s="39">
        <f>IF($A364&gt;NYears*12,"",IF(TaxFreq="Quarterly",IF(MOD($D364,3)=0,$L364*$N364,0),IF($D364=12,$K364*$N364,0)))</f>
        <v/>
      </c>
      <c r="P364" s="39">
        <f>IF($A364&gt;NYears*12,"",IF($D364=1,$O364,$P363+$O364))</f>
        <v/>
      </c>
      <c r="Q364" s="39">
        <f>IF($A364&gt;NYears*12,"",IF($D364=12,MIN(WdrPct*IF(WdrBase="Post-tax profit",$K364-$P364,$K364),WdrCap),0))</f>
        <v/>
      </c>
      <c r="R364" s="39">
        <f>IF($A364&gt;NYears*12,"",$F364+$J364-$O364-$Q364)</f>
        <v/>
      </c>
      <c r="S364" s="37">
        <f>IF($A364&gt;NYears*12,"",INT($R364/$E364))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5" customWidth="1" min="3" max="3"/>
    <col width="8" customWidth="1" min="4" max="4"/>
    <col width="14" customWidth="1" min="5" max="5"/>
    <col width="16" customWidth="1" min="6" max="6"/>
    <col width="7" customWidth="1" min="7" max="7"/>
    <col width="16" customWidth="1" min="8" max="8"/>
    <col width="13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14" customWidth="1" min="15" max="15"/>
    <col width="14" customWidth="1" min="16" max="16"/>
    <col width="14" customWidth="1" min="17" max="17"/>
    <col width="17" customWidth="1" min="18" max="18"/>
    <col width="12" customWidth="1" min="19" max="19"/>
  </cols>
  <sheetData>
    <row r="1">
      <c r="A1" s="1" t="inlineStr">
        <is>
          <t>Monthly engine — Scenario C</t>
        </is>
      </c>
    </row>
    <row r="2">
      <c r="A2" s="5" t="inlineStr">
        <is>
          <t>Monthly return:</t>
        </is>
      </c>
      <c r="B2" s="32">
        <f>RateC</f>
        <v/>
      </c>
      <c r="D2" s="2" t="inlineStr">
        <is>
          <t>One row per month. Returns accrue on DEPLOYED capital only; idle cash earns nothing until it funds a whole lot.</t>
        </is>
      </c>
    </row>
    <row r="4">
      <c r="A4" s="18" t="inlineStr">
        <is>
          <t>Month #</t>
        </is>
      </c>
      <c r="B4" s="18" t="inlineStr">
        <is>
          <t>Month</t>
        </is>
      </c>
      <c r="C4" s="18" t="inlineStr">
        <is>
          <t>Yr</t>
        </is>
      </c>
      <c r="D4" s="18" t="inlineStr">
        <is>
          <t>M-in-yr</t>
        </is>
      </c>
      <c r="E4" s="18" t="inlineStr">
        <is>
          <t>Lot value</t>
        </is>
      </c>
      <c r="F4" s="18" t="inlineStr">
        <is>
          <t>Opening corpus</t>
        </is>
      </c>
      <c r="G4" s="18" t="inlineStr">
        <is>
          <t>Lots</t>
        </is>
      </c>
      <c r="H4" s="18" t="inlineStr">
        <is>
          <t>Deployed capital</t>
        </is>
      </c>
      <c r="I4" s="18" t="inlineStr">
        <is>
          <t>Idle cash</t>
        </is>
      </c>
      <c r="J4" s="18" t="inlineStr">
        <is>
          <t>Profit (month)</t>
        </is>
      </c>
      <c r="K4" s="18" t="inlineStr">
        <is>
          <t>Profit YTD</t>
        </is>
      </c>
      <c r="L4" s="18" t="inlineStr">
        <is>
          <t>Profit this qtr</t>
        </is>
      </c>
      <c r="M4" s="18" t="inlineStr">
        <is>
          <t>Slab income</t>
        </is>
      </c>
      <c r="N4" s="18" t="inlineStr">
        <is>
          <t>Tax rate</t>
        </is>
      </c>
      <c r="O4" s="18" t="inlineStr">
        <is>
          <t>Tax deducted</t>
        </is>
      </c>
      <c r="P4" s="18" t="inlineStr">
        <is>
          <t>Tax YTD</t>
        </is>
      </c>
      <c r="Q4" s="18" t="inlineStr">
        <is>
          <t>Withdrawal</t>
        </is>
      </c>
      <c r="R4" s="18" t="inlineStr">
        <is>
          <t>Closing corpus</t>
        </is>
      </c>
      <c r="S4" s="18" t="inlineStr">
        <is>
          <t>Lots at close</t>
        </is>
      </c>
    </row>
    <row r="5">
      <c r="A5" s="33">
        <f>1</f>
        <v/>
      </c>
      <c r="B5" s="34">
        <f>IF($A5&gt;NYears*12,"",EDATE(StartMonth,$A5-1))</f>
        <v/>
      </c>
      <c r="C5" s="33">
        <f>IF($A5&gt;NYears*12,"",INT(($A5-1)/12)+1)</f>
        <v/>
      </c>
      <c r="D5" s="33">
        <f>IF($A5&gt;NYears*12,"",MOD($A5-1,12)+1)</f>
        <v/>
      </c>
      <c r="E5" s="35">
        <f>IF($A5&gt;NYears*12,"",LotValue0*(1+LotGrowth)^($C5-1))</f>
        <v/>
      </c>
      <c r="F5" s="35">
        <f>IF($A5&gt;NYears*12,"",IF($A5=1,InitInvest,$R4))</f>
        <v/>
      </c>
      <c r="G5" s="33">
        <f>IF($A5&gt;NYears*12,"",INT($F5/$E5))</f>
        <v/>
      </c>
      <c r="H5" s="35">
        <f>IF($A5&gt;NYears*12,"",$G5*$E5)</f>
        <v/>
      </c>
      <c r="I5" s="35">
        <f>IF($A5&gt;NYears*12,"",$F5-$H5)</f>
        <v/>
      </c>
      <c r="J5" s="35">
        <f>IF($A5&gt;NYears*12,"",$H5*RateC)</f>
        <v/>
      </c>
      <c r="K5" s="35">
        <f>IF($A5&gt;NYears*12,"",IF($D5=1,$J5,$K4+$J5))</f>
        <v/>
      </c>
      <c r="L5" s="35">
        <f>IF($A5&gt;NYears*12,"",IF(MOD($D5,3)=0,SUM($J3:$J5),0))</f>
        <v/>
      </c>
      <c r="M5" s="35">
        <f>IF($A5&gt;NYears*12,"",IF(TaxFreq="Quarterly",$K5*12/$D5,$K5))</f>
        <v/>
      </c>
      <c r="N5" s="36">
        <f>IF($A5&gt;NYears*12,"",LOOKUP($M5,TaxLower,TaxRate))</f>
        <v/>
      </c>
      <c r="O5" s="35">
        <f>IF($A5&gt;NYears*12,"",IF(TaxFreq="Quarterly",IF(MOD($D5,3)=0,$L5*$N5,0),IF($D5=12,$K5*$N5,0)))</f>
        <v/>
      </c>
      <c r="P5" s="35">
        <f>IF($A5&gt;NYears*12,"",IF($D5=1,$O5,$P4+$O5))</f>
        <v/>
      </c>
      <c r="Q5" s="35">
        <f>IF($A5&gt;NYears*12,"",IF($D5=12,MIN(WdrPct*IF(WdrBase="Post-tax profit",$K5-$P5,$K5),WdrCap),0))</f>
        <v/>
      </c>
      <c r="R5" s="35">
        <f>IF($A5&gt;NYears*12,"",$F5+$J5-$O5-$Q5)</f>
        <v/>
      </c>
      <c r="S5" s="33">
        <f>IF($A5&gt;NYears*12,"",INT($R5/$E5))</f>
        <v/>
      </c>
    </row>
    <row r="6">
      <c r="A6" s="33">
        <f>2</f>
        <v/>
      </c>
      <c r="B6" s="34">
        <f>IF($A6&gt;NYears*12,"",EDATE(StartMonth,$A6-1))</f>
        <v/>
      </c>
      <c r="C6" s="33">
        <f>IF($A6&gt;NYears*12,"",INT(($A6-1)/12)+1)</f>
        <v/>
      </c>
      <c r="D6" s="33">
        <f>IF($A6&gt;NYears*12,"",MOD($A6-1,12)+1)</f>
        <v/>
      </c>
      <c r="E6" s="35">
        <f>IF($A6&gt;NYears*12,"",LotValue0*(1+LotGrowth)^($C6-1))</f>
        <v/>
      </c>
      <c r="F6" s="35">
        <f>IF($A6&gt;NYears*12,"",IF($A6=1,InitInvest,$R5))</f>
        <v/>
      </c>
      <c r="G6" s="33">
        <f>IF($A6&gt;NYears*12,"",INT($F6/$E6))</f>
        <v/>
      </c>
      <c r="H6" s="35">
        <f>IF($A6&gt;NYears*12,"",$G6*$E6)</f>
        <v/>
      </c>
      <c r="I6" s="35">
        <f>IF($A6&gt;NYears*12,"",$F6-$H6)</f>
        <v/>
      </c>
      <c r="J6" s="35">
        <f>IF($A6&gt;NYears*12,"",$H6*RateC)</f>
        <v/>
      </c>
      <c r="K6" s="35">
        <f>IF($A6&gt;NYears*12,"",IF($D6=1,$J6,$K5+$J6))</f>
        <v/>
      </c>
      <c r="L6" s="35">
        <f>IF($A6&gt;NYears*12,"",IF(MOD($D6,3)=0,SUM($J4:$J6),0))</f>
        <v/>
      </c>
      <c r="M6" s="35">
        <f>IF($A6&gt;NYears*12,"",IF(TaxFreq="Quarterly",$K6*12/$D6,$K6))</f>
        <v/>
      </c>
      <c r="N6" s="36">
        <f>IF($A6&gt;NYears*12,"",LOOKUP($M6,TaxLower,TaxRate))</f>
        <v/>
      </c>
      <c r="O6" s="35">
        <f>IF($A6&gt;NYears*12,"",IF(TaxFreq="Quarterly",IF(MOD($D6,3)=0,$L6*$N6,0),IF($D6=12,$K6*$N6,0)))</f>
        <v/>
      </c>
      <c r="P6" s="35">
        <f>IF($A6&gt;NYears*12,"",IF($D6=1,$O6,$P5+$O6))</f>
        <v/>
      </c>
      <c r="Q6" s="35">
        <f>IF($A6&gt;NYears*12,"",IF($D6=12,MIN(WdrPct*IF(WdrBase="Post-tax profit",$K6-$P6,$K6),WdrCap),0))</f>
        <v/>
      </c>
      <c r="R6" s="35">
        <f>IF($A6&gt;NYears*12,"",$F6+$J6-$O6-$Q6)</f>
        <v/>
      </c>
      <c r="S6" s="33">
        <f>IF($A6&gt;NYears*12,"",INT($R6/$E6))</f>
        <v/>
      </c>
    </row>
    <row r="7">
      <c r="A7" s="33">
        <f>3</f>
        <v/>
      </c>
      <c r="B7" s="34">
        <f>IF($A7&gt;NYears*12,"",EDATE(StartMonth,$A7-1))</f>
        <v/>
      </c>
      <c r="C7" s="33">
        <f>IF($A7&gt;NYears*12,"",INT(($A7-1)/12)+1)</f>
        <v/>
      </c>
      <c r="D7" s="33">
        <f>IF($A7&gt;NYears*12,"",MOD($A7-1,12)+1)</f>
        <v/>
      </c>
      <c r="E7" s="35">
        <f>IF($A7&gt;NYears*12,"",LotValue0*(1+LotGrowth)^($C7-1))</f>
        <v/>
      </c>
      <c r="F7" s="35">
        <f>IF($A7&gt;NYears*12,"",IF($A7=1,InitInvest,$R6))</f>
        <v/>
      </c>
      <c r="G7" s="33">
        <f>IF($A7&gt;NYears*12,"",INT($F7/$E7))</f>
        <v/>
      </c>
      <c r="H7" s="35">
        <f>IF($A7&gt;NYears*12,"",$G7*$E7)</f>
        <v/>
      </c>
      <c r="I7" s="35">
        <f>IF($A7&gt;NYears*12,"",$F7-$H7)</f>
        <v/>
      </c>
      <c r="J7" s="35">
        <f>IF($A7&gt;NYears*12,"",$H7*RateC)</f>
        <v/>
      </c>
      <c r="K7" s="35">
        <f>IF($A7&gt;NYears*12,"",IF($D7=1,$J7,$K6+$J7))</f>
        <v/>
      </c>
      <c r="L7" s="35">
        <f>IF($A7&gt;NYears*12,"",IF(MOD($D7,3)=0,SUM($J5:$J7),0))</f>
        <v/>
      </c>
      <c r="M7" s="35">
        <f>IF($A7&gt;NYears*12,"",IF(TaxFreq="Quarterly",$K7*12/$D7,$K7))</f>
        <v/>
      </c>
      <c r="N7" s="36">
        <f>IF($A7&gt;NYears*12,"",LOOKUP($M7,TaxLower,TaxRate))</f>
        <v/>
      </c>
      <c r="O7" s="35">
        <f>IF($A7&gt;NYears*12,"",IF(TaxFreq="Quarterly",IF(MOD($D7,3)=0,$L7*$N7,0),IF($D7=12,$K7*$N7,0)))</f>
        <v/>
      </c>
      <c r="P7" s="35">
        <f>IF($A7&gt;NYears*12,"",IF($D7=1,$O7,$P6+$O7))</f>
        <v/>
      </c>
      <c r="Q7" s="35">
        <f>IF($A7&gt;NYears*12,"",IF($D7=12,MIN(WdrPct*IF(WdrBase="Post-tax profit",$K7-$P7,$K7),WdrCap),0))</f>
        <v/>
      </c>
      <c r="R7" s="35">
        <f>IF($A7&gt;NYears*12,"",$F7+$J7-$O7-$Q7)</f>
        <v/>
      </c>
      <c r="S7" s="33">
        <f>IF($A7&gt;NYears*12,"",INT($R7/$E7))</f>
        <v/>
      </c>
    </row>
    <row r="8">
      <c r="A8" s="33">
        <f>4</f>
        <v/>
      </c>
      <c r="B8" s="34">
        <f>IF($A8&gt;NYears*12,"",EDATE(StartMonth,$A8-1))</f>
        <v/>
      </c>
      <c r="C8" s="33">
        <f>IF($A8&gt;NYears*12,"",INT(($A8-1)/12)+1)</f>
        <v/>
      </c>
      <c r="D8" s="33">
        <f>IF($A8&gt;NYears*12,"",MOD($A8-1,12)+1)</f>
        <v/>
      </c>
      <c r="E8" s="35">
        <f>IF($A8&gt;NYears*12,"",LotValue0*(1+LotGrowth)^($C8-1))</f>
        <v/>
      </c>
      <c r="F8" s="35">
        <f>IF($A8&gt;NYears*12,"",IF($A8=1,InitInvest,$R7))</f>
        <v/>
      </c>
      <c r="G8" s="33">
        <f>IF($A8&gt;NYears*12,"",INT($F8/$E8))</f>
        <v/>
      </c>
      <c r="H8" s="35">
        <f>IF($A8&gt;NYears*12,"",$G8*$E8)</f>
        <v/>
      </c>
      <c r="I8" s="35">
        <f>IF($A8&gt;NYears*12,"",$F8-$H8)</f>
        <v/>
      </c>
      <c r="J8" s="35">
        <f>IF($A8&gt;NYears*12,"",$H8*RateC)</f>
        <v/>
      </c>
      <c r="K8" s="35">
        <f>IF($A8&gt;NYears*12,"",IF($D8=1,$J8,$K7+$J8))</f>
        <v/>
      </c>
      <c r="L8" s="35">
        <f>IF($A8&gt;NYears*12,"",IF(MOD($D8,3)=0,SUM($J6:$J8),0))</f>
        <v/>
      </c>
      <c r="M8" s="35">
        <f>IF($A8&gt;NYears*12,"",IF(TaxFreq="Quarterly",$K8*12/$D8,$K8))</f>
        <v/>
      </c>
      <c r="N8" s="36">
        <f>IF($A8&gt;NYears*12,"",LOOKUP($M8,TaxLower,TaxRate))</f>
        <v/>
      </c>
      <c r="O8" s="35">
        <f>IF($A8&gt;NYears*12,"",IF(TaxFreq="Quarterly",IF(MOD($D8,3)=0,$L8*$N8,0),IF($D8=12,$K8*$N8,0)))</f>
        <v/>
      </c>
      <c r="P8" s="35">
        <f>IF($A8&gt;NYears*12,"",IF($D8=1,$O8,$P7+$O8))</f>
        <v/>
      </c>
      <c r="Q8" s="35">
        <f>IF($A8&gt;NYears*12,"",IF($D8=12,MIN(WdrPct*IF(WdrBase="Post-tax profit",$K8-$P8,$K8),WdrCap),0))</f>
        <v/>
      </c>
      <c r="R8" s="35">
        <f>IF($A8&gt;NYears*12,"",$F8+$J8-$O8-$Q8)</f>
        <v/>
      </c>
      <c r="S8" s="33">
        <f>IF($A8&gt;NYears*12,"",INT($R8/$E8))</f>
        <v/>
      </c>
    </row>
    <row r="9">
      <c r="A9" s="33">
        <f>5</f>
        <v/>
      </c>
      <c r="B9" s="34">
        <f>IF($A9&gt;NYears*12,"",EDATE(StartMonth,$A9-1))</f>
        <v/>
      </c>
      <c r="C9" s="33">
        <f>IF($A9&gt;NYears*12,"",INT(($A9-1)/12)+1)</f>
        <v/>
      </c>
      <c r="D9" s="33">
        <f>IF($A9&gt;NYears*12,"",MOD($A9-1,12)+1)</f>
        <v/>
      </c>
      <c r="E9" s="35">
        <f>IF($A9&gt;NYears*12,"",LotValue0*(1+LotGrowth)^($C9-1))</f>
        <v/>
      </c>
      <c r="F9" s="35">
        <f>IF($A9&gt;NYears*12,"",IF($A9=1,InitInvest,$R8))</f>
        <v/>
      </c>
      <c r="G9" s="33">
        <f>IF($A9&gt;NYears*12,"",INT($F9/$E9))</f>
        <v/>
      </c>
      <c r="H9" s="35">
        <f>IF($A9&gt;NYears*12,"",$G9*$E9)</f>
        <v/>
      </c>
      <c r="I9" s="35">
        <f>IF($A9&gt;NYears*12,"",$F9-$H9)</f>
        <v/>
      </c>
      <c r="J9" s="35">
        <f>IF($A9&gt;NYears*12,"",$H9*RateC)</f>
        <v/>
      </c>
      <c r="K9" s="35">
        <f>IF($A9&gt;NYears*12,"",IF($D9=1,$J9,$K8+$J9))</f>
        <v/>
      </c>
      <c r="L9" s="35">
        <f>IF($A9&gt;NYears*12,"",IF(MOD($D9,3)=0,SUM($J7:$J9),0))</f>
        <v/>
      </c>
      <c r="M9" s="35">
        <f>IF($A9&gt;NYears*12,"",IF(TaxFreq="Quarterly",$K9*12/$D9,$K9))</f>
        <v/>
      </c>
      <c r="N9" s="36">
        <f>IF($A9&gt;NYears*12,"",LOOKUP($M9,TaxLower,TaxRate))</f>
        <v/>
      </c>
      <c r="O9" s="35">
        <f>IF($A9&gt;NYears*12,"",IF(TaxFreq="Quarterly",IF(MOD($D9,3)=0,$L9*$N9,0),IF($D9=12,$K9*$N9,0)))</f>
        <v/>
      </c>
      <c r="P9" s="35">
        <f>IF($A9&gt;NYears*12,"",IF($D9=1,$O9,$P8+$O9))</f>
        <v/>
      </c>
      <c r="Q9" s="35">
        <f>IF($A9&gt;NYears*12,"",IF($D9=12,MIN(WdrPct*IF(WdrBase="Post-tax profit",$K9-$P9,$K9),WdrCap),0))</f>
        <v/>
      </c>
      <c r="R9" s="35">
        <f>IF($A9&gt;NYears*12,"",$F9+$J9-$O9-$Q9)</f>
        <v/>
      </c>
      <c r="S9" s="33">
        <f>IF($A9&gt;NYears*12,"",INT($R9/$E9))</f>
        <v/>
      </c>
    </row>
    <row r="10">
      <c r="A10" s="33">
        <f>6</f>
        <v/>
      </c>
      <c r="B10" s="34">
        <f>IF($A10&gt;NYears*12,"",EDATE(StartMonth,$A10-1))</f>
        <v/>
      </c>
      <c r="C10" s="33">
        <f>IF($A10&gt;NYears*12,"",INT(($A10-1)/12)+1)</f>
        <v/>
      </c>
      <c r="D10" s="33">
        <f>IF($A10&gt;NYears*12,"",MOD($A10-1,12)+1)</f>
        <v/>
      </c>
      <c r="E10" s="35">
        <f>IF($A10&gt;NYears*12,"",LotValue0*(1+LotGrowth)^($C10-1))</f>
        <v/>
      </c>
      <c r="F10" s="35">
        <f>IF($A10&gt;NYears*12,"",IF($A10=1,InitInvest,$R9))</f>
        <v/>
      </c>
      <c r="G10" s="33">
        <f>IF($A10&gt;NYears*12,"",INT($F10/$E10))</f>
        <v/>
      </c>
      <c r="H10" s="35">
        <f>IF($A10&gt;NYears*12,"",$G10*$E10)</f>
        <v/>
      </c>
      <c r="I10" s="35">
        <f>IF($A10&gt;NYears*12,"",$F10-$H10)</f>
        <v/>
      </c>
      <c r="J10" s="35">
        <f>IF($A10&gt;NYears*12,"",$H10*RateC)</f>
        <v/>
      </c>
      <c r="K10" s="35">
        <f>IF($A10&gt;NYears*12,"",IF($D10=1,$J10,$K9+$J10))</f>
        <v/>
      </c>
      <c r="L10" s="35">
        <f>IF($A10&gt;NYears*12,"",IF(MOD($D10,3)=0,SUM($J8:$J10),0))</f>
        <v/>
      </c>
      <c r="M10" s="35">
        <f>IF($A10&gt;NYears*12,"",IF(TaxFreq="Quarterly",$K10*12/$D10,$K10))</f>
        <v/>
      </c>
      <c r="N10" s="36">
        <f>IF($A10&gt;NYears*12,"",LOOKUP($M10,TaxLower,TaxRate))</f>
        <v/>
      </c>
      <c r="O10" s="35">
        <f>IF($A10&gt;NYears*12,"",IF(TaxFreq="Quarterly",IF(MOD($D10,3)=0,$L10*$N10,0),IF($D10=12,$K10*$N10,0)))</f>
        <v/>
      </c>
      <c r="P10" s="35">
        <f>IF($A10&gt;NYears*12,"",IF($D10=1,$O10,$P9+$O10))</f>
        <v/>
      </c>
      <c r="Q10" s="35">
        <f>IF($A10&gt;NYears*12,"",IF($D10=12,MIN(WdrPct*IF(WdrBase="Post-tax profit",$K10-$P10,$K10),WdrCap),0))</f>
        <v/>
      </c>
      <c r="R10" s="35">
        <f>IF($A10&gt;NYears*12,"",$F10+$J10-$O10-$Q10)</f>
        <v/>
      </c>
      <c r="S10" s="33">
        <f>IF($A10&gt;NYears*12,"",INT($R10/$E10))</f>
        <v/>
      </c>
    </row>
    <row r="11">
      <c r="A11" s="33">
        <f>7</f>
        <v/>
      </c>
      <c r="B11" s="34">
        <f>IF($A11&gt;NYears*12,"",EDATE(StartMonth,$A11-1))</f>
        <v/>
      </c>
      <c r="C11" s="33">
        <f>IF($A11&gt;NYears*12,"",INT(($A11-1)/12)+1)</f>
        <v/>
      </c>
      <c r="D11" s="33">
        <f>IF($A11&gt;NYears*12,"",MOD($A11-1,12)+1)</f>
        <v/>
      </c>
      <c r="E11" s="35">
        <f>IF($A11&gt;NYears*12,"",LotValue0*(1+LotGrowth)^($C11-1))</f>
        <v/>
      </c>
      <c r="F11" s="35">
        <f>IF($A11&gt;NYears*12,"",IF($A11=1,InitInvest,$R10))</f>
        <v/>
      </c>
      <c r="G11" s="33">
        <f>IF($A11&gt;NYears*12,"",INT($F11/$E11))</f>
        <v/>
      </c>
      <c r="H11" s="35">
        <f>IF($A11&gt;NYears*12,"",$G11*$E11)</f>
        <v/>
      </c>
      <c r="I11" s="35">
        <f>IF($A11&gt;NYears*12,"",$F11-$H11)</f>
        <v/>
      </c>
      <c r="J11" s="35">
        <f>IF($A11&gt;NYears*12,"",$H11*RateC)</f>
        <v/>
      </c>
      <c r="K11" s="35">
        <f>IF($A11&gt;NYears*12,"",IF($D11=1,$J11,$K10+$J11))</f>
        <v/>
      </c>
      <c r="L11" s="35">
        <f>IF($A11&gt;NYears*12,"",IF(MOD($D11,3)=0,SUM($J9:$J11),0))</f>
        <v/>
      </c>
      <c r="M11" s="35">
        <f>IF($A11&gt;NYears*12,"",IF(TaxFreq="Quarterly",$K11*12/$D11,$K11))</f>
        <v/>
      </c>
      <c r="N11" s="36">
        <f>IF($A11&gt;NYears*12,"",LOOKUP($M11,TaxLower,TaxRate))</f>
        <v/>
      </c>
      <c r="O11" s="35">
        <f>IF($A11&gt;NYears*12,"",IF(TaxFreq="Quarterly",IF(MOD($D11,3)=0,$L11*$N11,0),IF($D11=12,$K11*$N11,0)))</f>
        <v/>
      </c>
      <c r="P11" s="35">
        <f>IF($A11&gt;NYears*12,"",IF($D11=1,$O11,$P10+$O11))</f>
        <v/>
      </c>
      <c r="Q11" s="35">
        <f>IF($A11&gt;NYears*12,"",IF($D11=12,MIN(WdrPct*IF(WdrBase="Post-tax profit",$K11-$P11,$K11),WdrCap),0))</f>
        <v/>
      </c>
      <c r="R11" s="35">
        <f>IF($A11&gt;NYears*12,"",$F11+$J11-$O11-$Q11)</f>
        <v/>
      </c>
      <c r="S11" s="33">
        <f>IF($A11&gt;NYears*12,"",INT($R11/$E11))</f>
        <v/>
      </c>
    </row>
    <row r="12">
      <c r="A12" s="33">
        <f>8</f>
        <v/>
      </c>
      <c r="B12" s="34">
        <f>IF($A12&gt;NYears*12,"",EDATE(StartMonth,$A12-1))</f>
        <v/>
      </c>
      <c r="C12" s="33">
        <f>IF($A12&gt;NYears*12,"",INT(($A12-1)/12)+1)</f>
        <v/>
      </c>
      <c r="D12" s="33">
        <f>IF($A12&gt;NYears*12,"",MOD($A12-1,12)+1)</f>
        <v/>
      </c>
      <c r="E12" s="35">
        <f>IF($A12&gt;NYears*12,"",LotValue0*(1+LotGrowth)^($C12-1))</f>
        <v/>
      </c>
      <c r="F12" s="35">
        <f>IF($A12&gt;NYears*12,"",IF($A12=1,InitInvest,$R11))</f>
        <v/>
      </c>
      <c r="G12" s="33">
        <f>IF($A12&gt;NYears*12,"",INT($F12/$E12))</f>
        <v/>
      </c>
      <c r="H12" s="35">
        <f>IF($A12&gt;NYears*12,"",$G12*$E12)</f>
        <v/>
      </c>
      <c r="I12" s="35">
        <f>IF($A12&gt;NYears*12,"",$F12-$H12)</f>
        <v/>
      </c>
      <c r="J12" s="35">
        <f>IF($A12&gt;NYears*12,"",$H12*RateC)</f>
        <v/>
      </c>
      <c r="K12" s="35">
        <f>IF($A12&gt;NYears*12,"",IF($D12=1,$J12,$K11+$J12))</f>
        <v/>
      </c>
      <c r="L12" s="35">
        <f>IF($A12&gt;NYears*12,"",IF(MOD($D12,3)=0,SUM($J10:$J12),0))</f>
        <v/>
      </c>
      <c r="M12" s="35">
        <f>IF($A12&gt;NYears*12,"",IF(TaxFreq="Quarterly",$K12*12/$D12,$K12))</f>
        <v/>
      </c>
      <c r="N12" s="36">
        <f>IF($A12&gt;NYears*12,"",LOOKUP($M12,TaxLower,TaxRate))</f>
        <v/>
      </c>
      <c r="O12" s="35">
        <f>IF($A12&gt;NYears*12,"",IF(TaxFreq="Quarterly",IF(MOD($D12,3)=0,$L12*$N12,0),IF($D12=12,$K12*$N12,0)))</f>
        <v/>
      </c>
      <c r="P12" s="35">
        <f>IF($A12&gt;NYears*12,"",IF($D12=1,$O12,$P11+$O12))</f>
        <v/>
      </c>
      <c r="Q12" s="35">
        <f>IF($A12&gt;NYears*12,"",IF($D12=12,MIN(WdrPct*IF(WdrBase="Post-tax profit",$K12-$P12,$K12),WdrCap),0))</f>
        <v/>
      </c>
      <c r="R12" s="35">
        <f>IF($A12&gt;NYears*12,"",$F12+$J12-$O12-$Q12)</f>
        <v/>
      </c>
      <c r="S12" s="33">
        <f>IF($A12&gt;NYears*12,"",INT($R12/$E12))</f>
        <v/>
      </c>
    </row>
    <row r="13">
      <c r="A13" s="33">
        <f>9</f>
        <v/>
      </c>
      <c r="B13" s="34">
        <f>IF($A13&gt;NYears*12,"",EDATE(StartMonth,$A13-1))</f>
        <v/>
      </c>
      <c r="C13" s="33">
        <f>IF($A13&gt;NYears*12,"",INT(($A13-1)/12)+1)</f>
        <v/>
      </c>
      <c r="D13" s="33">
        <f>IF($A13&gt;NYears*12,"",MOD($A13-1,12)+1)</f>
        <v/>
      </c>
      <c r="E13" s="35">
        <f>IF($A13&gt;NYears*12,"",LotValue0*(1+LotGrowth)^($C13-1))</f>
        <v/>
      </c>
      <c r="F13" s="35">
        <f>IF($A13&gt;NYears*12,"",IF($A13=1,InitInvest,$R12))</f>
        <v/>
      </c>
      <c r="G13" s="33">
        <f>IF($A13&gt;NYears*12,"",INT($F13/$E13))</f>
        <v/>
      </c>
      <c r="H13" s="35">
        <f>IF($A13&gt;NYears*12,"",$G13*$E13)</f>
        <v/>
      </c>
      <c r="I13" s="35">
        <f>IF($A13&gt;NYears*12,"",$F13-$H13)</f>
        <v/>
      </c>
      <c r="J13" s="35">
        <f>IF($A13&gt;NYears*12,"",$H13*RateC)</f>
        <v/>
      </c>
      <c r="K13" s="35">
        <f>IF($A13&gt;NYears*12,"",IF($D13=1,$J13,$K12+$J13))</f>
        <v/>
      </c>
      <c r="L13" s="35">
        <f>IF($A13&gt;NYears*12,"",IF(MOD($D13,3)=0,SUM($J11:$J13),0))</f>
        <v/>
      </c>
      <c r="M13" s="35">
        <f>IF($A13&gt;NYears*12,"",IF(TaxFreq="Quarterly",$K13*12/$D13,$K13))</f>
        <v/>
      </c>
      <c r="N13" s="36">
        <f>IF($A13&gt;NYears*12,"",LOOKUP($M13,TaxLower,TaxRate))</f>
        <v/>
      </c>
      <c r="O13" s="35">
        <f>IF($A13&gt;NYears*12,"",IF(TaxFreq="Quarterly",IF(MOD($D13,3)=0,$L13*$N13,0),IF($D13=12,$K13*$N13,0)))</f>
        <v/>
      </c>
      <c r="P13" s="35">
        <f>IF($A13&gt;NYears*12,"",IF($D13=1,$O13,$P12+$O13))</f>
        <v/>
      </c>
      <c r="Q13" s="35">
        <f>IF($A13&gt;NYears*12,"",IF($D13=12,MIN(WdrPct*IF(WdrBase="Post-tax profit",$K13-$P13,$K13),WdrCap),0))</f>
        <v/>
      </c>
      <c r="R13" s="35">
        <f>IF($A13&gt;NYears*12,"",$F13+$J13-$O13-$Q13)</f>
        <v/>
      </c>
      <c r="S13" s="33">
        <f>IF($A13&gt;NYears*12,"",INT($R13/$E13))</f>
        <v/>
      </c>
    </row>
    <row r="14">
      <c r="A14" s="33">
        <f>10</f>
        <v/>
      </c>
      <c r="B14" s="34">
        <f>IF($A14&gt;NYears*12,"",EDATE(StartMonth,$A14-1))</f>
        <v/>
      </c>
      <c r="C14" s="33">
        <f>IF($A14&gt;NYears*12,"",INT(($A14-1)/12)+1)</f>
        <v/>
      </c>
      <c r="D14" s="33">
        <f>IF($A14&gt;NYears*12,"",MOD($A14-1,12)+1)</f>
        <v/>
      </c>
      <c r="E14" s="35">
        <f>IF($A14&gt;NYears*12,"",LotValue0*(1+LotGrowth)^($C14-1))</f>
        <v/>
      </c>
      <c r="F14" s="35">
        <f>IF($A14&gt;NYears*12,"",IF($A14=1,InitInvest,$R13))</f>
        <v/>
      </c>
      <c r="G14" s="33">
        <f>IF($A14&gt;NYears*12,"",INT($F14/$E14))</f>
        <v/>
      </c>
      <c r="H14" s="35">
        <f>IF($A14&gt;NYears*12,"",$G14*$E14)</f>
        <v/>
      </c>
      <c r="I14" s="35">
        <f>IF($A14&gt;NYears*12,"",$F14-$H14)</f>
        <v/>
      </c>
      <c r="J14" s="35">
        <f>IF($A14&gt;NYears*12,"",$H14*RateC)</f>
        <v/>
      </c>
      <c r="K14" s="35">
        <f>IF($A14&gt;NYears*12,"",IF($D14=1,$J14,$K13+$J14))</f>
        <v/>
      </c>
      <c r="L14" s="35">
        <f>IF($A14&gt;NYears*12,"",IF(MOD($D14,3)=0,SUM($J12:$J14),0))</f>
        <v/>
      </c>
      <c r="M14" s="35">
        <f>IF($A14&gt;NYears*12,"",IF(TaxFreq="Quarterly",$K14*12/$D14,$K14))</f>
        <v/>
      </c>
      <c r="N14" s="36">
        <f>IF($A14&gt;NYears*12,"",LOOKUP($M14,TaxLower,TaxRate))</f>
        <v/>
      </c>
      <c r="O14" s="35">
        <f>IF($A14&gt;NYears*12,"",IF(TaxFreq="Quarterly",IF(MOD($D14,3)=0,$L14*$N14,0),IF($D14=12,$K14*$N14,0)))</f>
        <v/>
      </c>
      <c r="P14" s="35">
        <f>IF($A14&gt;NYears*12,"",IF($D14=1,$O14,$P13+$O14))</f>
        <v/>
      </c>
      <c r="Q14" s="35">
        <f>IF($A14&gt;NYears*12,"",IF($D14=12,MIN(WdrPct*IF(WdrBase="Post-tax profit",$K14-$P14,$K14),WdrCap),0))</f>
        <v/>
      </c>
      <c r="R14" s="35">
        <f>IF($A14&gt;NYears*12,"",$F14+$J14-$O14-$Q14)</f>
        <v/>
      </c>
      <c r="S14" s="33">
        <f>IF($A14&gt;NYears*12,"",INT($R14/$E14))</f>
        <v/>
      </c>
    </row>
    <row r="15">
      <c r="A15" s="33">
        <f>11</f>
        <v/>
      </c>
      <c r="B15" s="34">
        <f>IF($A15&gt;NYears*12,"",EDATE(StartMonth,$A15-1))</f>
        <v/>
      </c>
      <c r="C15" s="33">
        <f>IF($A15&gt;NYears*12,"",INT(($A15-1)/12)+1)</f>
        <v/>
      </c>
      <c r="D15" s="33">
        <f>IF($A15&gt;NYears*12,"",MOD($A15-1,12)+1)</f>
        <v/>
      </c>
      <c r="E15" s="35">
        <f>IF($A15&gt;NYears*12,"",LotValue0*(1+LotGrowth)^($C15-1))</f>
        <v/>
      </c>
      <c r="F15" s="35">
        <f>IF($A15&gt;NYears*12,"",IF($A15=1,InitInvest,$R14))</f>
        <v/>
      </c>
      <c r="G15" s="33">
        <f>IF($A15&gt;NYears*12,"",INT($F15/$E15))</f>
        <v/>
      </c>
      <c r="H15" s="35">
        <f>IF($A15&gt;NYears*12,"",$G15*$E15)</f>
        <v/>
      </c>
      <c r="I15" s="35">
        <f>IF($A15&gt;NYears*12,"",$F15-$H15)</f>
        <v/>
      </c>
      <c r="J15" s="35">
        <f>IF($A15&gt;NYears*12,"",$H15*RateC)</f>
        <v/>
      </c>
      <c r="K15" s="35">
        <f>IF($A15&gt;NYears*12,"",IF($D15=1,$J15,$K14+$J15))</f>
        <v/>
      </c>
      <c r="L15" s="35">
        <f>IF($A15&gt;NYears*12,"",IF(MOD($D15,3)=0,SUM($J13:$J15),0))</f>
        <v/>
      </c>
      <c r="M15" s="35">
        <f>IF($A15&gt;NYears*12,"",IF(TaxFreq="Quarterly",$K15*12/$D15,$K15))</f>
        <v/>
      </c>
      <c r="N15" s="36">
        <f>IF($A15&gt;NYears*12,"",LOOKUP($M15,TaxLower,TaxRate))</f>
        <v/>
      </c>
      <c r="O15" s="35">
        <f>IF($A15&gt;NYears*12,"",IF(TaxFreq="Quarterly",IF(MOD($D15,3)=0,$L15*$N15,0),IF($D15=12,$K15*$N15,0)))</f>
        <v/>
      </c>
      <c r="P15" s="35">
        <f>IF($A15&gt;NYears*12,"",IF($D15=1,$O15,$P14+$O15))</f>
        <v/>
      </c>
      <c r="Q15" s="35">
        <f>IF($A15&gt;NYears*12,"",IF($D15=12,MIN(WdrPct*IF(WdrBase="Post-tax profit",$K15-$P15,$K15),WdrCap),0))</f>
        <v/>
      </c>
      <c r="R15" s="35">
        <f>IF($A15&gt;NYears*12,"",$F15+$J15-$O15-$Q15)</f>
        <v/>
      </c>
      <c r="S15" s="33">
        <f>IF($A15&gt;NYears*12,"",INT($R15/$E15))</f>
        <v/>
      </c>
    </row>
    <row r="16">
      <c r="A16" s="37">
        <f>12</f>
        <v/>
      </c>
      <c r="B16" s="38">
        <f>IF($A16&gt;NYears*12,"",EDATE(StartMonth,$A16-1))</f>
        <v/>
      </c>
      <c r="C16" s="37">
        <f>IF($A16&gt;NYears*12,"",INT(($A16-1)/12)+1)</f>
        <v/>
      </c>
      <c r="D16" s="37">
        <f>IF($A16&gt;NYears*12,"",MOD($A16-1,12)+1)</f>
        <v/>
      </c>
      <c r="E16" s="39">
        <f>IF($A16&gt;NYears*12,"",LotValue0*(1+LotGrowth)^($C16-1))</f>
        <v/>
      </c>
      <c r="F16" s="39">
        <f>IF($A16&gt;NYears*12,"",IF($A16=1,InitInvest,$R15))</f>
        <v/>
      </c>
      <c r="G16" s="37">
        <f>IF($A16&gt;NYears*12,"",INT($F16/$E16))</f>
        <v/>
      </c>
      <c r="H16" s="39">
        <f>IF($A16&gt;NYears*12,"",$G16*$E16)</f>
        <v/>
      </c>
      <c r="I16" s="39">
        <f>IF($A16&gt;NYears*12,"",$F16-$H16)</f>
        <v/>
      </c>
      <c r="J16" s="39">
        <f>IF($A16&gt;NYears*12,"",$H16*RateC)</f>
        <v/>
      </c>
      <c r="K16" s="39">
        <f>IF($A16&gt;NYears*12,"",IF($D16=1,$J16,$K15+$J16))</f>
        <v/>
      </c>
      <c r="L16" s="39">
        <f>IF($A16&gt;NYears*12,"",IF(MOD($D16,3)=0,SUM($J14:$J16),0))</f>
        <v/>
      </c>
      <c r="M16" s="39">
        <f>IF($A16&gt;NYears*12,"",IF(TaxFreq="Quarterly",$K16*12/$D16,$K16))</f>
        <v/>
      </c>
      <c r="N16" s="40">
        <f>IF($A16&gt;NYears*12,"",LOOKUP($M16,TaxLower,TaxRate))</f>
        <v/>
      </c>
      <c r="O16" s="39">
        <f>IF($A16&gt;NYears*12,"",IF(TaxFreq="Quarterly",IF(MOD($D16,3)=0,$L16*$N16,0),IF($D16=12,$K16*$N16,0)))</f>
        <v/>
      </c>
      <c r="P16" s="39">
        <f>IF($A16&gt;NYears*12,"",IF($D16=1,$O16,$P15+$O16))</f>
        <v/>
      </c>
      <c r="Q16" s="39">
        <f>IF($A16&gt;NYears*12,"",IF($D16=12,MIN(WdrPct*IF(WdrBase="Post-tax profit",$K16-$P16,$K16),WdrCap),0))</f>
        <v/>
      </c>
      <c r="R16" s="39">
        <f>IF($A16&gt;NYears*12,"",$F16+$J16-$O16-$Q16)</f>
        <v/>
      </c>
      <c r="S16" s="37">
        <f>IF($A16&gt;NYears*12,"",INT($R16/$E16))</f>
        <v/>
      </c>
    </row>
    <row r="17">
      <c r="A17" s="33">
        <f>13</f>
        <v/>
      </c>
      <c r="B17" s="34">
        <f>IF($A17&gt;NYears*12,"",EDATE(StartMonth,$A17-1))</f>
        <v/>
      </c>
      <c r="C17" s="33">
        <f>IF($A17&gt;NYears*12,"",INT(($A17-1)/12)+1)</f>
        <v/>
      </c>
      <c r="D17" s="33">
        <f>IF($A17&gt;NYears*12,"",MOD($A17-1,12)+1)</f>
        <v/>
      </c>
      <c r="E17" s="35">
        <f>IF($A17&gt;NYears*12,"",LotValue0*(1+LotGrowth)^($C17-1))</f>
        <v/>
      </c>
      <c r="F17" s="35">
        <f>IF($A17&gt;NYears*12,"",IF($A17=1,InitInvest,$R16))</f>
        <v/>
      </c>
      <c r="G17" s="33">
        <f>IF($A17&gt;NYears*12,"",INT($F17/$E17))</f>
        <v/>
      </c>
      <c r="H17" s="35">
        <f>IF($A17&gt;NYears*12,"",$G17*$E17)</f>
        <v/>
      </c>
      <c r="I17" s="35">
        <f>IF($A17&gt;NYears*12,"",$F17-$H17)</f>
        <v/>
      </c>
      <c r="J17" s="35">
        <f>IF($A17&gt;NYears*12,"",$H17*RateC)</f>
        <v/>
      </c>
      <c r="K17" s="35">
        <f>IF($A17&gt;NYears*12,"",IF($D17=1,$J17,$K16+$J17))</f>
        <v/>
      </c>
      <c r="L17" s="35">
        <f>IF($A17&gt;NYears*12,"",IF(MOD($D17,3)=0,SUM($J15:$J17),0))</f>
        <v/>
      </c>
      <c r="M17" s="35">
        <f>IF($A17&gt;NYears*12,"",IF(TaxFreq="Quarterly",$K17*12/$D17,$K17))</f>
        <v/>
      </c>
      <c r="N17" s="36">
        <f>IF($A17&gt;NYears*12,"",LOOKUP($M17,TaxLower,TaxRate))</f>
        <v/>
      </c>
      <c r="O17" s="35">
        <f>IF($A17&gt;NYears*12,"",IF(TaxFreq="Quarterly",IF(MOD($D17,3)=0,$L17*$N17,0),IF($D17=12,$K17*$N17,0)))</f>
        <v/>
      </c>
      <c r="P17" s="35">
        <f>IF($A17&gt;NYears*12,"",IF($D17=1,$O17,$P16+$O17))</f>
        <v/>
      </c>
      <c r="Q17" s="35">
        <f>IF($A17&gt;NYears*12,"",IF($D17=12,MIN(WdrPct*IF(WdrBase="Post-tax profit",$K17-$P17,$K17),WdrCap),0))</f>
        <v/>
      </c>
      <c r="R17" s="35">
        <f>IF($A17&gt;NYears*12,"",$F17+$J17-$O17-$Q17)</f>
        <v/>
      </c>
      <c r="S17" s="33">
        <f>IF($A17&gt;NYears*12,"",INT($R17/$E17))</f>
        <v/>
      </c>
    </row>
    <row r="18">
      <c r="A18" s="33">
        <f>14</f>
        <v/>
      </c>
      <c r="B18" s="34">
        <f>IF($A18&gt;NYears*12,"",EDATE(StartMonth,$A18-1))</f>
        <v/>
      </c>
      <c r="C18" s="33">
        <f>IF($A18&gt;NYears*12,"",INT(($A18-1)/12)+1)</f>
        <v/>
      </c>
      <c r="D18" s="33">
        <f>IF($A18&gt;NYears*12,"",MOD($A18-1,12)+1)</f>
        <v/>
      </c>
      <c r="E18" s="35">
        <f>IF($A18&gt;NYears*12,"",LotValue0*(1+LotGrowth)^($C18-1))</f>
        <v/>
      </c>
      <c r="F18" s="35">
        <f>IF($A18&gt;NYears*12,"",IF($A18=1,InitInvest,$R17))</f>
        <v/>
      </c>
      <c r="G18" s="33">
        <f>IF($A18&gt;NYears*12,"",INT($F18/$E18))</f>
        <v/>
      </c>
      <c r="H18" s="35">
        <f>IF($A18&gt;NYears*12,"",$G18*$E18)</f>
        <v/>
      </c>
      <c r="I18" s="35">
        <f>IF($A18&gt;NYears*12,"",$F18-$H18)</f>
        <v/>
      </c>
      <c r="J18" s="35">
        <f>IF($A18&gt;NYears*12,"",$H18*RateC)</f>
        <v/>
      </c>
      <c r="K18" s="35">
        <f>IF($A18&gt;NYears*12,"",IF($D18=1,$J18,$K17+$J18))</f>
        <v/>
      </c>
      <c r="L18" s="35">
        <f>IF($A18&gt;NYears*12,"",IF(MOD($D18,3)=0,SUM($J16:$J18),0))</f>
        <v/>
      </c>
      <c r="M18" s="35">
        <f>IF($A18&gt;NYears*12,"",IF(TaxFreq="Quarterly",$K18*12/$D18,$K18))</f>
        <v/>
      </c>
      <c r="N18" s="36">
        <f>IF($A18&gt;NYears*12,"",LOOKUP($M18,TaxLower,TaxRate))</f>
        <v/>
      </c>
      <c r="O18" s="35">
        <f>IF($A18&gt;NYears*12,"",IF(TaxFreq="Quarterly",IF(MOD($D18,3)=0,$L18*$N18,0),IF($D18=12,$K18*$N18,0)))</f>
        <v/>
      </c>
      <c r="P18" s="35">
        <f>IF($A18&gt;NYears*12,"",IF($D18=1,$O18,$P17+$O18))</f>
        <v/>
      </c>
      <c r="Q18" s="35">
        <f>IF($A18&gt;NYears*12,"",IF($D18=12,MIN(WdrPct*IF(WdrBase="Post-tax profit",$K18-$P18,$K18),WdrCap),0))</f>
        <v/>
      </c>
      <c r="R18" s="35">
        <f>IF($A18&gt;NYears*12,"",$F18+$J18-$O18-$Q18)</f>
        <v/>
      </c>
      <c r="S18" s="33">
        <f>IF($A18&gt;NYears*12,"",INT($R18/$E18))</f>
        <v/>
      </c>
    </row>
    <row r="19">
      <c r="A19" s="33">
        <f>15</f>
        <v/>
      </c>
      <c r="B19" s="34">
        <f>IF($A19&gt;NYears*12,"",EDATE(StartMonth,$A19-1))</f>
        <v/>
      </c>
      <c r="C19" s="33">
        <f>IF($A19&gt;NYears*12,"",INT(($A19-1)/12)+1)</f>
        <v/>
      </c>
      <c r="D19" s="33">
        <f>IF($A19&gt;NYears*12,"",MOD($A19-1,12)+1)</f>
        <v/>
      </c>
      <c r="E19" s="35">
        <f>IF($A19&gt;NYears*12,"",LotValue0*(1+LotGrowth)^($C19-1))</f>
        <v/>
      </c>
      <c r="F19" s="35">
        <f>IF($A19&gt;NYears*12,"",IF($A19=1,InitInvest,$R18))</f>
        <v/>
      </c>
      <c r="G19" s="33">
        <f>IF($A19&gt;NYears*12,"",INT($F19/$E19))</f>
        <v/>
      </c>
      <c r="H19" s="35">
        <f>IF($A19&gt;NYears*12,"",$G19*$E19)</f>
        <v/>
      </c>
      <c r="I19" s="35">
        <f>IF($A19&gt;NYears*12,"",$F19-$H19)</f>
        <v/>
      </c>
      <c r="J19" s="35">
        <f>IF($A19&gt;NYears*12,"",$H19*RateC)</f>
        <v/>
      </c>
      <c r="K19" s="35">
        <f>IF($A19&gt;NYears*12,"",IF($D19=1,$J19,$K18+$J19))</f>
        <v/>
      </c>
      <c r="L19" s="35">
        <f>IF($A19&gt;NYears*12,"",IF(MOD($D19,3)=0,SUM($J17:$J19),0))</f>
        <v/>
      </c>
      <c r="M19" s="35">
        <f>IF($A19&gt;NYears*12,"",IF(TaxFreq="Quarterly",$K19*12/$D19,$K19))</f>
        <v/>
      </c>
      <c r="N19" s="36">
        <f>IF($A19&gt;NYears*12,"",LOOKUP($M19,TaxLower,TaxRate))</f>
        <v/>
      </c>
      <c r="O19" s="35">
        <f>IF($A19&gt;NYears*12,"",IF(TaxFreq="Quarterly",IF(MOD($D19,3)=0,$L19*$N19,0),IF($D19=12,$K19*$N19,0)))</f>
        <v/>
      </c>
      <c r="P19" s="35">
        <f>IF($A19&gt;NYears*12,"",IF($D19=1,$O19,$P18+$O19))</f>
        <v/>
      </c>
      <c r="Q19" s="35">
        <f>IF($A19&gt;NYears*12,"",IF($D19=12,MIN(WdrPct*IF(WdrBase="Post-tax profit",$K19-$P19,$K19),WdrCap),0))</f>
        <v/>
      </c>
      <c r="R19" s="35">
        <f>IF($A19&gt;NYears*12,"",$F19+$J19-$O19-$Q19)</f>
        <v/>
      </c>
      <c r="S19" s="33">
        <f>IF($A19&gt;NYears*12,"",INT($R19/$E19))</f>
        <v/>
      </c>
    </row>
    <row r="20">
      <c r="A20" s="33">
        <f>16</f>
        <v/>
      </c>
      <c r="B20" s="34">
        <f>IF($A20&gt;NYears*12,"",EDATE(StartMonth,$A20-1))</f>
        <v/>
      </c>
      <c r="C20" s="33">
        <f>IF($A20&gt;NYears*12,"",INT(($A20-1)/12)+1)</f>
        <v/>
      </c>
      <c r="D20" s="33">
        <f>IF($A20&gt;NYears*12,"",MOD($A20-1,12)+1)</f>
        <v/>
      </c>
      <c r="E20" s="35">
        <f>IF($A20&gt;NYears*12,"",LotValue0*(1+LotGrowth)^($C20-1))</f>
        <v/>
      </c>
      <c r="F20" s="35">
        <f>IF($A20&gt;NYears*12,"",IF($A20=1,InitInvest,$R19))</f>
        <v/>
      </c>
      <c r="G20" s="33">
        <f>IF($A20&gt;NYears*12,"",INT($F20/$E20))</f>
        <v/>
      </c>
      <c r="H20" s="35">
        <f>IF($A20&gt;NYears*12,"",$G20*$E20)</f>
        <v/>
      </c>
      <c r="I20" s="35">
        <f>IF($A20&gt;NYears*12,"",$F20-$H20)</f>
        <v/>
      </c>
      <c r="J20" s="35">
        <f>IF($A20&gt;NYears*12,"",$H20*RateC)</f>
        <v/>
      </c>
      <c r="K20" s="35">
        <f>IF($A20&gt;NYears*12,"",IF($D20=1,$J20,$K19+$J20))</f>
        <v/>
      </c>
      <c r="L20" s="35">
        <f>IF($A20&gt;NYears*12,"",IF(MOD($D20,3)=0,SUM($J18:$J20),0))</f>
        <v/>
      </c>
      <c r="M20" s="35">
        <f>IF($A20&gt;NYears*12,"",IF(TaxFreq="Quarterly",$K20*12/$D20,$K20))</f>
        <v/>
      </c>
      <c r="N20" s="36">
        <f>IF($A20&gt;NYears*12,"",LOOKUP($M20,TaxLower,TaxRate))</f>
        <v/>
      </c>
      <c r="O20" s="35">
        <f>IF($A20&gt;NYears*12,"",IF(TaxFreq="Quarterly",IF(MOD($D20,3)=0,$L20*$N20,0),IF($D20=12,$K20*$N20,0)))</f>
        <v/>
      </c>
      <c r="P20" s="35">
        <f>IF($A20&gt;NYears*12,"",IF($D20=1,$O20,$P19+$O20))</f>
        <v/>
      </c>
      <c r="Q20" s="35">
        <f>IF($A20&gt;NYears*12,"",IF($D20=12,MIN(WdrPct*IF(WdrBase="Post-tax profit",$K20-$P20,$K20),WdrCap),0))</f>
        <v/>
      </c>
      <c r="R20" s="35">
        <f>IF($A20&gt;NYears*12,"",$F20+$J20-$O20-$Q20)</f>
        <v/>
      </c>
      <c r="S20" s="33">
        <f>IF($A20&gt;NYears*12,"",INT($R20/$E20))</f>
        <v/>
      </c>
    </row>
    <row r="21">
      <c r="A21" s="33">
        <f>17</f>
        <v/>
      </c>
      <c r="B21" s="34">
        <f>IF($A21&gt;NYears*12,"",EDATE(StartMonth,$A21-1))</f>
        <v/>
      </c>
      <c r="C21" s="33">
        <f>IF($A21&gt;NYears*12,"",INT(($A21-1)/12)+1)</f>
        <v/>
      </c>
      <c r="D21" s="33">
        <f>IF($A21&gt;NYears*12,"",MOD($A21-1,12)+1)</f>
        <v/>
      </c>
      <c r="E21" s="35">
        <f>IF($A21&gt;NYears*12,"",LotValue0*(1+LotGrowth)^($C21-1))</f>
        <v/>
      </c>
      <c r="F21" s="35">
        <f>IF($A21&gt;NYears*12,"",IF($A21=1,InitInvest,$R20))</f>
        <v/>
      </c>
      <c r="G21" s="33">
        <f>IF($A21&gt;NYears*12,"",INT($F21/$E21))</f>
        <v/>
      </c>
      <c r="H21" s="35">
        <f>IF($A21&gt;NYears*12,"",$G21*$E21)</f>
        <v/>
      </c>
      <c r="I21" s="35">
        <f>IF($A21&gt;NYears*12,"",$F21-$H21)</f>
        <v/>
      </c>
      <c r="J21" s="35">
        <f>IF($A21&gt;NYears*12,"",$H21*RateC)</f>
        <v/>
      </c>
      <c r="K21" s="35">
        <f>IF($A21&gt;NYears*12,"",IF($D21=1,$J21,$K20+$J21))</f>
        <v/>
      </c>
      <c r="L21" s="35">
        <f>IF($A21&gt;NYears*12,"",IF(MOD($D21,3)=0,SUM($J19:$J21),0))</f>
        <v/>
      </c>
      <c r="M21" s="35">
        <f>IF($A21&gt;NYears*12,"",IF(TaxFreq="Quarterly",$K21*12/$D21,$K21))</f>
        <v/>
      </c>
      <c r="N21" s="36">
        <f>IF($A21&gt;NYears*12,"",LOOKUP($M21,TaxLower,TaxRate))</f>
        <v/>
      </c>
      <c r="O21" s="35">
        <f>IF($A21&gt;NYears*12,"",IF(TaxFreq="Quarterly",IF(MOD($D21,3)=0,$L21*$N21,0),IF($D21=12,$K21*$N21,0)))</f>
        <v/>
      </c>
      <c r="P21" s="35">
        <f>IF($A21&gt;NYears*12,"",IF($D21=1,$O21,$P20+$O21))</f>
        <v/>
      </c>
      <c r="Q21" s="35">
        <f>IF($A21&gt;NYears*12,"",IF($D21=12,MIN(WdrPct*IF(WdrBase="Post-tax profit",$K21-$P21,$K21),WdrCap),0))</f>
        <v/>
      </c>
      <c r="R21" s="35">
        <f>IF($A21&gt;NYears*12,"",$F21+$J21-$O21-$Q21)</f>
        <v/>
      </c>
      <c r="S21" s="33">
        <f>IF($A21&gt;NYears*12,"",INT($R21/$E21))</f>
        <v/>
      </c>
    </row>
    <row r="22">
      <c r="A22" s="33">
        <f>18</f>
        <v/>
      </c>
      <c r="B22" s="34">
        <f>IF($A22&gt;NYears*12,"",EDATE(StartMonth,$A22-1))</f>
        <v/>
      </c>
      <c r="C22" s="33">
        <f>IF($A22&gt;NYears*12,"",INT(($A22-1)/12)+1)</f>
        <v/>
      </c>
      <c r="D22" s="33">
        <f>IF($A22&gt;NYears*12,"",MOD($A22-1,12)+1)</f>
        <v/>
      </c>
      <c r="E22" s="35">
        <f>IF($A22&gt;NYears*12,"",LotValue0*(1+LotGrowth)^($C22-1))</f>
        <v/>
      </c>
      <c r="F22" s="35">
        <f>IF($A22&gt;NYears*12,"",IF($A22=1,InitInvest,$R21))</f>
        <v/>
      </c>
      <c r="G22" s="33">
        <f>IF($A22&gt;NYears*12,"",INT($F22/$E22))</f>
        <v/>
      </c>
      <c r="H22" s="35">
        <f>IF($A22&gt;NYears*12,"",$G22*$E22)</f>
        <v/>
      </c>
      <c r="I22" s="35">
        <f>IF($A22&gt;NYears*12,"",$F22-$H22)</f>
        <v/>
      </c>
      <c r="J22" s="35">
        <f>IF($A22&gt;NYears*12,"",$H22*RateC)</f>
        <v/>
      </c>
      <c r="K22" s="35">
        <f>IF($A22&gt;NYears*12,"",IF($D22=1,$J22,$K21+$J22))</f>
        <v/>
      </c>
      <c r="L22" s="35">
        <f>IF($A22&gt;NYears*12,"",IF(MOD($D22,3)=0,SUM($J20:$J22),0))</f>
        <v/>
      </c>
      <c r="M22" s="35">
        <f>IF($A22&gt;NYears*12,"",IF(TaxFreq="Quarterly",$K22*12/$D22,$K22))</f>
        <v/>
      </c>
      <c r="N22" s="36">
        <f>IF($A22&gt;NYears*12,"",LOOKUP($M22,TaxLower,TaxRate))</f>
        <v/>
      </c>
      <c r="O22" s="35">
        <f>IF($A22&gt;NYears*12,"",IF(TaxFreq="Quarterly",IF(MOD($D22,3)=0,$L22*$N22,0),IF($D22=12,$K22*$N22,0)))</f>
        <v/>
      </c>
      <c r="P22" s="35">
        <f>IF($A22&gt;NYears*12,"",IF($D22=1,$O22,$P21+$O22))</f>
        <v/>
      </c>
      <c r="Q22" s="35">
        <f>IF($A22&gt;NYears*12,"",IF($D22=12,MIN(WdrPct*IF(WdrBase="Post-tax profit",$K22-$P22,$K22),WdrCap),0))</f>
        <v/>
      </c>
      <c r="R22" s="35">
        <f>IF($A22&gt;NYears*12,"",$F22+$J22-$O22-$Q22)</f>
        <v/>
      </c>
      <c r="S22" s="33">
        <f>IF($A22&gt;NYears*12,"",INT($R22/$E22))</f>
        <v/>
      </c>
    </row>
    <row r="23">
      <c r="A23" s="33">
        <f>19</f>
        <v/>
      </c>
      <c r="B23" s="34">
        <f>IF($A23&gt;NYears*12,"",EDATE(StartMonth,$A23-1))</f>
        <v/>
      </c>
      <c r="C23" s="33">
        <f>IF($A23&gt;NYears*12,"",INT(($A23-1)/12)+1)</f>
        <v/>
      </c>
      <c r="D23" s="33">
        <f>IF($A23&gt;NYears*12,"",MOD($A23-1,12)+1)</f>
        <v/>
      </c>
      <c r="E23" s="35">
        <f>IF($A23&gt;NYears*12,"",LotValue0*(1+LotGrowth)^($C23-1))</f>
        <v/>
      </c>
      <c r="F23" s="35">
        <f>IF($A23&gt;NYears*12,"",IF($A23=1,InitInvest,$R22))</f>
        <v/>
      </c>
      <c r="G23" s="33">
        <f>IF($A23&gt;NYears*12,"",INT($F23/$E23))</f>
        <v/>
      </c>
      <c r="H23" s="35">
        <f>IF($A23&gt;NYears*12,"",$G23*$E23)</f>
        <v/>
      </c>
      <c r="I23" s="35">
        <f>IF($A23&gt;NYears*12,"",$F23-$H23)</f>
        <v/>
      </c>
      <c r="J23" s="35">
        <f>IF($A23&gt;NYears*12,"",$H23*RateC)</f>
        <v/>
      </c>
      <c r="K23" s="35">
        <f>IF($A23&gt;NYears*12,"",IF($D23=1,$J23,$K22+$J23))</f>
        <v/>
      </c>
      <c r="L23" s="35">
        <f>IF($A23&gt;NYears*12,"",IF(MOD($D23,3)=0,SUM($J21:$J23),0))</f>
        <v/>
      </c>
      <c r="M23" s="35">
        <f>IF($A23&gt;NYears*12,"",IF(TaxFreq="Quarterly",$K23*12/$D23,$K23))</f>
        <v/>
      </c>
      <c r="N23" s="36">
        <f>IF($A23&gt;NYears*12,"",LOOKUP($M23,TaxLower,TaxRate))</f>
        <v/>
      </c>
      <c r="O23" s="35">
        <f>IF($A23&gt;NYears*12,"",IF(TaxFreq="Quarterly",IF(MOD($D23,3)=0,$L23*$N23,0),IF($D23=12,$K23*$N23,0)))</f>
        <v/>
      </c>
      <c r="P23" s="35">
        <f>IF($A23&gt;NYears*12,"",IF($D23=1,$O23,$P22+$O23))</f>
        <v/>
      </c>
      <c r="Q23" s="35">
        <f>IF($A23&gt;NYears*12,"",IF($D23=12,MIN(WdrPct*IF(WdrBase="Post-tax profit",$K23-$P23,$K23),WdrCap),0))</f>
        <v/>
      </c>
      <c r="R23" s="35">
        <f>IF($A23&gt;NYears*12,"",$F23+$J23-$O23-$Q23)</f>
        <v/>
      </c>
      <c r="S23" s="33">
        <f>IF($A23&gt;NYears*12,"",INT($R23/$E23))</f>
        <v/>
      </c>
    </row>
    <row r="24">
      <c r="A24" s="33">
        <f>20</f>
        <v/>
      </c>
      <c r="B24" s="34">
        <f>IF($A24&gt;NYears*12,"",EDATE(StartMonth,$A24-1))</f>
        <v/>
      </c>
      <c r="C24" s="33">
        <f>IF($A24&gt;NYears*12,"",INT(($A24-1)/12)+1)</f>
        <v/>
      </c>
      <c r="D24" s="33">
        <f>IF($A24&gt;NYears*12,"",MOD($A24-1,12)+1)</f>
        <v/>
      </c>
      <c r="E24" s="35">
        <f>IF($A24&gt;NYears*12,"",LotValue0*(1+LotGrowth)^($C24-1))</f>
        <v/>
      </c>
      <c r="F24" s="35">
        <f>IF($A24&gt;NYears*12,"",IF($A24=1,InitInvest,$R23))</f>
        <v/>
      </c>
      <c r="G24" s="33">
        <f>IF($A24&gt;NYears*12,"",INT($F24/$E24))</f>
        <v/>
      </c>
      <c r="H24" s="35">
        <f>IF($A24&gt;NYears*12,"",$G24*$E24)</f>
        <v/>
      </c>
      <c r="I24" s="35">
        <f>IF($A24&gt;NYears*12,"",$F24-$H24)</f>
        <v/>
      </c>
      <c r="J24" s="35">
        <f>IF($A24&gt;NYears*12,"",$H24*RateC)</f>
        <v/>
      </c>
      <c r="K24" s="35">
        <f>IF($A24&gt;NYears*12,"",IF($D24=1,$J24,$K23+$J24))</f>
        <v/>
      </c>
      <c r="L24" s="35">
        <f>IF($A24&gt;NYears*12,"",IF(MOD($D24,3)=0,SUM($J22:$J24),0))</f>
        <v/>
      </c>
      <c r="M24" s="35">
        <f>IF($A24&gt;NYears*12,"",IF(TaxFreq="Quarterly",$K24*12/$D24,$K24))</f>
        <v/>
      </c>
      <c r="N24" s="36">
        <f>IF($A24&gt;NYears*12,"",LOOKUP($M24,TaxLower,TaxRate))</f>
        <v/>
      </c>
      <c r="O24" s="35">
        <f>IF($A24&gt;NYears*12,"",IF(TaxFreq="Quarterly",IF(MOD($D24,3)=0,$L24*$N24,0),IF($D24=12,$K24*$N24,0)))</f>
        <v/>
      </c>
      <c r="P24" s="35">
        <f>IF($A24&gt;NYears*12,"",IF($D24=1,$O24,$P23+$O24))</f>
        <v/>
      </c>
      <c r="Q24" s="35">
        <f>IF($A24&gt;NYears*12,"",IF($D24=12,MIN(WdrPct*IF(WdrBase="Post-tax profit",$K24-$P24,$K24),WdrCap),0))</f>
        <v/>
      </c>
      <c r="R24" s="35">
        <f>IF($A24&gt;NYears*12,"",$F24+$J24-$O24-$Q24)</f>
        <v/>
      </c>
      <c r="S24" s="33">
        <f>IF($A24&gt;NYears*12,"",INT($R24/$E24))</f>
        <v/>
      </c>
    </row>
    <row r="25">
      <c r="A25" s="33">
        <f>21</f>
        <v/>
      </c>
      <c r="B25" s="34">
        <f>IF($A25&gt;NYears*12,"",EDATE(StartMonth,$A25-1))</f>
        <v/>
      </c>
      <c r="C25" s="33">
        <f>IF($A25&gt;NYears*12,"",INT(($A25-1)/12)+1)</f>
        <v/>
      </c>
      <c r="D25" s="33">
        <f>IF($A25&gt;NYears*12,"",MOD($A25-1,12)+1)</f>
        <v/>
      </c>
      <c r="E25" s="35">
        <f>IF($A25&gt;NYears*12,"",LotValue0*(1+LotGrowth)^($C25-1))</f>
        <v/>
      </c>
      <c r="F25" s="35">
        <f>IF($A25&gt;NYears*12,"",IF($A25=1,InitInvest,$R24))</f>
        <v/>
      </c>
      <c r="G25" s="33">
        <f>IF($A25&gt;NYears*12,"",INT($F25/$E25))</f>
        <v/>
      </c>
      <c r="H25" s="35">
        <f>IF($A25&gt;NYears*12,"",$G25*$E25)</f>
        <v/>
      </c>
      <c r="I25" s="35">
        <f>IF($A25&gt;NYears*12,"",$F25-$H25)</f>
        <v/>
      </c>
      <c r="J25" s="35">
        <f>IF($A25&gt;NYears*12,"",$H25*RateC)</f>
        <v/>
      </c>
      <c r="K25" s="35">
        <f>IF($A25&gt;NYears*12,"",IF($D25=1,$J25,$K24+$J25))</f>
        <v/>
      </c>
      <c r="L25" s="35">
        <f>IF($A25&gt;NYears*12,"",IF(MOD($D25,3)=0,SUM($J23:$J25),0))</f>
        <v/>
      </c>
      <c r="M25" s="35">
        <f>IF($A25&gt;NYears*12,"",IF(TaxFreq="Quarterly",$K25*12/$D25,$K25))</f>
        <v/>
      </c>
      <c r="N25" s="36">
        <f>IF($A25&gt;NYears*12,"",LOOKUP($M25,TaxLower,TaxRate))</f>
        <v/>
      </c>
      <c r="O25" s="35">
        <f>IF($A25&gt;NYears*12,"",IF(TaxFreq="Quarterly",IF(MOD($D25,3)=0,$L25*$N25,0),IF($D25=12,$K25*$N25,0)))</f>
        <v/>
      </c>
      <c r="P25" s="35">
        <f>IF($A25&gt;NYears*12,"",IF($D25=1,$O25,$P24+$O25))</f>
        <v/>
      </c>
      <c r="Q25" s="35">
        <f>IF($A25&gt;NYears*12,"",IF($D25=12,MIN(WdrPct*IF(WdrBase="Post-tax profit",$K25-$P25,$K25),WdrCap),0))</f>
        <v/>
      </c>
      <c r="R25" s="35">
        <f>IF($A25&gt;NYears*12,"",$F25+$J25-$O25-$Q25)</f>
        <v/>
      </c>
      <c r="S25" s="33">
        <f>IF($A25&gt;NYears*12,"",INT($R25/$E25))</f>
        <v/>
      </c>
    </row>
    <row r="26">
      <c r="A26" s="33">
        <f>22</f>
        <v/>
      </c>
      <c r="B26" s="34">
        <f>IF($A26&gt;NYears*12,"",EDATE(StartMonth,$A26-1))</f>
        <v/>
      </c>
      <c r="C26" s="33">
        <f>IF($A26&gt;NYears*12,"",INT(($A26-1)/12)+1)</f>
        <v/>
      </c>
      <c r="D26" s="33">
        <f>IF($A26&gt;NYears*12,"",MOD($A26-1,12)+1)</f>
        <v/>
      </c>
      <c r="E26" s="35">
        <f>IF($A26&gt;NYears*12,"",LotValue0*(1+LotGrowth)^($C26-1))</f>
        <v/>
      </c>
      <c r="F26" s="35">
        <f>IF($A26&gt;NYears*12,"",IF($A26=1,InitInvest,$R25))</f>
        <v/>
      </c>
      <c r="G26" s="33">
        <f>IF($A26&gt;NYears*12,"",INT($F26/$E26))</f>
        <v/>
      </c>
      <c r="H26" s="35">
        <f>IF($A26&gt;NYears*12,"",$G26*$E26)</f>
        <v/>
      </c>
      <c r="I26" s="35">
        <f>IF($A26&gt;NYears*12,"",$F26-$H26)</f>
        <v/>
      </c>
      <c r="J26" s="35">
        <f>IF($A26&gt;NYears*12,"",$H26*RateC)</f>
        <v/>
      </c>
      <c r="K26" s="35">
        <f>IF($A26&gt;NYears*12,"",IF($D26=1,$J26,$K25+$J26))</f>
        <v/>
      </c>
      <c r="L26" s="35">
        <f>IF($A26&gt;NYears*12,"",IF(MOD($D26,3)=0,SUM($J24:$J26),0))</f>
        <v/>
      </c>
      <c r="M26" s="35">
        <f>IF($A26&gt;NYears*12,"",IF(TaxFreq="Quarterly",$K26*12/$D26,$K26))</f>
        <v/>
      </c>
      <c r="N26" s="36">
        <f>IF($A26&gt;NYears*12,"",LOOKUP($M26,TaxLower,TaxRate))</f>
        <v/>
      </c>
      <c r="O26" s="35">
        <f>IF($A26&gt;NYears*12,"",IF(TaxFreq="Quarterly",IF(MOD($D26,3)=0,$L26*$N26,0),IF($D26=12,$K26*$N26,0)))</f>
        <v/>
      </c>
      <c r="P26" s="35">
        <f>IF($A26&gt;NYears*12,"",IF($D26=1,$O26,$P25+$O26))</f>
        <v/>
      </c>
      <c r="Q26" s="35">
        <f>IF($A26&gt;NYears*12,"",IF($D26=12,MIN(WdrPct*IF(WdrBase="Post-tax profit",$K26-$P26,$K26),WdrCap),0))</f>
        <v/>
      </c>
      <c r="R26" s="35">
        <f>IF($A26&gt;NYears*12,"",$F26+$J26-$O26-$Q26)</f>
        <v/>
      </c>
      <c r="S26" s="33">
        <f>IF($A26&gt;NYears*12,"",INT($R26/$E26))</f>
        <v/>
      </c>
    </row>
    <row r="27">
      <c r="A27" s="33">
        <f>23</f>
        <v/>
      </c>
      <c r="B27" s="34">
        <f>IF($A27&gt;NYears*12,"",EDATE(StartMonth,$A27-1))</f>
        <v/>
      </c>
      <c r="C27" s="33">
        <f>IF($A27&gt;NYears*12,"",INT(($A27-1)/12)+1)</f>
        <v/>
      </c>
      <c r="D27" s="33">
        <f>IF($A27&gt;NYears*12,"",MOD($A27-1,12)+1)</f>
        <v/>
      </c>
      <c r="E27" s="35">
        <f>IF($A27&gt;NYears*12,"",LotValue0*(1+LotGrowth)^($C27-1))</f>
        <v/>
      </c>
      <c r="F27" s="35">
        <f>IF($A27&gt;NYears*12,"",IF($A27=1,InitInvest,$R26))</f>
        <v/>
      </c>
      <c r="G27" s="33">
        <f>IF($A27&gt;NYears*12,"",INT($F27/$E27))</f>
        <v/>
      </c>
      <c r="H27" s="35">
        <f>IF($A27&gt;NYears*12,"",$G27*$E27)</f>
        <v/>
      </c>
      <c r="I27" s="35">
        <f>IF($A27&gt;NYears*12,"",$F27-$H27)</f>
        <v/>
      </c>
      <c r="J27" s="35">
        <f>IF($A27&gt;NYears*12,"",$H27*RateC)</f>
        <v/>
      </c>
      <c r="K27" s="35">
        <f>IF($A27&gt;NYears*12,"",IF($D27=1,$J27,$K26+$J27))</f>
        <v/>
      </c>
      <c r="L27" s="35">
        <f>IF($A27&gt;NYears*12,"",IF(MOD($D27,3)=0,SUM($J25:$J27),0))</f>
        <v/>
      </c>
      <c r="M27" s="35">
        <f>IF($A27&gt;NYears*12,"",IF(TaxFreq="Quarterly",$K27*12/$D27,$K27))</f>
        <v/>
      </c>
      <c r="N27" s="36">
        <f>IF($A27&gt;NYears*12,"",LOOKUP($M27,TaxLower,TaxRate))</f>
        <v/>
      </c>
      <c r="O27" s="35">
        <f>IF($A27&gt;NYears*12,"",IF(TaxFreq="Quarterly",IF(MOD($D27,3)=0,$L27*$N27,0),IF($D27=12,$K27*$N27,0)))</f>
        <v/>
      </c>
      <c r="P27" s="35">
        <f>IF($A27&gt;NYears*12,"",IF($D27=1,$O27,$P26+$O27))</f>
        <v/>
      </c>
      <c r="Q27" s="35">
        <f>IF($A27&gt;NYears*12,"",IF($D27=12,MIN(WdrPct*IF(WdrBase="Post-tax profit",$K27-$P27,$K27),WdrCap),0))</f>
        <v/>
      </c>
      <c r="R27" s="35">
        <f>IF($A27&gt;NYears*12,"",$F27+$J27-$O27-$Q27)</f>
        <v/>
      </c>
      <c r="S27" s="33">
        <f>IF($A27&gt;NYears*12,"",INT($R27/$E27))</f>
        <v/>
      </c>
    </row>
    <row r="28">
      <c r="A28" s="37">
        <f>24</f>
        <v/>
      </c>
      <c r="B28" s="38">
        <f>IF($A28&gt;NYears*12,"",EDATE(StartMonth,$A28-1))</f>
        <v/>
      </c>
      <c r="C28" s="37">
        <f>IF($A28&gt;NYears*12,"",INT(($A28-1)/12)+1)</f>
        <v/>
      </c>
      <c r="D28" s="37">
        <f>IF($A28&gt;NYears*12,"",MOD($A28-1,12)+1)</f>
        <v/>
      </c>
      <c r="E28" s="39">
        <f>IF($A28&gt;NYears*12,"",LotValue0*(1+LotGrowth)^($C28-1))</f>
        <v/>
      </c>
      <c r="F28" s="39">
        <f>IF($A28&gt;NYears*12,"",IF($A28=1,InitInvest,$R27))</f>
        <v/>
      </c>
      <c r="G28" s="37">
        <f>IF($A28&gt;NYears*12,"",INT($F28/$E28))</f>
        <v/>
      </c>
      <c r="H28" s="39">
        <f>IF($A28&gt;NYears*12,"",$G28*$E28)</f>
        <v/>
      </c>
      <c r="I28" s="39">
        <f>IF($A28&gt;NYears*12,"",$F28-$H28)</f>
        <v/>
      </c>
      <c r="J28" s="39">
        <f>IF($A28&gt;NYears*12,"",$H28*RateC)</f>
        <v/>
      </c>
      <c r="K28" s="39">
        <f>IF($A28&gt;NYears*12,"",IF($D28=1,$J28,$K27+$J28))</f>
        <v/>
      </c>
      <c r="L28" s="39">
        <f>IF($A28&gt;NYears*12,"",IF(MOD($D28,3)=0,SUM($J26:$J28),0))</f>
        <v/>
      </c>
      <c r="M28" s="39">
        <f>IF($A28&gt;NYears*12,"",IF(TaxFreq="Quarterly",$K28*12/$D28,$K28))</f>
        <v/>
      </c>
      <c r="N28" s="40">
        <f>IF($A28&gt;NYears*12,"",LOOKUP($M28,TaxLower,TaxRate))</f>
        <v/>
      </c>
      <c r="O28" s="39">
        <f>IF($A28&gt;NYears*12,"",IF(TaxFreq="Quarterly",IF(MOD($D28,3)=0,$L28*$N28,0),IF($D28=12,$K28*$N28,0)))</f>
        <v/>
      </c>
      <c r="P28" s="39">
        <f>IF($A28&gt;NYears*12,"",IF($D28=1,$O28,$P27+$O28))</f>
        <v/>
      </c>
      <c r="Q28" s="39">
        <f>IF($A28&gt;NYears*12,"",IF($D28=12,MIN(WdrPct*IF(WdrBase="Post-tax profit",$K28-$P28,$K28),WdrCap),0))</f>
        <v/>
      </c>
      <c r="R28" s="39">
        <f>IF($A28&gt;NYears*12,"",$F28+$J28-$O28-$Q28)</f>
        <v/>
      </c>
      <c r="S28" s="37">
        <f>IF($A28&gt;NYears*12,"",INT($R28/$E28))</f>
        <v/>
      </c>
    </row>
    <row r="29">
      <c r="A29" s="33">
        <f>25</f>
        <v/>
      </c>
      <c r="B29" s="34">
        <f>IF($A29&gt;NYears*12,"",EDATE(StartMonth,$A29-1))</f>
        <v/>
      </c>
      <c r="C29" s="33">
        <f>IF($A29&gt;NYears*12,"",INT(($A29-1)/12)+1)</f>
        <v/>
      </c>
      <c r="D29" s="33">
        <f>IF($A29&gt;NYears*12,"",MOD($A29-1,12)+1)</f>
        <v/>
      </c>
      <c r="E29" s="35">
        <f>IF($A29&gt;NYears*12,"",LotValue0*(1+LotGrowth)^($C29-1))</f>
        <v/>
      </c>
      <c r="F29" s="35">
        <f>IF($A29&gt;NYears*12,"",IF($A29=1,InitInvest,$R28))</f>
        <v/>
      </c>
      <c r="G29" s="33">
        <f>IF($A29&gt;NYears*12,"",INT($F29/$E29))</f>
        <v/>
      </c>
      <c r="H29" s="35">
        <f>IF($A29&gt;NYears*12,"",$G29*$E29)</f>
        <v/>
      </c>
      <c r="I29" s="35">
        <f>IF($A29&gt;NYears*12,"",$F29-$H29)</f>
        <v/>
      </c>
      <c r="J29" s="35">
        <f>IF($A29&gt;NYears*12,"",$H29*RateC)</f>
        <v/>
      </c>
      <c r="K29" s="35">
        <f>IF($A29&gt;NYears*12,"",IF($D29=1,$J29,$K28+$J29))</f>
        <v/>
      </c>
      <c r="L29" s="35">
        <f>IF($A29&gt;NYears*12,"",IF(MOD($D29,3)=0,SUM($J27:$J29),0))</f>
        <v/>
      </c>
      <c r="M29" s="35">
        <f>IF($A29&gt;NYears*12,"",IF(TaxFreq="Quarterly",$K29*12/$D29,$K29))</f>
        <v/>
      </c>
      <c r="N29" s="36">
        <f>IF($A29&gt;NYears*12,"",LOOKUP($M29,TaxLower,TaxRate))</f>
        <v/>
      </c>
      <c r="O29" s="35">
        <f>IF($A29&gt;NYears*12,"",IF(TaxFreq="Quarterly",IF(MOD($D29,3)=0,$L29*$N29,0),IF($D29=12,$K29*$N29,0)))</f>
        <v/>
      </c>
      <c r="P29" s="35">
        <f>IF($A29&gt;NYears*12,"",IF($D29=1,$O29,$P28+$O29))</f>
        <v/>
      </c>
      <c r="Q29" s="35">
        <f>IF($A29&gt;NYears*12,"",IF($D29=12,MIN(WdrPct*IF(WdrBase="Post-tax profit",$K29-$P29,$K29),WdrCap),0))</f>
        <v/>
      </c>
      <c r="R29" s="35">
        <f>IF($A29&gt;NYears*12,"",$F29+$J29-$O29-$Q29)</f>
        <v/>
      </c>
      <c r="S29" s="33">
        <f>IF($A29&gt;NYears*12,"",INT($R29/$E29))</f>
        <v/>
      </c>
    </row>
    <row r="30">
      <c r="A30" s="33">
        <f>26</f>
        <v/>
      </c>
      <c r="B30" s="34">
        <f>IF($A30&gt;NYears*12,"",EDATE(StartMonth,$A30-1))</f>
        <v/>
      </c>
      <c r="C30" s="33">
        <f>IF($A30&gt;NYears*12,"",INT(($A30-1)/12)+1)</f>
        <v/>
      </c>
      <c r="D30" s="33">
        <f>IF($A30&gt;NYears*12,"",MOD($A30-1,12)+1)</f>
        <v/>
      </c>
      <c r="E30" s="35">
        <f>IF($A30&gt;NYears*12,"",LotValue0*(1+LotGrowth)^($C30-1))</f>
        <v/>
      </c>
      <c r="F30" s="35">
        <f>IF($A30&gt;NYears*12,"",IF($A30=1,InitInvest,$R29))</f>
        <v/>
      </c>
      <c r="G30" s="33">
        <f>IF($A30&gt;NYears*12,"",INT($F30/$E30))</f>
        <v/>
      </c>
      <c r="H30" s="35">
        <f>IF($A30&gt;NYears*12,"",$G30*$E30)</f>
        <v/>
      </c>
      <c r="I30" s="35">
        <f>IF($A30&gt;NYears*12,"",$F30-$H30)</f>
        <v/>
      </c>
      <c r="J30" s="35">
        <f>IF($A30&gt;NYears*12,"",$H30*RateC)</f>
        <v/>
      </c>
      <c r="K30" s="35">
        <f>IF($A30&gt;NYears*12,"",IF($D30=1,$J30,$K29+$J30))</f>
        <v/>
      </c>
      <c r="L30" s="35">
        <f>IF($A30&gt;NYears*12,"",IF(MOD($D30,3)=0,SUM($J28:$J30),0))</f>
        <v/>
      </c>
      <c r="M30" s="35">
        <f>IF($A30&gt;NYears*12,"",IF(TaxFreq="Quarterly",$K30*12/$D30,$K30))</f>
        <v/>
      </c>
      <c r="N30" s="36">
        <f>IF($A30&gt;NYears*12,"",LOOKUP($M30,TaxLower,TaxRate))</f>
        <v/>
      </c>
      <c r="O30" s="35">
        <f>IF($A30&gt;NYears*12,"",IF(TaxFreq="Quarterly",IF(MOD($D30,3)=0,$L30*$N30,0),IF($D30=12,$K30*$N30,0)))</f>
        <v/>
      </c>
      <c r="P30" s="35">
        <f>IF($A30&gt;NYears*12,"",IF($D30=1,$O30,$P29+$O30))</f>
        <v/>
      </c>
      <c r="Q30" s="35">
        <f>IF($A30&gt;NYears*12,"",IF($D30=12,MIN(WdrPct*IF(WdrBase="Post-tax profit",$K30-$P30,$K30),WdrCap),0))</f>
        <v/>
      </c>
      <c r="R30" s="35">
        <f>IF($A30&gt;NYears*12,"",$F30+$J30-$O30-$Q30)</f>
        <v/>
      </c>
      <c r="S30" s="33">
        <f>IF($A30&gt;NYears*12,"",INT($R30/$E30))</f>
        <v/>
      </c>
    </row>
    <row r="31">
      <c r="A31" s="33">
        <f>27</f>
        <v/>
      </c>
      <c r="B31" s="34">
        <f>IF($A31&gt;NYears*12,"",EDATE(StartMonth,$A31-1))</f>
        <v/>
      </c>
      <c r="C31" s="33">
        <f>IF($A31&gt;NYears*12,"",INT(($A31-1)/12)+1)</f>
        <v/>
      </c>
      <c r="D31" s="33">
        <f>IF($A31&gt;NYears*12,"",MOD($A31-1,12)+1)</f>
        <v/>
      </c>
      <c r="E31" s="35">
        <f>IF($A31&gt;NYears*12,"",LotValue0*(1+LotGrowth)^($C31-1))</f>
        <v/>
      </c>
      <c r="F31" s="35">
        <f>IF($A31&gt;NYears*12,"",IF($A31=1,InitInvest,$R30))</f>
        <v/>
      </c>
      <c r="G31" s="33">
        <f>IF($A31&gt;NYears*12,"",INT($F31/$E31))</f>
        <v/>
      </c>
      <c r="H31" s="35">
        <f>IF($A31&gt;NYears*12,"",$G31*$E31)</f>
        <v/>
      </c>
      <c r="I31" s="35">
        <f>IF($A31&gt;NYears*12,"",$F31-$H31)</f>
        <v/>
      </c>
      <c r="J31" s="35">
        <f>IF($A31&gt;NYears*12,"",$H31*RateC)</f>
        <v/>
      </c>
      <c r="K31" s="35">
        <f>IF($A31&gt;NYears*12,"",IF($D31=1,$J31,$K30+$J31))</f>
        <v/>
      </c>
      <c r="L31" s="35">
        <f>IF($A31&gt;NYears*12,"",IF(MOD($D31,3)=0,SUM($J29:$J31),0))</f>
        <v/>
      </c>
      <c r="M31" s="35">
        <f>IF($A31&gt;NYears*12,"",IF(TaxFreq="Quarterly",$K31*12/$D31,$K31))</f>
        <v/>
      </c>
      <c r="N31" s="36">
        <f>IF($A31&gt;NYears*12,"",LOOKUP($M31,TaxLower,TaxRate))</f>
        <v/>
      </c>
      <c r="O31" s="35">
        <f>IF($A31&gt;NYears*12,"",IF(TaxFreq="Quarterly",IF(MOD($D31,3)=0,$L31*$N31,0),IF($D31=12,$K31*$N31,0)))</f>
        <v/>
      </c>
      <c r="P31" s="35">
        <f>IF($A31&gt;NYears*12,"",IF($D31=1,$O31,$P30+$O31))</f>
        <v/>
      </c>
      <c r="Q31" s="35">
        <f>IF($A31&gt;NYears*12,"",IF($D31=12,MIN(WdrPct*IF(WdrBase="Post-tax profit",$K31-$P31,$K31),WdrCap),0))</f>
        <v/>
      </c>
      <c r="R31" s="35">
        <f>IF($A31&gt;NYears*12,"",$F31+$J31-$O31-$Q31)</f>
        <v/>
      </c>
      <c r="S31" s="33">
        <f>IF($A31&gt;NYears*12,"",INT($R31/$E31))</f>
        <v/>
      </c>
    </row>
    <row r="32">
      <c r="A32" s="33">
        <f>28</f>
        <v/>
      </c>
      <c r="B32" s="34">
        <f>IF($A32&gt;NYears*12,"",EDATE(StartMonth,$A32-1))</f>
        <v/>
      </c>
      <c r="C32" s="33">
        <f>IF($A32&gt;NYears*12,"",INT(($A32-1)/12)+1)</f>
        <v/>
      </c>
      <c r="D32" s="33">
        <f>IF($A32&gt;NYears*12,"",MOD($A32-1,12)+1)</f>
        <v/>
      </c>
      <c r="E32" s="35">
        <f>IF($A32&gt;NYears*12,"",LotValue0*(1+LotGrowth)^($C32-1))</f>
        <v/>
      </c>
      <c r="F32" s="35">
        <f>IF($A32&gt;NYears*12,"",IF($A32=1,InitInvest,$R31))</f>
        <v/>
      </c>
      <c r="G32" s="33">
        <f>IF($A32&gt;NYears*12,"",INT($F32/$E32))</f>
        <v/>
      </c>
      <c r="H32" s="35">
        <f>IF($A32&gt;NYears*12,"",$G32*$E32)</f>
        <v/>
      </c>
      <c r="I32" s="35">
        <f>IF($A32&gt;NYears*12,"",$F32-$H32)</f>
        <v/>
      </c>
      <c r="J32" s="35">
        <f>IF($A32&gt;NYears*12,"",$H32*RateC)</f>
        <v/>
      </c>
      <c r="K32" s="35">
        <f>IF($A32&gt;NYears*12,"",IF($D32=1,$J32,$K31+$J32))</f>
        <v/>
      </c>
      <c r="L32" s="35">
        <f>IF($A32&gt;NYears*12,"",IF(MOD($D32,3)=0,SUM($J30:$J32),0))</f>
        <v/>
      </c>
      <c r="M32" s="35">
        <f>IF($A32&gt;NYears*12,"",IF(TaxFreq="Quarterly",$K32*12/$D32,$K32))</f>
        <v/>
      </c>
      <c r="N32" s="36">
        <f>IF($A32&gt;NYears*12,"",LOOKUP($M32,TaxLower,TaxRate))</f>
        <v/>
      </c>
      <c r="O32" s="35">
        <f>IF($A32&gt;NYears*12,"",IF(TaxFreq="Quarterly",IF(MOD($D32,3)=0,$L32*$N32,0),IF($D32=12,$K32*$N32,0)))</f>
        <v/>
      </c>
      <c r="P32" s="35">
        <f>IF($A32&gt;NYears*12,"",IF($D32=1,$O32,$P31+$O32))</f>
        <v/>
      </c>
      <c r="Q32" s="35">
        <f>IF($A32&gt;NYears*12,"",IF($D32=12,MIN(WdrPct*IF(WdrBase="Post-tax profit",$K32-$P32,$K32),WdrCap),0))</f>
        <v/>
      </c>
      <c r="R32" s="35">
        <f>IF($A32&gt;NYears*12,"",$F32+$J32-$O32-$Q32)</f>
        <v/>
      </c>
      <c r="S32" s="33">
        <f>IF($A32&gt;NYears*12,"",INT($R32/$E32))</f>
        <v/>
      </c>
    </row>
    <row r="33">
      <c r="A33" s="33">
        <f>29</f>
        <v/>
      </c>
      <c r="B33" s="34">
        <f>IF($A33&gt;NYears*12,"",EDATE(StartMonth,$A33-1))</f>
        <v/>
      </c>
      <c r="C33" s="33">
        <f>IF($A33&gt;NYears*12,"",INT(($A33-1)/12)+1)</f>
        <v/>
      </c>
      <c r="D33" s="33">
        <f>IF($A33&gt;NYears*12,"",MOD($A33-1,12)+1)</f>
        <v/>
      </c>
      <c r="E33" s="35">
        <f>IF($A33&gt;NYears*12,"",LotValue0*(1+LotGrowth)^($C33-1))</f>
        <v/>
      </c>
      <c r="F33" s="35">
        <f>IF($A33&gt;NYears*12,"",IF($A33=1,InitInvest,$R32))</f>
        <v/>
      </c>
      <c r="G33" s="33">
        <f>IF($A33&gt;NYears*12,"",INT($F33/$E33))</f>
        <v/>
      </c>
      <c r="H33" s="35">
        <f>IF($A33&gt;NYears*12,"",$G33*$E33)</f>
        <v/>
      </c>
      <c r="I33" s="35">
        <f>IF($A33&gt;NYears*12,"",$F33-$H33)</f>
        <v/>
      </c>
      <c r="J33" s="35">
        <f>IF($A33&gt;NYears*12,"",$H33*RateC)</f>
        <v/>
      </c>
      <c r="K33" s="35">
        <f>IF($A33&gt;NYears*12,"",IF($D33=1,$J33,$K32+$J33))</f>
        <v/>
      </c>
      <c r="L33" s="35">
        <f>IF($A33&gt;NYears*12,"",IF(MOD($D33,3)=0,SUM($J31:$J33),0))</f>
        <v/>
      </c>
      <c r="M33" s="35">
        <f>IF($A33&gt;NYears*12,"",IF(TaxFreq="Quarterly",$K33*12/$D33,$K33))</f>
        <v/>
      </c>
      <c r="N33" s="36">
        <f>IF($A33&gt;NYears*12,"",LOOKUP($M33,TaxLower,TaxRate))</f>
        <v/>
      </c>
      <c r="O33" s="35">
        <f>IF($A33&gt;NYears*12,"",IF(TaxFreq="Quarterly",IF(MOD($D33,3)=0,$L33*$N33,0),IF($D33=12,$K33*$N33,0)))</f>
        <v/>
      </c>
      <c r="P33" s="35">
        <f>IF($A33&gt;NYears*12,"",IF($D33=1,$O33,$P32+$O33))</f>
        <v/>
      </c>
      <c r="Q33" s="35">
        <f>IF($A33&gt;NYears*12,"",IF($D33=12,MIN(WdrPct*IF(WdrBase="Post-tax profit",$K33-$P33,$K33),WdrCap),0))</f>
        <v/>
      </c>
      <c r="R33" s="35">
        <f>IF($A33&gt;NYears*12,"",$F33+$J33-$O33-$Q33)</f>
        <v/>
      </c>
      <c r="S33" s="33">
        <f>IF($A33&gt;NYears*12,"",INT($R33/$E33))</f>
        <v/>
      </c>
    </row>
    <row r="34">
      <c r="A34" s="33">
        <f>30</f>
        <v/>
      </c>
      <c r="B34" s="34">
        <f>IF($A34&gt;NYears*12,"",EDATE(StartMonth,$A34-1))</f>
        <v/>
      </c>
      <c r="C34" s="33">
        <f>IF($A34&gt;NYears*12,"",INT(($A34-1)/12)+1)</f>
        <v/>
      </c>
      <c r="D34" s="33">
        <f>IF($A34&gt;NYears*12,"",MOD($A34-1,12)+1)</f>
        <v/>
      </c>
      <c r="E34" s="35">
        <f>IF($A34&gt;NYears*12,"",LotValue0*(1+LotGrowth)^($C34-1))</f>
        <v/>
      </c>
      <c r="F34" s="35">
        <f>IF($A34&gt;NYears*12,"",IF($A34=1,InitInvest,$R33))</f>
        <v/>
      </c>
      <c r="G34" s="33">
        <f>IF($A34&gt;NYears*12,"",INT($F34/$E34))</f>
        <v/>
      </c>
      <c r="H34" s="35">
        <f>IF($A34&gt;NYears*12,"",$G34*$E34)</f>
        <v/>
      </c>
      <c r="I34" s="35">
        <f>IF($A34&gt;NYears*12,"",$F34-$H34)</f>
        <v/>
      </c>
      <c r="J34" s="35">
        <f>IF($A34&gt;NYears*12,"",$H34*RateC)</f>
        <v/>
      </c>
      <c r="K34" s="35">
        <f>IF($A34&gt;NYears*12,"",IF($D34=1,$J34,$K33+$J34))</f>
        <v/>
      </c>
      <c r="L34" s="35">
        <f>IF($A34&gt;NYears*12,"",IF(MOD($D34,3)=0,SUM($J32:$J34),0))</f>
        <v/>
      </c>
      <c r="M34" s="35">
        <f>IF($A34&gt;NYears*12,"",IF(TaxFreq="Quarterly",$K34*12/$D34,$K34))</f>
        <v/>
      </c>
      <c r="N34" s="36">
        <f>IF($A34&gt;NYears*12,"",LOOKUP($M34,TaxLower,TaxRate))</f>
        <v/>
      </c>
      <c r="O34" s="35">
        <f>IF($A34&gt;NYears*12,"",IF(TaxFreq="Quarterly",IF(MOD($D34,3)=0,$L34*$N34,0),IF($D34=12,$K34*$N34,0)))</f>
        <v/>
      </c>
      <c r="P34" s="35">
        <f>IF($A34&gt;NYears*12,"",IF($D34=1,$O34,$P33+$O34))</f>
        <v/>
      </c>
      <c r="Q34" s="35">
        <f>IF($A34&gt;NYears*12,"",IF($D34=12,MIN(WdrPct*IF(WdrBase="Post-tax profit",$K34-$P34,$K34),WdrCap),0))</f>
        <v/>
      </c>
      <c r="R34" s="35">
        <f>IF($A34&gt;NYears*12,"",$F34+$J34-$O34-$Q34)</f>
        <v/>
      </c>
      <c r="S34" s="33">
        <f>IF($A34&gt;NYears*12,"",INT($R34/$E34))</f>
        <v/>
      </c>
    </row>
    <row r="35">
      <c r="A35" s="33">
        <f>31</f>
        <v/>
      </c>
      <c r="B35" s="34">
        <f>IF($A35&gt;NYears*12,"",EDATE(StartMonth,$A35-1))</f>
        <v/>
      </c>
      <c r="C35" s="33">
        <f>IF($A35&gt;NYears*12,"",INT(($A35-1)/12)+1)</f>
        <v/>
      </c>
      <c r="D35" s="33">
        <f>IF($A35&gt;NYears*12,"",MOD($A35-1,12)+1)</f>
        <v/>
      </c>
      <c r="E35" s="35">
        <f>IF($A35&gt;NYears*12,"",LotValue0*(1+LotGrowth)^($C35-1))</f>
        <v/>
      </c>
      <c r="F35" s="35">
        <f>IF($A35&gt;NYears*12,"",IF($A35=1,InitInvest,$R34))</f>
        <v/>
      </c>
      <c r="G35" s="33">
        <f>IF($A35&gt;NYears*12,"",INT($F35/$E35))</f>
        <v/>
      </c>
      <c r="H35" s="35">
        <f>IF($A35&gt;NYears*12,"",$G35*$E35)</f>
        <v/>
      </c>
      <c r="I35" s="35">
        <f>IF($A35&gt;NYears*12,"",$F35-$H35)</f>
        <v/>
      </c>
      <c r="J35" s="35">
        <f>IF($A35&gt;NYears*12,"",$H35*RateC)</f>
        <v/>
      </c>
      <c r="K35" s="35">
        <f>IF($A35&gt;NYears*12,"",IF($D35=1,$J35,$K34+$J35))</f>
        <v/>
      </c>
      <c r="L35" s="35">
        <f>IF($A35&gt;NYears*12,"",IF(MOD($D35,3)=0,SUM($J33:$J35),0))</f>
        <v/>
      </c>
      <c r="M35" s="35">
        <f>IF($A35&gt;NYears*12,"",IF(TaxFreq="Quarterly",$K35*12/$D35,$K35))</f>
        <v/>
      </c>
      <c r="N35" s="36">
        <f>IF($A35&gt;NYears*12,"",LOOKUP($M35,TaxLower,TaxRate))</f>
        <v/>
      </c>
      <c r="O35" s="35">
        <f>IF($A35&gt;NYears*12,"",IF(TaxFreq="Quarterly",IF(MOD($D35,3)=0,$L35*$N35,0),IF($D35=12,$K35*$N35,0)))</f>
        <v/>
      </c>
      <c r="P35" s="35">
        <f>IF($A35&gt;NYears*12,"",IF($D35=1,$O35,$P34+$O35))</f>
        <v/>
      </c>
      <c r="Q35" s="35">
        <f>IF($A35&gt;NYears*12,"",IF($D35=12,MIN(WdrPct*IF(WdrBase="Post-tax profit",$K35-$P35,$K35),WdrCap),0))</f>
        <v/>
      </c>
      <c r="R35" s="35">
        <f>IF($A35&gt;NYears*12,"",$F35+$J35-$O35-$Q35)</f>
        <v/>
      </c>
      <c r="S35" s="33">
        <f>IF($A35&gt;NYears*12,"",INT($R35/$E35))</f>
        <v/>
      </c>
    </row>
    <row r="36">
      <c r="A36" s="33">
        <f>32</f>
        <v/>
      </c>
      <c r="B36" s="34">
        <f>IF($A36&gt;NYears*12,"",EDATE(StartMonth,$A36-1))</f>
        <v/>
      </c>
      <c r="C36" s="33">
        <f>IF($A36&gt;NYears*12,"",INT(($A36-1)/12)+1)</f>
        <v/>
      </c>
      <c r="D36" s="33">
        <f>IF($A36&gt;NYears*12,"",MOD($A36-1,12)+1)</f>
        <v/>
      </c>
      <c r="E36" s="35">
        <f>IF($A36&gt;NYears*12,"",LotValue0*(1+LotGrowth)^($C36-1))</f>
        <v/>
      </c>
      <c r="F36" s="35">
        <f>IF($A36&gt;NYears*12,"",IF($A36=1,InitInvest,$R35))</f>
        <v/>
      </c>
      <c r="G36" s="33">
        <f>IF($A36&gt;NYears*12,"",INT($F36/$E36))</f>
        <v/>
      </c>
      <c r="H36" s="35">
        <f>IF($A36&gt;NYears*12,"",$G36*$E36)</f>
        <v/>
      </c>
      <c r="I36" s="35">
        <f>IF($A36&gt;NYears*12,"",$F36-$H36)</f>
        <v/>
      </c>
      <c r="J36" s="35">
        <f>IF($A36&gt;NYears*12,"",$H36*RateC)</f>
        <v/>
      </c>
      <c r="K36" s="35">
        <f>IF($A36&gt;NYears*12,"",IF($D36=1,$J36,$K35+$J36))</f>
        <v/>
      </c>
      <c r="L36" s="35">
        <f>IF($A36&gt;NYears*12,"",IF(MOD($D36,3)=0,SUM($J34:$J36),0))</f>
        <v/>
      </c>
      <c r="M36" s="35">
        <f>IF($A36&gt;NYears*12,"",IF(TaxFreq="Quarterly",$K36*12/$D36,$K36))</f>
        <v/>
      </c>
      <c r="N36" s="36">
        <f>IF($A36&gt;NYears*12,"",LOOKUP($M36,TaxLower,TaxRate))</f>
        <v/>
      </c>
      <c r="O36" s="35">
        <f>IF($A36&gt;NYears*12,"",IF(TaxFreq="Quarterly",IF(MOD($D36,3)=0,$L36*$N36,0),IF($D36=12,$K36*$N36,0)))</f>
        <v/>
      </c>
      <c r="P36" s="35">
        <f>IF($A36&gt;NYears*12,"",IF($D36=1,$O36,$P35+$O36))</f>
        <v/>
      </c>
      <c r="Q36" s="35">
        <f>IF($A36&gt;NYears*12,"",IF($D36=12,MIN(WdrPct*IF(WdrBase="Post-tax profit",$K36-$P36,$K36),WdrCap),0))</f>
        <v/>
      </c>
      <c r="R36" s="35">
        <f>IF($A36&gt;NYears*12,"",$F36+$J36-$O36-$Q36)</f>
        <v/>
      </c>
      <c r="S36" s="33">
        <f>IF($A36&gt;NYears*12,"",INT($R36/$E36))</f>
        <v/>
      </c>
    </row>
    <row r="37">
      <c r="A37" s="33">
        <f>33</f>
        <v/>
      </c>
      <c r="B37" s="34">
        <f>IF($A37&gt;NYears*12,"",EDATE(StartMonth,$A37-1))</f>
        <v/>
      </c>
      <c r="C37" s="33">
        <f>IF($A37&gt;NYears*12,"",INT(($A37-1)/12)+1)</f>
        <v/>
      </c>
      <c r="D37" s="33">
        <f>IF($A37&gt;NYears*12,"",MOD($A37-1,12)+1)</f>
        <v/>
      </c>
      <c r="E37" s="35">
        <f>IF($A37&gt;NYears*12,"",LotValue0*(1+LotGrowth)^($C37-1))</f>
        <v/>
      </c>
      <c r="F37" s="35">
        <f>IF($A37&gt;NYears*12,"",IF($A37=1,InitInvest,$R36))</f>
        <v/>
      </c>
      <c r="G37" s="33">
        <f>IF($A37&gt;NYears*12,"",INT($F37/$E37))</f>
        <v/>
      </c>
      <c r="H37" s="35">
        <f>IF($A37&gt;NYears*12,"",$G37*$E37)</f>
        <v/>
      </c>
      <c r="I37" s="35">
        <f>IF($A37&gt;NYears*12,"",$F37-$H37)</f>
        <v/>
      </c>
      <c r="J37" s="35">
        <f>IF($A37&gt;NYears*12,"",$H37*RateC)</f>
        <v/>
      </c>
      <c r="K37" s="35">
        <f>IF($A37&gt;NYears*12,"",IF($D37=1,$J37,$K36+$J37))</f>
        <v/>
      </c>
      <c r="L37" s="35">
        <f>IF($A37&gt;NYears*12,"",IF(MOD($D37,3)=0,SUM($J35:$J37),0))</f>
        <v/>
      </c>
      <c r="M37" s="35">
        <f>IF($A37&gt;NYears*12,"",IF(TaxFreq="Quarterly",$K37*12/$D37,$K37))</f>
        <v/>
      </c>
      <c r="N37" s="36">
        <f>IF($A37&gt;NYears*12,"",LOOKUP($M37,TaxLower,TaxRate))</f>
        <v/>
      </c>
      <c r="O37" s="35">
        <f>IF($A37&gt;NYears*12,"",IF(TaxFreq="Quarterly",IF(MOD($D37,3)=0,$L37*$N37,0),IF($D37=12,$K37*$N37,0)))</f>
        <v/>
      </c>
      <c r="P37" s="35">
        <f>IF($A37&gt;NYears*12,"",IF($D37=1,$O37,$P36+$O37))</f>
        <v/>
      </c>
      <c r="Q37" s="35">
        <f>IF($A37&gt;NYears*12,"",IF($D37=12,MIN(WdrPct*IF(WdrBase="Post-tax profit",$K37-$P37,$K37),WdrCap),0))</f>
        <v/>
      </c>
      <c r="R37" s="35">
        <f>IF($A37&gt;NYears*12,"",$F37+$J37-$O37-$Q37)</f>
        <v/>
      </c>
      <c r="S37" s="33">
        <f>IF($A37&gt;NYears*12,"",INT($R37/$E37))</f>
        <v/>
      </c>
    </row>
    <row r="38">
      <c r="A38" s="33">
        <f>34</f>
        <v/>
      </c>
      <c r="B38" s="34">
        <f>IF($A38&gt;NYears*12,"",EDATE(StartMonth,$A38-1))</f>
        <v/>
      </c>
      <c r="C38" s="33">
        <f>IF($A38&gt;NYears*12,"",INT(($A38-1)/12)+1)</f>
        <v/>
      </c>
      <c r="D38" s="33">
        <f>IF($A38&gt;NYears*12,"",MOD($A38-1,12)+1)</f>
        <v/>
      </c>
      <c r="E38" s="35">
        <f>IF($A38&gt;NYears*12,"",LotValue0*(1+LotGrowth)^($C38-1))</f>
        <v/>
      </c>
      <c r="F38" s="35">
        <f>IF($A38&gt;NYears*12,"",IF($A38=1,InitInvest,$R37))</f>
        <v/>
      </c>
      <c r="G38" s="33">
        <f>IF($A38&gt;NYears*12,"",INT($F38/$E38))</f>
        <v/>
      </c>
      <c r="H38" s="35">
        <f>IF($A38&gt;NYears*12,"",$G38*$E38)</f>
        <v/>
      </c>
      <c r="I38" s="35">
        <f>IF($A38&gt;NYears*12,"",$F38-$H38)</f>
        <v/>
      </c>
      <c r="J38" s="35">
        <f>IF($A38&gt;NYears*12,"",$H38*RateC)</f>
        <v/>
      </c>
      <c r="K38" s="35">
        <f>IF($A38&gt;NYears*12,"",IF($D38=1,$J38,$K37+$J38))</f>
        <v/>
      </c>
      <c r="L38" s="35">
        <f>IF($A38&gt;NYears*12,"",IF(MOD($D38,3)=0,SUM($J36:$J38),0))</f>
        <v/>
      </c>
      <c r="M38" s="35">
        <f>IF($A38&gt;NYears*12,"",IF(TaxFreq="Quarterly",$K38*12/$D38,$K38))</f>
        <v/>
      </c>
      <c r="N38" s="36">
        <f>IF($A38&gt;NYears*12,"",LOOKUP($M38,TaxLower,TaxRate))</f>
        <v/>
      </c>
      <c r="O38" s="35">
        <f>IF($A38&gt;NYears*12,"",IF(TaxFreq="Quarterly",IF(MOD($D38,3)=0,$L38*$N38,0),IF($D38=12,$K38*$N38,0)))</f>
        <v/>
      </c>
      <c r="P38" s="35">
        <f>IF($A38&gt;NYears*12,"",IF($D38=1,$O38,$P37+$O38))</f>
        <v/>
      </c>
      <c r="Q38" s="35">
        <f>IF($A38&gt;NYears*12,"",IF($D38=12,MIN(WdrPct*IF(WdrBase="Post-tax profit",$K38-$P38,$K38),WdrCap),0))</f>
        <v/>
      </c>
      <c r="R38" s="35">
        <f>IF($A38&gt;NYears*12,"",$F38+$J38-$O38-$Q38)</f>
        <v/>
      </c>
      <c r="S38" s="33">
        <f>IF($A38&gt;NYears*12,"",INT($R38/$E38))</f>
        <v/>
      </c>
    </row>
    <row r="39">
      <c r="A39" s="33">
        <f>35</f>
        <v/>
      </c>
      <c r="B39" s="34">
        <f>IF($A39&gt;NYears*12,"",EDATE(StartMonth,$A39-1))</f>
        <v/>
      </c>
      <c r="C39" s="33">
        <f>IF($A39&gt;NYears*12,"",INT(($A39-1)/12)+1)</f>
        <v/>
      </c>
      <c r="D39" s="33">
        <f>IF($A39&gt;NYears*12,"",MOD($A39-1,12)+1)</f>
        <v/>
      </c>
      <c r="E39" s="35">
        <f>IF($A39&gt;NYears*12,"",LotValue0*(1+LotGrowth)^($C39-1))</f>
        <v/>
      </c>
      <c r="F39" s="35">
        <f>IF($A39&gt;NYears*12,"",IF($A39=1,InitInvest,$R38))</f>
        <v/>
      </c>
      <c r="G39" s="33">
        <f>IF($A39&gt;NYears*12,"",INT($F39/$E39))</f>
        <v/>
      </c>
      <c r="H39" s="35">
        <f>IF($A39&gt;NYears*12,"",$G39*$E39)</f>
        <v/>
      </c>
      <c r="I39" s="35">
        <f>IF($A39&gt;NYears*12,"",$F39-$H39)</f>
        <v/>
      </c>
      <c r="J39" s="35">
        <f>IF($A39&gt;NYears*12,"",$H39*RateC)</f>
        <v/>
      </c>
      <c r="K39" s="35">
        <f>IF($A39&gt;NYears*12,"",IF($D39=1,$J39,$K38+$J39))</f>
        <v/>
      </c>
      <c r="L39" s="35">
        <f>IF($A39&gt;NYears*12,"",IF(MOD($D39,3)=0,SUM($J37:$J39),0))</f>
        <v/>
      </c>
      <c r="M39" s="35">
        <f>IF($A39&gt;NYears*12,"",IF(TaxFreq="Quarterly",$K39*12/$D39,$K39))</f>
        <v/>
      </c>
      <c r="N39" s="36">
        <f>IF($A39&gt;NYears*12,"",LOOKUP($M39,TaxLower,TaxRate))</f>
        <v/>
      </c>
      <c r="O39" s="35">
        <f>IF($A39&gt;NYears*12,"",IF(TaxFreq="Quarterly",IF(MOD($D39,3)=0,$L39*$N39,0),IF($D39=12,$K39*$N39,0)))</f>
        <v/>
      </c>
      <c r="P39" s="35">
        <f>IF($A39&gt;NYears*12,"",IF($D39=1,$O39,$P38+$O39))</f>
        <v/>
      </c>
      <c r="Q39" s="35">
        <f>IF($A39&gt;NYears*12,"",IF($D39=12,MIN(WdrPct*IF(WdrBase="Post-tax profit",$K39-$P39,$K39),WdrCap),0))</f>
        <v/>
      </c>
      <c r="R39" s="35">
        <f>IF($A39&gt;NYears*12,"",$F39+$J39-$O39-$Q39)</f>
        <v/>
      </c>
      <c r="S39" s="33">
        <f>IF($A39&gt;NYears*12,"",INT($R39/$E39))</f>
        <v/>
      </c>
    </row>
    <row r="40">
      <c r="A40" s="37">
        <f>36</f>
        <v/>
      </c>
      <c r="B40" s="38">
        <f>IF($A40&gt;NYears*12,"",EDATE(StartMonth,$A40-1))</f>
        <v/>
      </c>
      <c r="C40" s="37">
        <f>IF($A40&gt;NYears*12,"",INT(($A40-1)/12)+1)</f>
        <v/>
      </c>
      <c r="D40" s="37">
        <f>IF($A40&gt;NYears*12,"",MOD($A40-1,12)+1)</f>
        <v/>
      </c>
      <c r="E40" s="39">
        <f>IF($A40&gt;NYears*12,"",LotValue0*(1+LotGrowth)^($C40-1))</f>
        <v/>
      </c>
      <c r="F40" s="39">
        <f>IF($A40&gt;NYears*12,"",IF($A40=1,InitInvest,$R39))</f>
        <v/>
      </c>
      <c r="G40" s="37">
        <f>IF($A40&gt;NYears*12,"",INT($F40/$E40))</f>
        <v/>
      </c>
      <c r="H40" s="39">
        <f>IF($A40&gt;NYears*12,"",$G40*$E40)</f>
        <v/>
      </c>
      <c r="I40" s="39">
        <f>IF($A40&gt;NYears*12,"",$F40-$H40)</f>
        <v/>
      </c>
      <c r="J40" s="39">
        <f>IF($A40&gt;NYears*12,"",$H40*RateC)</f>
        <v/>
      </c>
      <c r="K40" s="39">
        <f>IF($A40&gt;NYears*12,"",IF($D40=1,$J40,$K39+$J40))</f>
        <v/>
      </c>
      <c r="L40" s="39">
        <f>IF($A40&gt;NYears*12,"",IF(MOD($D40,3)=0,SUM($J38:$J40),0))</f>
        <v/>
      </c>
      <c r="M40" s="39">
        <f>IF($A40&gt;NYears*12,"",IF(TaxFreq="Quarterly",$K40*12/$D40,$K40))</f>
        <v/>
      </c>
      <c r="N40" s="40">
        <f>IF($A40&gt;NYears*12,"",LOOKUP($M40,TaxLower,TaxRate))</f>
        <v/>
      </c>
      <c r="O40" s="39">
        <f>IF($A40&gt;NYears*12,"",IF(TaxFreq="Quarterly",IF(MOD($D40,3)=0,$L40*$N40,0),IF($D40=12,$K40*$N40,0)))</f>
        <v/>
      </c>
      <c r="P40" s="39">
        <f>IF($A40&gt;NYears*12,"",IF($D40=1,$O40,$P39+$O40))</f>
        <v/>
      </c>
      <c r="Q40" s="39">
        <f>IF($A40&gt;NYears*12,"",IF($D40=12,MIN(WdrPct*IF(WdrBase="Post-tax profit",$K40-$P40,$K40),WdrCap),0))</f>
        <v/>
      </c>
      <c r="R40" s="39">
        <f>IF($A40&gt;NYears*12,"",$F40+$J40-$O40-$Q40)</f>
        <v/>
      </c>
      <c r="S40" s="37">
        <f>IF($A40&gt;NYears*12,"",INT($R40/$E40))</f>
        <v/>
      </c>
    </row>
    <row r="41">
      <c r="A41" s="33">
        <f>37</f>
        <v/>
      </c>
      <c r="B41" s="34">
        <f>IF($A41&gt;NYears*12,"",EDATE(StartMonth,$A41-1))</f>
        <v/>
      </c>
      <c r="C41" s="33">
        <f>IF($A41&gt;NYears*12,"",INT(($A41-1)/12)+1)</f>
        <v/>
      </c>
      <c r="D41" s="33">
        <f>IF($A41&gt;NYears*12,"",MOD($A41-1,12)+1)</f>
        <v/>
      </c>
      <c r="E41" s="35">
        <f>IF($A41&gt;NYears*12,"",LotValue0*(1+LotGrowth)^($C41-1))</f>
        <v/>
      </c>
      <c r="F41" s="35">
        <f>IF($A41&gt;NYears*12,"",IF($A41=1,InitInvest,$R40))</f>
        <v/>
      </c>
      <c r="G41" s="33">
        <f>IF($A41&gt;NYears*12,"",INT($F41/$E41))</f>
        <v/>
      </c>
      <c r="H41" s="35">
        <f>IF($A41&gt;NYears*12,"",$G41*$E41)</f>
        <v/>
      </c>
      <c r="I41" s="35">
        <f>IF($A41&gt;NYears*12,"",$F41-$H41)</f>
        <v/>
      </c>
      <c r="J41" s="35">
        <f>IF($A41&gt;NYears*12,"",$H41*RateC)</f>
        <v/>
      </c>
      <c r="K41" s="35">
        <f>IF($A41&gt;NYears*12,"",IF($D41=1,$J41,$K40+$J41))</f>
        <v/>
      </c>
      <c r="L41" s="35">
        <f>IF($A41&gt;NYears*12,"",IF(MOD($D41,3)=0,SUM($J39:$J41),0))</f>
        <v/>
      </c>
      <c r="M41" s="35">
        <f>IF($A41&gt;NYears*12,"",IF(TaxFreq="Quarterly",$K41*12/$D41,$K41))</f>
        <v/>
      </c>
      <c r="N41" s="36">
        <f>IF($A41&gt;NYears*12,"",LOOKUP($M41,TaxLower,TaxRate))</f>
        <v/>
      </c>
      <c r="O41" s="35">
        <f>IF($A41&gt;NYears*12,"",IF(TaxFreq="Quarterly",IF(MOD($D41,3)=0,$L41*$N41,0),IF($D41=12,$K41*$N41,0)))</f>
        <v/>
      </c>
      <c r="P41" s="35">
        <f>IF($A41&gt;NYears*12,"",IF($D41=1,$O41,$P40+$O41))</f>
        <v/>
      </c>
      <c r="Q41" s="35">
        <f>IF($A41&gt;NYears*12,"",IF($D41=12,MIN(WdrPct*IF(WdrBase="Post-tax profit",$K41-$P41,$K41),WdrCap),0))</f>
        <v/>
      </c>
      <c r="R41" s="35">
        <f>IF($A41&gt;NYears*12,"",$F41+$J41-$O41-$Q41)</f>
        <v/>
      </c>
      <c r="S41" s="33">
        <f>IF($A41&gt;NYears*12,"",INT($R41/$E41))</f>
        <v/>
      </c>
    </row>
    <row r="42">
      <c r="A42" s="33">
        <f>38</f>
        <v/>
      </c>
      <c r="B42" s="34">
        <f>IF($A42&gt;NYears*12,"",EDATE(StartMonth,$A42-1))</f>
        <v/>
      </c>
      <c r="C42" s="33">
        <f>IF($A42&gt;NYears*12,"",INT(($A42-1)/12)+1)</f>
        <v/>
      </c>
      <c r="D42" s="33">
        <f>IF($A42&gt;NYears*12,"",MOD($A42-1,12)+1)</f>
        <v/>
      </c>
      <c r="E42" s="35">
        <f>IF($A42&gt;NYears*12,"",LotValue0*(1+LotGrowth)^($C42-1))</f>
        <v/>
      </c>
      <c r="F42" s="35">
        <f>IF($A42&gt;NYears*12,"",IF($A42=1,InitInvest,$R41))</f>
        <v/>
      </c>
      <c r="G42" s="33">
        <f>IF($A42&gt;NYears*12,"",INT($F42/$E42))</f>
        <v/>
      </c>
      <c r="H42" s="35">
        <f>IF($A42&gt;NYears*12,"",$G42*$E42)</f>
        <v/>
      </c>
      <c r="I42" s="35">
        <f>IF($A42&gt;NYears*12,"",$F42-$H42)</f>
        <v/>
      </c>
      <c r="J42" s="35">
        <f>IF($A42&gt;NYears*12,"",$H42*RateC)</f>
        <v/>
      </c>
      <c r="K42" s="35">
        <f>IF($A42&gt;NYears*12,"",IF($D42=1,$J42,$K41+$J42))</f>
        <v/>
      </c>
      <c r="L42" s="35">
        <f>IF($A42&gt;NYears*12,"",IF(MOD($D42,3)=0,SUM($J40:$J42),0))</f>
        <v/>
      </c>
      <c r="M42" s="35">
        <f>IF($A42&gt;NYears*12,"",IF(TaxFreq="Quarterly",$K42*12/$D42,$K42))</f>
        <v/>
      </c>
      <c r="N42" s="36">
        <f>IF($A42&gt;NYears*12,"",LOOKUP($M42,TaxLower,TaxRate))</f>
        <v/>
      </c>
      <c r="O42" s="35">
        <f>IF($A42&gt;NYears*12,"",IF(TaxFreq="Quarterly",IF(MOD($D42,3)=0,$L42*$N42,0),IF($D42=12,$K42*$N42,0)))</f>
        <v/>
      </c>
      <c r="P42" s="35">
        <f>IF($A42&gt;NYears*12,"",IF($D42=1,$O42,$P41+$O42))</f>
        <v/>
      </c>
      <c r="Q42" s="35">
        <f>IF($A42&gt;NYears*12,"",IF($D42=12,MIN(WdrPct*IF(WdrBase="Post-tax profit",$K42-$P42,$K42),WdrCap),0))</f>
        <v/>
      </c>
      <c r="R42" s="35">
        <f>IF($A42&gt;NYears*12,"",$F42+$J42-$O42-$Q42)</f>
        <v/>
      </c>
      <c r="S42" s="33">
        <f>IF($A42&gt;NYears*12,"",INT($R42/$E42))</f>
        <v/>
      </c>
    </row>
    <row r="43">
      <c r="A43" s="33">
        <f>39</f>
        <v/>
      </c>
      <c r="B43" s="34">
        <f>IF($A43&gt;NYears*12,"",EDATE(StartMonth,$A43-1))</f>
        <v/>
      </c>
      <c r="C43" s="33">
        <f>IF($A43&gt;NYears*12,"",INT(($A43-1)/12)+1)</f>
        <v/>
      </c>
      <c r="D43" s="33">
        <f>IF($A43&gt;NYears*12,"",MOD($A43-1,12)+1)</f>
        <v/>
      </c>
      <c r="E43" s="35">
        <f>IF($A43&gt;NYears*12,"",LotValue0*(1+LotGrowth)^($C43-1))</f>
        <v/>
      </c>
      <c r="F43" s="35">
        <f>IF($A43&gt;NYears*12,"",IF($A43=1,InitInvest,$R42))</f>
        <v/>
      </c>
      <c r="G43" s="33">
        <f>IF($A43&gt;NYears*12,"",INT($F43/$E43))</f>
        <v/>
      </c>
      <c r="H43" s="35">
        <f>IF($A43&gt;NYears*12,"",$G43*$E43)</f>
        <v/>
      </c>
      <c r="I43" s="35">
        <f>IF($A43&gt;NYears*12,"",$F43-$H43)</f>
        <v/>
      </c>
      <c r="J43" s="35">
        <f>IF($A43&gt;NYears*12,"",$H43*RateC)</f>
        <v/>
      </c>
      <c r="K43" s="35">
        <f>IF($A43&gt;NYears*12,"",IF($D43=1,$J43,$K42+$J43))</f>
        <v/>
      </c>
      <c r="L43" s="35">
        <f>IF($A43&gt;NYears*12,"",IF(MOD($D43,3)=0,SUM($J41:$J43),0))</f>
        <v/>
      </c>
      <c r="M43" s="35">
        <f>IF($A43&gt;NYears*12,"",IF(TaxFreq="Quarterly",$K43*12/$D43,$K43))</f>
        <v/>
      </c>
      <c r="N43" s="36">
        <f>IF($A43&gt;NYears*12,"",LOOKUP($M43,TaxLower,TaxRate))</f>
        <v/>
      </c>
      <c r="O43" s="35">
        <f>IF($A43&gt;NYears*12,"",IF(TaxFreq="Quarterly",IF(MOD($D43,3)=0,$L43*$N43,0),IF($D43=12,$K43*$N43,0)))</f>
        <v/>
      </c>
      <c r="P43" s="35">
        <f>IF($A43&gt;NYears*12,"",IF($D43=1,$O43,$P42+$O43))</f>
        <v/>
      </c>
      <c r="Q43" s="35">
        <f>IF($A43&gt;NYears*12,"",IF($D43=12,MIN(WdrPct*IF(WdrBase="Post-tax profit",$K43-$P43,$K43),WdrCap),0))</f>
        <v/>
      </c>
      <c r="R43" s="35">
        <f>IF($A43&gt;NYears*12,"",$F43+$J43-$O43-$Q43)</f>
        <v/>
      </c>
      <c r="S43" s="33">
        <f>IF($A43&gt;NYears*12,"",INT($R43/$E43))</f>
        <v/>
      </c>
    </row>
    <row r="44">
      <c r="A44" s="33">
        <f>40</f>
        <v/>
      </c>
      <c r="B44" s="34">
        <f>IF($A44&gt;NYears*12,"",EDATE(StartMonth,$A44-1))</f>
        <v/>
      </c>
      <c r="C44" s="33">
        <f>IF($A44&gt;NYears*12,"",INT(($A44-1)/12)+1)</f>
        <v/>
      </c>
      <c r="D44" s="33">
        <f>IF($A44&gt;NYears*12,"",MOD($A44-1,12)+1)</f>
        <v/>
      </c>
      <c r="E44" s="35">
        <f>IF($A44&gt;NYears*12,"",LotValue0*(1+LotGrowth)^($C44-1))</f>
        <v/>
      </c>
      <c r="F44" s="35">
        <f>IF($A44&gt;NYears*12,"",IF($A44=1,InitInvest,$R43))</f>
        <v/>
      </c>
      <c r="G44" s="33">
        <f>IF($A44&gt;NYears*12,"",INT($F44/$E44))</f>
        <v/>
      </c>
      <c r="H44" s="35">
        <f>IF($A44&gt;NYears*12,"",$G44*$E44)</f>
        <v/>
      </c>
      <c r="I44" s="35">
        <f>IF($A44&gt;NYears*12,"",$F44-$H44)</f>
        <v/>
      </c>
      <c r="J44" s="35">
        <f>IF($A44&gt;NYears*12,"",$H44*RateC)</f>
        <v/>
      </c>
      <c r="K44" s="35">
        <f>IF($A44&gt;NYears*12,"",IF($D44=1,$J44,$K43+$J44))</f>
        <v/>
      </c>
      <c r="L44" s="35">
        <f>IF($A44&gt;NYears*12,"",IF(MOD($D44,3)=0,SUM($J42:$J44),0))</f>
        <v/>
      </c>
      <c r="M44" s="35">
        <f>IF($A44&gt;NYears*12,"",IF(TaxFreq="Quarterly",$K44*12/$D44,$K44))</f>
        <v/>
      </c>
      <c r="N44" s="36">
        <f>IF($A44&gt;NYears*12,"",LOOKUP($M44,TaxLower,TaxRate))</f>
        <v/>
      </c>
      <c r="O44" s="35">
        <f>IF($A44&gt;NYears*12,"",IF(TaxFreq="Quarterly",IF(MOD($D44,3)=0,$L44*$N44,0),IF($D44=12,$K44*$N44,0)))</f>
        <v/>
      </c>
      <c r="P44" s="35">
        <f>IF($A44&gt;NYears*12,"",IF($D44=1,$O44,$P43+$O44))</f>
        <v/>
      </c>
      <c r="Q44" s="35">
        <f>IF($A44&gt;NYears*12,"",IF($D44=12,MIN(WdrPct*IF(WdrBase="Post-tax profit",$K44-$P44,$K44),WdrCap),0))</f>
        <v/>
      </c>
      <c r="R44" s="35">
        <f>IF($A44&gt;NYears*12,"",$F44+$J44-$O44-$Q44)</f>
        <v/>
      </c>
      <c r="S44" s="33">
        <f>IF($A44&gt;NYears*12,"",INT($R44/$E44))</f>
        <v/>
      </c>
    </row>
    <row r="45">
      <c r="A45" s="33">
        <f>41</f>
        <v/>
      </c>
      <c r="B45" s="34">
        <f>IF($A45&gt;NYears*12,"",EDATE(StartMonth,$A45-1))</f>
        <v/>
      </c>
      <c r="C45" s="33">
        <f>IF($A45&gt;NYears*12,"",INT(($A45-1)/12)+1)</f>
        <v/>
      </c>
      <c r="D45" s="33">
        <f>IF($A45&gt;NYears*12,"",MOD($A45-1,12)+1)</f>
        <v/>
      </c>
      <c r="E45" s="35">
        <f>IF($A45&gt;NYears*12,"",LotValue0*(1+LotGrowth)^($C45-1))</f>
        <v/>
      </c>
      <c r="F45" s="35">
        <f>IF($A45&gt;NYears*12,"",IF($A45=1,InitInvest,$R44))</f>
        <v/>
      </c>
      <c r="G45" s="33">
        <f>IF($A45&gt;NYears*12,"",INT($F45/$E45))</f>
        <v/>
      </c>
      <c r="H45" s="35">
        <f>IF($A45&gt;NYears*12,"",$G45*$E45)</f>
        <v/>
      </c>
      <c r="I45" s="35">
        <f>IF($A45&gt;NYears*12,"",$F45-$H45)</f>
        <v/>
      </c>
      <c r="J45" s="35">
        <f>IF($A45&gt;NYears*12,"",$H45*RateC)</f>
        <v/>
      </c>
      <c r="K45" s="35">
        <f>IF($A45&gt;NYears*12,"",IF($D45=1,$J45,$K44+$J45))</f>
        <v/>
      </c>
      <c r="L45" s="35">
        <f>IF($A45&gt;NYears*12,"",IF(MOD($D45,3)=0,SUM($J43:$J45),0))</f>
        <v/>
      </c>
      <c r="M45" s="35">
        <f>IF($A45&gt;NYears*12,"",IF(TaxFreq="Quarterly",$K45*12/$D45,$K45))</f>
        <v/>
      </c>
      <c r="N45" s="36">
        <f>IF($A45&gt;NYears*12,"",LOOKUP($M45,TaxLower,TaxRate))</f>
        <v/>
      </c>
      <c r="O45" s="35">
        <f>IF($A45&gt;NYears*12,"",IF(TaxFreq="Quarterly",IF(MOD($D45,3)=0,$L45*$N45,0),IF($D45=12,$K45*$N45,0)))</f>
        <v/>
      </c>
      <c r="P45" s="35">
        <f>IF($A45&gt;NYears*12,"",IF($D45=1,$O45,$P44+$O45))</f>
        <v/>
      </c>
      <c r="Q45" s="35">
        <f>IF($A45&gt;NYears*12,"",IF($D45=12,MIN(WdrPct*IF(WdrBase="Post-tax profit",$K45-$P45,$K45),WdrCap),0))</f>
        <v/>
      </c>
      <c r="R45" s="35">
        <f>IF($A45&gt;NYears*12,"",$F45+$J45-$O45-$Q45)</f>
        <v/>
      </c>
      <c r="S45" s="33">
        <f>IF($A45&gt;NYears*12,"",INT($R45/$E45))</f>
        <v/>
      </c>
    </row>
    <row r="46">
      <c r="A46" s="33">
        <f>42</f>
        <v/>
      </c>
      <c r="B46" s="34">
        <f>IF($A46&gt;NYears*12,"",EDATE(StartMonth,$A46-1))</f>
        <v/>
      </c>
      <c r="C46" s="33">
        <f>IF($A46&gt;NYears*12,"",INT(($A46-1)/12)+1)</f>
        <v/>
      </c>
      <c r="D46" s="33">
        <f>IF($A46&gt;NYears*12,"",MOD($A46-1,12)+1)</f>
        <v/>
      </c>
      <c r="E46" s="35">
        <f>IF($A46&gt;NYears*12,"",LotValue0*(1+LotGrowth)^($C46-1))</f>
        <v/>
      </c>
      <c r="F46" s="35">
        <f>IF($A46&gt;NYears*12,"",IF($A46=1,InitInvest,$R45))</f>
        <v/>
      </c>
      <c r="G46" s="33">
        <f>IF($A46&gt;NYears*12,"",INT($F46/$E46))</f>
        <v/>
      </c>
      <c r="H46" s="35">
        <f>IF($A46&gt;NYears*12,"",$G46*$E46)</f>
        <v/>
      </c>
      <c r="I46" s="35">
        <f>IF($A46&gt;NYears*12,"",$F46-$H46)</f>
        <v/>
      </c>
      <c r="J46" s="35">
        <f>IF($A46&gt;NYears*12,"",$H46*RateC)</f>
        <v/>
      </c>
      <c r="K46" s="35">
        <f>IF($A46&gt;NYears*12,"",IF($D46=1,$J46,$K45+$J46))</f>
        <v/>
      </c>
      <c r="L46" s="35">
        <f>IF($A46&gt;NYears*12,"",IF(MOD($D46,3)=0,SUM($J44:$J46),0))</f>
        <v/>
      </c>
      <c r="M46" s="35">
        <f>IF($A46&gt;NYears*12,"",IF(TaxFreq="Quarterly",$K46*12/$D46,$K46))</f>
        <v/>
      </c>
      <c r="N46" s="36">
        <f>IF($A46&gt;NYears*12,"",LOOKUP($M46,TaxLower,TaxRate))</f>
        <v/>
      </c>
      <c r="O46" s="35">
        <f>IF($A46&gt;NYears*12,"",IF(TaxFreq="Quarterly",IF(MOD($D46,3)=0,$L46*$N46,0),IF($D46=12,$K46*$N46,0)))</f>
        <v/>
      </c>
      <c r="P46" s="35">
        <f>IF($A46&gt;NYears*12,"",IF($D46=1,$O46,$P45+$O46))</f>
        <v/>
      </c>
      <c r="Q46" s="35">
        <f>IF($A46&gt;NYears*12,"",IF($D46=12,MIN(WdrPct*IF(WdrBase="Post-tax profit",$K46-$P46,$K46),WdrCap),0))</f>
        <v/>
      </c>
      <c r="R46" s="35">
        <f>IF($A46&gt;NYears*12,"",$F46+$J46-$O46-$Q46)</f>
        <v/>
      </c>
      <c r="S46" s="33">
        <f>IF($A46&gt;NYears*12,"",INT($R46/$E46))</f>
        <v/>
      </c>
    </row>
    <row r="47">
      <c r="A47" s="33">
        <f>43</f>
        <v/>
      </c>
      <c r="B47" s="34">
        <f>IF($A47&gt;NYears*12,"",EDATE(StartMonth,$A47-1))</f>
        <v/>
      </c>
      <c r="C47" s="33">
        <f>IF($A47&gt;NYears*12,"",INT(($A47-1)/12)+1)</f>
        <v/>
      </c>
      <c r="D47" s="33">
        <f>IF($A47&gt;NYears*12,"",MOD($A47-1,12)+1)</f>
        <v/>
      </c>
      <c r="E47" s="35">
        <f>IF($A47&gt;NYears*12,"",LotValue0*(1+LotGrowth)^($C47-1))</f>
        <v/>
      </c>
      <c r="F47" s="35">
        <f>IF($A47&gt;NYears*12,"",IF($A47=1,InitInvest,$R46))</f>
        <v/>
      </c>
      <c r="G47" s="33">
        <f>IF($A47&gt;NYears*12,"",INT($F47/$E47))</f>
        <v/>
      </c>
      <c r="H47" s="35">
        <f>IF($A47&gt;NYears*12,"",$G47*$E47)</f>
        <v/>
      </c>
      <c r="I47" s="35">
        <f>IF($A47&gt;NYears*12,"",$F47-$H47)</f>
        <v/>
      </c>
      <c r="J47" s="35">
        <f>IF($A47&gt;NYears*12,"",$H47*RateC)</f>
        <v/>
      </c>
      <c r="K47" s="35">
        <f>IF($A47&gt;NYears*12,"",IF($D47=1,$J47,$K46+$J47))</f>
        <v/>
      </c>
      <c r="L47" s="35">
        <f>IF($A47&gt;NYears*12,"",IF(MOD($D47,3)=0,SUM($J45:$J47),0))</f>
        <v/>
      </c>
      <c r="M47" s="35">
        <f>IF($A47&gt;NYears*12,"",IF(TaxFreq="Quarterly",$K47*12/$D47,$K47))</f>
        <v/>
      </c>
      <c r="N47" s="36">
        <f>IF($A47&gt;NYears*12,"",LOOKUP($M47,TaxLower,TaxRate))</f>
        <v/>
      </c>
      <c r="O47" s="35">
        <f>IF($A47&gt;NYears*12,"",IF(TaxFreq="Quarterly",IF(MOD($D47,3)=0,$L47*$N47,0),IF($D47=12,$K47*$N47,0)))</f>
        <v/>
      </c>
      <c r="P47" s="35">
        <f>IF($A47&gt;NYears*12,"",IF($D47=1,$O47,$P46+$O47))</f>
        <v/>
      </c>
      <c r="Q47" s="35">
        <f>IF($A47&gt;NYears*12,"",IF($D47=12,MIN(WdrPct*IF(WdrBase="Post-tax profit",$K47-$P47,$K47),WdrCap),0))</f>
        <v/>
      </c>
      <c r="R47" s="35">
        <f>IF($A47&gt;NYears*12,"",$F47+$J47-$O47-$Q47)</f>
        <v/>
      </c>
      <c r="S47" s="33">
        <f>IF($A47&gt;NYears*12,"",INT($R47/$E47))</f>
        <v/>
      </c>
    </row>
    <row r="48">
      <c r="A48" s="33">
        <f>44</f>
        <v/>
      </c>
      <c r="B48" s="34">
        <f>IF($A48&gt;NYears*12,"",EDATE(StartMonth,$A48-1))</f>
        <v/>
      </c>
      <c r="C48" s="33">
        <f>IF($A48&gt;NYears*12,"",INT(($A48-1)/12)+1)</f>
        <v/>
      </c>
      <c r="D48" s="33">
        <f>IF($A48&gt;NYears*12,"",MOD($A48-1,12)+1)</f>
        <v/>
      </c>
      <c r="E48" s="35">
        <f>IF($A48&gt;NYears*12,"",LotValue0*(1+LotGrowth)^($C48-1))</f>
        <v/>
      </c>
      <c r="F48" s="35">
        <f>IF($A48&gt;NYears*12,"",IF($A48=1,InitInvest,$R47))</f>
        <v/>
      </c>
      <c r="G48" s="33">
        <f>IF($A48&gt;NYears*12,"",INT($F48/$E48))</f>
        <v/>
      </c>
      <c r="H48" s="35">
        <f>IF($A48&gt;NYears*12,"",$G48*$E48)</f>
        <v/>
      </c>
      <c r="I48" s="35">
        <f>IF($A48&gt;NYears*12,"",$F48-$H48)</f>
        <v/>
      </c>
      <c r="J48" s="35">
        <f>IF($A48&gt;NYears*12,"",$H48*RateC)</f>
        <v/>
      </c>
      <c r="K48" s="35">
        <f>IF($A48&gt;NYears*12,"",IF($D48=1,$J48,$K47+$J48))</f>
        <v/>
      </c>
      <c r="L48" s="35">
        <f>IF($A48&gt;NYears*12,"",IF(MOD($D48,3)=0,SUM($J46:$J48),0))</f>
        <v/>
      </c>
      <c r="M48" s="35">
        <f>IF($A48&gt;NYears*12,"",IF(TaxFreq="Quarterly",$K48*12/$D48,$K48))</f>
        <v/>
      </c>
      <c r="N48" s="36">
        <f>IF($A48&gt;NYears*12,"",LOOKUP($M48,TaxLower,TaxRate))</f>
        <v/>
      </c>
      <c r="O48" s="35">
        <f>IF($A48&gt;NYears*12,"",IF(TaxFreq="Quarterly",IF(MOD($D48,3)=0,$L48*$N48,0),IF($D48=12,$K48*$N48,0)))</f>
        <v/>
      </c>
      <c r="P48" s="35">
        <f>IF($A48&gt;NYears*12,"",IF($D48=1,$O48,$P47+$O48))</f>
        <v/>
      </c>
      <c r="Q48" s="35">
        <f>IF($A48&gt;NYears*12,"",IF($D48=12,MIN(WdrPct*IF(WdrBase="Post-tax profit",$K48-$P48,$K48),WdrCap),0))</f>
        <v/>
      </c>
      <c r="R48" s="35">
        <f>IF($A48&gt;NYears*12,"",$F48+$J48-$O48-$Q48)</f>
        <v/>
      </c>
      <c r="S48" s="33">
        <f>IF($A48&gt;NYears*12,"",INT($R48/$E48))</f>
        <v/>
      </c>
    </row>
    <row r="49">
      <c r="A49" s="33">
        <f>45</f>
        <v/>
      </c>
      <c r="B49" s="34">
        <f>IF($A49&gt;NYears*12,"",EDATE(StartMonth,$A49-1))</f>
        <v/>
      </c>
      <c r="C49" s="33">
        <f>IF($A49&gt;NYears*12,"",INT(($A49-1)/12)+1)</f>
        <v/>
      </c>
      <c r="D49" s="33">
        <f>IF($A49&gt;NYears*12,"",MOD($A49-1,12)+1)</f>
        <v/>
      </c>
      <c r="E49" s="35">
        <f>IF($A49&gt;NYears*12,"",LotValue0*(1+LotGrowth)^($C49-1))</f>
        <v/>
      </c>
      <c r="F49" s="35">
        <f>IF($A49&gt;NYears*12,"",IF($A49=1,InitInvest,$R48))</f>
        <v/>
      </c>
      <c r="G49" s="33">
        <f>IF($A49&gt;NYears*12,"",INT($F49/$E49))</f>
        <v/>
      </c>
      <c r="H49" s="35">
        <f>IF($A49&gt;NYears*12,"",$G49*$E49)</f>
        <v/>
      </c>
      <c r="I49" s="35">
        <f>IF($A49&gt;NYears*12,"",$F49-$H49)</f>
        <v/>
      </c>
      <c r="J49" s="35">
        <f>IF($A49&gt;NYears*12,"",$H49*RateC)</f>
        <v/>
      </c>
      <c r="K49" s="35">
        <f>IF($A49&gt;NYears*12,"",IF($D49=1,$J49,$K48+$J49))</f>
        <v/>
      </c>
      <c r="L49" s="35">
        <f>IF($A49&gt;NYears*12,"",IF(MOD($D49,3)=0,SUM($J47:$J49),0))</f>
        <v/>
      </c>
      <c r="M49" s="35">
        <f>IF($A49&gt;NYears*12,"",IF(TaxFreq="Quarterly",$K49*12/$D49,$K49))</f>
        <v/>
      </c>
      <c r="N49" s="36">
        <f>IF($A49&gt;NYears*12,"",LOOKUP($M49,TaxLower,TaxRate))</f>
        <v/>
      </c>
      <c r="O49" s="35">
        <f>IF($A49&gt;NYears*12,"",IF(TaxFreq="Quarterly",IF(MOD($D49,3)=0,$L49*$N49,0),IF($D49=12,$K49*$N49,0)))</f>
        <v/>
      </c>
      <c r="P49" s="35">
        <f>IF($A49&gt;NYears*12,"",IF($D49=1,$O49,$P48+$O49))</f>
        <v/>
      </c>
      <c r="Q49" s="35">
        <f>IF($A49&gt;NYears*12,"",IF($D49=12,MIN(WdrPct*IF(WdrBase="Post-tax profit",$K49-$P49,$K49),WdrCap),0))</f>
        <v/>
      </c>
      <c r="R49" s="35">
        <f>IF($A49&gt;NYears*12,"",$F49+$J49-$O49-$Q49)</f>
        <v/>
      </c>
      <c r="S49" s="33">
        <f>IF($A49&gt;NYears*12,"",INT($R49/$E49))</f>
        <v/>
      </c>
    </row>
    <row r="50">
      <c r="A50" s="33">
        <f>46</f>
        <v/>
      </c>
      <c r="B50" s="34">
        <f>IF($A50&gt;NYears*12,"",EDATE(StartMonth,$A50-1))</f>
        <v/>
      </c>
      <c r="C50" s="33">
        <f>IF($A50&gt;NYears*12,"",INT(($A50-1)/12)+1)</f>
        <v/>
      </c>
      <c r="D50" s="33">
        <f>IF($A50&gt;NYears*12,"",MOD($A50-1,12)+1)</f>
        <v/>
      </c>
      <c r="E50" s="35">
        <f>IF($A50&gt;NYears*12,"",LotValue0*(1+LotGrowth)^($C50-1))</f>
        <v/>
      </c>
      <c r="F50" s="35">
        <f>IF($A50&gt;NYears*12,"",IF($A50=1,InitInvest,$R49))</f>
        <v/>
      </c>
      <c r="G50" s="33">
        <f>IF($A50&gt;NYears*12,"",INT($F50/$E50))</f>
        <v/>
      </c>
      <c r="H50" s="35">
        <f>IF($A50&gt;NYears*12,"",$G50*$E50)</f>
        <v/>
      </c>
      <c r="I50" s="35">
        <f>IF($A50&gt;NYears*12,"",$F50-$H50)</f>
        <v/>
      </c>
      <c r="J50" s="35">
        <f>IF($A50&gt;NYears*12,"",$H50*RateC)</f>
        <v/>
      </c>
      <c r="K50" s="35">
        <f>IF($A50&gt;NYears*12,"",IF($D50=1,$J50,$K49+$J50))</f>
        <v/>
      </c>
      <c r="L50" s="35">
        <f>IF($A50&gt;NYears*12,"",IF(MOD($D50,3)=0,SUM($J48:$J50),0))</f>
        <v/>
      </c>
      <c r="M50" s="35">
        <f>IF($A50&gt;NYears*12,"",IF(TaxFreq="Quarterly",$K50*12/$D50,$K50))</f>
        <v/>
      </c>
      <c r="N50" s="36">
        <f>IF($A50&gt;NYears*12,"",LOOKUP($M50,TaxLower,TaxRate))</f>
        <v/>
      </c>
      <c r="O50" s="35">
        <f>IF($A50&gt;NYears*12,"",IF(TaxFreq="Quarterly",IF(MOD($D50,3)=0,$L50*$N50,0),IF($D50=12,$K50*$N50,0)))</f>
        <v/>
      </c>
      <c r="P50" s="35">
        <f>IF($A50&gt;NYears*12,"",IF($D50=1,$O50,$P49+$O50))</f>
        <v/>
      </c>
      <c r="Q50" s="35">
        <f>IF($A50&gt;NYears*12,"",IF($D50=12,MIN(WdrPct*IF(WdrBase="Post-tax profit",$K50-$P50,$K50),WdrCap),0))</f>
        <v/>
      </c>
      <c r="R50" s="35">
        <f>IF($A50&gt;NYears*12,"",$F50+$J50-$O50-$Q50)</f>
        <v/>
      </c>
      <c r="S50" s="33">
        <f>IF($A50&gt;NYears*12,"",INT($R50/$E50))</f>
        <v/>
      </c>
    </row>
    <row r="51">
      <c r="A51" s="33">
        <f>47</f>
        <v/>
      </c>
      <c r="B51" s="34">
        <f>IF($A51&gt;NYears*12,"",EDATE(StartMonth,$A51-1))</f>
        <v/>
      </c>
      <c r="C51" s="33">
        <f>IF($A51&gt;NYears*12,"",INT(($A51-1)/12)+1)</f>
        <v/>
      </c>
      <c r="D51" s="33">
        <f>IF($A51&gt;NYears*12,"",MOD($A51-1,12)+1)</f>
        <v/>
      </c>
      <c r="E51" s="35">
        <f>IF($A51&gt;NYears*12,"",LotValue0*(1+LotGrowth)^($C51-1))</f>
        <v/>
      </c>
      <c r="F51" s="35">
        <f>IF($A51&gt;NYears*12,"",IF($A51=1,InitInvest,$R50))</f>
        <v/>
      </c>
      <c r="G51" s="33">
        <f>IF($A51&gt;NYears*12,"",INT($F51/$E51))</f>
        <v/>
      </c>
      <c r="H51" s="35">
        <f>IF($A51&gt;NYears*12,"",$G51*$E51)</f>
        <v/>
      </c>
      <c r="I51" s="35">
        <f>IF($A51&gt;NYears*12,"",$F51-$H51)</f>
        <v/>
      </c>
      <c r="J51" s="35">
        <f>IF($A51&gt;NYears*12,"",$H51*RateC)</f>
        <v/>
      </c>
      <c r="K51" s="35">
        <f>IF($A51&gt;NYears*12,"",IF($D51=1,$J51,$K50+$J51))</f>
        <v/>
      </c>
      <c r="L51" s="35">
        <f>IF($A51&gt;NYears*12,"",IF(MOD($D51,3)=0,SUM($J49:$J51),0))</f>
        <v/>
      </c>
      <c r="M51" s="35">
        <f>IF($A51&gt;NYears*12,"",IF(TaxFreq="Quarterly",$K51*12/$D51,$K51))</f>
        <v/>
      </c>
      <c r="N51" s="36">
        <f>IF($A51&gt;NYears*12,"",LOOKUP($M51,TaxLower,TaxRate))</f>
        <v/>
      </c>
      <c r="O51" s="35">
        <f>IF($A51&gt;NYears*12,"",IF(TaxFreq="Quarterly",IF(MOD($D51,3)=0,$L51*$N51,0),IF($D51=12,$K51*$N51,0)))</f>
        <v/>
      </c>
      <c r="P51" s="35">
        <f>IF($A51&gt;NYears*12,"",IF($D51=1,$O51,$P50+$O51))</f>
        <v/>
      </c>
      <c r="Q51" s="35">
        <f>IF($A51&gt;NYears*12,"",IF($D51=12,MIN(WdrPct*IF(WdrBase="Post-tax profit",$K51-$P51,$K51),WdrCap),0))</f>
        <v/>
      </c>
      <c r="R51" s="35">
        <f>IF($A51&gt;NYears*12,"",$F51+$J51-$O51-$Q51)</f>
        <v/>
      </c>
      <c r="S51" s="33">
        <f>IF($A51&gt;NYears*12,"",INT($R51/$E51))</f>
        <v/>
      </c>
    </row>
    <row r="52">
      <c r="A52" s="37">
        <f>48</f>
        <v/>
      </c>
      <c r="B52" s="38">
        <f>IF($A52&gt;NYears*12,"",EDATE(StartMonth,$A52-1))</f>
        <v/>
      </c>
      <c r="C52" s="37">
        <f>IF($A52&gt;NYears*12,"",INT(($A52-1)/12)+1)</f>
        <v/>
      </c>
      <c r="D52" s="37">
        <f>IF($A52&gt;NYears*12,"",MOD($A52-1,12)+1)</f>
        <v/>
      </c>
      <c r="E52" s="39">
        <f>IF($A52&gt;NYears*12,"",LotValue0*(1+LotGrowth)^($C52-1))</f>
        <v/>
      </c>
      <c r="F52" s="39">
        <f>IF($A52&gt;NYears*12,"",IF($A52=1,InitInvest,$R51))</f>
        <v/>
      </c>
      <c r="G52" s="37">
        <f>IF($A52&gt;NYears*12,"",INT($F52/$E52))</f>
        <v/>
      </c>
      <c r="H52" s="39">
        <f>IF($A52&gt;NYears*12,"",$G52*$E52)</f>
        <v/>
      </c>
      <c r="I52" s="39">
        <f>IF($A52&gt;NYears*12,"",$F52-$H52)</f>
        <v/>
      </c>
      <c r="J52" s="39">
        <f>IF($A52&gt;NYears*12,"",$H52*RateC)</f>
        <v/>
      </c>
      <c r="K52" s="39">
        <f>IF($A52&gt;NYears*12,"",IF($D52=1,$J52,$K51+$J52))</f>
        <v/>
      </c>
      <c r="L52" s="39">
        <f>IF($A52&gt;NYears*12,"",IF(MOD($D52,3)=0,SUM($J50:$J52),0))</f>
        <v/>
      </c>
      <c r="M52" s="39">
        <f>IF($A52&gt;NYears*12,"",IF(TaxFreq="Quarterly",$K52*12/$D52,$K52))</f>
        <v/>
      </c>
      <c r="N52" s="40">
        <f>IF($A52&gt;NYears*12,"",LOOKUP($M52,TaxLower,TaxRate))</f>
        <v/>
      </c>
      <c r="O52" s="39">
        <f>IF($A52&gt;NYears*12,"",IF(TaxFreq="Quarterly",IF(MOD($D52,3)=0,$L52*$N52,0),IF($D52=12,$K52*$N52,0)))</f>
        <v/>
      </c>
      <c r="P52" s="39">
        <f>IF($A52&gt;NYears*12,"",IF($D52=1,$O52,$P51+$O52))</f>
        <v/>
      </c>
      <c r="Q52" s="39">
        <f>IF($A52&gt;NYears*12,"",IF($D52=12,MIN(WdrPct*IF(WdrBase="Post-tax profit",$K52-$P52,$K52),WdrCap),0))</f>
        <v/>
      </c>
      <c r="R52" s="39">
        <f>IF($A52&gt;NYears*12,"",$F52+$J52-$O52-$Q52)</f>
        <v/>
      </c>
      <c r="S52" s="37">
        <f>IF($A52&gt;NYears*12,"",INT($R52/$E52))</f>
        <v/>
      </c>
    </row>
    <row r="53">
      <c r="A53" s="33">
        <f>49</f>
        <v/>
      </c>
      <c r="B53" s="34">
        <f>IF($A53&gt;NYears*12,"",EDATE(StartMonth,$A53-1))</f>
        <v/>
      </c>
      <c r="C53" s="33">
        <f>IF($A53&gt;NYears*12,"",INT(($A53-1)/12)+1)</f>
        <v/>
      </c>
      <c r="D53" s="33">
        <f>IF($A53&gt;NYears*12,"",MOD($A53-1,12)+1)</f>
        <v/>
      </c>
      <c r="E53" s="35">
        <f>IF($A53&gt;NYears*12,"",LotValue0*(1+LotGrowth)^($C53-1))</f>
        <v/>
      </c>
      <c r="F53" s="35">
        <f>IF($A53&gt;NYears*12,"",IF($A53=1,InitInvest,$R52))</f>
        <v/>
      </c>
      <c r="G53" s="33">
        <f>IF($A53&gt;NYears*12,"",INT($F53/$E53))</f>
        <v/>
      </c>
      <c r="H53" s="35">
        <f>IF($A53&gt;NYears*12,"",$G53*$E53)</f>
        <v/>
      </c>
      <c r="I53" s="35">
        <f>IF($A53&gt;NYears*12,"",$F53-$H53)</f>
        <v/>
      </c>
      <c r="J53" s="35">
        <f>IF($A53&gt;NYears*12,"",$H53*RateC)</f>
        <v/>
      </c>
      <c r="K53" s="35">
        <f>IF($A53&gt;NYears*12,"",IF($D53=1,$J53,$K52+$J53))</f>
        <v/>
      </c>
      <c r="L53" s="35">
        <f>IF($A53&gt;NYears*12,"",IF(MOD($D53,3)=0,SUM($J51:$J53),0))</f>
        <v/>
      </c>
      <c r="M53" s="35">
        <f>IF($A53&gt;NYears*12,"",IF(TaxFreq="Quarterly",$K53*12/$D53,$K53))</f>
        <v/>
      </c>
      <c r="N53" s="36">
        <f>IF($A53&gt;NYears*12,"",LOOKUP($M53,TaxLower,TaxRate))</f>
        <v/>
      </c>
      <c r="O53" s="35">
        <f>IF($A53&gt;NYears*12,"",IF(TaxFreq="Quarterly",IF(MOD($D53,3)=0,$L53*$N53,0),IF($D53=12,$K53*$N53,0)))</f>
        <v/>
      </c>
      <c r="P53" s="35">
        <f>IF($A53&gt;NYears*12,"",IF($D53=1,$O53,$P52+$O53))</f>
        <v/>
      </c>
      <c r="Q53" s="35">
        <f>IF($A53&gt;NYears*12,"",IF($D53=12,MIN(WdrPct*IF(WdrBase="Post-tax profit",$K53-$P53,$K53),WdrCap),0))</f>
        <v/>
      </c>
      <c r="R53" s="35">
        <f>IF($A53&gt;NYears*12,"",$F53+$J53-$O53-$Q53)</f>
        <v/>
      </c>
      <c r="S53" s="33">
        <f>IF($A53&gt;NYears*12,"",INT($R53/$E53))</f>
        <v/>
      </c>
    </row>
    <row r="54">
      <c r="A54" s="33">
        <f>50</f>
        <v/>
      </c>
      <c r="B54" s="34">
        <f>IF($A54&gt;NYears*12,"",EDATE(StartMonth,$A54-1))</f>
        <v/>
      </c>
      <c r="C54" s="33">
        <f>IF($A54&gt;NYears*12,"",INT(($A54-1)/12)+1)</f>
        <v/>
      </c>
      <c r="D54" s="33">
        <f>IF($A54&gt;NYears*12,"",MOD($A54-1,12)+1)</f>
        <v/>
      </c>
      <c r="E54" s="35">
        <f>IF($A54&gt;NYears*12,"",LotValue0*(1+LotGrowth)^($C54-1))</f>
        <v/>
      </c>
      <c r="F54" s="35">
        <f>IF($A54&gt;NYears*12,"",IF($A54=1,InitInvest,$R53))</f>
        <v/>
      </c>
      <c r="G54" s="33">
        <f>IF($A54&gt;NYears*12,"",INT($F54/$E54))</f>
        <v/>
      </c>
      <c r="H54" s="35">
        <f>IF($A54&gt;NYears*12,"",$G54*$E54)</f>
        <v/>
      </c>
      <c r="I54" s="35">
        <f>IF($A54&gt;NYears*12,"",$F54-$H54)</f>
        <v/>
      </c>
      <c r="J54" s="35">
        <f>IF($A54&gt;NYears*12,"",$H54*RateC)</f>
        <v/>
      </c>
      <c r="K54" s="35">
        <f>IF($A54&gt;NYears*12,"",IF($D54=1,$J54,$K53+$J54))</f>
        <v/>
      </c>
      <c r="L54" s="35">
        <f>IF($A54&gt;NYears*12,"",IF(MOD($D54,3)=0,SUM($J52:$J54),0))</f>
        <v/>
      </c>
      <c r="M54" s="35">
        <f>IF($A54&gt;NYears*12,"",IF(TaxFreq="Quarterly",$K54*12/$D54,$K54))</f>
        <v/>
      </c>
      <c r="N54" s="36">
        <f>IF($A54&gt;NYears*12,"",LOOKUP($M54,TaxLower,TaxRate))</f>
        <v/>
      </c>
      <c r="O54" s="35">
        <f>IF($A54&gt;NYears*12,"",IF(TaxFreq="Quarterly",IF(MOD($D54,3)=0,$L54*$N54,0),IF($D54=12,$K54*$N54,0)))</f>
        <v/>
      </c>
      <c r="P54" s="35">
        <f>IF($A54&gt;NYears*12,"",IF($D54=1,$O54,$P53+$O54))</f>
        <v/>
      </c>
      <c r="Q54" s="35">
        <f>IF($A54&gt;NYears*12,"",IF($D54=12,MIN(WdrPct*IF(WdrBase="Post-tax profit",$K54-$P54,$K54),WdrCap),0))</f>
        <v/>
      </c>
      <c r="R54" s="35">
        <f>IF($A54&gt;NYears*12,"",$F54+$J54-$O54-$Q54)</f>
        <v/>
      </c>
      <c r="S54" s="33">
        <f>IF($A54&gt;NYears*12,"",INT($R54/$E54))</f>
        <v/>
      </c>
    </row>
    <row r="55">
      <c r="A55" s="33">
        <f>51</f>
        <v/>
      </c>
      <c r="B55" s="34">
        <f>IF($A55&gt;NYears*12,"",EDATE(StartMonth,$A55-1))</f>
        <v/>
      </c>
      <c r="C55" s="33">
        <f>IF($A55&gt;NYears*12,"",INT(($A55-1)/12)+1)</f>
        <v/>
      </c>
      <c r="D55" s="33">
        <f>IF($A55&gt;NYears*12,"",MOD($A55-1,12)+1)</f>
        <v/>
      </c>
      <c r="E55" s="35">
        <f>IF($A55&gt;NYears*12,"",LotValue0*(1+LotGrowth)^($C55-1))</f>
        <v/>
      </c>
      <c r="F55" s="35">
        <f>IF($A55&gt;NYears*12,"",IF($A55=1,InitInvest,$R54))</f>
        <v/>
      </c>
      <c r="G55" s="33">
        <f>IF($A55&gt;NYears*12,"",INT($F55/$E55))</f>
        <v/>
      </c>
      <c r="H55" s="35">
        <f>IF($A55&gt;NYears*12,"",$G55*$E55)</f>
        <v/>
      </c>
      <c r="I55" s="35">
        <f>IF($A55&gt;NYears*12,"",$F55-$H55)</f>
        <v/>
      </c>
      <c r="J55" s="35">
        <f>IF($A55&gt;NYears*12,"",$H55*RateC)</f>
        <v/>
      </c>
      <c r="K55" s="35">
        <f>IF($A55&gt;NYears*12,"",IF($D55=1,$J55,$K54+$J55))</f>
        <v/>
      </c>
      <c r="L55" s="35">
        <f>IF($A55&gt;NYears*12,"",IF(MOD($D55,3)=0,SUM($J53:$J55),0))</f>
        <v/>
      </c>
      <c r="M55" s="35">
        <f>IF($A55&gt;NYears*12,"",IF(TaxFreq="Quarterly",$K55*12/$D55,$K55))</f>
        <v/>
      </c>
      <c r="N55" s="36">
        <f>IF($A55&gt;NYears*12,"",LOOKUP($M55,TaxLower,TaxRate))</f>
        <v/>
      </c>
      <c r="O55" s="35">
        <f>IF($A55&gt;NYears*12,"",IF(TaxFreq="Quarterly",IF(MOD($D55,3)=0,$L55*$N55,0),IF($D55=12,$K55*$N55,0)))</f>
        <v/>
      </c>
      <c r="P55" s="35">
        <f>IF($A55&gt;NYears*12,"",IF($D55=1,$O55,$P54+$O55))</f>
        <v/>
      </c>
      <c r="Q55" s="35">
        <f>IF($A55&gt;NYears*12,"",IF($D55=12,MIN(WdrPct*IF(WdrBase="Post-tax profit",$K55-$P55,$K55),WdrCap),0))</f>
        <v/>
      </c>
      <c r="R55" s="35">
        <f>IF($A55&gt;NYears*12,"",$F55+$J55-$O55-$Q55)</f>
        <v/>
      </c>
      <c r="S55" s="33">
        <f>IF($A55&gt;NYears*12,"",INT($R55/$E55))</f>
        <v/>
      </c>
    </row>
    <row r="56">
      <c r="A56" s="33">
        <f>52</f>
        <v/>
      </c>
      <c r="B56" s="34">
        <f>IF($A56&gt;NYears*12,"",EDATE(StartMonth,$A56-1))</f>
        <v/>
      </c>
      <c r="C56" s="33">
        <f>IF($A56&gt;NYears*12,"",INT(($A56-1)/12)+1)</f>
        <v/>
      </c>
      <c r="D56" s="33">
        <f>IF($A56&gt;NYears*12,"",MOD($A56-1,12)+1)</f>
        <v/>
      </c>
      <c r="E56" s="35">
        <f>IF($A56&gt;NYears*12,"",LotValue0*(1+LotGrowth)^($C56-1))</f>
        <v/>
      </c>
      <c r="F56" s="35">
        <f>IF($A56&gt;NYears*12,"",IF($A56=1,InitInvest,$R55))</f>
        <v/>
      </c>
      <c r="G56" s="33">
        <f>IF($A56&gt;NYears*12,"",INT($F56/$E56))</f>
        <v/>
      </c>
      <c r="H56" s="35">
        <f>IF($A56&gt;NYears*12,"",$G56*$E56)</f>
        <v/>
      </c>
      <c r="I56" s="35">
        <f>IF($A56&gt;NYears*12,"",$F56-$H56)</f>
        <v/>
      </c>
      <c r="J56" s="35">
        <f>IF($A56&gt;NYears*12,"",$H56*RateC)</f>
        <v/>
      </c>
      <c r="K56" s="35">
        <f>IF($A56&gt;NYears*12,"",IF($D56=1,$J56,$K55+$J56))</f>
        <v/>
      </c>
      <c r="L56" s="35">
        <f>IF($A56&gt;NYears*12,"",IF(MOD($D56,3)=0,SUM($J54:$J56),0))</f>
        <v/>
      </c>
      <c r="M56" s="35">
        <f>IF($A56&gt;NYears*12,"",IF(TaxFreq="Quarterly",$K56*12/$D56,$K56))</f>
        <v/>
      </c>
      <c r="N56" s="36">
        <f>IF($A56&gt;NYears*12,"",LOOKUP($M56,TaxLower,TaxRate))</f>
        <v/>
      </c>
      <c r="O56" s="35">
        <f>IF($A56&gt;NYears*12,"",IF(TaxFreq="Quarterly",IF(MOD($D56,3)=0,$L56*$N56,0),IF($D56=12,$K56*$N56,0)))</f>
        <v/>
      </c>
      <c r="P56" s="35">
        <f>IF($A56&gt;NYears*12,"",IF($D56=1,$O56,$P55+$O56))</f>
        <v/>
      </c>
      <c r="Q56" s="35">
        <f>IF($A56&gt;NYears*12,"",IF($D56=12,MIN(WdrPct*IF(WdrBase="Post-tax profit",$K56-$P56,$K56),WdrCap),0))</f>
        <v/>
      </c>
      <c r="R56" s="35">
        <f>IF($A56&gt;NYears*12,"",$F56+$J56-$O56-$Q56)</f>
        <v/>
      </c>
      <c r="S56" s="33">
        <f>IF($A56&gt;NYears*12,"",INT($R56/$E56))</f>
        <v/>
      </c>
    </row>
    <row r="57">
      <c r="A57" s="33">
        <f>53</f>
        <v/>
      </c>
      <c r="B57" s="34">
        <f>IF($A57&gt;NYears*12,"",EDATE(StartMonth,$A57-1))</f>
        <v/>
      </c>
      <c r="C57" s="33">
        <f>IF($A57&gt;NYears*12,"",INT(($A57-1)/12)+1)</f>
        <v/>
      </c>
      <c r="D57" s="33">
        <f>IF($A57&gt;NYears*12,"",MOD($A57-1,12)+1)</f>
        <v/>
      </c>
      <c r="E57" s="35">
        <f>IF($A57&gt;NYears*12,"",LotValue0*(1+LotGrowth)^($C57-1))</f>
        <v/>
      </c>
      <c r="F57" s="35">
        <f>IF($A57&gt;NYears*12,"",IF($A57=1,InitInvest,$R56))</f>
        <v/>
      </c>
      <c r="G57" s="33">
        <f>IF($A57&gt;NYears*12,"",INT($F57/$E57))</f>
        <v/>
      </c>
      <c r="H57" s="35">
        <f>IF($A57&gt;NYears*12,"",$G57*$E57)</f>
        <v/>
      </c>
      <c r="I57" s="35">
        <f>IF($A57&gt;NYears*12,"",$F57-$H57)</f>
        <v/>
      </c>
      <c r="J57" s="35">
        <f>IF($A57&gt;NYears*12,"",$H57*RateC)</f>
        <v/>
      </c>
      <c r="K57" s="35">
        <f>IF($A57&gt;NYears*12,"",IF($D57=1,$J57,$K56+$J57))</f>
        <v/>
      </c>
      <c r="L57" s="35">
        <f>IF($A57&gt;NYears*12,"",IF(MOD($D57,3)=0,SUM($J55:$J57),0))</f>
        <v/>
      </c>
      <c r="M57" s="35">
        <f>IF($A57&gt;NYears*12,"",IF(TaxFreq="Quarterly",$K57*12/$D57,$K57))</f>
        <v/>
      </c>
      <c r="N57" s="36">
        <f>IF($A57&gt;NYears*12,"",LOOKUP($M57,TaxLower,TaxRate))</f>
        <v/>
      </c>
      <c r="O57" s="35">
        <f>IF($A57&gt;NYears*12,"",IF(TaxFreq="Quarterly",IF(MOD($D57,3)=0,$L57*$N57,0),IF($D57=12,$K57*$N57,0)))</f>
        <v/>
      </c>
      <c r="P57" s="35">
        <f>IF($A57&gt;NYears*12,"",IF($D57=1,$O57,$P56+$O57))</f>
        <v/>
      </c>
      <c r="Q57" s="35">
        <f>IF($A57&gt;NYears*12,"",IF($D57=12,MIN(WdrPct*IF(WdrBase="Post-tax profit",$K57-$P57,$K57),WdrCap),0))</f>
        <v/>
      </c>
      <c r="R57" s="35">
        <f>IF($A57&gt;NYears*12,"",$F57+$J57-$O57-$Q57)</f>
        <v/>
      </c>
      <c r="S57" s="33">
        <f>IF($A57&gt;NYears*12,"",INT($R57/$E57))</f>
        <v/>
      </c>
    </row>
    <row r="58">
      <c r="A58" s="33">
        <f>54</f>
        <v/>
      </c>
      <c r="B58" s="34">
        <f>IF($A58&gt;NYears*12,"",EDATE(StartMonth,$A58-1))</f>
        <v/>
      </c>
      <c r="C58" s="33">
        <f>IF($A58&gt;NYears*12,"",INT(($A58-1)/12)+1)</f>
        <v/>
      </c>
      <c r="D58" s="33">
        <f>IF($A58&gt;NYears*12,"",MOD($A58-1,12)+1)</f>
        <v/>
      </c>
      <c r="E58" s="35">
        <f>IF($A58&gt;NYears*12,"",LotValue0*(1+LotGrowth)^($C58-1))</f>
        <v/>
      </c>
      <c r="F58" s="35">
        <f>IF($A58&gt;NYears*12,"",IF($A58=1,InitInvest,$R57))</f>
        <v/>
      </c>
      <c r="G58" s="33">
        <f>IF($A58&gt;NYears*12,"",INT($F58/$E58))</f>
        <v/>
      </c>
      <c r="H58" s="35">
        <f>IF($A58&gt;NYears*12,"",$G58*$E58)</f>
        <v/>
      </c>
      <c r="I58" s="35">
        <f>IF($A58&gt;NYears*12,"",$F58-$H58)</f>
        <v/>
      </c>
      <c r="J58" s="35">
        <f>IF($A58&gt;NYears*12,"",$H58*RateC)</f>
        <v/>
      </c>
      <c r="K58" s="35">
        <f>IF($A58&gt;NYears*12,"",IF($D58=1,$J58,$K57+$J58))</f>
        <v/>
      </c>
      <c r="L58" s="35">
        <f>IF($A58&gt;NYears*12,"",IF(MOD($D58,3)=0,SUM($J56:$J58),0))</f>
        <v/>
      </c>
      <c r="M58" s="35">
        <f>IF($A58&gt;NYears*12,"",IF(TaxFreq="Quarterly",$K58*12/$D58,$K58))</f>
        <v/>
      </c>
      <c r="N58" s="36">
        <f>IF($A58&gt;NYears*12,"",LOOKUP($M58,TaxLower,TaxRate))</f>
        <v/>
      </c>
      <c r="O58" s="35">
        <f>IF($A58&gt;NYears*12,"",IF(TaxFreq="Quarterly",IF(MOD($D58,3)=0,$L58*$N58,0),IF($D58=12,$K58*$N58,0)))</f>
        <v/>
      </c>
      <c r="P58" s="35">
        <f>IF($A58&gt;NYears*12,"",IF($D58=1,$O58,$P57+$O58))</f>
        <v/>
      </c>
      <c r="Q58" s="35">
        <f>IF($A58&gt;NYears*12,"",IF($D58=12,MIN(WdrPct*IF(WdrBase="Post-tax profit",$K58-$P58,$K58),WdrCap),0))</f>
        <v/>
      </c>
      <c r="R58" s="35">
        <f>IF($A58&gt;NYears*12,"",$F58+$J58-$O58-$Q58)</f>
        <v/>
      </c>
      <c r="S58" s="33">
        <f>IF($A58&gt;NYears*12,"",INT($R58/$E58))</f>
        <v/>
      </c>
    </row>
    <row r="59">
      <c r="A59" s="33">
        <f>55</f>
        <v/>
      </c>
      <c r="B59" s="34">
        <f>IF($A59&gt;NYears*12,"",EDATE(StartMonth,$A59-1))</f>
        <v/>
      </c>
      <c r="C59" s="33">
        <f>IF($A59&gt;NYears*12,"",INT(($A59-1)/12)+1)</f>
        <v/>
      </c>
      <c r="D59" s="33">
        <f>IF($A59&gt;NYears*12,"",MOD($A59-1,12)+1)</f>
        <v/>
      </c>
      <c r="E59" s="35">
        <f>IF($A59&gt;NYears*12,"",LotValue0*(1+LotGrowth)^($C59-1))</f>
        <v/>
      </c>
      <c r="F59" s="35">
        <f>IF($A59&gt;NYears*12,"",IF($A59=1,InitInvest,$R58))</f>
        <v/>
      </c>
      <c r="G59" s="33">
        <f>IF($A59&gt;NYears*12,"",INT($F59/$E59))</f>
        <v/>
      </c>
      <c r="H59" s="35">
        <f>IF($A59&gt;NYears*12,"",$G59*$E59)</f>
        <v/>
      </c>
      <c r="I59" s="35">
        <f>IF($A59&gt;NYears*12,"",$F59-$H59)</f>
        <v/>
      </c>
      <c r="J59" s="35">
        <f>IF($A59&gt;NYears*12,"",$H59*RateC)</f>
        <v/>
      </c>
      <c r="K59" s="35">
        <f>IF($A59&gt;NYears*12,"",IF($D59=1,$J59,$K58+$J59))</f>
        <v/>
      </c>
      <c r="L59" s="35">
        <f>IF($A59&gt;NYears*12,"",IF(MOD($D59,3)=0,SUM($J57:$J59),0))</f>
        <v/>
      </c>
      <c r="M59" s="35">
        <f>IF($A59&gt;NYears*12,"",IF(TaxFreq="Quarterly",$K59*12/$D59,$K59))</f>
        <v/>
      </c>
      <c r="N59" s="36">
        <f>IF($A59&gt;NYears*12,"",LOOKUP($M59,TaxLower,TaxRate))</f>
        <v/>
      </c>
      <c r="O59" s="35">
        <f>IF($A59&gt;NYears*12,"",IF(TaxFreq="Quarterly",IF(MOD($D59,3)=0,$L59*$N59,0),IF($D59=12,$K59*$N59,0)))</f>
        <v/>
      </c>
      <c r="P59" s="35">
        <f>IF($A59&gt;NYears*12,"",IF($D59=1,$O59,$P58+$O59))</f>
        <v/>
      </c>
      <c r="Q59" s="35">
        <f>IF($A59&gt;NYears*12,"",IF($D59=12,MIN(WdrPct*IF(WdrBase="Post-tax profit",$K59-$P59,$K59),WdrCap),0))</f>
        <v/>
      </c>
      <c r="R59" s="35">
        <f>IF($A59&gt;NYears*12,"",$F59+$J59-$O59-$Q59)</f>
        <v/>
      </c>
      <c r="S59" s="33">
        <f>IF($A59&gt;NYears*12,"",INT($R59/$E59))</f>
        <v/>
      </c>
    </row>
    <row r="60">
      <c r="A60" s="33">
        <f>56</f>
        <v/>
      </c>
      <c r="B60" s="34">
        <f>IF($A60&gt;NYears*12,"",EDATE(StartMonth,$A60-1))</f>
        <v/>
      </c>
      <c r="C60" s="33">
        <f>IF($A60&gt;NYears*12,"",INT(($A60-1)/12)+1)</f>
        <v/>
      </c>
      <c r="D60" s="33">
        <f>IF($A60&gt;NYears*12,"",MOD($A60-1,12)+1)</f>
        <v/>
      </c>
      <c r="E60" s="35">
        <f>IF($A60&gt;NYears*12,"",LotValue0*(1+LotGrowth)^($C60-1))</f>
        <v/>
      </c>
      <c r="F60" s="35">
        <f>IF($A60&gt;NYears*12,"",IF($A60=1,InitInvest,$R59))</f>
        <v/>
      </c>
      <c r="G60" s="33">
        <f>IF($A60&gt;NYears*12,"",INT($F60/$E60))</f>
        <v/>
      </c>
      <c r="H60" s="35">
        <f>IF($A60&gt;NYears*12,"",$G60*$E60)</f>
        <v/>
      </c>
      <c r="I60" s="35">
        <f>IF($A60&gt;NYears*12,"",$F60-$H60)</f>
        <v/>
      </c>
      <c r="J60" s="35">
        <f>IF($A60&gt;NYears*12,"",$H60*RateC)</f>
        <v/>
      </c>
      <c r="K60" s="35">
        <f>IF($A60&gt;NYears*12,"",IF($D60=1,$J60,$K59+$J60))</f>
        <v/>
      </c>
      <c r="L60" s="35">
        <f>IF($A60&gt;NYears*12,"",IF(MOD($D60,3)=0,SUM($J58:$J60),0))</f>
        <v/>
      </c>
      <c r="M60" s="35">
        <f>IF($A60&gt;NYears*12,"",IF(TaxFreq="Quarterly",$K60*12/$D60,$K60))</f>
        <v/>
      </c>
      <c r="N60" s="36">
        <f>IF($A60&gt;NYears*12,"",LOOKUP($M60,TaxLower,TaxRate))</f>
        <v/>
      </c>
      <c r="O60" s="35">
        <f>IF($A60&gt;NYears*12,"",IF(TaxFreq="Quarterly",IF(MOD($D60,3)=0,$L60*$N60,0),IF($D60=12,$K60*$N60,0)))</f>
        <v/>
      </c>
      <c r="P60" s="35">
        <f>IF($A60&gt;NYears*12,"",IF($D60=1,$O60,$P59+$O60))</f>
        <v/>
      </c>
      <c r="Q60" s="35">
        <f>IF($A60&gt;NYears*12,"",IF($D60=12,MIN(WdrPct*IF(WdrBase="Post-tax profit",$K60-$P60,$K60),WdrCap),0))</f>
        <v/>
      </c>
      <c r="R60" s="35">
        <f>IF($A60&gt;NYears*12,"",$F60+$J60-$O60-$Q60)</f>
        <v/>
      </c>
      <c r="S60" s="33">
        <f>IF($A60&gt;NYears*12,"",INT($R60/$E60))</f>
        <v/>
      </c>
    </row>
    <row r="61">
      <c r="A61" s="33">
        <f>57</f>
        <v/>
      </c>
      <c r="B61" s="34">
        <f>IF($A61&gt;NYears*12,"",EDATE(StartMonth,$A61-1))</f>
        <v/>
      </c>
      <c r="C61" s="33">
        <f>IF($A61&gt;NYears*12,"",INT(($A61-1)/12)+1)</f>
        <v/>
      </c>
      <c r="D61" s="33">
        <f>IF($A61&gt;NYears*12,"",MOD($A61-1,12)+1)</f>
        <v/>
      </c>
      <c r="E61" s="35">
        <f>IF($A61&gt;NYears*12,"",LotValue0*(1+LotGrowth)^($C61-1))</f>
        <v/>
      </c>
      <c r="F61" s="35">
        <f>IF($A61&gt;NYears*12,"",IF($A61=1,InitInvest,$R60))</f>
        <v/>
      </c>
      <c r="G61" s="33">
        <f>IF($A61&gt;NYears*12,"",INT($F61/$E61))</f>
        <v/>
      </c>
      <c r="H61" s="35">
        <f>IF($A61&gt;NYears*12,"",$G61*$E61)</f>
        <v/>
      </c>
      <c r="I61" s="35">
        <f>IF($A61&gt;NYears*12,"",$F61-$H61)</f>
        <v/>
      </c>
      <c r="J61" s="35">
        <f>IF($A61&gt;NYears*12,"",$H61*RateC)</f>
        <v/>
      </c>
      <c r="K61" s="35">
        <f>IF($A61&gt;NYears*12,"",IF($D61=1,$J61,$K60+$J61))</f>
        <v/>
      </c>
      <c r="L61" s="35">
        <f>IF($A61&gt;NYears*12,"",IF(MOD($D61,3)=0,SUM($J59:$J61),0))</f>
        <v/>
      </c>
      <c r="M61" s="35">
        <f>IF($A61&gt;NYears*12,"",IF(TaxFreq="Quarterly",$K61*12/$D61,$K61))</f>
        <v/>
      </c>
      <c r="N61" s="36">
        <f>IF($A61&gt;NYears*12,"",LOOKUP($M61,TaxLower,TaxRate))</f>
        <v/>
      </c>
      <c r="O61" s="35">
        <f>IF($A61&gt;NYears*12,"",IF(TaxFreq="Quarterly",IF(MOD($D61,3)=0,$L61*$N61,0),IF($D61=12,$K61*$N61,0)))</f>
        <v/>
      </c>
      <c r="P61" s="35">
        <f>IF($A61&gt;NYears*12,"",IF($D61=1,$O61,$P60+$O61))</f>
        <v/>
      </c>
      <c r="Q61" s="35">
        <f>IF($A61&gt;NYears*12,"",IF($D61=12,MIN(WdrPct*IF(WdrBase="Post-tax profit",$K61-$P61,$K61),WdrCap),0))</f>
        <v/>
      </c>
      <c r="R61" s="35">
        <f>IF($A61&gt;NYears*12,"",$F61+$J61-$O61-$Q61)</f>
        <v/>
      </c>
      <c r="S61" s="33">
        <f>IF($A61&gt;NYears*12,"",INT($R61/$E61))</f>
        <v/>
      </c>
    </row>
    <row r="62">
      <c r="A62" s="33">
        <f>58</f>
        <v/>
      </c>
      <c r="B62" s="34">
        <f>IF($A62&gt;NYears*12,"",EDATE(StartMonth,$A62-1))</f>
        <v/>
      </c>
      <c r="C62" s="33">
        <f>IF($A62&gt;NYears*12,"",INT(($A62-1)/12)+1)</f>
        <v/>
      </c>
      <c r="D62" s="33">
        <f>IF($A62&gt;NYears*12,"",MOD($A62-1,12)+1)</f>
        <v/>
      </c>
      <c r="E62" s="35">
        <f>IF($A62&gt;NYears*12,"",LotValue0*(1+LotGrowth)^($C62-1))</f>
        <v/>
      </c>
      <c r="F62" s="35">
        <f>IF($A62&gt;NYears*12,"",IF($A62=1,InitInvest,$R61))</f>
        <v/>
      </c>
      <c r="G62" s="33">
        <f>IF($A62&gt;NYears*12,"",INT($F62/$E62))</f>
        <v/>
      </c>
      <c r="H62" s="35">
        <f>IF($A62&gt;NYears*12,"",$G62*$E62)</f>
        <v/>
      </c>
      <c r="I62" s="35">
        <f>IF($A62&gt;NYears*12,"",$F62-$H62)</f>
        <v/>
      </c>
      <c r="J62" s="35">
        <f>IF($A62&gt;NYears*12,"",$H62*RateC)</f>
        <v/>
      </c>
      <c r="K62" s="35">
        <f>IF($A62&gt;NYears*12,"",IF($D62=1,$J62,$K61+$J62))</f>
        <v/>
      </c>
      <c r="L62" s="35">
        <f>IF($A62&gt;NYears*12,"",IF(MOD($D62,3)=0,SUM($J60:$J62),0))</f>
        <v/>
      </c>
      <c r="M62" s="35">
        <f>IF($A62&gt;NYears*12,"",IF(TaxFreq="Quarterly",$K62*12/$D62,$K62))</f>
        <v/>
      </c>
      <c r="N62" s="36">
        <f>IF($A62&gt;NYears*12,"",LOOKUP($M62,TaxLower,TaxRate))</f>
        <v/>
      </c>
      <c r="O62" s="35">
        <f>IF($A62&gt;NYears*12,"",IF(TaxFreq="Quarterly",IF(MOD($D62,3)=0,$L62*$N62,0),IF($D62=12,$K62*$N62,0)))</f>
        <v/>
      </c>
      <c r="P62" s="35">
        <f>IF($A62&gt;NYears*12,"",IF($D62=1,$O62,$P61+$O62))</f>
        <v/>
      </c>
      <c r="Q62" s="35">
        <f>IF($A62&gt;NYears*12,"",IF($D62=12,MIN(WdrPct*IF(WdrBase="Post-tax profit",$K62-$P62,$K62),WdrCap),0))</f>
        <v/>
      </c>
      <c r="R62" s="35">
        <f>IF($A62&gt;NYears*12,"",$F62+$J62-$O62-$Q62)</f>
        <v/>
      </c>
      <c r="S62" s="33">
        <f>IF($A62&gt;NYears*12,"",INT($R62/$E62))</f>
        <v/>
      </c>
    </row>
    <row r="63">
      <c r="A63" s="33">
        <f>59</f>
        <v/>
      </c>
      <c r="B63" s="34">
        <f>IF($A63&gt;NYears*12,"",EDATE(StartMonth,$A63-1))</f>
        <v/>
      </c>
      <c r="C63" s="33">
        <f>IF($A63&gt;NYears*12,"",INT(($A63-1)/12)+1)</f>
        <v/>
      </c>
      <c r="D63" s="33">
        <f>IF($A63&gt;NYears*12,"",MOD($A63-1,12)+1)</f>
        <v/>
      </c>
      <c r="E63" s="35">
        <f>IF($A63&gt;NYears*12,"",LotValue0*(1+LotGrowth)^($C63-1))</f>
        <v/>
      </c>
      <c r="F63" s="35">
        <f>IF($A63&gt;NYears*12,"",IF($A63=1,InitInvest,$R62))</f>
        <v/>
      </c>
      <c r="G63" s="33">
        <f>IF($A63&gt;NYears*12,"",INT($F63/$E63))</f>
        <v/>
      </c>
      <c r="H63" s="35">
        <f>IF($A63&gt;NYears*12,"",$G63*$E63)</f>
        <v/>
      </c>
      <c r="I63" s="35">
        <f>IF($A63&gt;NYears*12,"",$F63-$H63)</f>
        <v/>
      </c>
      <c r="J63" s="35">
        <f>IF($A63&gt;NYears*12,"",$H63*RateC)</f>
        <v/>
      </c>
      <c r="K63" s="35">
        <f>IF($A63&gt;NYears*12,"",IF($D63=1,$J63,$K62+$J63))</f>
        <v/>
      </c>
      <c r="L63" s="35">
        <f>IF($A63&gt;NYears*12,"",IF(MOD($D63,3)=0,SUM($J61:$J63),0))</f>
        <v/>
      </c>
      <c r="M63" s="35">
        <f>IF($A63&gt;NYears*12,"",IF(TaxFreq="Quarterly",$K63*12/$D63,$K63))</f>
        <v/>
      </c>
      <c r="N63" s="36">
        <f>IF($A63&gt;NYears*12,"",LOOKUP($M63,TaxLower,TaxRate))</f>
        <v/>
      </c>
      <c r="O63" s="35">
        <f>IF($A63&gt;NYears*12,"",IF(TaxFreq="Quarterly",IF(MOD($D63,3)=0,$L63*$N63,0),IF($D63=12,$K63*$N63,0)))</f>
        <v/>
      </c>
      <c r="P63" s="35">
        <f>IF($A63&gt;NYears*12,"",IF($D63=1,$O63,$P62+$O63))</f>
        <v/>
      </c>
      <c r="Q63" s="35">
        <f>IF($A63&gt;NYears*12,"",IF($D63=12,MIN(WdrPct*IF(WdrBase="Post-tax profit",$K63-$P63,$K63),WdrCap),0))</f>
        <v/>
      </c>
      <c r="R63" s="35">
        <f>IF($A63&gt;NYears*12,"",$F63+$J63-$O63-$Q63)</f>
        <v/>
      </c>
      <c r="S63" s="33">
        <f>IF($A63&gt;NYears*12,"",INT($R63/$E63))</f>
        <v/>
      </c>
    </row>
    <row r="64">
      <c r="A64" s="37">
        <f>60</f>
        <v/>
      </c>
      <c r="B64" s="38">
        <f>IF($A64&gt;NYears*12,"",EDATE(StartMonth,$A64-1))</f>
        <v/>
      </c>
      <c r="C64" s="37">
        <f>IF($A64&gt;NYears*12,"",INT(($A64-1)/12)+1)</f>
        <v/>
      </c>
      <c r="D64" s="37">
        <f>IF($A64&gt;NYears*12,"",MOD($A64-1,12)+1)</f>
        <v/>
      </c>
      <c r="E64" s="39">
        <f>IF($A64&gt;NYears*12,"",LotValue0*(1+LotGrowth)^($C64-1))</f>
        <v/>
      </c>
      <c r="F64" s="39">
        <f>IF($A64&gt;NYears*12,"",IF($A64=1,InitInvest,$R63))</f>
        <v/>
      </c>
      <c r="G64" s="37">
        <f>IF($A64&gt;NYears*12,"",INT($F64/$E64))</f>
        <v/>
      </c>
      <c r="H64" s="39">
        <f>IF($A64&gt;NYears*12,"",$G64*$E64)</f>
        <v/>
      </c>
      <c r="I64" s="39">
        <f>IF($A64&gt;NYears*12,"",$F64-$H64)</f>
        <v/>
      </c>
      <c r="J64" s="39">
        <f>IF($A64&gt;NYears*12,"",$H64*RateC)</f>
        <v/>
      </c>
      <c r="K64" s="39">
        <f>IF($A64&gt;NYears*12,"",IF($D64=1,$J64,$K63+$J64))</f>
        <v/>
      </c>
      <c r="L64" s="39">
        <f>IF($A64&gt;NYears*12,"",IF(MOD($D64,3)=0,SUM($J62:$J64),0))</f>
        <v/>
      </c>
      <c r="M64" s="39">
        <f>IF($A64&gt;NYears*12,"",IF(TaxFreq="Quarterly",$K64*12/$D64,$K64))</f>
        <v/>
      </c>
      <c r="N64" s="40">
        <f>IF($A64&gt;NYears*12,"",LOOKUP($M64,TaxLower,TaxRate))</f>
        <v/>
      </c>
      <c r="O64" s="39">
        <f>IF($A64&gt;NYears*12,"",IF(TaxFreq="Quarterly",IF(MOD($D64,3)=0,$L64*$N64,0),IF($D64=12,$K64*$N64,0)))</f>
        <v/>
      </c>
      <c r="P64" s="39">
        <f>IF($A64&gt;NYears*12,"",IF($D64=1,$O64,$P63+$O64))</f>
        <v/>
      </c>
      <c r="Q64" s="39">
        <f>IF($A64&gt;NYears*12,"",IF($D64=12,MIN(WdrPct*IF(WdrBase="Post-tax profit",$K64-$P64,$K64),WdrCap),0))</f>
        <v/>
      </c>
      <c r="R64" s="39">
        <f>IF($A64&gt;NYears*12,"",$F64+$J64-$O64-$Q64)</f>
        <v/>
      </c>
      <c r="S64" s="37">
        <f>IF($A64&gt;NYears*12,"",INT($R64/$E64))</f>
        <v/>
      </c>
    </row>
    <row r="65">
      <c r="A65" s="33">
        <f>61</f>
        <v/>
      </c>
      <c r="B65" s="34">
        <f>IF($A65&gt;NYears*12,"",EDATE(StartMonth,$A65-1))</f>
        <v/>
      </c>
      <c r="C65" s="33">
        <f>IF($A65&gt;NYears*12,"",INT(($A65-1)/12)+1)</f>
        <v/>
      </c>
      <c r="D65" s="33">
        <f>IF($A65&gt;NYears*12,"",MOD($A65-1,12)+1)</f>
        <v/>
      </c>
      <c r="E65" s="35">
        <f>IF($A65&gt;NYears*12,"",LotValue0*(1+LotGrowth)^($C65-1))</f>
        <v/>
      </c>
      <c r="F65" s="35">
        <f>IF($A65&gt;NYears*12,"",IF($A65=1,InitInvest,$R64))</f>
        <v/>
      </c>
      <c r="G65" s="33">
        <f>IF($A65&gt;NYears*12,"",INT($F65/$E65))</f>
        <v/>
      </c>
      <c r="H65" s="35">
        <f>IF($A65&gt;NYears*12,"",$G65*$E65)</f>
        <v/>
      </c>
      <c r="I65" s="35">
        <f>IF($A65&gt;NYears*12,"",$F65-$H65)</f>
        <v/>
      </c>
      <c r="J65" s="35">
        <f>IF($A65&gt;NYears*12,"",$H65*RateC)</f>
        <v/>
      </c>
      <c r="K65" s="35">
        <f>IF($A65&gt;NYears*12,"",IF($D65=1,$J65,$K64+$J65))</f>
        <v/>
      </c>
      <c r="L65" s="35">
        <f>IF($A65&gt;NYears*12,"",IF(MOD($D65,3)=0,SUM($J63:$J65),0))</f>
        <v/>
      </c>
      <c r="M65" s="35">
        <f>IF($A65&gt;NYears*12,"",IF(TaxFreq="Quarterly",$K65*12/$D65,$K65))</f>
        <v/>
      </c>
      <c r="N65" s="36">
        <f>IF($A65&gt;NYears*12,"",LOOKUP($M65,TaxLower,TaxRate))</f>
        <v/>
      </c>
      <c r="O65" s="35">
        <f>IF($A65&gt;NYears*12,"",IF(TaxFreq="Quarterly",IF(MOD($D65,3)=0,$L65*$N65,0),IF($D65=12,$K65*$N65,0)))</f>
        <v/>
      </c>
      <c r="P65" s="35">
        <f>IF($A65&gt;NYears*12,"",IF($D65=1,$O65,$P64+$O65))</f>
        <v/>
      </c>
      <c r="Q65" s="35">
        <f>IF($A65&gt;NYears*12,"",IF($D65=12,MIN(WdrPct*IF(WdrBase="Post-tax profit",$K65-$P65,$K65),WdrCap),0))</f>
        <v/>
      </c>
      <c r="R65" s="35">
        <f>IF($A65&gt;NYears*12,"",$F65+$J65-$O65-$Q65)</f>
        <v/>
      </c>
      <c r="S65" s="33">
        <f>IF($A65&gt;NYears*12,"",INT($R65/$E65))</f>
        <v/>
      </c>
    </row>
    <row r="66">
      <c r="A66" s="33">
        <f>62</f>
        <v/>
      </c>
      <c r="B66" s="34">
        <f>IF($A66&gt;NYears*12,"",EDATE(StartMonth,$A66-1))</f>
        <v/>
      </c>
      <c r="C66" s="33">
        <f>IF($A66&gt;NYears*12,"",INT(($A66-1)/12)+1)</f>
        <v/>
      </c>
      <c r="D66" s="33">
        <f>IF($A66&gt;NYears*12,"",MOD($A66-1,12)+1)</f>
        <v/>
      </c>
      <c r="E66" s="35">
        <f>IF($A66&gt;NYears*12,"",LotValue0*(1+LotGrowth)^($C66-1))</f>
        <v/>
      </c>
      <c r="F66" s="35">
        <f>IF($A66&gt;NYears*12,"",IF($A66=1,InitInvest,$R65))</f>
        <v/>
      </c>
      <c r="G66" s="33">
        <f>IF($A66&gt;NYears*12,"",INT($F66/$E66))</f>
        <v/>
      </c>
      <c r="H66" s="35">
        <f>IF($A66&gt;NYears*12,"",$G66*$E66)</f>
        <v/>
      </c>
      <c r="I66" s="35">
        <f>IF($A66&gt;NYears*12,"",$F66-$H66)</f>
        <v/>
      </c>
      <c r="J66" s="35">
        <f>IF($A66&gt;NYears*12,"",$H66*RateC)</f>
        <v/>
      </c>
      <c r="K66" s="35">
        <f>IF($A66&gt;NYears*12,"",IF($D66=1,$J66,$K65+$J66))</f>
        <v/>
      </c>
      <c r="L66" s="35">
        <f>IF($A66&gt;NYears*12,"",IF(MOD($D66,3)=0,SUM($J64:$J66),0))</f>
        <v/>
      </c>
      <c r="M66" s="35">
        <f>IF($A66&gt;NYears*12,"",IF(TaxFreq="Quarterly",$K66*12/$D66,$K66))</f>
        <v/>
      </c>
      <c r="N66" s="36">
        <f>IF($A66&gt;NYears*12,"",LOOKUP($M66,TaxLower,TaxRate))</f>
        <v/>
      </c>
      <c r="O66" s="35">
        <f>IF($A66&gt;NYears*12,"",IF(TaxFreq="Quarterly",IF(MOD($D66,3)=0,$L66*$N66,0),IF($D66=12,$K66*$N66,0)))</f>
        <v/>
      </c>
      <c r="P66" s="35">
        <f>IF($A66&gt;NYears*12,"",IF($D66=1,$O66,$P65+$O66))</f>
        <v/>
      </c>
      <c r="Q66" s="35">
        <f>IF($A66&gt;NYears*12,"",IF($D66=12,MIN(WdrPct*IF(WdrBase="Post-tax profit",$K66-$P66,$K66),WdrCap),0))</f>
        <v/>
      </c>
      <c r="R66" s="35">
        <f>IF($A66&gt;NYears*12,"",$F66+$J66-$O66-$Q66)</f>
        <v/>
      </c>
      <c r="S66" s="33">
        <f>IF($A66&gt;NYears*12,"",INT($R66/$E66))</f>
        <v/>
      </c>
    </row>
    <row r="67">
      <c r="A67" s="33">
        <f>63</f>
        <v/>
      </c>
      <c r="B67" s="34">
        <f>IF($A67&gt;NYears*12,"",EDATE(StartMonth,$A67-1))</f>
        <v/>
      </c>
      <c r="C67" s="33">
        <f>IF($A67&gt;NYears*12,"",INT(($A67-1)/12)+1)</f>
        <v/>
      </c>
      <c r="D67" s="33">
        <f>IF($A67&gt;NYears*12,"",MOD($A67-1,12)+1)</f>
        <v/>
      </c>
      <c r="E67" s="35">
        <f>IF($A67&gt;NYears*12,"",LotValue0*(1+LotGrowth)^($C67-1))</f>
        <v/>
      </c>
      <c r="F67" s="35">
        <f>IF($A67&gt;NYears*12,"",IF($A67=1,InitInvest,$R66))</f>
        <v/>
      </c>
      <c r="G67" s="33">
        <f>IF($A67&gt;NYears*12,"",INT($F67/$E67))</f>
        <v/>
      </c>
      <c r="H67" s="35">
        <f>IF($A67&gt;NYears*12,"",$G67*$E67)</f>
        <v/>
      </c>
      <c r="I67" s="35">
        <f>IF($A67&gt;NYears*12,"",$F67-$H67)</f>
        <v/>
      </c>
      <c r="J67" s="35">
        <f>IF($A67&gt;NYears*12,"",$H67*RateC)</f>
        <v/>
      </c>
      <c r="K67" s="35">
        <f>IF($A67&gt;NYears*12,"",IF($D67=1,$J67,$K66+$J67))</f>
        <v/>
      </c>
      <c r="L67" s="35">
        <f>IF($A67&gt;NYears*12,"",IF(MOD($D67,3)=0,SUM($J65:$J67),0))</f>
        <v/>
      </c>
      <c r="M67" s="35">
        <f>IF($A67&gt;NYears*12,"",IF(TaxFreq="Quarterly",$K67*12/$D67,$K67))</f>
        <v/>
      </c>
      <c r="N67" s="36">
        <f>IF($A67&gt;NYears*12,"",LOOKUP($M67,TaxLower,TaxRate))</f>
        <v/>
      </c>
      <c r="O67" s="35">
        <f>IF($A67&gt;NYears*12,"",IF(TaxFreq="Quarterly",IF(MOD($D67,3)=0,$L67*$N67,0),IF($D67=12,$K67*$N67,0)))</f>
        <v/>
      </c>
      <c r="P67" s="35">
        <f>IF($A67&gt;NYears*12,"",IF($D67=1,$O67,$P66+$O67))</f>
        <v/>
      </c>
      <c r="Q67" s="35">
        <f>IF($A67&gt;NYears*12,"",IF($D67=12,MIN(WdrPct*IF(WdrBase="Post-tax profit",$K67-$P67,$K67),WdrCap),0))</f>
        <v/>
      </c>
      <c r="R67" s="35">
        <f>IF($A67&gt;NYears*12,"",$F67+$J67-$O67-$Q67)</f>
        <v/>
      </c>
      <c r="S67" s="33">
        <f>IF($A67&gt;NYears*12,"",INT($R67/$E67))</f>
        <v/>
      </c>
    </row>
    <row r="68">
      <c r="A68" s="33">
        <f>64</f>
        <v/>
      </c>
      <c r="B68" s="34">
        <f>IF($A68&gt;NYears*12,"",EDATE(StartMonth,$A68-1))</f>
        <v/>
      </c>
      <c r="C68" s="33">
        <f>IF($A68&gt;NYears*12,"",INT(($A68-1)/12)+1)</f>
        <v/>
      </c>
      <c r="D68" s="33">
        <f>IF($A68&gt;NYears*12,"",MOD($A68-1,12)+1)</f>
        <v/>
      </c>
      <c r="E68" s="35">
        <f>IF($A68&gt;NYears*12,"",LotValue0*(1+LotGrowth)^($C68-1))</f>
        <v/>
      </c>
      <c r="F68" s="35">
        <f>IF($A68&gt;NYears*12,"",IF($A68=1,InitInvest,$R67))</f>
        <v/>
      </c>
      <c r="G68" s="33">
        <f>IF($A68&gt;NYears*12,"",INT($F68/$E68))</f>
        <v/>
      </c>
      <c r="H68" s="35">
        <f>IF($A68&gt;NYears*12,"",$G68*$E68)</f>
        <v/>
      </c>
      <c r="I68" s="35">
        <f>IF($A68&gt;NYears*12,"",$F68-$H68)</f>
        <v/>
      </c>
      <c r="J68" s="35">
        <f>IF($A68&gt;NYears*12,"",$H68*RateC)</f>
        <v/>
      </c>
      <c r="K68" s="35">
        <f>IF($A68&gt;NYears*12,"",IF($D68=1,$J68,$K67+$J68))</f>
        <v/>
      </c>
      <c r="L68" s="35">
        <f>IF($A68&gt;NYears*12,"",IF(MOD($D68,3)=0,SUM($J66:$J68),0))</f>
        <v/>
      </c>
      <c r="M68" s="35">
        <f>IF($A68&gt;NYears*12,"",IF(TaxFreq="Quarterly",$K68*12/$D68,$K68))</f>
        <v/>
      </c>
      <c r="N68" s="36">
        <f>IF($A68&gt;NYears*12,"",LOOKUP($M68,TaxLower,TaxRate))</f>
        <v/>
      </c>
      <c r="O68" s="35">
        <f>IF($A68&gt;NYears*12,"",IF(TaxFreq="Quarterly",IF(MOD($D68,3)=0,$L68*$N68,0),IF($D68=12,$K68*$N68,0)))</f>
        <v/>
      </c>
      <c r="P68" s="35">
        <f>IF($A68&gt;NYears*12,"",IF($D68=1,$O68,$P67+$O68))</f>
        <v/>
      </c>
      <c r="Q68" s="35">
        <f>IF($A68&gt;NYears*12,"",IF($D68=12,MIN(WdrPct*IF(WdrBase="Post-tax profit",$K68-$P68,$K68),WdrCap),0))</f>
        <v/>
      </c>
      <c r="R68" s="35">
        <f>IF($A68&gt;NYears*12,"",$F68+$J68-$O68-$Q68)</f>
        <v/>
      </c>
      <c r="S68" s="33">
        <f>IF($A68&gt;NYears*12,"",INT($R68/$E68))</f>
        <v/>
      </c>
    </row>
    <row r="69">
      <c r="A69" s="33">
        <f>65</f>
        <v/>
      </c>
      <c r="B69" s="34">
        <f>IF($A69&gt;NYears*12,"",EDATE(StartMonth,$A69-1))</f>
        <v/>
      </c>
      <c r="C69" s="33">
        <f>IF($A69&gt;NYears*12,"",INT(($A69-1)/12)+1)</f>
        <v/>
      </c>
      <c r="D69" s="33">
        <f>IF($A69&gt;NYears*12,"",MOD($A69-1,12)+1)</f>
        <v/>
      </c>
      <c r="E69" s="35">
        <f>IF($A69&gt;NYears*12,"",LotValue0*(1+LotGrowth)^($C69-1))</f>
        <v/>
      </c>
      <c r="F69" s="35">
        <f>IF($A69&gt;NYears*12,"",IF($A69=1,InitInvest,$R68))</f>
        <v/>
      </c>
      <c r="G69" s="33">
        <f>IF($A69&gt;NYears*12,"",INT($F69/$E69))</f>
        <v/>
      </c>
      <c r="H69" s="35">
        <f>IF($A69&gt;NYears*12,"",$G69*$E69)</f>
        <v/>
      </c>
      <c r="I69" s="35">
        <f>IF($A69&gt;NYears*12,"",$F69-$H69)</f>
        <v/>
      </c>
      <c r="J69" s="35">
        <f>IF($A69&gt;NYears*12,"",$H69*RateC)</f>
        <v/>
      </c>
      <c r="K69" s="35">
        <f>IF($A69&gt;NYears*12,"",IF($D69=1,$J69,$K68+$J69))</f>
        <v/>
      </c>
      <c r="L69" s="35">
        <f>IF($A69&gt;NYears*12,"",IF(MOD($D69,3)=0,SUM($J67:$J69),0))</f>
        <v/>
      </c>
      <c r="M69" s="35">
        <f>IF($A69&gt;NYears*12,"",IF(TaxFreq="Quarterly",$K69*12/$D69,$K69))</f>
        <v/>
      </c>
      <c r="N69" s="36">
        <f>IF($A69&gt;NYears*12,"",LOOKUP($M69,TaxLower,TaxRate))</f>
        <v/>
      </c>
      <c r="O69" s="35">
        <f>IF($A69&gt;NYears*12,"",IF(TaxFreq="Quarterly",IF(MOD($D69,3)=0,$L69*$N69,0),IF($D69=12,$K69*$N69,0)))</f>
        <v/>
      </c>
      <c r="P69" s="35">
        <f>IF($A69&gt;NYears*12,"",IF($D69=1,$O69,$P68+$O69))</f>
        <v/>
      </c>
      <c r="Q69" s="35">
        <f>IF($A69&gt;NYears*12,"",IF($D69=12,MIN(WdrPct*IF(WdrBase="Post-tax profit",$K69-$P69,$K69),WdrCap),0))</f>
        <v/>
      </c>
      <c r="R69" s="35">
        <f>IF($A69&gt;NYears*12,"",$F69+$J69-$O69-$Q69)</f>
        <v/>
      </c>
      <c r="S69" s="33">
        <f>IF($A69&gt;NYears*12,"",INT($R69/$E69))</f>
        <v/>
      </c>
    </row>
    <row r="70">
      <c r="A70" s="33">
        <f>66</f>
        <v/>
      </c>
      <c r="B70" s="34">
        <f>IF($A70&gt;NYears*12,"",EDATE(StartMonth,$A70-1))</f>
        <v/>
      </c>
      <c r="C70" s="33">
        <f>IF($A70&gt;NYears*12,"",INT(($A70-1)/12)+1)</f>
        <v/>
      </c>
      <c r="D70" s="33">
        <f>IF($A70&gt;NYears*12,"",MOD($A70-1,12)+1)</f>
        <v/>
      </c>
      <c r="E70" s="35">
        <f>IF($A70&gt;NYears*12,"",LotValue0*(1+LotGrowth)^($C70-1))</f>
        <v/>
      </c>
      <c r="F70" s="35">
        <f>IF($A70&gt;NYears*12,"",IF($A70=1,InitInvest,$R69))</f>
        <v/>
      </c>
      <c r="G70" s="33">
        <f>IF($A70&gt;NYears*12,"",INT($F70/$E70))</f>
        <v/>
      </c>
      <c r="H70" s="35">
        <f>IF($A70&gt;NYears*12,"",$G70*$E70)</f>
        <v/>
      </c>
      <c r="I70" s="35">
        <f>IF($A70&gt;NYears*12,"",$F70-$H70)</f>
        <v/>
      </c>
      <c r="J70" s="35">
        <f>IF($A70&gt;NYears*12,"",$H70*RateC)</f>
        <v/>
      </c>
      <c r="K70" s="35">
        <f>IF($A70&gt;NYears*12,"",IF($D70=1,$J70,$K69+$J70))</f>
        <v/>
      </c>
      <c r="L70" s="35">
        <f>IF($A70&gt;NYears*12,"",IF(MOD($D70,3)=0,SUM($J68:$J70),0))</f>
        <v/>
      </c>
      <c r="M70" s="35">
        <f>IF($A70&gt;NYears*12,"",IF(TaxFreq="Quarterly",$K70*12/$D70,$K70))</f>
        <v/>
      </c>
      <c r="N70" s="36">
        <f>IF($A70&gt;NYears*12,"",LOOKUP($M70,TaxLower,TaxRate))</f>
        <v/>
      </c>
      <c r="O70" s="35">
        <f>IF($A70&gt;NYears*12,"",IF(TaxFreq="Quarterly",IF(MOD($D70,3)=0,$L70*$N70,0),IF($D70=12,$K70*$N70,0)))</f>
        <v/>
      </c>
      <c r="P70" s="35">
        <f>IF($A70&gt;NYears*12,"",IF($D70=1,$O70,$P69+$O70))</f>
        <v/>
      </c>
      <c r="Q70" s="35">
        <f>IF($A70&gt;NYears*12,"",IF($D70=12,MIN(WdrPct*IF(WdrBase="Post-tax profit",$K70-$P70,$K70),WdrCap),0))</f>
        <v/>
      </c>
      <c r="R70" s="35">
        <f>IF($A70&gt;NYears*12,"",$F70+$J70-$O70-$Q70)</f>
        <v/>
      </c>
      <c r="S70" s="33">
        <f>IF($A70&gt;NYears*12,"",INT($R70/$E70))</f>
        <v/>
      </c>
    </row>
    <row r="71">
      <c r="A71" s="33">
        <f>67</f>
        <v/>
      </c>
      <c r="B71" s="34">
        <f>IF($A71&gt;NYears*12,"",EDATE(StartMonth,$A71-1))</f>
        <v/>
      </c>
      <c r="C71" s="33">
        <f>IF($A71&gt;NYears*12,"",INT(($A71-1)/12)+1)</f>
        <v/>
      </c>
      <c r="D71" s="33">
        <f>IF($A71&gt;NYears*12,"",MOD($A71-1,12)+1)</f>
        <v/>
      </c>
      <c r="E71" s="35">
        <f>IF($A71&gt;NYears*12,"",LotValue0*(1+LotGrowth)^($C71-1))</f>
        <v/>
      </c>
      <c r="F71" s="35">
        <f>IF($A71&gt;NYears*12,"",IF($A71=1,InitInvest,$R70))</f>
        <v/>
      </c>
      <c r="G71" s="33">
        <f>IF($A71&gt;NYears*12,"",INT($F71/$E71))</f>
        <v/>
      </c>
      <c r="H71" s="35">
        <f>IF($A71&gt;NYears*12,"",$G71*$E71)</f>
        <v/>
      </c>
      <c r="I71" s="35">
        <f>IF($A71&gt;NYears*12,"",$F71-$H71)</f>
        <v/>
      </c>
      <c r="J71" s="35">
        <f>IF($A71&gt;NYears*12,"",$H71*RateC)</f>
        <v/>
      </c>
      <c r="K71" s="35">
        <f>IF($A71&gt;NYears*12,"",IF($D71=1,$J71,$K70+$J71))</f>
        <v/>
      </c>
      <c r="L71" s="35">
        <f>IF($A71&gt;NYears*12,"",IF(MOD($D71,3)=0,SUM($J69:$J71),0))</f>
        <v/>
      </c>
      <c r="M71" s="35">
        <f>IF($A71&gt;NYears*12,"",IF(TaxFreq="Quarterly",$K71*12/$D71,$K71))</f>
        <v/>
      </c>
      <c r="N71" s="36">
        <f>IF($A71&gt;NYears*12,"",LOOKUP($M71,TaxLower,TaxRate))</f>
        <v/>
      </c>
      <c r="O71" s="35">
        <f>IF($A71&gt;NYears*12,"",IF(TaxFreq="Quarterly",IF(MOD($D71,3)=0,$L71*$N71,0),IF($D71=12,$K71*$N71,0)))</f>
        <v/>
      </c>
      <c r="P71" s="35">
        <f>IF($A71&gt;NYears*12,"",IF($D71=1,$O71,$P70+$O71))</f>
        <v/>
      </c>
      <c r="Q71" s="35">
        <f>IF($A71&gt;NYears*12,"",IF($D71=12,MIN(WdrPct*IF(WdrBase="Post-tax profit",$K71-$P71,$K71),WdrCap),0))</f>
        <v/>
      </c>
      <c r="R71" s="35">
        <f>IF($A71&gt;NYears*12,"",$F71+$J71-$O71-$Q71)</f>
        <v/>
      </c>
      <c r="S71" s="33">
        <f>IF($A71&gt;NYears*12,"",INT($R71/$E71))</f>
        <v/>
      </c>
    </row>
    <row r="72">
      <c r="A72" s="33">
        <f>68</f>
        <v/>
      </c>
      <c r="B72" s="34">
        <f>IF($A72&gt;NYears*12,"",EDATE(StartMonth,$A72-1))</f>
        <v/>
      </c>
      <c r="C72" s="33">
        <f>IF($A72&gt;NYears*12,"",INT(($A72-1)/12)+1)</f>
        <v/>
      </c>
      <c r="D72" s="33">
        <f>IF($A72&gt;NYears*12,"",MOD($A72-1,12)+1)</f>
        <v/>
      </c>
      <c r="E72" s="35">
        <f>IF($A72&gt;NYears*12,"",LotValue0*(1+LotGrowth)^($C72-1))</f>
        <v/>
      </c>
      <c r="F72" s="35">
        <f>IF($A72&gt;NYears*12,"",IF($A72=1,InitInvest,$R71))</f>
        <v/>
      </c>
      <c r="G72" s="33">
        <f>IF($A72&gt;NYears*12,"",INT($F72/$E72))</f>
        <v/>
      </c>
      <c r="H72" s="35">
        <f>IF($A72&gt;NYears*12,"",$G72*$E72)</f>
        <v/>
      </c>
      <c r="I72" s="35">
        <f>IF($A72&gt;NYears*12,"",$F72-$H72)</f>
        <v/>
      </c>
      <c r="J72" s="35">
        <f>IF($A72&gt;NYears*12,"",$H72*RateC)</f>
        <v/>
      </c>
      <c r="K72" s="35">
        <f>IF($A72&gt;NYears*12,"",IF($D72=1,$J72,$K71+$J72))</f>
        <v/>
      </c>
      <c r="L72" s="35">
        <f>IF($A72&gt;NYears*12,"",IF(MOD($D72,3)=0,SUM($J70:$J72),0))</f>
        <v/>
      </c>
      <c r="M72" s="35">
        <f>IF($A72&gt;NYears*12,"",IF(TaxFreq="Quarterly",$K72*12/$D72,$K72))</f>
        <v/>
      </c>
      <c r="N72" s="36">
        <f>IF($A72&gt;NYears*12,"",LOOKUP($M72,TaxLower,TaxRate))</f>
        <v/>
      </c>
      <c r="O72" s="35">
        <f>IF($A72&gt;NYears*12,"",IF(TaxFreq="Quarterly",IF(MOD($D72,3)=0,$L72*$N72,0),IF($D72=12,$K72*$N72,0)))</f>
        <v/>
      </c>
      <c r="P72" s="35">
        <f>IF($A72&gt;NYears*12,"",IF($D72=1,$O72,$P71+$O72))</f>
        <v/>
      </c>
      <c r="Q72" s="35">
        <f>IF($A72&gt;NYears*12,"",IF($D72=12,MIN(WdrPct*IF(WdrBase="Post-tax profit",$K72-$P72,$K72),WdrCap),0))</f>
        <v/>
      </c>
      <c r="R72" s="35">
        <f>IF($A72&gt;NYears*12,"",$F72+$J72-$O72-$Q72)</f>
        <v/>
      </c>
      <c r="S72" s="33">
        <f>IF($A72&gt;NYears*12,"",INT($R72/$E72))</f>
        <v/>
      </c>
    </row>
    <row r="73">
      <c r="A73" s="33">
        <f>69</f>
        <v/>
      </c>
      <c r="B73" s="34">
        <f>IF($A73&gt;NYears*12,"",EDATE(StartMonth,$A73-1))</f>
        <v/>
      </c>
      <c r="C73" s="33">
        <f>IF($A73&gt;NYears*12,"",INT(($A73-1)/12)+1)</f>
        <v/>
      </c>
      <c r="D73" s="33">
        <f>IF($A73&gt;NYears*12,"",MOD($A73-1,12)+1)</f>
        <v/>
      </c>
      <c r="E73" s="35">
        <f>IF($A73&gt;NYears*12,"",LotValue0*(1+LotGrowth)^($C73-1))</f>
        <v/>
      </c>
      <c r="F73" s="35">
        <f>IF($A73&gt;NYears*12,"",IF($A73=1,InitInvest,$R72))</f>
        <v/>
      </c>
      <c r="G73" s="33">
        <f>IF($A73&gt;NYears*12,"",INT($F73/$E73))</f>
        <v/>
      </c>
      <c r="H73" s="35">
        <f>IF($A73&gt;NYears*12,"",$G73*$E73)</f>
        <v/>
      </c>
      <c r="I73" s="35">
        <f>IF($A73&gt;NYears*12,"",$F73-$H73)</f>
        <v/>
      </c>
      <c r="J73" s="35">
        <f>IF($A73&gt;NYears*12,"",$H73*RateC)</f>
        <v/>
      </c>
      <c r="K73" s="35">
        <f>IF($A73&gt;NYears*12,"",IF($D73=1,$J73,$K72+$J73))</f>
        <v/>
      </c>
      <c r="L73" s="35">
        <f>IF($A73&gt;NYears*12,"",IF(MOD($D73,3)=0,SUM($J71:$J73),0))</f>
        <v/>
      </c>
      <c r="M73" s="35">
        <f>IF($A73&gt;NYears*12,"",IF(TaxFreq="Quarterly",$K73*12/$D73,$K73))</f>
        <v/>
      </c>
      <c r="N73" s="36">
        <f>IF($A73&gt;NYears*12,"",LOOKUP($M73,TaxLower,TaxRate))</f>
        <v/>
      </c>
      <c r="O73" s="35">
        <f>IF($A73&gt;NYears*12,"",IF(TaxFreq="Quarterly",IF(MOD($D73,3)=0,$L73*$N73,0),IF($D73=12,$K73*$N73,0)))</f>
        <v/>
      </c>
      <c r="P73" s="35">
        <f>IF($A73&gt;NYears*12,"",IF($D73=1,$O73,$P72+$O73))</f>
        <v/>
      </c>
      <c r="Q73" s="35">
        <f>IF($A73&gt;NYears*12,"",IF($D73=12,MIN(WdrPct*IF(WdrBase="Post-tax profit",$K73-$P73,$K73),WdrCap),0))</f>
        <v/>
      </c>
      <c r="R73" s="35">
        <f>IF($A73&gt;NYears*12,"",$F73+$J73-$O73-$Q73)</f>
        <v/>
      </c>
      <c r="S73" s="33">
        <f>IF($A73&gt;NYears*12,"",INT($R73/$E73))</f>
        <v/>
      </c>
    </row>
    <row r="74">
      <c r="A74" s="33">
        <f>70</f>
        <v/>
      </c>
      <c r="B74" s="34">
        <f>IF($A74&gt;NYears*12,"",EDATE(StartMonth,$A74-1))</f>
        <v/>
      </c>
      <c r="C74" s="33">
        <f>IF($A74&gt;NYears*12,"",INT(($A74-1)/12)+1)</f>
        <v/>
      </c>
      <c r="D74" s="33">
        <f>IF($A74&gt;NYears*12,"",MOD($A74-1,12)+1)</f>
        <v/>
      </c>
      <c r="E74" s="35">
        <f>IF($A74&gt;NYears*12,"",LotValue0*(1+LotGrowth)^($C74-1))</f>
        <v/>
      </c>
      <c r="F74" s="35">
        <f>IF($A74&gt;NYears*12,"",IF($A74=1,InitInvest,$R73))</f>
        <v/>
      </c>
      <c r="G74" s="33">
        <f>IF($A74&gt;NYears*12,"",INT($F74/$E74))</f>
        <v/>
      </c>
      <c r="H74" s="35">
        <f>IF($A74&gt;NYears*12,"",$G74*$E74)</f>
        <v/>
      </c>
      <c r="I74" s="35">
        <f>IF($A74&gt;NYears*12,"",$F74-$H74)</f>
        <v/>
      </c>
      <c r="J74" s="35">
        <f>IF($A74&gt;NYears*12,"",$H74*RateC)</f>
        <v/>
      </c>
      <c r="K74" s="35">
        <f>IF($A74&gt;NYears*12,"",IF($D74=1,$J74,$K73+$J74))</f>
        <v/>
      </c>
      <c r="L74" s="35">
        <f>IF($A74&gt;NYears*12,"",IF(MOD($D74,3)=0,SUM($J72:$J74),0))</f>
        <v/>
      </c>
      <c r="M74" s="35">
        <f>IF($A74&gt;NYears*12,"",IF(TaxFreq="Quarterly",$K74*12/$D74,$K74))</f>
        <v/>
      </c>
      <c r="N74" s="36">
        <f>IF($A74&gt;NYears*12,"",LOOKUP($M74,TaxLower,TaxRate))</f>
        <v/>
      </c>
      <c r="O74" s="35">
        <f>IF($A74&gt;NYears*12,"",IF(TaxFreq="Quarterly",IF(MOD($D74,3)=0,$L74*$N74,0),IF($D74=12,$K74*$N74,0)))</f>
        <v/>
      </c>
      <c r="P74" s="35">
        <f>IF($A74&gt;NYears*12,"",IF($D74=1,$O74,$P73+$O74))</f>
        <v/>
      </c>
      <c r="Q74" s="35">
        <f>IF($A74&gt;NYears*12,"",IF($D74=12,MIN(WdrPct*IF(WdrBase="Post-tax profit",$K74-$P74,$K74),WdrCap),0))</f>
        <v/>
      </c>
      <c r="R74" s="35">
        <f>IF($A74&gt;NYears*12,"",$F74+$J74-$O74-$Q74)</f>
        <v/>
      </c>
      <c r="S74" s="33">
        <f>IF($A74&gt;NYears*12,"",INT($R74/$E74))</f>
        <v/>
      </c>
    </row>
    <row r="75">
      <c r="A75" s="33">
        <f>71</f>
        <v/>
      </c>
      <c r="B75" s="34">
        <f>IF($A75&gt;NYears*12,"",EDATE(StartMonth,$A75-1))</f>
        <v/>
      </c>
      <c r="C75" s="33">
        <f>IF($A75&gt;NYears*12,"",INT(($A75-1)/12)+1)</f>
        <v/>
      </c>
      <c r="D75" s="33">
        <f>IF($A75&gt;NYears*12,"",MOD($A75-1,12)+1)</f>
        <v/>
      </c>
      <c r="E75" s="35">
        <f>IF($A75&gt;NYears*12,"",LotValue0*(1+LotGrowth)^($C75-1))</f>
        <v/>
      </c>
      <c r="F75" s="35">
        <f>IF($A75&gt;NYears*12,"",IF($A75=1,InitInvest,$R74))</f>
        <v/>
      </c>
      <c r="G75" s="33">
        <f>IF($A75&gt;NYears*12,"",INT($F75/$E75))</f>
        <v/>
      </c>
      <c r="H75" s="35">
        <f>IF($A75&gt;NYears*12,"",$G75*$E75)</f>
        <v/>
      </c>
      <c r="I75" s="35">
        <f>IF($A75&gt;NYears*12,"",$F75-$H75)</f>
        <v/>
      </c>
      <c r="J75" s="35">
        <f>IF($A75&gt;NYears*12,"",$H75*RateC)</f>
        <v/>
      </c>
      <c r="K75" s="35">
        <f>IF($A75&gt;NYears*12,"",IF($D75=1,$J75,$K74+$J75))</f>
        <v/>
      </c>
      <c r="L75" s="35">
        <f>IF($A75&gt;NYears*12,"",IF(MOD($D75,3)=0,SUM($J73:$J75),0))</f>
        <v/>
      </c>
      <c r="M75" s="35">
        <f>IF($A75&gt;NYears*12,"",IF(TaxFreq="Quarterly",$K75*12/$D75,$K75))</f>
        <v/>
      </c>
      <c r="N75" s="36">
        <f>IF($A75&gt;NYears*12,"",LOOKUP($M75,TaxLower,TaxRate))</f>
        <v/>
      </c>
      <c r="O75" s="35">
        <f>IF($A75&gt;NYears*12,"",IF(TaxFreq="Quarterly",IF(MOD($D75,3)=0,$L75*$N75,0),IF($D75=12,$K75*$N75,0)))</f>
        <v/>
      </c>
      <c r="P75" s="35">
        <f>IF($A75&gt;NYears*12,"",IF($D75=1,$O75,$P74+$O75))</f>
        <v/>
      </c>
      <c r="Q75" s="35">
        <f>IF($A75&gt;NYears*12,"",IF($D75=12,MIN(WdrPct*IF(WdrBase="Post-tax profit",$K75-$P75,$K75),WdrCap),0))</f>
        <v/>
      </c>
      <c r="R75" s="35">
        <f>IF($A75&gt;NYears*12,"",$F75+$J75-$O75-$Q75)</f>
        <v/>
      </c>
      <c r="S75" s="33">
        <f>IF($A75&gt;NYears*12,"",INT($R75/$E75))</f>
        <v/>
      </c>
    </row>
    <row r="76">
      <c r="A76" s="37">
        <f>72</f>
        <v/>
      </c>
      <c r="B76" s="38">
        <f>IF($A76&gt;NYears*12,"",EDATE(StartMonth,$A76-1))</f>
        <v/>
      </c>
      <c r="C76" s="37">
        <f>IF($A76&gt;NYears*12,"",INT(($A76-1)/12)+1)</f>
        <v/>
      </c>
      <c r="D76" s="37">
        <f>IF($A76&gt;NYears*12,"",MOD($A76-1,12)+1)</f>
        <v/>
      </c>
      <c r="E76" s="39">
        <f>IF($A76&gt;NYears*12,"",LotValue0*(1+LotGrowth)^($C76-1))</f>
        <v/>
      </c>
      <c r="F76" s="39">
        <f>IF($A76&gt;NYears*12,"",IF($A76=1,InitInvest,$R75))</f>
        <v/>
      </c>
      <c r="G76" s="37">
        <f>IF($A76&gt;NYears*12,"",INT($F76/$E76))</f>
        <v/>
      </c>
      <c r="H76" s="39">
        <f>IF($A76&gt;NYears*12,"",$G76*$E76)</f>
        <v/>
      </c>
      <c r="I76" s="39">
        <f>IF($A76&gt;NYears*12,"",$F76-$H76)</f>
        <v/>
      </c>
      <c r="J76" s="39">
        <f>IF($A76&gt;NYears*12,"",$H76*RateC)</f>
        <v/>
      </c>
      <c r="K76" s="39">
        <f>IF($A76&gt;NYears*12,"",IF($D76=1,$J76,$K75+$J76))</f>
        <v/>
      </c>
      <c r="L76" s="39">
        <f>IF($A76&gt;NYears*12,"",IF(MOD($D76,3)=0,SUM($J74:$J76),0))</f>
        <v/>
      </c>
      <c r="M76" s="39">
        <f>IF($A76&gt;NYears*12,"",IF(TaxFreq="Quarterly",$K76*12/$D76,$K76))</f>
        <v/>
      </c>
      <c r="N76" s="40">
        <f>IF($A76&gt;NYears*12,"",LOOKUP($M76,TaxLower,TaxRate))</f>
        <v/>
      </c>
      <c r="O76" s="39">
        <f>IF($A76&gt;NYears*12,"",IF(TaxFreq="Quarterly",IF(MOD($D76,3)=0,$L76*$N76,0),IF($D76=12,$K76*$N76,0)))</f>
        <v/>
      </c>
      <c r="P76" s="39">
        <f>IF($A76&gt;NYears*12,"",IF($D76=1,$O76,$P75+$O76))</f>
        <v/>
      </c>
      <c r="Q76" s="39">
        <f>IF($A76&gt;NYears*12,"",IF($D76=12,MIN(WdrPct*IF(WdrBase="Post-tax profit",$K76-$P76,$K76),WdrCap),0))</f>
        <v/>
      </c>
      <c r="R76" s="39">
        <f>IF($A76&gt;NYears*12,"",$F76+$J76-$O76-$Q76)</f>
        <v/>
      </c>
      <c r="S76" s="37">
        <f>IF($A76&gt;NYears*12,"",INT($R76/$E76))</f>
        <v/>
      </c>
    </row>
    <row r="77">
      <c r="A77" s="33">
        <f>73</f>
        <v/>
      </c>
      <c r="B77" s="34">
        <f>IF($A77&gt;NYears*12,"",EDATE(StartMonth,$A77-1))</f>
        <v/>
      </c>
      <c r="C77" s="33">
        <f>IF($A77&gt;NYears*12,"",INT(($A77-1)/12)+1)</f>
        <v/>
      </c>
      <c r="D77" s="33">
        <f>IF($A77&gt;NYears*12,"",MOD($A77-1,12)+1)</f>
        <v/>
      </c>
      <c r="E77" s="35">
        <f>IF($A77&gt;NYears*12,"",LotValue0*(1+LotGrowth)^($C77-1))</f>
        <v/>
      </c>
      <c r="F77" s="35">
        <f>IF($A77&gt;NYears*12,"",IF($A77=1,InitInvest,$R76))</f>
        <v/>
      </c>
      <c r="G77" s="33">
        <f>IF($A77&gt;NYears*12,"",INT($F77/$E77))</f>
        <v/>
      </c>
      <c r="H77" s="35">
        <f>IF($A77&gt;NYears*12,"",$G77*$E77)</f>
        <v/>
      </c>
      <c r="I77" s="35">
        <f>IF($A77&gt;NYears*12,"",$F77-$H77)</f>
        <v/>
      </c>
      <c r="J77" s="35">
        <f>IF($A77&gt;NYears*12,"",$H77*RateC)</f>
        <v/>
      </c>
      <c r="K77" s="35">
        <f>IF($A77&gt;NYears*12,"",IF($D77=1,$J77,$K76+$J77))</f>
        <v/>
      </c>
      <c r="L77" s="35">
        <f>IF($A77&gt;NYears*12,"",IF(MOD($D77,3)=0,SUM($J75:$J77),0))</f>
        <v/>
      </c>
      <c r="M77" s="35">
        <f>IF($A77&gt;NYears*12,"",IF(TaxFreq="Quarterly",$K77*12/$D77,$K77))</f>
        <v/>
      </c>
      <c r="N77" s="36">
        <f>IF($A77&gt;NYears*12,"",LOOKUP($M77,TaxLower,TaxRate))</f>
        <v/>
      </c>
      <c r="O77" s="35">
        <f>IF($A77&gt;NYears*12,"",IF(TaxFreq="Quarterly",IF(MOD($D77,3)=0,$L77*$N77,0),IF($D77=12,$K77*$N77,0)))</f>
        <v/>
      </c>
      <c r="P77" s="35">
        <f>IF($A77&gt;NYears*12,"",IF($D77=1,$O77,$P76+$O77))</f>
        <v/>
      </c>
      <c r="Q77" s="35">
        <f>IF($A77&gt;NYears*12,"",IF($D77=12,MIN(WdrPct*IF(WdrBase="Post-tax profit",$K77-$P77,$K77),WdrCap),0))</f>
        <v/>
      </c>
      <c r="R77" s="35">
        <f>IF($A77&gt;NYears*12,"",$F77+$J77-$O77-$Q77)</f>
        <v/>
      </c>
      <c r="S77" s="33">
        <f>IF($A77&gt;NYears*12,"",INT($R77/$E77))</f>
        <v/>
      </c>
    </row>
    <row r="78">
      <c r="A78" s="33">
        <f>74</f>
        <v/>
      </c>
      <c r="B78" s="34">
        <f>IF($A78&gt;NYears*12,"",EDATE(StartMonth,$A78-1))</f>
        <v/>
      </c>
      <c r="C78" s="33">
        <f>IF($A78&gt;NYears*12,"",INT(($A78-1)/12)+1)</f>
        <v/>
      </c>
      <c r="D78" s="33">
        <f>IF($A78&gt;NYears*12,"",MOD($A78-1,12)+1)</f>
        <v/>
      </c>
      <c r="E78" s="35">
        <f>IF($A78&gt;NYears*12,"",LotValue0*(1+LotGrowth)^($C78-1))</f>
        <v/>
      </c>
      <c r="F78" s="35">
        <f>IF($A78&gt;NYears*12,"",IF($A78=1,InitInvest,$R77))</f>
        <v/>
      </c>
      <c r="G78" s="33">
        <f>IF($A78&gt;NYears*12,"",INT($F78/$E78))</f>
        <v/>
      </c>
      <c r="H78" s="35">
        <f>IF($A78&gt;NYears*12,"",$G78*$E78)</f>
        <v/>
      </c>
      <c r="I78" s="35">
        <f>IF($A78&gt;NYears*12,"",$F78-$H78)</f>
        <v/>
      </c>
      <c r="J78" s="35">
        <f>IF($A78&gt;NYears*12,"",$H78*RateC)</f>
        <v/>
      </c>
      <c r="K78" s="35">
        <f>IF($A78&gt;NYears*12,"",IF($D78=1,$J78,$K77+$J78))</f>
        <v/>
      </c>
      <c r="L78" s="35">
        <f>IF($A78&gt;NYears*12,"",IF(MOD($D78,3)=0,SUM($J76:$J78),0))</f>
        <v/>
      </c>
      <c r="M78" s="35">
        <f>IF($A78&gt;NYears*12,"",IF(TaxFreq="Quarterly",$K78*12/$D78,$K78))</f>
        <v/>
      </c>
      <c r="N78" s="36">
        <f>IF($A78&gt;NYears*12,"",LOOKUP($M78,TaxLower,TaxRate))</f>
        <v/>
      </c>
      <c r="O78" s="35">
        <f>IF($A78&gt;NYears*12,"",IF(TaxFreq="Quarterly",IF(MOD($D78,3)=0,$L78*$N78,0),IF($D78=12,$K78*$N78,0)))</f>
        <v/>
      </c>
      <c r="P78" s="35">
        <f>IF($A78&gt;NYears*12,"",IF($D78=1,$O78,$P77+$O78))</f>
        <v/>
      </c>
      <c r="Q78" s="35">
        <f>IF($A78&gt;NYears*12,"",IF($D78=12,MIN(WdrPct*IF(WdrBase="Post-tax profit",$K78-$P78,$K78),WdrCap),0))</f>
        <v/>
      </c>
      <c r="R78" s="35">
        <f>IF($A78&gt;NYears*12,"",$F78+$J78-$O78-$Q78)</f>
        <v/>
      </c>
      <c r="S78" s="33">
        <f>IF($A78&gt;NYears*12,"",INT($R78/$E78))</f>
        <v/>
      </c>
    </row>
    <row r="79">
      <c r="A79" s="33">
        <f>75</f>
        <v/>
      </c>
      <c r="B79" s="34">
        <f>IF($A79&gt;NYears*12,"",EDATE(StartMonth,$A79-1))</f>
        <v/>
      </c>
      <c r="C79" s="33">
        <f>IF($A79&gt;NYears*12,"",INT(($A79-1)/12)+1)</f>
        <v/>
      </c>
      <c r="D79" s="33">
        <f>IF($A79&gt;NYears*12,"",MOD($A79-1,12)+1)</f>
        <v/>
      </c>
      <c r="E79" s="35">
        <f>IF($A79&gt;NYears*12,"",LotValue0*(1+LotGrowth)^($C79-1))</f>
        <v/>
      </c>
      <c r="F79" s="35">
        <f>IF($A79&gt;NYears*12,"",IF($A79=1,InitInvest,$R78))</f>
        <v/>
      </c>
      <c r="G79" s="33">
        <f>IF($A79&gt;NYears*12,"",INT($F79/$E79))</f>
        <v/>
      </c>
      <c r="H79" s="35">
        <f>IF($A79&gt;NYears*12,"",$G79*$E79)</f>
        <v/>
      </c>
      <c r="I79" s="35">
        <f>IF($A79&gt;NYears*12,"",$F79-$H79)</f>
        <v/>
      </c>
      <c r="J79" s="35">
        <f>IF($A79&gt;NYears*12,"",$H79*RateC)</f>
        <v/>
      </c>
      <c r="K79" s="35">
        <f>IF($A79&gt;NYears*12,"",IF($D79=1,$J79,$K78+$J79))</f>
        <v/>
      </c>
      <c r="L79" s="35">
        <f>IF($A79&gt;NYears*12,"",IF(MOD($D79,3)=0,SUM($J77:$J79),0))</f>
        <v/>
      </c>
      <c r="M79" s="35">
        <f>IF($A79&gt;NYears*12,"",IF(TaxFreq="Quarterly",$K79*12/$D79,$K79))</f>
        <v/>
      </c>
      <c r="N79" s="36">
        <f>IF($A79&gt;NYears*12,"",LOOKUP($M79,TaxLower,TaxRate))</f>
        <v/>
      </c>
      <c r="O79" s="35">
        <f>IF($A79&gt;NYears*12,"",IF(TaxFreq="Quarterly",IF(MOD($D79,3)=0,$L79*$N79,0),IF($D79=12,$K79*$N79,0)))</f>
        <v/>
      </c>
      <c r="P79" s="35">
        <f>IF($A79&gt;NYears*12,"",IF($D79=1,$O79,$P78+$O79))</f>
        <v/>
      </c>
      <c r="Q79" s="35">
        <f>IF($A79&gt;NYears*12,"",IF($D79=12,MIN(WdrPct*IF(WdrBase="Post-tax profit",$K79-$P79,$K79),WdrCap),0))</f>
        <v/>
      </c>
      <c r="R79" s="35">
        <f>IF($A79&gt;NYears*12,"",$F79+$J79-$O79-$Q79)</f>
        <v/>
      </c>
      <c r="S79" s="33">
        <f>IF($A79&gt;NYears*12,"",INT($R79/$E79))</f>
        <v/>
      </c>
    </row>
    <row r="80">
      <c r="A80" s="33">
        <f>76</f>
        <v/>
      </c>
      <c r="B80" s="34">
        <f>IF($A80&gt;NYears*12,"",EDATE(StartMonth,$A80-1))</f>
        <v/>
      </c>
      <c r="C80" s="33">
        <f>IF($A80&gt;NYears*12,"",INT(($A80-1)/12)+1)</f>
        <v/>
      </c>
      <c r="D80" s="33">
        <f>IF($A80&gt;NYears*12,"",MOD($A80-1,12)+1)</f>
        <v/>
      </c>
      <c r="E80" s="35">
        <f>IF($A80&gt;NYears*12,"",LotValue0*(1+LotGrowth)^($C80-1))</f>
        <v/>
      </c>
      <c r="F80" s="35">
        <f>IF($A80&gt;NYears*12,"",IF($A80=1,InitInvest,$R79))</f>
        <v/>
      </c>
      <c r="G80" s="33">
        <f>IF($A80&gt;NYears*12,"",INT($F80/$E80))</f>
        <v/>
      </c>
      <c r="H80" s="35">
        <f>IF($A80&gt;NYears*12,"",$G80*$E80)</f>
        <v/>
      </c>
      <c r="I80" s="35">
        <f>IF($A80&gt;NYears*12,"",$F80-$H80)</f>
        <v/>
      </c>
      <c r="J80" s="35">
        <f>IF($A80&gt;NYears*12,"",$H80*RateC)</f>
        <v/>
      </c>
      <c r="K80" s="35">
        <f>IF($A80&gt;NYears*12,"",IF($D80=1,$J80,$K79+$J80))</f>
        <v/>
      </c>
      <c r="L80" s="35">
        <f>IF($A80&gt;NYears*12,"",IF(MOD($D80,3)=0,SUM($J78:$J80),0))</f>
        <v/>
      </c>
      <c r="M80" s="35">
        <f>IF($A80&gt;NYears*12,"",IF(TaxFreq="Quarterly",$K80*12/$D80,$K80))</f>
        <v/>
      </c>
      <c r="N80" s="36">
        <f>IF($A80&gt;NYears*12,"",LOOKUP($M80,TaxLower,TaxRate))</f>
        <v/>
      </c>
      <c r="O80" s="35">
        <f>IF($A80&gt;NYears*12,"",IF(TaxFreq="Quarterly",IF(MOD($D80,3)=0,$L80*$N80,0),IF($D80=12,$K80*$N80,0)))</f>
        <v/>
      </c>
      <c r="P80" s="35">
        <f>IF($A80&gt;NYears*12,"",IF($D80=1,$O80,$P79+$O80))</f>
        <v/>
      </c>
      <c r="Q80" s="35">
        <f>IF($A80&gt;NYears*12,"",IF($D80=12,MIN(WdrPct*IF(WdrBase="Post-tax profit",$K80-$P80,$K80),WdrCap),0))</f>
        <v/>
      </c>
      <c r="R80" s="35">
        <f>IF($A80&gt;NYears*12,"",$F80+$J80-$O80-$Q80)</f>
        <v/>
      </c>
      <c r="S80" s="33">
        <f>IF($A80&gt;NYears*12,"",INT($R80/$E80))</f>
        <v/>
      </c>
    </row>
    <row r="81">
      <c r="A81" s="33">
        <f>77</f>
        <v/>
      </c>
      <c r="B81" s="34">
        <f>IF($A81&gt;NYears*12,"",EDATE(StartMonth,$A81-1))</f>
        <v/>
      </c>
      <c r="C81" s="33">
        <f>IF($A81&gt;NYears*12,"",INT(($A81-1)/12)+1)</f>
        <v/>
      </c>
      <c r="D81" s="33">
        <f>IF($A81&gt;NYears*12,"",MOD($A81-1,12)+1)</f>
        <v/>
      </c>
      <c r="E81" s="35">
        <f>IF($A81&gt;NYears*12,"",LotValue0*(1+LotGrowth)^($C81-1))</f>
        <v/>
      </c>
      <c r="F81" s="35">
        <f>IF($A81&gt;NYears*12,"",IF($A81=1,InitInvest,$R80))</f>
        <v/>
      </c>
      <c r="G81" s="33">
        <f>IF($A81&gt;NYears*12,"",INT($F81/$E81))</f>
        <v/>
      </c>
      <c r="H81" s="35">
        <f>IF($A81&gt;NYears*12,"",$G81*$E81)</f>
        <v/>
      </c>
      <c r="I81" s="35">
        <f>IF($A81&gt;NYears*12,"",$F81-$H81)</f>
        <v/>
      </c>
      <c r="J81" s="35">
        <f>IF($A81&gt;NYears*12,"",$H81*RateC)</f>
        <v/>
      </c>
      <c r="K81" s="35">
        <f>IF($A81&gt;NYears*12,"",IF($D81=1,$J81,$K80+$J81))</f>
        <v/>
      </c>
      <c r="L81" s="35">
        <f>IF($A81&gt;NYears*12,"",IF(MOD($D81,3)=0,SUM($J79:$J81),0))</f>
        <v/>
      </c>
      <c r="M81" s="35">
        <f>IF($A81&gt;NYears*12,"",IF(TaxFreq="Quarterly",$K81*12/$D81,$K81))</f>
        <v/>
      </c>
      <c r="N81" s="36">
        <f>IF($A81&gt;NYears*12,"",LOOKUP($M81,TaxLower,TaxRate))</f>
        <v/>
      </c>
      <c r="O81" s="35">
        <f>IF($A81&gt;NYears*12,"",IF(TaxFreq="Quarterly",IF(MOD($D81,3)=0,$L81*$N81,0),IF($D81=12,$K81*$N81,0)))</f>
        <v/>
      </c>
      <c r="P81" s="35">
        <f>IF($A81&gt;NYears*12,"",IF($D81=1,$O81,$P80+$O81))</f>
        <v/>
      </c>
      <c r="Q81" s="35">
        <f>IF($A81&gt;NYears*12,"",IF($D81=12,MIN(WdrPct*IF(WdrBase="Post-tax profit",$K81-$P81,$K81),WdrCap),0))</f>
        <v/>
      </c>
      <c r="R81" s="35">
        <f>IF($A81&gt;NYears*12,"",$F81+$J81-$O81-$Q81)</f>
        <v/>
      </c>
      <c r="S81" s="33">
        <f>IF($A81&gt;NYears*12,"",INT($R81/$E81))</f>
        <v/>
      </c>
    </row>
    <row r="82">
      <c r="A82" s="33">
        <f>78</f>
        <v/>
      </c>
      <c r="B82" s="34">
        <f>IF($A82&gt;NYears*12,"",EDATE(StartMonth,$A82-1))</f>
        <v/>
      </c>
      <c r="C82" s="33">
        <f>IF($A82&gt;NYears*12,"",INT(($A82-1)/12)+1)</f>
        <v/>
      </c>
      <c r="D82" s="33">
        <f>IF($A82&gt;NYears*12,"",MOD($A82-1,12)+1)</f>
        <v/>
      </c>
      <c r="E82" s="35">
        <f>IF($A82&gt;NYears*12,"",LotValue0*(1+LotGrowth)^($C82-1))</f>
        <v/>
      </c>
      <c r="F82" s="35">
        <f>IF($A82&gt;NYears*12,"",IF($A82=1,InitInvest,$R81))</f>
        <v/>
      </c>
      <c r="G82" s="33">
        <f>IF($A82&gt;NYears*12,"",INT($F82/$E82))</f>
        <v/>
      </c>
      <c r="H82" s="35">
        <f>IF($A82&gt;NYears*12,"",$G82*$E82)</f>
        <v/>
      </c>
      <c r="I82" s="35">
        <f>IF($A82&gt;NYears*12,"",$F82-$H82)</f>
        <v/>
      </c>
      <c r="J82" s="35">
        <f>IF($A82&gt;NYears*12,"",$H82*RateC)</f>
        <v/>
      </c>
      <c r="K82" s="35">
        <f>IF($A82&gt;NYears*12,"",IF($D82=1,$J82,$K81+$J82))</f>
        <v/>
      </c>
      <c r="L82" s="35">
        <f>IF($A82&gt;NYears*12,"",IF(MOD($D82,3)=0,SUM($J80:$J82),0))</f>
        <v/>
      </c>
      <c r="M82" s="35">
        <f>IF($A82&gt;NYears*12,"",IF(TaxFreq="Quarterly",$K82*12/$D82,$K82))</f>
        <v/>
      </c>
      <c r="N82" s="36">
        <f>IF($A82&gt;NYears*12,"",LOOKUP($M82,TaxLower,TaxRate))</f>
        <v/>
      </c>
      <c r="O82" s="35">
        <f>IF($A82&gt;NYears*12,"",IF(TaxFreq="Quarterly",IF(MOD($D82,3)=0,$L82*$N82,0),IF($D82=12,$K82*$N82,0)))</f>
        <v/>
      </c>
      <c r="P82" s="35">
        <f>IF($A82&gt;NYears*12,"",IF($D82=1,$O82,$P81+$O82))</f>
        <v/>
      </c>
      <c r="Q82" s="35">
        <f>IF($A82&gt;NYears*12,"",IF($D82=12,MIN(WdrPct*IF(WdrBase="Post-tax profit",$K82-$P82,$K82),WdrCap),0))</f>
        <v/>
      </c>
      <c r="R82" s="35">
        <f>IF($A82&gt;NYears*12,"",$F82+$J82-$O82-$Q82)</f>
        <v/>
      </c>
      <c r="S82" s="33">
        <f>IF($A82&gt;NYears*12,"",INT($R82/$E82))</f>
        <v/>
      </c>
    </row>
    <row r="83">
      <c r="A83" s="33">
        <f>79</f>
        <v/>
      </c>
      <c r="B83" s="34">
        <f>IF($A83&gt;NYears*12,"",EDATE(StartMonth,$A83-1))</f>
        <v/>
      </c>
      <c r="C83" s="33">
        <f>IF($A83&gt;NYears*12,"",INT(($A83-1)/12)+1)</f>
        <v/>
      </c>
      <c r="D83" s="33">
        <f>IF($A83&gt;NYears*12,"",MOD($A83-1,12)+1)</f>
        <v/>
      </c>
      <c r="E83" s="35">
        <f>IF($A83&gt;NYears*12,"",LotValue0*(1+LotGrowth)^($C83-1))</f>
        <v/>
      </c>
      <c r="F83" s="35">
        <f>IF($A83&gt;NYears*12,"",IF($A83=1,InitInvest,$R82))</f>
        <v/>
      </c>
      <c r="G83" s="33">
        <f>IF($A83&gt;NYears*12,"",INT($F83/$E83))</f>
        <v/>
      </c>
      <c r="H83" s="35">
        <f>IF($A83&gt;NYears*12,"",$G83*$E83)</f>
        <v/>
      </c>
      <c r="I83" s="35">
        <f>IF($A83&gt;NYears*12,"",$F83-$H83)</f>
        <v/>
      </c>
      <c r="J83" s="35">
        <f>IF($A83&gt;NYears*12,"",$H83*RateC)</f>
        <v/>
      </c>
      <c r="K83" s="35">
        <f>IF($A83&gt;NYears*12,"",IF($D83=1,$J83,$K82+$J83))</f>
        <v/>
      </c>
      <c r="L83" s="35">
        <f>IF($A83&gt;NYears*12,"",IF(MOD($D83,3)=0,SUM($J81:$J83),0))</f>
        <v/>
      </c>
      <c r="M83" s="35">
        <f>IF($A83&gt;NYears*12,"",IF(TaxFreq="Quarterly",$K83*12/$D83,$K83))</f>
        <v/>
      </c>
      <c r="N83" s="36">
        <f>IF($A83&gt;NYears*12,"",LOOKUP($M83,TaxLower,TaxRate))</f>
        <v/>
      </c>
      <c r="O83" s="35">
        <f>IF($A83&gt;NYears*12,"",IF(TaxFreq="Quarterly",IF(MOD($D83,3)=0,$L83*$N83,0),IF($D83=12,$K83*$N83,0)))</f>
        <v/>
      </c>
      <c r="P83" s="35">
        <f>IF($A83&gt;NYears*12,"",IF($D83=1,$O83,$P82+$O83))</f>
        <v/>
      </c>
      <c r="Q83" s="35">
        <f>IF($A83&gt;NYears*12,"",IF($D83=12,MIN(WdrPct*IF(WdrBase="Post-tax profit",$K83-$P83,$K83),WdrCap),0))</f>
        <v/>
      </c>
      <c r="R83" s="35">
        <f>IF($A83&gt;NYears*12,"",$F83+$J83-$O83-$Q83)</f>
        <v/>
      </c>
      <c r="S83" s="33">
        <f>IF($A83&gt;NYears*12,"",INT($R83/$E83))</f>
        <v/>
      </c>
    </row>
    <row r="84">
      <c r="A84" s="33">
        <f>80</f>
        <v/>
      </c>
      <c r="B84" s="34">
        <f>IF($A84&gt;NYears*12,"",EDATE(StartMonth,$A84-1))</f>
        <v/>
      </c>
      <c r="C84" s="33">
        <f>IF($A84&gt;NYears*12,"",INT(($A84-1)/12)+1)</f>
        <v/>
      </c>
      <c r="D84" s="33">
        <f>IF($A84&gt;NYears*12,"",MOD($A84-1,12)+1)</f>
        <v/>
      </c>
      <c r="E84" s="35">
        <f>IF($A84&gt;NYears*12,"",LotValue0*(1+LotGrowth)^($C84-1))</f>
        <v/>
      </c>
      <c r="F84" s="35">
        <f>IF($A84&gt;NYears*12,"",IF($A84=1,InitInvest,$R83))</f>
        <v/>
      </c>
      <c r="G84" s="33">
        <f>IF($A84&gt;NYears*12,"",INT($F84/$E84))</f>
        <v/>
      </c>
      <c r="H84" s="35">
        <f>IF($A84&gt;NYears*12,"",$G84*$E84)</f>
        <v/>
      </c>
      <c r="I84" s="35">
        <f>IF($A84&gt;NYears*12,"",$F84-$H84)</f>
        <v/>
      </c>
      <c r="J84" s="35">
        <f>IF($A84&gt;NYears*12,"",$H84*RateC)</f>
        <v/>
      </c>
      <c r="K84" s="35">
        <f>IF($A84&gt;NYears*12,"",IF($D84=1,$J84,$K83+$J84))</f>
        <v/>
      </c>
      <c r="L84" s="35">
        <f>IF($A84&gt;NYears*12,"",IF(MOD($D84,3)=0,SUM($J82:$J84),0))</f>
        <v/>
      </c>
      <c r="M84" s="35">
        <f>IF($A84&gt;NYears*12,"",IF(TaxFreq="Quarterly",$K84*12/$D84,$K84))</f>
        <v/>
      </c>
      <c r="N84" s="36">
        <f>IF($A84&gt;NYears*12,"",LOOKUP($M84,TaxLower,TaxRate))</f>
        <v/>
      </c>
      <c r="O84" s="35">
        <f>IF($A84&gt;NYears*12,"",IF(TaxFreq="Quarterly",IF(MOD($D84,3)=0,$L84*$N84,0),IF($D84=12,$K84*$N84,0)))</f>
        <v/>
      </c>
      <c r="P84" s="35">
        <f>IF($A84&gt;NYears*12,"",IF($D84=1,$O84,$P83+$O84))</f>
        <v/>
      </c>
      <c r="Q84" s="35">
        <f>IF($A84&gt;NYears*12,"",IF($D84=12,MIN(WdrPct*IF(WdrBase="Post-tax profit",$K84-$P84,$K84),WdrCap),0))</f>
        <v/>
      </c>
      <c r="R84" s="35">
        <f>IF($A84&gt;NYears*12,"",$F84+$J84-$O84-$Q84)</f>
        <v/>
      </c>
      <c r="S84" s="33">
        <f>IF($A84&gt;NYears*12,"",INT($R84/$E84))</f>
        <v/>
      </c>
    </row>
    <row r="85">
      <c r="A85" s="33">
        <f>81</f>
        <v/>
      </c>
      <c r="B85" s="34">
        <f>IF($A85&gt;NYears*12,"",EDATE(StartMonth,$A85-1))</f>
        <v/>
      </c>
      <c r="C85" s="33">
        <f>IF($A85&gt;NYears*12,"",INT(($A85-1)/12)+1)</f>
        <v/>
      </c>
      <c r="D85" s="33">
        <f>IF($A85&gt;NYears*12,"",MOD($A85-1,12)+1)</f>
        <v/>
      </c>
      <c r="E85" s="35">
        <f>IF($A85&gt;NYears*12,"",LotValue0*(1+LotGrowth)^($C85-1))</f>
        <v/>
      </c>
      <c r="F85" s="35">
        <f>IF($A85&gt;NYears*12,"",IF($A85=1,InitInvest,$R84))</f>
        <v/>
      </c>
      <c r="G85" s="33">
        <f>IF($A85&gt;NYears*12,"",INT($F85/$E85))</f>
        <v/>
      </c>
      <c r="H85" s="35">
        <f>IF($A85&gt;NYears*12,"",$G85*$E85)</f>
        <v/>
      </c>
      <c r="I85" s="35">
        <f>IF($A85&gt;NYears*12,"",$F85-$H85)</f>
        <v/>
      </c>
      <c r="J85" s="35">
        <f>IF($A85&gt;NYears*12,"",$H85*RateC)</f>
        <v/>
      </c>
      <c r="K85" s="35">
        <f>IF($A85&gt;NYears*12,"",IF($D85=1,$J85,$K84+$J85))</f>
        <v/>
      </c>
      <c r="L85" s="35">
        <f>IF($A85&gt;NYears*12,"",IF(MOD($D85,3)=0,SUM($J83:$J85),0))</f>
        <v/>
      </c>
      <c r="M85" s="35">
        <f>IF($A85&gt;NYears*12,"",IF(TaxFreq="Quarterly",$K85*12/$D85,$K85))</f>
        <v/>
      </c>
      <c r="N85" s="36">
        <f>IF($A85&gt;NYears*12,"",LOOKUP($M85,TaxLower,TaxRate))</f>
        <v/>
      </c>
      <c r="O85" s="35">
        <f>IF($A85&gt;NYears*12,"",IF(TaxFreq="Quarterly",IF(MOD($D85,3)=0,$L85*$N85,0),IF($D85=12,$K85*$N85,0)))</f>
        <v/>
      </c>
      <c r="P85" s="35">
        <f>IF($A85&gt;NYears*12,"",IF($D85=1,$O85,$P84+$O85))</f>
        <v/>
      </c>
      <c r="Q85" s="35">
        <f>IF($A85&gt;NYears*12,"",IF($D85=12,MIN(WdrPct*IF(WdrBase="Post-tax profit",$K85-$P85,$K85),WdrCap),0))</f>
        <v/>
      </c>
      <c r="R85" s="35">
        <f>IF($A85&gt;NYears*12,"",$F85+$J85-$O85-$Q85)</f>
        <v/>
      </c>
      <c r="S85" s="33">
        <f>IF($A85&gt;NYears*12,"",INT($R85/$E85))</f>
        <v/>
      </c>
    </row>
    <row r="86">
      <c r="A86" s="33">
        <f>82</f>
        <v/>
      </c>
      <c r="B86" s="34">
        <f>IF($A86&gt;NYears*12,"",EDATE(StartMonth,$A86-1))</f>
        <v/>
      </c>
      <c r="C86" s="33">
        <f>IF($A86&gt;NYears*12,"",INT(($A86-1)/12)+1)</f>
        <v/>
      </c>
      <c r="D86" s="33">
        <f>IF($A86&gt;NYears*12,"",MOD($A86-1,12)+1)</f>
        <v/>
      </c>
      <c r="E86" s="35">
        <f>IF($A86&gt;NYears*12,"",LotValue0*(1+LotGrowth)^($C86-1))</f>
        <v/>
      </c>
      <c r="F86" s="35">
        <f>IF($A86&gt;NYears*12,"",IF($A86=1,InitInvest,$R85))</f>
        <v/>
      </c>
      <c r="G86" s="33">
        <f>IF($A86&gt;NYears*12,"",INT($F86/$E86))</f>
        <v/>
      </c>
      <c r="H86" s="35">
        <f>IF($A86&gt;NYears*12,"",$G86*$E86)</f>
        <v/>
      </c>
      <c r="I86" s="35">
        <f>IF($A86&gt;NYears*12,"",$F86-$H86)</f>
        <v/>
      </c>
      <c r="J86" s="35">
        <f>IF($A86&gt;NYears*12,"",$H86*RateC)</f>
        <v/>
      </c>
      <c r="K86" s="35">
        <f>IF($A86&gt;NYears*12,"",IF($D86=1,$J86,$K85+$J86))</f>
        <v/>
      </c>
      <c r="L86" s="35">
        <f>IF($A86&gt;NYears*12,"",IF(MOD($D86,3)=0,SUM($J84:$J86),0))</f>
        <v/>
      </c>
      <c r="M86" s="35">
        <f>IF($A86&gt;NYears*12,"",IF(TaxFreq="Quarterly",$K86*12/$D86,$K86))</f>
        <v/>
      </c>
      <c r="N86" s="36">
        <f>IF($A86&gt;NYears*12,"",LOOKUP($M86,TaxLower,TaxRate))</f>
        <v/>
      </c>
      <c r="O86" s="35">
        <f>IF($A86&gt;NYears*12,"",IF(TaxFreq="Quarterly",IF(MOD($D86,3)=0,$L86*$N86,0),IF($D86=12,$K86*$N86,0)))</f>
        <v/>
      </c>
      <c r="P86" s="35">
        <f>IF($A86&gt;NYears*12,"",IF($D86=1,$O86,$P85+$O86))</f>
        <v/>
      </c>
      <c r="Q86" s="35">
        <f>IF($A86&gt;NYears*12,"",IF($D86=12,MIN(WdrPct*IF(WdrBase="Post-tax profit",$K86-$P86,$K86),WdrCap),0))</f>
        <v/>
      </c>
      <c r="R86" s="35">
        <f>IF($A86&gt;NYears*12,"",$F86+$J86-$O86-$Q86)</f>
        <v/>
      </c>
      <c r="S86" s="33">
        <f>IF($A86&gt;NYears*12,"",INT($R86/$E86))</f>
        <v/>
      </c>
    </row>
    <row r="87">
      <c r="A87" s="33">
        <f>83</f>
        <v/>
      </c>
      <c r="B87" s="34">
        <f>IF($A87&gt;NYears*12,"",EDATE(StartMonth,$A87-1))</f>
        <v/>
      </c>
      <c r="C87" s="33">
        <f>IF($A87&gt;NYears*12,"",INT(($A87-1)/12)+1)</f>
        <v/>
      </c>
      <c r="D87" s="33">
        <f>IF($A87&gt;NYears*12,"",MOD($A87-1,12)+1)</f>
        <v/>
      </c>
      <c r="E87" s="35">
        <f>IF($A87&gt;NYears*12,"",LotValue0*(1+LotGrowth)^($C87-1))</f>
        <v/>
      </c>
      <c r="F87" s="35">
        <f>IF($A87&gt;NYears*12,"",IF($A87=1,InitInvest,$R86))</f>
        <v/>
      </c>
      <c r="G87" s="33">
        <f>IF($A87&gt;NYears*12,"",INT($F87/$E87))</f>
        <v/>
      </c>
      <c r="H87" s="35">
        <f>IF($A87&gt;NYears*12,"",$G87*$E87)</f>
        <v/>
      </c>
      <c r="I87" s="35">
        <f>IF($A87&gt;NYears*12,"",$F87-$H87)</f>
        <v/>
      </c>
      <c r="J87" s="35">
        <f>IF($A87&gt;NYears*12,"",$H87*RateC)</f>
        <v/>
      </c>
      <c r="K87" s="35">
        <f>IF($A87&gt;NYears*12,"",IF($D87=1,$J87,$K86+$J87))</f>
        <v/>
      </c>
      <c r="L87" s="35">
        <f>IF($A87&gt;NYears*12,"",IF(MOD($D87,3)=0,SUM($J85:$J87),0))</f>
        <v/>
      </c>
      <c r="M87" s="35">
        <f>IF($A87&gt;NYears*12,"",IF(TaxFreq="Quarterly",$K87*12/$D87,$K87))</f>
        <v/>
      </c>
      <c r="N87" s="36">
        <f>IF($A87&gt;NYears*12,"",LOOKUP($M87,TaxLower,TaxRate))</f>
        <v/>
      </c>
      <c r="O87" s="35">
        <f>IF($A87&gt;NYears*12,"",IF(TaxFreq="Quarterly",IF(MOD($D87,3)=0,$L87*$N87,0),IF($D87=12,$K87*$N87,0)))</f>
        <v/>
      </c>
      <c r="P87" s="35">
        <f>IF($A87&gt;NYears*12,"",IF($D87=1,$O87,$P86+$O87))</f>
        <v/>
      </c>
      <c r="Q87" s="35">
        <f>IF($A87&gt;NYears*12,"",IF($D87=12,MIN(WdrPct*IF(WdrBase="Post-tax profit",$K87-$P87,$K87),WdrCap),0))</f>
        <v/>
      </c>
      <c r="R87" s="35">
        <f>IF($A87&gt;NYears*12,"",$F87+$J87-$O87-$Q87)</f>
        <v/>
      </c>
      <c r="S87" s="33">
        <f>IF($A87&gt;NYears*12,"",INT($R87/$E87))</f>
        <v/>
      </c>
    </row>
    <row r="88">
      <c r="A88" s="37">
        <f>84</f>
        <v/>
      </c>
      <c r="B88" s="38">
        <f>IF($A88&gt;NYears*12,"",EDATE(StartMonth,$A88-1))</f>
        <v/>
      </c>
      <c r="C88" s="37">
        <f>IF($A88&gt;NYears*12,"",INT(($A88-1)/12)+1)</f>
        <v/>
      </c>
      <c r="D88" s="37">
        <f>IF($A88&gt;NYears*12,"",MOD($A88-1,12)+1)</f>
        <v/>
      </c>
      <c r="E88" s="39">
        <f>IF($A88&gt;NYears*12,"",LotValue0*(1+LotGrowth)^($C88-1))</f>
        <v/>
      </c>
      <c r="F88" s="39">
        <f>IF($A88&gt;NYears*12,"",IF($A88=1,InitInvest,$R87))</f>
        <v/>
      </c>
      <c r="G88" s="37">
        <f>IF($A88&gt;NYears*12,"",INT($F88/$E88))</f>
        <v/>
      </c>
      <c r="H88" s="39">
        <f>IF($A88&gt;NYears*12,"",$G88*$E88)</f>
        <v/>
      </c>
      <c r="I88" s="39">
        <f>IF($A88&gt;NYears*12,"",$F88-$H88)</f>
        <v/>
      </c>
      <c r="J88" s="39">
        <f>IF($A88&gt;NYears*12,"",$H88*RateC)</f>
        <v/>
      </c>
      <c r="K88" s="39">
        <f>IF($A88&gt;NYears*12,"",IF($D88=1,$J88,$K87+$J88))</f>
        <v/>
      </c>
      <c r="L88" s="39">
        <f>IF($A88&gt;NYears*12,"",IF(MOD($D88,3)=0,SUM($J86:$J88),0))</f>
        <v/>
      </c>
      <c r="M88" s="39">
        <f>IF($A88&gt;NYears*12,"",IF(TaxFreq="Quarterly",$K88*12/$D88,$K88))</f>
        <v/>
      </c>
      <c r="N88" s="40">
        <f>IF($A88&gt;NYears*12,"",LOOKUP($M88,TaxLower,TaxRate))</f>
        <v/>
      </c>
      <c r="O88" s="39">
        <f>IF($A88&gt;NYears*12,"",IF(TaxFreq="Quarterly",IF(MOD($D88,3)=0,$L88*$N88,0),IF($D88=12,$K88*$N88,0)))</f>
        <v/>
      </c>
      <c r="P88" s="39">
        <f>IF($A88&gt;NYears*12,"",IF($D88=1,$O88,$P87+$O88))</f>
        <v/>
      </c>
      <c r="Q88" s="39">
        <f>IF($A88&gt;NYears*12,"",IF($D88=12,MIN(WdrPct*IF(WdrBase="Post-tax profit",$K88-$P88,$K88),WdrCap),0))</f>
        <v/>
      </c>
      <c r="R88" s="39">
        <f>IF($A88&gt;NYears*12,"",$F88+$J88-$O88-$Q88)</f>
        <v/>
      </c>
      <c r="S88" s="37">
        <f>IF($A88&gt;NYears*12,"",INT($R88/$E88))</f>
        <v/>
      </c>
    </row>
    <row r="89">
      <c r="A89" s="33">
        <f>85</f>
        <v/>
      </c>
      <c r="B89" s="34">
        <f>IF($A89&gt;NYears*12,"",EDATE(StartMonth,$A89-1))</f>
        <v/>
      </c>
      <c r="C89" s="33">
        <f>IF($A89&gt;NYears*12,"",INT(($A89-1)/12)+1)</f>
        <v/>
      </c>
      <c r="D89" s="33">
        <f>IF($A89&gt;NYears*12,"",MOD($A89-1,12)+1)</f>
        <v/>
      </c>
      <c r="E89" s="35">
        <f>IF($A89&gt;NYears*12,"",LotValue0*(1+LotGrowth)^($C89-1))</f>
        <v/>
      </c>
      <c r="F89" s="35">
        <f>IF($A89&gt;NYears*12,"",IF($A89=1,InitInvest,$R88))</f>
        <v/>
      </c>
      <c r="G89" s="33">
        <f>IF($A89&gt;NYears*12,"",INT($F89/$E89))</f>
        <v/>
      </c>
      <c r="H89" s="35">
        <f>IF($A89&gt;NYears*12,"",$G89*$E89)</f>
        <v/>
      </c>
      <c r="I89" s="35">
        <f>IF($A89&gt;NYears*12,"",$F89-$H89)</f>
        <v/>
      </c>
      <c r="J89" s="35">
        <f>IF($A89&gt;NYears*12,"",$H89*RateC)</f>
        <v/>
      </c>
      <c r="K89" s="35">
        <f>IF($A89&gt;NYears*12,"",IF($D89=1,$J89,$K88+$J89))</f>
        <v/>
      </c>
      <c r="L89" s="35">
        <f>IF($A89&gt;NYears*12,"",IF(MOD($D89,3)=0,SUM($J87:$J89),0))</f>
        <v/>
      </c>
      <c r="M89" s="35">
        <f>IF($A89&gt;NYears*12,"",IF(TaxFreq="Quarterly",$K89*12/$D89,$K89))</f>
        <v/>
      </c>
      <c r="N89" s="36">
        <f>IF($A89&gt;NYears*12,"",LOOKUP($M89,TaxLower,TaxRate))</f>
        <v/>
      </c>
      <c r="O89" s="35">
        <f>IF($A89&gt;NYears*12,"",IF(TaxFreq="Quarterly",IF(MOD($D89,3)=0,$L89*$N89,0),IF($D89=12,$K89*$N89,0)))</f>
        <v/>
      </c>
      <c r="P89" s="35">
        <f>IF($A89&gt;NYears*12,"",IF($D89=1,$O89,$P88+$O89))</f>
        <v/>
      </c>
      <c r="Q89" s="35">
        <f>IF($A89&gt;NYears*12,"",IF($D89=12,MIN(WdrPct*IF(WdrBase="Post-tax profit",$K89-$P89,$K89),WdrCap),0))</f>
        <v/>
      </c>
      <c r="R89" s="35">
        <f>IF($A89&gt;NYears*12,"",$F89+$J89-$O89-$Q89)</f>
        <v/>
      </c>
      <c r="S89" s="33">
        <f>IF($A89&gt;NYears*12,"",INT($R89/$E89))</f>
        <v/>
      </c>
    </row>
    <row r="90">
      <c r="A90" s="33">
        <f>86</f>
        <v/>
      </c>
      <c r="B90" s="34">
        <f>IF($A90&gt;NYears*12,"",EDATE(StartMonth,$A90-1))</f>
        <v/>
      </c>
      <c r="C90" s="33">
        <f>IF($A90&gt;NYears*12,"",INT(($A90-1)/12)+1)</f>
        <v/>
      </c>
      <c r="D90" s="33">
        <f>IF($A90&gt;NYears*12,"",MOD($A90-1,12)+1)</f>
        <v/>
      </c>
      <c r="E90" s="35">
        <f>IF($A90&gt;NYears*12,"",LotValue0*(1+LotGrowth)^($C90-1))</f>
        <v/>
      </c>
      <c r="F90" s="35">
        <f>IF($A90&gt;NYears*12,"",IF($A90=1,InitInvest,$R89))</f>
        <v/>
      </c>
      <c r="G90" s="33">
        <f>IF($A90&gt;NYears*12,"",INT($F90/$E90))</f>
        <v/>
      </c>
      <c r="H90" s="35">
        <f>IF($A90&gt;NYears*12,"",$G90*$E90)</f>
        <v/>
      </c>
      <c r="I90" s="35">
        <f>IF($A90&gt;NYears*12,"",$F90-$H90)</f>
        <v/>
      </c>
      <c r="J90" s="35">
        <f>IF($A90&gt;NYears*12,"",$H90*RateC)</f>
        <v/>
      </c>
      <c r="K90" s="35">
        <f>IF($A90&gt;NYears*12,"",IF($D90=1,$J90,$K89+$J90))</f>
        <v/>
      </c>
      <c r="L90" s="35">
        <f>IF($A90&gt;NYears*12,"",IF(MOD($D90,3)=0,SUM($J88:$J90),0))</f>
        <v/>
      </c>
      <c r="M90" s="35">
        <f>IF($A90&gt;NYears*12,"",IF(TaxFreq="Quarterly",$K90*12/$D90,$K90))</f>
        <v/>
      </c>
      <c r="N90" s="36">
        <f>IF($A90&gt;NYears*12,"",LOOKUP($M90,TaxLower,TaxRate))</f>
        <v/>
      </c>
      <c r="O90" s="35">
        <f>IF($A90&gt;NYears*12,"",IF(TaxFreq="Quarterly",IF(MOD($D90,3)=0,$L90*$N90,0),IF($D90=12,$K90*$N90,0)))</f>
        <v/>
      </c>
      <c r="P90" s="35">
        <f>IF($A90&gt;NYears*12,"",IF($D90=1,$O90,$P89+$O90))</f>
        <v/>
      </c>
      <c r="Q90" s="35">
        <f>IF($A90&gt;NYears*12,"",IF($D90=12,MIN(WdrPct*IF(WdrBase="Post-tax profit",$K90-$P90,$K90),WdrCap),0))</f>
        <v/>
      </c>
      <c r="R90" s="35">
        <f>IF($A90&gt;NYears*12,"",$F90+$J90-$O90-$Q90)</f>
        <v/>
      </c>
      <c r="S90" s="33">
        <f>IF($A90&gt;NYears*12,"",INT($R90/$E90))</f>
        <v/>
      </c>
    </row>
    <row r="91">
      <c r="A91" s="33">
        <f>87</f>
        <v/>
      </c>
      <c r="B91" s="34">
        <f>IF($A91&gt;NYears*12,"",EDATE(StartMonth,$A91-1))</f>
        <v/>
      </c>
      <c r="C91" s="33">
        <f>IF($A91&gt;NYears*12,"",INT(($A91-1)/12)+1)</f>
        <v/>
      </c>
      <c r="D91" s="33">
        <f>IF($A91&gt;NYears*12,"",MOD($A91-1,12)+1)</f>
        <v/>
      </c>
      <c r="E91" s="35">
        <f>IF($A91&gt;NYears*12,"",LotValue0*(1+LotGrowth)^($C91-1))</f>
        <v/>
      </c>
      <c r="F91" s="35">
        <f>IF($A91&gt;NYears*12,"",IF($A91=1,InitInvest,$R90))</f>
        <v/>
      </c>
      <c r="G91" s="33">
        <f>IF($A91&gt;NYears*12,"",INT($F91/$E91))</f>
        <v/>
      </c>
      <c r="H91" s="35">
        <f>IF($A91&gt;NYears*12,"",$G91*$E91)</f>
        <v/>
      </c>
      <c r="I91" s="35">
        <f>IF($A91&gt;NYears*12,"",$F91-$H91)</f>
        <v/>
      </c>
      <c r="J91" s="35">
        <f>IF($A91&gt;NYears*12,"",$H91*RateC)</f>
        <v/>
      </c>
      <c r="K91" s="35">
        <f>IF($A91&gt;NYears*12,"",IF($D91=1,$J91,$K90+$J91))</f>
        <v/>
      </c>
      <c r="L91" s="35">
        <f>IF($A91&gt;NYears*12,"",IF(MOD($D91,3)=0,SUM($J89:$J91),0))</f>
        <v/>
      </c>
      <c r="M91" s="35">
        <f>IF($A91&gt;NYears*12,"",IF(TaxFreq="Quarterly",$K91*12/$D91,$K91))</f>
        <v/>
      </c>
      <c r="N91" s="36">
        <f>IF($A91&gt;NYears*12,"",LOOKUP($M91,TaxLower,TaxRate))</f>
        <v/>
      </c>
      <c r="O91" s="35">
        <f>IF($A91&gt;NYears*12,"",IF(TaxFreq="Quarterly",IF(MOD($D91,3)=0,$L91*$N91,0),IF($D91=12,$K91*$N91,0)))</f>
        <v/>
      </c>
      <c r="P91" s="35">
        <f>IF($A91&gt;NYears*12,"",IF($D91=1,$O91,$P90+$O91))</f>
        <v/>
      </c>
      <c r="Q91" s="35">
        <f>IF($A91&gt;NYears*12,"",IF($D91=12,MIN(WdrPct*IF(WdrBase="Post-tax profit",$K91-$P91,$K91),WdrCap),0))</f>
        <v/>
      </c>
      <c r="R91" s="35">
        <f>IF($A91&gt;NYears*12,"",$F91+$J91-$O91-$Q91)</f>
        <v/>
      </c>
      <c r="S91" s="33">
        <f>IF($A91&gt;NYears*12,"",INT($R91/$E91))</f>
        <v/>
      </c>
    </row>
    <row r="92">
      <c r="A92" s="33">
        <f>88</f>
        <v/>
      </c>
      <c r="B92" s="34">
        <f>IF($A92&gt;NYears*12,"",EDATE(StartMonth,$A92-1))</f>
        <v/>
      </c>
      <c r="C92" s="33">
        <f>IF($A92&gt;NYears*12,"",INT(($A92-1)/12)+1)</f>
        <v/>
      </c>
      <c r="D92" s="33">
        <f>IF($A92&gt;NYears*12,"",MOD($A92-1,12)+1)</f>
        <v/>
      </c>
      <c r="E92" s="35">
        <f>IF($A92&gt;NYears*12,"",LotValue0*(1+LotGrowth)^($C92-1))</f>
        <v/>
      </c>
      <c r="F92" s="35">
        <f>IF($A92&gt;NYears*12,"",IF($A92=1,InitInvest,$R91))</f>
        <v/>
      </c>
      <c r="G92" s="33">
        <f>IF($A92&gt;NYears*12,"",INT($F92/$E92))</f>
        <v/>
      </c>
      <c r="H92" s="35">
        <f>IF($A92&gt;NYears*12,"",$G92*$E92)</f>
        <v/>
      </c>
      <c r="I92" s="35">
        <f>IF($A92&gt;NYears*12,"",$F92-$H92)</f>
        <v/>
      </c>
      <c r="J92" s="35">
        <f>IF($A92&gt;NYears*12,"",$H92*RateC)</f>
        <v/>
      </c>
      <c r="K92" s="35">
        <f>IF($A92&gt;NYears*12,"",IF($D92=1,$J92,$K91+$J92))</f>
        <v/>
      </c>
      <c r="L92" s="35">
        <f>IF($A92&gt;NYears*12,"",IF(MOD($D92,3)=0,SUM($J90:$J92),0))</f>
        <v/>
      </c>
      <c r="M92" s="35">
        <f>IF($A92&gt;NYears*12,"",IF(TaxFreq="Quarterly",$K92*12/$D92,$K92))</f>
        <v/>
      </c>
      <c r="N92" s="36">
        <f>IF($A92&gt;NYears*12,"",LOOKUP($M92,TaxLower,TaxRate))</f>
        <v/>
      </c>
      <c r="O92" s="35">
        <f>IF($A92&gt;NYears*12,"",IF(TaxFreq="Quarterly",IF(MOD($D92,3)=0,$L92*$N92,0),IF($D92=12,$K92*$N92,0)))</f>
        <v/>
      </c>
      <c r="P92" s="35">
        <f>IF($A92&gt;NYears*12,"",IF($D92=1,$O92,$P91+$O92))</f>
        <v/>
      </c>
      <c r="Q92" s="35">
        <f>IF($A92&gt;NYears*12,"",IF($D92=12,MIN(WdrPct*IF(WdrBase="Post-tax profit",$K92-$P92,$K92),WdrCap),0))</f>
        <v/>
      </c>
      <c r="R92" s="35">
        <f>IF($A92&gt;NYears*12,"",$F92+$J92-$O92-$Q92)</f>
        <v/>
      </c>
      <c r="S92" s="33">
        <f>IF($A92&gt;NYears*12,"",INT($R92/$E92))</f>
        <v/>
      </c>
    </row>
    <row r="93">
      <c r="A93" s="33">
        <f>89</f>
        <v/>
      </c>
      <c r="B93" s="34">
        <f>IF($A93&gt;NYears*12,"",EDATE(StartMonth,$A93-1))</f>
        <v/>
      </c>
      <c r="C93" s="33">
        <f>IF($A93&gt;NYears*12,"",INT(($A93-1)/12)+1)</f>
        <v/>
      </c>
      <c r="D93" s="33">
        <f>IF($A93&gt;NYears*12,"",MOD($A93-1,12)+1)</f>
        <v/>
      </c>
      <c r="E93" s="35">
        <f>IF($A93&gt;NYears*12,"",LotValue0*(1+LotGrowth)^($C93-1))</f>
        <v/>
      </c>
      <c r="F93" s="35">
        <f>IF($A93&gt;NYears*12,"",IF($A93=1,InitInvest,$R92))</f>
        <v/>
      </c>
      <c r="G93" s="33">
        <f>IF($A93&gt;NYears*12,"",INT($F93/$E93))</f>
        <v/>
      </c>
      <c r="H93" s="35">
        <f>IF($A93&gt;NYears*12,"",$G93*$E93)</f>
        <v/>
      </c>
      <c r="I93" s="35">
        <f>IF($A93&gt;NYears*12,"",$F93-$H93)</f>
        <v/>
      </c>
      <c r="J93" s="35">
        <f>IF($A93&gt;NYears*12,"",$H93*RateC)</f>
        <v/>
      </c>
      <c r="K93" s="35">
        <f>IF($A93&gt;NYears*12,"",IF($D93=1,$J93,$K92+$J93))</f>
        <v/>
      </c>
      <c r="L93" s="35">
        <f>IF($A93&gt;NYears*12,"",IF(MOD($D93,3)=0,SUM($J91:$J93),0))</f>
        <v/>
      </c>
      <c r="M93" s="35">
        <f>IF($A93&gt;NYears*12,"",IF(TaxFreq="Quarterly",$K93*12/$D93,$K93))</f>
        <v/>
      </c>
      <c r="N93" s="36">
        <f>IF($A93&gt;NYears*12,"",LOOKUP($M93,TaxLower,TaxRate))</f>
        <v/>
      </c>
      <c r="O93" s="35">
        <f>IF($A93&gt;NYears*12,"",IF(TaxFreq="Quarterly",IF(MOD($D93,3)=0,$L93*$N93,0),IF($D93=12,$K93*$N93,0)))</f>
        <v/>
      </c>
      <c r="P93" s="35">
        <f>IF($A93&gt;NYears*12,"",IF($D93=1,$O93,$P92+$O93))</f>
        <v/>
      </c>
      <c r="Q93" s="35">
        <f>IF($A93&gt;NYears*12,"",IF($D93=12,MIN(WdrPct*IF(WdrBase="Post-tax profit",$K93-$P93,$K93),WdrCap),0))</f>
        <v/>
      </c>
      <c r="R93" s="35">
        <f>IF($A93&gt;NYears*12,"",$F93+$J93-$O93-$Q93)</f>
        <v/>
      </c>
      <c r="S93" s="33">
        <f>IF($A93&gt;NYears*12,"",INT($R93/$E93))</f>
        <v/>
      </c>
    </row>
    <row r="94">
      <c r="A94" s="33">
        <f>90</f>
        <v/>
      </c>
      <c r="B94" s="34">
        <f>IF($A94&gt;NYears*12,"",EDATE(StartMonth,$A94-1))</f>
        <v/>
      </c>
      <c r="C94" s="33">
        <f>IF($A94&gt;NYears*12,"",INT(($A94-1)/12)+1)</f>
        <v/>
      </c>
      <c r="D94" s="33">
        <f>IF($A94&gt;NYears*12,"",MOD($A94-1,12)+1)</f>
        <v/>
      </c>
      <c r="E94" s="35">
        <f>IF($A94&gt;NYears*12,"",LotValue0*(1+LotGrowth)^($C94-1))</f>
        <v/>
      </c>
      <c r="F94" s="35">
        <f>IF($A94&gt;NYears*12,"",IF($A94=1,InitInvest,$R93))</f>
        <v/>
      </c>
      <c r="G94" s="33">
        <f>IF($A94&gt;NYears*12,"",INT($F94/$E94))</f>
        <v/>
      </c>
      <c r="H94" s="35">
        <f>IF($A94&gt;NYears*12,"",$G94*$E94)</f>
        <v/>
      </c>
      <c r="I94" s="35">
        <f>IF($A94&gt;NYears*12,"",$F94-$H94)</f>
        <v/>
      </c>
      <c r="J94" s="35">
        <f>IF($A94&gt;NYears*12,"",$H94*RateC)</f>
        <v/>
      </c>
      <c r="K94" s="35">
        <f>IF($A94&gt;NYears*12,"",IF($D94=1,$J94,$K93+$J94))</f>
        <v/>
      </c>
      <c r="L94" s="35">
        <f>IF($A94&gt;NYears*12,"",IF(MOD($D94,3)=0,SUM($J92:$J94),0))</f>
        <v/>
      </c>
      <c r="M94" s="35">
        <f>IF($A94&gt;NYears*12,"",IF(TaxFreq="Quarterly",$K94*12/$D94,$K94))</f>
        <v/>
      </c>
      <c r="N94" s="36">
        <f>IF($A94&gt;NYears*12,"",LOOKUP($M94,TaxLower,TaxRate))</f>
        <v/>
      </c>
      <c r="O94" s="35">
        <f>IF($A94&gt;NYears*12,"",IF(TaxFreq="Quarterly",IF(MOD($D94,3)=0,$L94*$N94,0),IF($D94=12,$K94*$N94,0)))</f>
        <v/>
      </c>
      <c r="P94" s="35">
        <f>IF($A94&gt;NYears*12,"",IF($D94=1,$O94,$P93+$O94))</f>
        <v/>
      </c>
      <c r="Q94" s="35">
        <f>IF($A94&gt;NYears*12,"",IF($D94=12,MIN(WdrPct*IF(WdrBase="Post-tax profit",$K94-$P94,$K94),WdrCap),0))</f>
        <v/>
      </c>
      <c r="R94" s="35">
        <f>IF($A94&gt;NYears*12,"",$F94+$J94-$O94-$Q94)</f>
        <v/>
      </c>
      <c r="S94" s="33">
        <f>IF($A94&gt;NYears*12,"",INT($R94/$E94))</f>
        <v/>
      </c>
    </row>
    <row r="95">
      <c r="A95" s="33">
        <f>91</f>
        <v/>
      </c>
      <c r="B95" s="34">
        <f>IF($A95&gt;NYears*12,"",EDATE(StartMonth,$A95-1))</f>
        <v/>
      </c>
      <c r="C95" s="33">
        <f>IF($A95&gt;NYears*12,"",INT(($A95-1)/12)+1)</f>
        <v/>
      </c>
      <c r="D95" s="33">
        <f>IF($A95&gt;NYears*12,"",MOD($A95-1,12)+1)</f>
        <v/>
      </c>
      <c r="E95" s="35">
        <f>IF($A95&gt;NYears*12,"",LotValue0*(1+LotGrowth)^($C95-1))</f>
        <v/>
      </c>
      <c r="F95" s="35">
        <f>IF($A95&gt;NYears*12,"",IF($A95=1,InitInvest,$R94))</f>
        <v/>
      </c>
      <c r="G95" s="33">
        <f>IF($A95&gt;NYears*12,"",INT($F95/$E95))</f>
        <v/>
      </c>
      <c r="H95" s="35">
        <f>IF($A95&gt;NYears*12,"",$G95*$E95)</f>
        <v/>
      </c>
      <c r="I95" s="35">
        <f>IF($A95&gt;NYears*12,"",$F95-$H95)</f>
        <v/>
      </c>
      <c r="J95" s="35">
        <f>IF($A95&gt;NYears*12,"",$H95*RateC)</f>
        <v/>
      </c>
      <c r="K95" s="35">
        <f>IF($A95&gt;NYears*12,"",IF($D95=1,$J95,$K94+$J95))</f>
        <v/>
      </c>
      <c r="L95" s="35">
        <f>IF($A95&gt;NYears*12,"",IF(MOD($D95,3)=0,SUM($J93:$J95),0))</f>
        <v/>
      </c>
      <c r="M95" s="35">
        <f>IF($A95&gt;NYears*12,"",IF(TaxFreq="Quarterly",$K95*12/$D95,$K95))</f>
        <v/>
      </c>
      <c r="N95" s="36">
        <f>IF($A95&gt;NYears*12,"",LOOKUP($M95,TaxLower,TaxRate))</f>
        <v/>
      </c>
      <c r="O95" s="35">
        <f>IF($A95&gt;NYears*12,"",IF(TaxFreq="Quarterly",IF(MOD($D95,3)=0,$L95*$N95,0),IF($D95=12,$K95*$N95,0)))</f>
        <v/>
      </c>
      <c r="P95" s="35">
        <f>IF($A95&gt;NYears*12,"",IF($D95=1,$O95,$P94+$O95))</f>
        <v/>
      </c>
      <c r="Q95" s="35">
        <f>IF($A95&gt;NYears*12,"",IF($D95=12,MIN(WdrPct*IF(WdrBase="Post-tax profit",$K95-$P95,$K95),WdrCap),0))</f>
        <v/>
      </c>
      <c r="R95" s="35">
        <f>IF($A95&gt;NYears*12,"",$F95+$J95-$O95-$Q95)</f>
        <v/>
      </c>
      <c r="S95" s="33">
        <f>IF($A95&gt;NYears*12,"",INT($R95/$E95))</f>
        <v/>
      </c>
    </row>
    <row r="96">
      <c r="A96" s="33">
        <f>92</f>
        <v/>
      </c>
      <c r="B96" s="34">
        <f>IF($A96&gt;NYears*12,"",EDATE(StartMonth,$A96-1))</f>
        <v/>
      </c>
      <c r="C96" s="33">
        <f>IF($A96&gt;NYears*12,"",INT(($A96-1)/12)+1)</f>
        <v/>
      </c>
      <c r="D96" s="33">
        <f>IF($A96&gt;NYears*12,"",MOD($A96-1,12)+1)</f>
        <v/>
      </c>
      <c r="E96" s="35">
        <f>IF($A96&gt;NYears*12,"",LotValue0*(1+LotGrowth)^($C96-1))</f>
        <v/>
      </c>
      <c r="F96" s="35">
        <f>IF($A96&gt;NYears*12,"",IF($A96=1,InitInvest,$R95))</f>
        <v/>
      </c>
      <c r="G96" s="33">
        <f>IF($A96&gt;NYears*12,"",INT($F96/$E96))</f>
        <v/>
      </c>
      <c r="H96" s="35">
        <f>IF($A96&gt;NYears*12,"",$G96*$E96)</f>
        <v/>
      </c>
      <c r="I96" s="35">
        <f>IF($A96&gt;NYears*12,"",$F96-$H96)</f>
        <v/>
      </c>
      <c r="J96" s="35">
        <f>IF($A96&gt;NYears*12,"",$H96*RateC)</f>
        <v/>
      </c>
      <c r="K96" s="35">
        <f>IF($A96&gt;NYears*12,"",IF($D96=1,$J96,$K95+$J96))</f>
        <v/>
      </c>
      <c r="L96" s="35">
        <f>IF($A96&gt;NYears*12,"",IF(MOD($D96,3)=0,SUM($J94:$J96),0))</f>
        <v/>
      </c>
      <c r="M96" s="35">
        <f>IF($A96&gt;NYears*12,"",IF(TaxFreq="Quarterly",$K96*12/$D96,$K96))</f>
        <v/>
      </c>
      <c r="N96" s="36">
        <f>IF($A96&gt;NYears*12,"",LOOKUP($M96,TaxLower,TaxRate))</f>
        <v/>
      </c>
      <c r="O96" s="35">
        <f>IF($A96&gt;NYears*12,"",IF(TaxFreq="Quarterly",IF(MOD($D96,3)=0,$L96*$N96,0),IF($D96=12,$K96*$N96,0)))</f>
        <v/>
      </c>
      <c r="P96" s="35">
        <f>IF($A96&gt;NYears*12,"",IF($D96=1,$O96,$P95+$O96))</f>
        <v/>
      </c>
      <c r="Q96" s="35">
        <f>IF($A96&gt;NYears*12,"",IF($D96=12,MIN(WdrPct*IF(WdrBase="Post-tax profit",$K96-$P96,$K96),WdrCap),0))</f>
        <v/>
      </c>
      <c r="R96" s="35">
        <f>IF($A96&gt;NYears*12,"",$F96+$J96-$O96-$Q96)</f>
        <v/>
      </c>
      <c r="S96" s="33">
        <f>IF($A96&gt;NYears*12,"",INT($R96/$E96))</f>
        <v/>
      </c>
    </row>
    <row r="97">
      <c r="A97" s="33">
        <f>93</f>
        <v/>
      </c>
      <c r="B97" s="34">
        <f>IF($A97&gt;NYears*12,"",EDATE(StartMonth,$A97-1))</f>
        <v/>
      </c>
      <c r="C97" s="33">
        <f>IF($A97&gt;NYears*12,"",INT(($A97-1)/12)+1)</f>
        <v/>
      </c>
      <c r="D97" s="33">
        <f>IF($A97&gt;NYears*12,"",MOD($A97-1,12)+1)</f>
        <v/>
      </c>
      <c r="E97" s="35">
        <f>IF($A97&gt;NYears*12,"",LotValue0*(1+LotGrowth)^($C97-1))</f>
        <v/>
      </c>
      <c r="F97" s="35">
        <f>IF($A97&gt;NYears*12,"",IF($A97=1,InitInvest,$R96))</f>
        <v/>
      </c>
      <c r="G97" s="33">
        <f>IF($A97&gt;NYears*12,"",INT($F97/$E97))</f>
        <v/>
      </c>
      <c r="H97" s="35">
        <f>IF($A97&gt;NYears*12,"",$G97*$E97)</f>
        <v/>
      </c>
      <c r="I97" s="35">
        <f>IF($A97&gt;NYears*12,"",$F97-$H97)</f>
        <v/>
      </c>
      <c r="J97" s="35">
        <f>IF($A97&gt;NYears*12,"",$H97*RateC)</f>
        <v/>
      </c>
      <c r="K97" s="35">
        <f>IF($A97&gt;NYears*12,"",IF($D97=1,$J97,$K96+$J97))</f>
        <v/>
      </c>
      <c r="L97" s="35">
        <f>IF($A97&gt;NYears*12,"",IF(MOD($D97,3)=0,SUM($J95:$J97),0))</f>
        <v/>
      </c>
      <c r="M97" s="35">
        <f>IF($A97&gt;NYears*12,"",IF(TaxFreq="Quarterly",$K97*12/$D97,$K97))</f>
        <v/>
      </c>
      <c r="N97" s="36">
        <f>IF($A97&gt;NYears*12,"",LOOKUP($M97,TaxLower,TaxRate))</f>
        <v/>
      </c>
      <c r="O97" s="35">
        <f>IF($A97&gt;NYears*12,"",IF(TaxFreq="Quarterly",IF(MOD($D97,3)=0,$L97*$N97,0),IF($D97=12,$K97*$N97,0)))</f>
        <v/>
      </c>
      <c r="P97" s="35">
        <f>IF($A97&gt;NYears*12,"",IF($D97=1,$O97,$P96+$O97))</f>
        <v/>
      </c>
      <c r="Q97" s="35">
        <f>IF($A97&gt;NYears*12,"",IF($D97=12,MIN(WdrPct*IF(WdrBase="Post-tax profit",$K97-$P97,$K97),WdrCap),0))</f>
        <v/>
      </c>
      <c r="R97" s="35">
        <f>IF($A97&gt;NYears*12,"",$F97+$J97-$O97-$Q97)</f>
        <v/>
      </c>
      <c r="S97" s="33">
        <f>IF($A97&gt;NYears*12,"",INT($R97/$E97))</f>
        <v/>
      </c>
    </row>
    <row r="98">
      <c r="A98" s="33">
        <f>94</f>
        <v/>
      </c>
      <c r="B98" s="34">
        <f>IF($A98&gt;NYears*12,"",EDATE(StartMonth,$A98-1))</f>
        <v/>
      </c>
      <c r="C98" s="33">
        <f>IF($A98&gt;NYears*12,"",INT(($A98-1)/12)+1)</f>
        <v/>
      </c>
      <c r="D98" s="33">
        <f>IF($A98&gt;NYears*12,"",MOD($A98-1,12)+1)</f>
        <v/>
      </c>
      <c r="E98" s="35">
        <f>IF($A98&gt;NYears*12,"",LotValue0*(1+LotGrowth)^($C98-1))</f>
        <v/>
      </c>
      <c r="F98" s="35">
        <f>IF($A98&gt;NYears*12,"",IF($A98=1,InitInvest,$R97))</f>
        <v/>
      </c>
      <c r="G98" s="33">
        <f>IF($A98&gt;NYears*12,"",INT($F98/$E98))</f>
        <v/>
      </c>
      <c r="H98" s="35">
        <f>IF($A98&gt;NYears*12,"",$G98*$E98)</f>
        <v/>
      </c>
      <c r="I98" s="35">
        <f>IF($A98&gt;NYears*12,"",$F98-$H98)</f>
        <v/>
      </c>
      <c r="J98" s="35">
        <f>IF($A98&gt;NYears*12,"",$H98*RateC)</f>
        <v/>
      </c>
      <c r="K98" s="35">
        <f>IF($A98&gt;NYears*12,"",IF($D98=1,$J98,$K97+$J98))</f>
        <v/>
      </c>
      <c r="L98" s="35">
        <f>IF($A98&gt;NYears*12,"",IF(MOD($D98,3)=0,SUM($J96:$J98),0))</f>
        <v/>
      </c>
      <c r="M98" s="35">
        <f>IF($A98&gt;NYears*12,"",IF(TaxFreq="Quarterly",$K98*12/$D98,$K98))</f>
        <v/>
      </c>
      <c r="N98" s="36">
        <f>IF($A98&gt;NYears*12,"",LOOKUP($M98,TaxLower,TaxRate))</f>
        <v/>
      </c>
      <c r="O98" s="35">
        <f>IF($A98&gt;NYears*12,"",IF(TaxFreq="Quarterly",IF(MOD($D98,3)=0,$L98*$N98,0),IF($D98=12,$K98*$N98,0)))</f>
        <v/>
      </c>
      <c r="P98" s="35">
        <f>IF($A98&gt;NYears*12,"",IF($D98=1,$O98,$P97+$O98))</f>
        <v/>
      </c>
      <c r="Q98" s="35">
        <f>IF($A98&gt;NYears*12,"",IF($D98=12,MIN(WdrPct*IF(WdrBase="Post-tax profit",$K98-$P98,$K98),WdrCap),0))</f>
        <v/>
      </c>
      <c r="R98" s="35">
        <f>IF($A98&gt;NYears*12,"",$F98+$J98-$O98-$Q98)</f>
        <v/>
      </c>
      <c r="S98" s="33">
        <f>IF($A98&gt;NYears*12,"",INT($R98/$E98))</f>
        <v/>
      </c>
    </row>
    <row r="99">
      <c r="A99" s="33">
        <f>95</f>
        <v/>
      </c>
      <c r="B99" s="34">
        <f>IF($A99&gt;NYears*12,"",EDATE(StartMonth,$A99-1))</f>
        <v/>
      </c>
      <c r="C99" s="33">
        <f>IF($A99&gt;NYears*12,"",INT(($A99-1)/12)+1)</f>
        <v/>
      </c>
      <c r="D99" s="33">
        <f>IF($A99&gt;NYears*12,"",MOD($A99-1,12)+1)</f>
        <v/>
      </c>
      <c r="E99" s="35">
        <f>IF($A99&gt;NYears*12,"",LotValue0*(1+LotGrowth)^($C99-1))</f>
        <v/>
      </c>
      <c r="F99" s="35">
        <f>IF($A99&gt;NYears*12,"",IF($A99=1,InitInvest,$R98))</f>
        <v/>
      </c>
      <c r="G99" s="33">
        <f>IF($A99&gt;NYears*12,"",INT($F99/$E99))</f>
        <v/>
      </c>
      <c r="H99" s="35">
        <f>IF($A99&gt;NYears*12,"",$G99*$E99)</f>
        <v/>
      </c>
      <c r="I99" s="35">
        <f>IF($A99&gt;NYears*12,"",$F99-$H99)</f>
        <v/>
      </c>
      <c r="J99" s="35">
        <f>IF($A99&gt;NYears*12,"",$H99*RateC)</f>
        <v/>
      </c>
      <c r="K99" s="35">
        <f>IF($A99&gt;NYears*12,"",IF($D99=1,$J99,$K98+$J99))</f>
        <v/>
      </c>
      <c r="L99" s="35">
        <f>IF($A99&gt;NYears*12,"",IF(MOD($D99,3)=0,SUM($J97:$J99),0))</f>
        <v/>
      </c>
      <c r="M99" s="35">
        <f>IF($A99&gt;NYears*12,"",IF(TaxFreq="Quarterly",$K99*12/$D99,$K99))</f>
        <v/>
      </c>
      <c r="N99" s="36">
        <f>IF($A99&gt;NYears*12,"",LOOKUP($M99,TaxLower,TaxRate))</f>
        <v/>
      </c>
      <c r="O99" s="35">
        <f>IF($A99&gt;NYears*12,"",IF(TaxFreq="Quarterly",IF(MOD($D99,3)=0,$L99*$N99,0),IF($D99=12,$K99*$N99,0)))</f>
        <v/>
      </c>
      <c r="P99" s="35">
        <f>IF($A99&gt;NYears*12,"",IF($D99=1,$O99,$P98+$O99))</f>
        <v/>
      </c>
      <c r="Q99" s="35">
        <f>IF($A99&gt;NYears*12,"",IF($D99=12,MIN(WdrPct*IF(WdrBase="Post-tax profit",$K99-$P99,$K99),WdrCap),0))</f>
        <v/>
      </c>
      <c r="R99" s="35">
        <f>IF($A99&gt;NYears*12,"",$F99+$J99-$O99-$Q99)</f>
        <v/>
      </c>
      <c r="S99" s="33">
        <f>IF($A99&gt;NYears*12,"",INT($R99/$E99))</f>
        <v/>
      </c>
    </row>
    <row r="100">
      <c r="A100" s="37">
        <f>96</f>
        <v/>
      </c>
      <c r="B100" s="38">
        <f>IF($A100&gt;NYears*12,"",EDATE(StartMonth,$A100-1))</f>
        <v/>
      </c>
      <c r="C100" s="37">
        <f>IF($A100&gt;NYears*12,"",INT(($A100-1)/12)+1)</f>
        <v/>
      </c>
      <c r="D100" s="37">
        <f>IF($A100&gt;NYears*12,"",MOD($A100-1,12)+1)</f>
        <v/>
      </c>
      <c r="E100" s="39">
        <f>IF($A100&gt;NYears*12,"",LotValue0*(1+LotGrowth)^($C100-1))</f>
        <v/>
      </c>
      <c r="F100" s="39">
        <f>IF($A100&gt;NYears*12,"",IF($A100=1,InitInvest,$R99))</f>
        <v/>
      </c>
      <c r="G100" s="37">
        <f>IF($A100&gt;NYears*12,"",INT($F100/$E100))</f>
        <v/>
      </c>
      <c r="H100" s="39">
        <f>IF($A100&gt;NYears*12,"",$G100*$E100)</f>
        <v/>
      </c>
      <c r="I100" s="39">
        <f>IF($A100&gt;NYears*12,"",$F100-$H100)</f>
        <v/>
      </c>
      <c r="J100" s="39">
        <f>IF($A100&gt;NYears*12,"",$H100*RateC)</f>
        <v/>
      </c>
      <c r="K100" s="39">
        <f>IF($A100&gt;NYears*12,"",IF($D100=1,$J100,$K99+$J100))</f>
        <v/>
      </c>
      <c r="L100" s="39">
        <f>IF($A100&gt;NYears*12,"",IF(MOD($D100,3)=0,SUM($J98:$J100),0))</f>
        <v/>
      </c>
      <c r="M100" s="39">
        <f>IF($A100&gt;NYears*12,"",IF(TaxFreq="Quarterly",$K100*12/$D100,$K100))</f>
        <v/>
      </c>
      <c r="N100" s="40">
        <f>IF($A100&gt;NYears*12,"",LOOKUP($M100,TaxLower,TaxRate))</f>
        <v/>
      </c>
      <c r="O100" s="39">
        <f>IF($A100&gt;NYears*12,"",IF(TaxFreq="Quarterly",IF(MOD($D100,3)=0,$L100*$N100,0),IF($D100=12,$K100*$N100,0)))</f>
        <v/>
      </c>
      <c r="P100" s="39">
        <f>IF($A100&gt;NYears*12,"",IF($D100=1,$O100,$P99+$O100))</f>
        <v/>
      </c>
      <c r="Q100" s="39">
        <f>IF($A100&gt;NYears*12,"",IF($D100=12,MIN(WdrPct*IF(WdrBase="Post-tax profit",$K100-$P100,$K100),WdrCap),0))</f>
        <v/>
      </c>
      <c r="R100" s="39">
        <f>IF($A100&gt;NYears*12,"",$F100+$J100-$O100-$Q100)</f>
        <v/>
      </c>
      <c r="S100" s="37">
        <f>IF($A100&gt;NYears*12,"",INT($R100/$E100))</f>
        <v/>
      </c>
    </row>
    <row r="101">
      <c r="A101" s="33">
        <f>97</f>
        <v/>
      </c>
      <c r="B101" s="34">
        <f>IF($A101&gt;NYears*12,"",EDATE(StartMonth,$A101-1))</f>
        <v/>
      </c>
      <c r="C101" s="33">
        <f>IF($A101&gt;NYears*12,"",INT(($A101-1)/12)+1)</f>
        <v/>
      </c>
      <c r="D101" s="33">
        <f>IF($A101&gt;NYears*12,"",MOD($A101-1,12)+1)</f>
        <v/>
      </c>
      <c r="E101" s="35">
        <f>IF($A101&gt;NYears*12,"",LotValue0*(1+LotGrowth)^($C101-1))</f>
        <v/>
      </c>
      <c r="F101" s="35">
        <f>IF($A101&gt;NYears*12,"",IF($A101=1,InitInvest,$R100))</f>
        <v/>
      </c>
      <c r="G101" s="33">
        <f>IF($A101&gt;NYears*12,"",INT($F101/$E101))</f>
        <v/>
      </c>
      <c r="H101" s="35">
        <f>IF($A101&gt;NYears*12,"",$G101*$E101)</f>
        <v/>
      </c>
      <c r="I101" s="35">
        <f>IF($A101&gt;NYears*12,"",$F101-$H101)</f>
        <v/>
      </c>
      <c r="J101" s="35">
        <f>IF($A101&gt;NYears*12,"",$H101*RateC)</f>
        <v/>
      </c>
      <c r="K101" s="35">
        <f>IF($A101&gt;NYears*12,"",IF($D101=1,$J101,$K100+$J101))</f>
        <v/>
      </c>
      <c r="L101" s="35">
        <f>IF($A101&gt;NYears*12,"",IF(MOD($D101,3)=0,SUM($J99:$J101),0))</f>
        <v/>
      </c>
      <c r="M101" s="35">
        <f>IF($A101&gt;NYears*12,"",IF(TaxFreq="Quarterly",$K101*12/$D101,$K101))</f>
        <v/>
      </c>
      <c r="N101" s="36">
        <f>IF($A101&gt;NYears*12,"",LOOKUP($M101,TaxLower,TaxRate))</f>
        <v/>
      </c>
      <c r="O101" s="35">
        <f>IF($A101&gt;NYears*12,"",IF(TaxFreq="Quarterly",IF(MOD($D101,3)=0,$L101*$N101,0),IF($D101=12,$K101*$N101,0)))</f>
        <v/>
      </c>
      <c r="P101" s="35">
        <f>IF($A101&gt;NYears*12,"",IF($D101=1,$O101,$P100+$O101))</f>
        <v/>
      </c>
      <c r="Q101" s="35">
        <f>IF($A101&gt;NYears*12,"",IF($D101=12,MIN(WdrPct*IF(WdrBase="Post-tax profit",$K101-$P101,$K101),WdrCap),0))</f>
        <v/>
      </c>
      <c r="R101" s="35">
        <f>IF($A101&gt;NYears*12,"",$F101+$J101-$O101-$Q101)</f>
        <v/>
      </c>
      <c r="S101" s="33">
        <f>IF($A101&gt;NYears*12,"",INT($R101/$E101))</f>
        <v/>
      </c>
    </row>
    <row r="102">
      <c r="A102" s="33">
        <f>98</f>
        <v/>
      </c>
      <c r="B102" s="34">
        <f>IF($A102&gt;NYears*12,"",EDATE(StartMonth,$A102-1))</f>
        <v/>
      </c>
      <c r="C102" s="33">
        <f>IF($A102&gt;NYears*12,"",INT(($A102-1)/12)+1)</f>
        <v/>
      </c>
      <c r="D102" s="33">
        <f>IF($A102&gt;NYears*12,"",MOD($A102-1,12)+1)</f>
        <v/>
      </c>
      <c r="E102" s="35">
        <f>IF($A102&gt;NYears*12,"",LotValue0*(1+LotGrowth)^($C102-1))</f>
        <v/>
      </c>
      <c r="F102" s="35">
        <f>IF($A102&gt;NYears*12,"",IF($A102=1,InitInvest,$R101))</f>
        <v/>
      </c>
      <c r="G102" s="33">
        <f>IF($A102&gt;NYears*12,"",INT($F102/$E102))</f>
        <v/>
      </c>
      <c r="H102" s="35">
        <f>IF($A102&gt;NYears*12,"",$G102*$E102)</f>
        <v/>
      </c>
      <c r="I102" s="35">
        <f>IF($A102&gt;NYears*12,"",$F102-$H102)</f>
        <v/>
      </c>
      <c r="J102" s="35">
        <f>IF($A102&gt;NYears*12,"",$H102*RateC)</f>
        <v/>
      </c>
      <c r="K102" s="35">
        <f>IF($A102&gt;NYears*12,"",IF($D102=1,$J102,$K101+$J102))</f>
        <v/>
      </c>
      <c r="L102" s="35">
        <f>IF($A102&gt;NYears*12,"",IF(MOD($D102,3)=0,SUM($J100:$J102),0))</f>
        <v/>
      </c>
      <c r="M102" s="35">
        <f>IF($A102&gt;NYears*12,"",IF(TaxFreq="Quarterly",$K102*12/$D102,$K102))</f>
        <v/>
      </c>
      <c r="N102" s="36">
        <f>IF($A102&gt;NYears*12,"",LOOKUP($M102,TaxLower,TaxRate))</f>
        <v/>
      </c>
      <c r="O102" s="35">
        <f>IF($A102&gt;NYears*12,"",IF(TaxFreq="Quarterly",IF(MOD($D102,3)=0,$L102*$N102,0),IF($D102=12,$K102*$N102,0)))</f>
        <v/>
      </c>
      <c r="P102" s="35">
        <f>IF($A102&gt;NYears*12,"",IF($D102=1,$O102,$P101+$O102))</f>
        <v/>
      </c>
      <c r="Q102" s="35">
        <f>IF($A102&gt;NYears*12,"",IF($D102=12,MIN(WdrPct*IF(WdrBase="Post-tax profit",$K102-$P102,$K102),WdrCap),0))</f>
        <v/>
      </c>
      <c r="R102" s="35">
        <f>IF($A102&gt;NYears*12,"",$F102+$J102-$O102-$Q102)</f>
        <v/>
      </c>
      <c r="S102" s="33">
        <f>IF($A102&gt;NYears*12,"",INT($R102/$E102))</f>
        <v/>
      </c>
    </row>
    <row r="103">
      <c r="A103" s="33">
        <f>99</f>
        <v/>
      </c>
      <c r="B103" s="34">
        <f>IF($A103&gt;NYears*12,"",EDATE(StartMonth,$A103-1))</f>
        <v/>
      </c>
      <c r="C103" s="33">
        <f>IF($A103&gt;NYears*12,"",INT(($A103-1)/12)+1)</f>
        <v/>
      </c>
      <c r="D103" s="33">
        <f>IF($A103&gt;NYears*12,"",MOD($A103-1,12)+1)</f>
        <v/>
      </c>
      <c r="E103" s="35">
        <f>IF($A103&gt;NYears*12,"",LotValue0*(1+LotGrowth)^($C103-1))</f>
        <v/>
      </c>
      <c r="F103" s="35">
        <f>IF($A103&gt;NYears*12,"",IF($A103=1,InitInvest,$R102))</f>
        <v/>
      </c>
      <c r="G103" s="33">
        <f>IF($A103&gt;NYears*12,"",INT($F103/$E103))</f>
        <v/>
      </c>
      <c r="H103" s="35">
        <f>IF($A103&gt;NYears*12,"",$G103*$E103)</f>
        <v/>
      </c>
      <c r="I103" s="35">
        <f>IF($A103&gt;NYears*12,"",$F103-$H103)</f>
        <v/>
      </c>
      <c r="J103" s="35">
        <f>IF($A103&gt;NYears*12,"",$H103*RateC)</f>
        <v/>
      </c>
      <c r="K103" s="35">
        <f>IF($A103&gt;NYears*12,"",IF($D103=1,$J103,$K102+$J103))</f>
        <v/>
      </c>
      <c r="L103" s="35">
        <f>IF($A103&gt;NYears*12,"",IF(MOD($D103,3)=0,SUM($J101:$J103),0))</f>
        <v/>
      </c>
      <c r="M103" s="35">
        <f>IF($A103&gt;NYears*12,"",IF(TaxFreq="Quarterly",$K103*12/$D103,$K103))</f>
        <v/>
      </c>
      <c r="N103" s="36">
        <f>IF($A103&gt;NYears*12,"",LOOKUP($M103,TaxLower,TaxRate))</f>
        <v/>
      </c>
      <c r="O103" s="35">
        <f>IF($A103&gt;NYears*12,"",IF(TaxFreq="Quarterly",IF(MOD($D103,3)=0,$L103*$N103,0),IF($D103=12,$K103*$N103,0)))</f>
        <v/>
      </c>
      <c r="P103" s="35">
        <f>IF($A103&gt;NYears*12,"",IF($D103=1,$O103,$P102+$O103))</f>
        <v/>
      </c>
      <c r="Q103" s="35">
        <f>IF($A103&gt;NYears*12,"",IF($D103=12,MIN(WdrPct*IF(WdrBase="Post-tax profit",$K103-$P103,$K103),WdrCap),0))</f>
        <v/>
      </c>
      <c r="R103" s="35">
        <f>IF($A103&gt;NYears*12,"",$F103+$J103-$O103-$Q103)</f>
        <v/>
      </c>
      <c r="S103" s="33">
        <f>IF($A103&gt;NYears*12,"",INT($R103/$E103))</f>
        <v/>
      </c>
    </row>
    <row r="104">
      <c r="A104" s="33">
        <f>100</f>
        <v/>
      </c>
      <c r="B104" s="34">
        <f>IF($A104&gt;NYears*12,"",EDATE(StartMonth,$A104-1))</f>
        <v/>
      </c>
      <c r="C104" s="33">
        <f>IF($A104&gt;NYears*12,"",INT(($A104-1)/12)+1)</f>
        <v/>
      </c>
      <c r="D104" s="33">
        <f>IF($A104&gt;NYears*12,"",MOD($A104-1,12)+1)</f>
        <v/>
      </c>
      <c r="E104" s="35">
        <f>IF($A104&gt;NYears*12,"",LotValue0*(1+LotGrowth)^($C104-1))</f>
        <v/>
      </c>
      <c r="F104" s="35">
        <f>IF($A104&gt;NYears*12,"",IF($A104=1,InitInvest,$R103))</f>
        <v/>
      </c>
      <c r="G104" s="33">
        <f>IF($A104&gt;NYears*12,"",INT($F104/$E104))</f>
        <v/>
      </c>
      <c r="H104" s="35">
        <f>IF($A104&gt;NYears*12,"",$G104*$E104)</f>
        <v/>
      </c>
      <c r="I104" s="35">
        <f>IF($A104&gt;NYears*12,"",$F104-$H104)</f>
        <v/>
      </c>
      <c r="J104" s="35">
        <f>IF($A104&gt;NYears*12,"",$H104*RateC)</f>
        <v/>
      </c>
      <c r="K104" s="35">
        <f>IF($A104&gt;NYears*12,"",IF($D104=1,$J104,$K103+$J104))</f>
        <v/>
      </c>
      <c r="L104" s="35">
        <f>IF($A104&gt;NYears*12,"",IF(MOD($D104,3)=0,SUM($J102:$J104),0))</f>
        <v/>
      </c>
      <c r="M104" s="35">
        <f>IF($A104&gt;NYears*12,"",IF(TaxFreq="Quarterly",$K104*12/$D104,$K104))</f>
        <v/>
      </c>
      <c r="N104" s="36">
        <f>IF($A104&gt;NYears*12,"",LOOKUP($M104,TaxLower,TaxRate))</f>
        <v/>
      </c>
      <c r="O104" s="35">
        <f>IF($A104&gt;NYears*12,"",IF(TaxFreq="Quarterly",IF(MOD($D104,3)=0,$L104*$N104,0),IF($D104=12,$K104*$N104,0)))</f>
        <v/>
      </c>
      <c r="P104" s="35">
        <f>IF($A104&gt;NYears*12,"",IF($D104=1,$O104,$P103+$O104))</f>
        <v/>
      </c>
      <c r="Q104" s="35">
        <f>IF($A104&gt;NYears*12,"",IF($D104=12,MIN(WdrPct*IF(WdrBase="Post-tax profit",$K104-$P104,$K104),WdrCap),0))</f>
        <v/>
      </c>
      <c r="R104" s="35">
        <f>IF($A104&gt;NYears*12,"",$F104+$J104-$O104-$Q104)</f>
        <v/>
      </c>
      <c r="S104" s="33">
        <f>IF($A104&gt;NYears*12,"",INT($R104/$E104))</f>
        <v/>
      </c>
    </row>
    <row r="105">
      <c r="A105" s="33">
        <f>101</f>
        <v/>
      </c>
      <c r="B105" s="34">
        <f>IF($A105&gt;NYears*12,"",EDATE(StartMonth,$A105-1))</f>
        <v/>
      </c>
      <c r="C105" s="33">
        <f>IF($A105&gt;NYears*12,"",INT(($A105-1)/12)+1)</f>
        <v/>
      </c>
      <c r="D105" s="33">
        <f>IF($A105&gt;NYears*12,"",MOD($A105-1,12)+1)</f>
        <v/>
      </c>
      <c r="E105" s="35">
        <f>IF($A105&gt;NYears*12,"",LotValue0*(1+LotGrowth)^($C105-1))</f>
        <v/>
      </c>
      <c r="F105" s="35">
        <f>IF($A105&gt;NYears*12,"",IF($A105=1,InitInvest,$R104))</f>
        <v/>
      </c>
      <c r="G105" s="33">
        <f>IF($A105&gt;NYears*12,"",INT($F105/$E105))</f>
        <v/>
      </c>
      <c r="H105" s="35">
        <f>IF($A105&gt;NYears*12,"",$G105*$E105)</f>
        <v/>
      </c>
      <c r="I105" s="35">
        <f>IF($A105&gt;NYears*12,"",$F105-$H105)</f>
        <v/>
      </c>
      <c r="J105" s="35">
        <f>IF($A105&gt;NYears*12,"",$H105*RateC)</f>
        <v/>
      </c>
      <c r="K105" s="35">
        <f>IF($A105&gt;NYears*12,"",IF($D105=1,$J105,$K104+$J105))</f>
        <v/>
      </c>
      <c r="L105" s="35">
        <f>IF($A105&gt;NYears*12,"",IF(MOD($D105,3)=0,SUM($J103:$J105),0))</f>
        <v/>
      </c>
      <c r="M105" s="35">
        <f>IF($A105&gt;NYears*12,"",IF(TaxFreq="Quarterly",$K105*12/$D105,$K105))</f>
        <v/>
      </c>
      <c r="N105" s="36">
        <f>IF($A105&gt;NYears*12,"",LOOKUP($M105,TaxLower,TaxRate))</f>
        <v/>
      </c>
      <c r="O105" s="35">
        <f>IF($A105&gt;NYears*12,"",IF(TaxFreq="Quarterly",IF(MOD($D105,3)=0,$L105*$N105,0),IF($D105=12,$K105*$N105,0)))</f>
        <v/>
      </c>
      <c r="P105" s="35">
        <f>IF($A105&gt;NYears*12,"",IF($D105=1,$O105,$P104+$O105))</f>
        <v/>
      </c>
      <c r="Q105" s="35">
        <f>IF($A105&gt;NYears*12,"",IF($D105=12,MIN(WdrPct*IF(WdrBase="Post-tax profit",$K105-$P105,$K105),WdrCap),0))</f>
        <v/>
      </c>
      <c r="R105" s="35">
        <f>IF($A105&gt;NYears*12,"",$F105+$J105-$O105-$Q105)</f>
        <v/>
      </c>
      <c r="S105" s="33">
        <f>IF($A105&gt;NYears*12,"",INT($R105/$E105))</f>
        <v/>
      </c>
    </row>
    <row r="106">
      <c r="A106" s="33">
        <f>102</f>
        <v/>
      </c>
      <c r="B106" s="34">
        <f>IF($A106&gt;NYears*12,"",EDATE(StartMonth,$A106-1))</f>
        <v/>
      </c>
      <c r="C106" s="33">
        <f>IF($A106&gt;NYears*12,"",INT(($A106-1)/12)+1)</f>
        <v/>
      </c>
      <c r="D106" s="33">
        <f>IF($A106&gt;NYears*12,"",MOD($A106-1,12)+1)</f>
        <v/>
      </c>
      <c r="E106" s="35">
        <f>IF($A106&gt;NYears*12,"",LotValue0*(1+LotGrowth)^($C106-1))</f>
        <v/>
      </c>
      <c r="F106" s="35">
        <f>IF($A106&gt;NYears*12,"",IF($A106=1,InitInvest,$R105))</f>
        <v/>
      </c>
      <c r="G106" s="33">
        <f>IF($A106&gt;NYears*12,"",INT($F106/$E106))</f>
        <v/>
      </c>
      <c r="H106" s="35">
        <f>IF($A106&gt;NYears*12,"",$G106*$E106)</f>
        <v/>
      </c>
      <c r="I106" s="35">
        <f>IF($A106&gt;NYears*12,"",$F106-$H106)</f>
        <v/>
      </c>
      <c r="J106" s="35">
        <f>IF($A106&gt;NYears*12,"",$H106*RateC)</f>
        <v/>
      </c>
      <c r="K106" s="35">
        <f>IF($A106&gt;NYears*12,"",IF($D106=1,$J106,$K105+$J106))</f>
        <v/>
      </c>
      <c r="L106" s="35">
        <f>IF($A106&gt;NYears*12,"",IF(MOD($D106,3)=0,SUM($J104:$J106),0))</f>
        <v/>
      </c>
      <c r="M106" s="35">
        <f>IF($A106&gt;NYears*12,"",IF(TaxFreq="Quarterly",$K106*12/$D106,$K106))</f>
        <v/>
      </c>
      <c r="N106" s="36">
        <f>IF($A106&gt;NYears*12,"",LOOKUP($M106,TaxLower,TaxRate))</f>
        <v/>
      </c>
      <c r="O106" s="35">
        <f>IF($A106&gt;NYears*12,"",IF(TaxFreq="Quarterly",IF(MOD($D106,3)=0,$L106*$N106,0),IF($D106=12,$K106*$N106,0)))</f>
        <v/>
      </c>
      <c r="P106" s="35">
        <f>IF($A106&gt;NYears*12,"",IF($D106=1,$O106,$P105+$O106))</f>
        <v/>
      </c>
      <c r="Q106" s="35">
        <f>IF($A106&gt;NYears*12,"",IF($D106=12,MIN(WdrPct*IF(WdrBase="Post-tax profit",$K106-$P106,$K106),WdrCap),0))</f>
        <v/>
      </c>
      <c r="R106" s="35">
        <f>IF($A106&gt;NYears*12,"",$F106+$J106-$O106-$Q106)</f>
        <v/>
      </c>
      <c r="S106" s="33">
        <f>IF($A106&gt;NYears*12,"",INT($R106/$E106))</f>
        <v/>
      </c>
    </row>
    <row r="107">
      <c r="A107" s="33">
        <f>103</f>
        <v/>
      </c>
      <c r="B107" s="34">
        <f>IF($A107&gt;NYears*12,"",EDATE(StartMonth,$A107-1))</f>
        <v/>
      </c>
      <c r="C107" s="33">
        <f>IF($A107&gt;NYears*12,"",INT(($A107-1)/12)+1)</f>
        <v/>
      </c>
      <c r="D107" s="33">
        <f>IF($A107&gt;NYears*12,"",MOD($A107-1,12)+1)</f>
        <v/>
      </c>
      <c r="E107" s="35">
        <f>IF($A107&gt;NYears*12,"",LotValue0*(1+LotGrowth)^($C107-1))</f>
        <v/>
      </c>
      <c r="F107" s="35">
        <f>IF($A107&gt;NYears*12,"",IF($A107=1,InitInvest,$R106))</f>
        <v/>
      </c>
      <c r="G107" s="33">
        <f>IF($A107&gt;NYears*12,"",INT($F107/$E107))</f>
        <v/>
      </c>
      <c r="H107" s="35">
        <f>IF($A107&gt;NYears*12,"",$G107*$E107)</f>
        <v/>
      </c>
      <c r="I107" s="35">
        <f>IF($A107&gt;NYears*12,"",$F107-$H107)</f>
        <v/>
      </c>
      <c r="J107" s="35">
        <f>IF($A107&gt;NYears*12,"",$H107*RateC)</f>
        <v/>
      </c>
      <c r="K107" s="35">
        <f>IF($A107&gt;NYears*12,"",IF($D107=1,$J107,$K106+$J107))</f>
        <v/>
      </c>
      <c r="L107" s="35">
        <f>IF($A107&gt;NYears*12,"",IF(MOD($D107,3)=0,SUM($J105:$J107),0))</f>
        <v/>
      </c>
      <c r="M107" s="35">
        <f>IF($A107&gt;NYears*12,"",IF(TaxFreq="Quarterly",$K107*12/$D107,$K107))</f>
        <v/>
      </c>
      <c r="N107" s="36">
        <f>IF($A107&gt;NYears*12,"",LOOKUP($M107,TaxLower,TaxRate))</f>
        <v/>
      </c>
      <c r="O107" s="35">
        <f>IF($A107&gt;NYears*12,"",IF(TaxFreq="Quarterly",IF(MOD($D107,3)=0,$L107*$N107,0),IF($D107=12,$K107*$N107,0)))</f>
        <v/>
      </c>
      <c r="P107" s="35">
        <f>IF($A107&gt;NYears*12,"",IF($D107=1,$O107,$P106+$O107))</f>
        <v/>
      </c>
      <c r="Q107" s="35">
        <f>IF($A107&gt;NYears*12,"",IF($D107=12,MIN(WdrPct*IF(WdrBase="Post-tax profit",$K107-$P107,$K107),WdrCap),0))</f>
        <v/>
      </c>
      <c r="R107" s="35">
        <f>IF($A107&gt;NYears*12,"",$F107+$J107-$O107-$Q107)</f>
        <v/>
      </c>
      <c r="S107" s="33">
        <f>IF($A107&gt;NYears*12,"",INT($R107/$E107))</f>
        <v/>
      </c>
    </row>
    <row r="108">
      <c r="A108" s="33">
        <f>104</f>
        <v/>
      </c>
      <c r="B108" s="34">
        <f>IF($A108&gt;NYears*12,"",EDATE(StartMonth,$A108-1))</f>
        <v/>
      </c>
      <c r="C108" s="33">
        <f>IF($A108&gt;NYears*12,"",INT(($A108-1)/12)+1)</f>
        <v/>
      </c>
      <c r="D108" s="33">
        <f>IF($A108&gt;NYears*12,"",MOD($A108-1,12)+1)</f>
        <v/>
      </c>
      <c r="E108" s="35">
        <f>IF($A108&gt;NYears*12,"",LotValue0*(1+LotGrowth)^($C108-1))</f>
        <v/>
      </c>
      <c r="F108" s="35">
        <f>IF($A108&gt;NYears*12,"",IF($A108=1,InitInvest,$R107))</f>
        <v/>
      </c>
      <c r="G108" s="33">
        <f>IF($A108&gt;NYears*12,"",INT($F108/$E108))</f>
        <v/>
      </c>
      <c r="H108" s="35">
        <f>IF($A108&gt;NYears*12,"",$G108*$E108)</f>
        <v/>
      </c>
      <c r="I108" s="35">
        <f>IF($A108&gt;NYears*12,"",$F108-$H108)</f>
        <v/>
      </c>
      <c r="J108" s="35">
        <f>IF($A108&gt;NYears*12,"",$H108*RateC)</f>
        <v/>
      </c>
      <c r="K108" s="35">
        <f>IF($A108&gt;NYears*12,"",IF($D108=1,$J108,$K107+$J108))</f>
        <v/>
      </c>
      <c r="L108" s="35">
        <f>IF($A108&gt;NYears*12,"",IF(MOD($D108,3)=0,SUM($J106:$J108),0))</f>
        <v/>
      </c>
      <c r="M108" s="35">
        <f>IF($A108&gt;NYears*12,"",IF(TaxFreq="Quarterly",$K108*12/$D108,$K108))</f>
        <v/>
      </c>
      <c r="N108" s="36">
        <f>IF($A108&gt;NYears*12,"",LOOKUP($M108,TaxLower,TaxRate))</f>
        <v/>
      </c>
      <c r="O108" s="35">
        <f>IF($A108&gt;NYears*12,"",IF(TaxFreq="Quarterly",IF(MOD($D108,3)=0,$L108*$N108,0),IF($D108=12,$K108*$N108,0)))</f>
        <v/>
      </c>
      <c r="P108" s="35">
        <f>IF($A108&gt;NYears*12,"",IF($D108=1,$O108,$P107+$O108))</f>
        <v/>
      </c>
      <c r="Q108" s="35">
        <f>IF($A108&gt;NYears*12,"",IF($D108=12,MIN(WdrPct*IF(WdrBase="Post-tax profit",$K108-$P108,$K108),WdrCap),0))</f>
        <v/>
      </c>
      <c r="R108" s="35">
        <f>IF($A108&gt;NYears*12,"",$F108+$J108-$O108-$Q108)</f>
        <v/>
      </c>
      <c r="S108" s="33">
        <f>IF($A108&gt;NYears*12,"",INT($R108/$E108))</f>
        <v/>
      </c>
    </row>
    <row r="109">
      <c r="A109" s="33">
        <f>105</f>
        <v/>
      </c>
      <c r="B109" s="34">
        <f>IF($A109&gt;NYears*12,"",EDATE(StartMonth,$A109-1))</f>
        <v/>
      </c>
      <c r="C109" s="33">
        <f>IF($A109&gt;NYears*12,"",INT(($A109-1)/12)+1)</f>
        <v/>
      </c>
      <c r="D109" s="33">
        <f>IF($A109&gt;NYears*12,"",MOD($A109-1,12)+1)</f>
        <v/>
      </c>
      <c r="E109" s="35">
        <f>IF($A109&gt;NYears*12,"",LotValue0*(1+LotGrowth)^($C109-1))</f>
        <v/>
      </c>
      <c r="F109" s="35">
        <f>IF($A109&gt;NYears*12,"",IF($A109=1,InitInvest,$R108))</f>
        <v/>
      </c>
      <c r="G109" s="33">
        <f>IF($A109&gt;NYears*12,"",INT($F109/$E109))</f>
        <v/>
      </c>
      <c r="H109" s="35">
        <f>IF($A109&gt;NYears*12,"",$G109*$E109)</f>
        <v/>
      </c>
      <c r="I109" s="35">
        <f>IF($A109&gt;NYears*12,"",$F109-$H109)</f>
        <v/>
      </c>
      <c r="J109" s="35">
        <f>IF($A109&gt;NYears*12,"",$H109*RateC)</f>
        <v/>
      </c>
      <c r="K109" s="35">
        <f>IF($A109&gt;NYears*12,"",IF($D109=1,$J109,$K108+$J109))</f>
        <v/>
      </c>
      <c r="L109" s="35">
        <f>IF($A109&gt;NYears*12,"",IF(MOD($D109,3)=0,SUM($J107:$J109),0))</f>
        <v/>
      </c>
      <c r="M109" s="35">
        <f>IF($A109&gt;NYears*12,"",IF(TaxFreq="Quarterly",$K109*12/$D109,$K109))</f>
        <v/>
      </c>
      <c r="N109" s="36">
        <f>IF($A109&gt;NYears*12,"",LOOKUP($M109,TaxLower,TaxRate))</f>
        <v/>
      </c>
      <c r="O109" s="35">
        <f>IF($A109&gt;NYears*12,"",IF(TaxFreq="Quarterly",IF(MOD($D109,3)=0,$L109*$N109,0),IF($D109=12,$K109*$N109,0)))</f>
        <v/>
      </c>
      <c r="P109" s="35">
        <f>IF($A109&gt;NYears*12,"",IF($D109=1,$O109,$P108+$O109))</f>
        <v/>
      </c>
      <c r="Q109" s="35">
        <f>IF($A109&gt;NYears*12,"",IF($D109=12,MIN(WdrPct*IF(WdrBase="Post-tax profit",$K109-$P109,$K109),WdrCap),0))</f>
        <v/>
      </c>
      <c r="R109" s="35">
        <f>IF($A109&gt;NYears*12,"",$F109+$J109-$O109-$Q109)</f>
        <v/>
      </c>
      <c r="S109" s="33">
        <f>IF($A109&gt;NYears*12,"",INT($R109/$E109))</f>
        <v/>
      </c>
    </row>
    <row r="110">
      <c r="A110" s="33">
        <f>106</f>
        <v/>
      </c>
      <c r="B110" s="34">
        <f>IF($A110&gt;NYears*12,"",EDATE(StartMonth,$A110-1))</f>
        <v/>
      </c>
      <c r="C110" s="33">
        <f>IF($A110&gt;NYears*12,"",INT(($A110-1)/12)+1)</f>
        <v/>
      </c>
      <c r="D110" s="33">
        <f>IF($A110&gt;NYears*12,"",MOD($A110-1,12)+1)</f>
        <v/>
      </c>
      <c r="E110" s="35">
        <f>IF($A110&gt;NYears*12,"",LotValue0*(1+LotGrowth)^($C110-1))</f>
        <v/>
      </c>
      <c r="F110" s="35">
        <f>IF($A110&gt;NYears*12,"",IF($A110=1,InitInvest,$R109))</f>
        <v/>
      </c>
      <c r="G110" s="33">
        <f>IF($A110&gt;NYears*12,"",INT($F110/$E110))</f>
        <v/>
      </c>
      <c r="H110" s="35">
        <f>IF($A110&gt;NYears*12,"",$G110*$E110)</f>
        <v/>
      </c>
      <c r="I110" s="35">
        <f>IF($A110&gt;NYears*12,"",$F110-$H110)</f>
        <v/>
      </c>
      <c r="J110" s="35">
        <f>IF($A110&gt;NYears*12,"",$H110*RateC)</f>
        <v/>
      </c>
      <c r="K110" s="35">
        <f>IF($A110&gt;NYears*12,"",IF($D110=1,$J110,$K109+$J110))</f>
        <v/>
      </c>
      <c r="L110" s="35">
        <f>IF($A110&gt;NYears*12,"",IF(MOD($D110,3)=0,SUM($J108:$J110),0))</f>
        <v/>
      </c>
      <c r="M110" s="35">
        <f>IF($A110&gt;NYears*12,"",IF(TaxFreq="Quarterly",$K110*12/$D110,$K110))</f>
        <v/>
      </c>
      <c r="N110" s="36">
        <f>IF($A110&gt;NYears*12,"",LOOKUP($M110,TaxLower,TaxRate))</f>
        <v/>
      </c>
      <c r="O110" s="35">
        <f>IF($A110&gt;NYears*12,"",IF(TaxFreq="Quarterly",IF(MOD($D110,3)=0,$L110*$N110,0),IF($D110=12,$K110*$N110,0)))</f>
        <v/>
      </c>
      <c r="P110" s="35">
        <f>IF($A110&gt;NYears*12,"",IF($D110=1,$O110,$P109+$O110))</f>
        <v/>
      </c>
      <c r="Q110" s="35">
        <f>IF($A110&gt;NYears*12,"",IF($D110=12,MIN(WdrPct*IF(WdrBase="Post-tax profit",$K110-$P110,$K110),WdrCap),0))</f>
        <v/>
      </c>
      <c r="R110" s="35">
        <f>IF($A110&gt;NYears*12,"",$F110+$J110-$O110-$Q110)</f>
        <v/>
      </c>
      <c r="S110" s="33">
        <f>IF($A110&gt;NYears*12,"",INT($R110/$E110))</f>
        <v/>
      </c>
    </row>
    <row r="111">
      <c r="A111" s="33">
        <f>107</f>
        <v/>
      </c>
      <c r="B111" s="34">
        <f>IF($A111&gt;NYears*12,"",EDATE(StartMonth,$A111-1))</f>
        <v/>
      </c>
      <c r="C111" s="33">
        <f>IF($A111&gt;NYears*12,"",INT(($A111-1)/12)+1)</f>
        <v/>
      </c>
      <c r="D111" s="33">
        <f>IF($A111&gt;NYears*12,"",MOD($A111-1,12)+1)</f>
        <v/>
      </c>
      <c r="E111" s="35">
        <f>IF($A111&gt;NYears*12,"",LotValue0*(1+LotGrowth)^($C111-1))</f>
        <v/>
      </c>
      <c r="F111" s="35">
        <f>IF($A111&gt;NYears*12,"",IF($A111=1,InitInvest,$R110))</f>
        <v/>
      </c>
      <c r="G111" s="33">
        <f>IF($A111&gt;NYears*12,"",INT($F111/$E111))</f>
        <v/>
      </c>
      <c r="H111" s="35">
        <f>IF($A111&gt;NYears*12,"",$G111*$E111)</f>
        <v/>
      </c>
      <c r="I111" s="35">
        <f>IF($A111&gt;NYears*12,"",$F111-$H111)</f>
        <v/>
      </c>
      <c r="J111" s="35">
        <f>IF($A111&gt;NYears*12,"",$H111*RateC)</f>
        <v/>
      </c>
      <c r="K111" s="35">
        <f>IF($A111&gt;NYears*12,"",IF($D111=1,$J111,$K110+$J111))</f>
        <v/>
      </c>
      <c r="L111" s="35">
        <f>IF($A111&gt;NYears*12,"",IF(MOD($D111,3)=0,SUM($J109:$J111),0))</f>
        <v/>
      </c>
      <c r="M111" s="35">
        <f>IF($A111&gt;NYears*12,"",IF(TaxFreq="Quarterly",$K111*12/$D111,$K111))</f>
        <v/>
      </c>
      <c r="N111" s="36">
        <f>IF($A111&gt;NYears*12,"",LOOKUP($M111,TaxLower,TaxRate))</f>
        <v/>
      </c>
      <c r="O111" s="35">
        <f>IF($A111&gt;NYears*12,"",IF(TaxFreq="Quarterly",IF(MOD($D111,3)=0,$L111*$N111,0),IF($D111=12,$K111*$N111,0)))</f>
        <v/>
      </c>
      <c r="P111" s="35">
        <f>IF($A111&gt;NYears*12,"",IF($D111=1,$O111,$P110+$O111))</f>
        <v/>
      </c>
      <c r="Q111" s="35">
        <f>IF($A111&gt;NYears*12,"",IF($D111=12,MIN(WdrPct*IF(WdrBase="Post-tax profit",$K111-$P111,$K111),WdrCap),0))</f>
        <v/>
      </c>
      <c r="R111" s="35">
        <f>IF($A111&gt;NYears*12,"",$F111+$J111-$O111-$Q111)</f>
        <v/>
      </c>
      <c r="S111" s="33">
        <f>IF($A111&gt;NYears*12,"",INT($R111/$E111))</f>
        <v/>
      </c>
    </row>
    <row r="112">
      <c r="A112" s="37">
        <f>108</f>
        <v/>
      </c>
      <c r="B112" s="38">
        <f>IF($A112&gt;NYears*12,"",EDATE(StartMonth,$A112-1))</f>
        <v/>
      </c>
      <c r="C112" s="37">
        <f>IF($A112&gt;NYears*12,"",INT(($A112-1)/12)+1)</f>
        <v/>
      </c>
      <c r="D112" s="37">
        <f>IF($A112&gt;NYears*12,"",MOD($A112-1,12)+1)</f>
        <v/>
      </c>
      <c r="E112" s="39">
        <f>IF($A112&gt;NYears*12,"",LotValue0*(1+LotGrowth)^($C112-1))</f>
        <v/>
      </c>
      <c r="F112" s="39">
        <f>IF($A112&gt;NYears*12,"",IF($A112=1,InitInvest,$R111))</f>
        <v/>
      </c>
      <c r="G112" s="37">
        <f>IF($A112&gt;NYears*12,"",INT($F112/$E112))</f>
        <v/>
      </c>
      <c r="H112" s="39">
        <f>IF($A112&gt;NYears*12,"",$G112*$E112)</f>
        <v/>
      </c>
      <c r="I112" s="39">
        <f>IF($A112&gt;NYears*12,"",$F112-$H112)</f>
        <v/>
      </c>
      <c r="J112" s="39">
        <f>IF($A112&gt;NYears*12,"",$H112*RateC)</f>
        <v/>
      </c>
      <c r="K112" s="39">
        <f>IF($A112&gt;NYears*12,"",IF($D112=1,$J112,$K111+$J112))</f>
        <v/>
      </c>
      <c r="L112" s="39">
        <f>IF($A112&gt;NYears*12,"",IF(MOD($D112,3)=0,SUM($J110:$J112),0))</f>
        <v/>
      </c>
      <c r="M112" s="39">
        <f>IF($A112&gt;NYears*12,"",IF(TaxFreq="Quarterly",$K112*12/$D112,$K112))</f>
        <v/>
      </c>
      <c r="N112" s="40">
        <f>IF($A112&gt;NYears*12,"",LOOKUP($M112,TaxLower,TaxRate))</f>
        <v/>
      </c>
      <c r="O112" s="39">
        <f>IF($A112&gt;NYears*12,"",IF(TaxFreq="Quarterly",IF(MOD($D112,3)=0,$L112*$N112,0),IF($D112=12,$K112*$N112,0)))</f>
        <v/>
      </c>
      <c r="P112" s="39">
        <f>IF($A112&gt;NYears*12,"",IF($D112=1,$O112,$P111+$O112))</f>
        <v/>
      </c>
      <c r="Q112" s="39">
        <f>IF($A112&gt;NYears*12,"",IF($D112=12,MIN(WdrPct*IF(WdrBase="Post-tax profit",$K112-$P112,$K112),WdrCap),0))</f>
        <v/>
      </c>
      <c r="R112" s="39">
        <f>IF($A112&gt;NYears*12,"",$F112+$J112-$O112-$Q112)</f>
        <v/>
      </c>
      <c r="S112" s="37">
        <f>IF($A112&gt;NYears*12,"",INT($R112/$E112))</f>
        <v/>
      </c>
    </row>
    <row r="113">
      <c r="A113" s="33">
        <f>109</f>
        <v/>
      </c>
      <c r="B113" s="34">
        <f>IF($A113&gt;NYears*12,"",EDATE(StartMonth,$A113-1))</f>
        <v/>
      </c>
      <c r="C113" s="33">
        <f>IF($A113&gt;NYears*12,"",INT(($A113-1)/12)+1)</f>
        <v/>
      </c>
      <c r="D113" s="33">
        <f>IF($A113&gt;NYears*12,"",MOD($A113-1,12)+1)</f>
        <v/>
      </c>
      <c r="E113" s="35">
        <f>IF($A113&gt;NYears*12,"",LotValue0*(1+LotGrowth)^($C113-1))</f>
        <v/>
      </c>
      <c r="F113" s="35">
        <f>IF($A113&gt;NYears*12,"",IF($A113=1,InitInvest,$R112))</f>
        <v/>
      </c>
      <c r="G113" s="33">
        <f>IF($A113&gt;NYears*12,"",INT($F113/$E113))</f>
        <v/>
      </c>
      <c r="H113" s="35">
        <f>IF($A113&gt;NYears*12,"",$G113*$E113)</f>
        <v/>
      </c>
      <c r="I113" s="35">
        <f>IF($A113&gt;NYears*12,"",$F113-$H113)</f>
        <v/>
      </c>
      <c r="J113" s="35">
        <f>IF($A113&gt;NYears*12,"",$H113*RateC)</f>
        <v/>
      </c>
      <c r="K113" s="35">
        <f>IF($A113&gt;NYears*12,"",IF($D113=1,$J113,$K112+$J113))</f>
        <v/>
      </c>
      <c r="L113" s="35">
        <f>IF($A113&gt;NYears*12,"",IF(MOD($D113,3)=0,SUM($J111:$J113),0))</f>
        <v/>
      </c>
      <c r="M113" s="35">
        <f>IF($A113&gt;NYears*12,"",IF(TaxFreq="Quarterly",$K113*12/$D113,$K113))</f>
        <v/>
      </c>
      <c r="N113" s="36">
        <f>IF($A113&gt;NYears*12,"",LOOKUP($M113,TaxLower,TaxRate))</f>
        <v/>
      </c>
      <c r="O113" s="35">
        <f>IF($A113&gt;NYears*12,"",IF(TaxFreq="Quarterly",IF(MOD($D113,3)=0,$L113*$N113,0),IF($D113=12,$K113*$N113,0)))</f>
        <v/>
      </c>
      <c r="P113" s="35">
        <f>IF($A113&gt;NYears*12,"",IF($D113=1,$O113,$P112+$O113))</f>
        <v/>
      </c>
      <c r="Q113" s="35">
        <f>IF($A113&gt;NYears*12,"",IF($D113=12,MIN(WdrPct*IF(WdrBase="Post-tax profit",$K113-$P113,$K113),WdrCap),0))</f>
        <v/>
      </c>
      <c r="R113" s="35">
        <f>IF($A113&gt;NYears*12,"",$F113+$J113-$O113-$Q113)</f>
        <v/>
      </c>
      <c r="S113" s="33">
        <f>IF($A113&gt;NYears*12,"",INT($R113/$E113))</f>
        <v/>
      </c>
    </row>
    <row r="114">
      <c r="A114" s="33">
        <f>110</f>
        <v/>
      </c>
      <c r="B114" s="34">
        <f>IF($A114&gt;NYears*12,"",EDATE(StartMonth,$A114-1))</f>
        <v/>
      </c>
      <c r="C114" s="33">
        <f>IF($A114&gt;NYears*12,"",INT(($A114-1)/12)+1)</f>
        <v/>
      </c>
      <c r="D114" s="33">
        <f>IF($A114&gt;NYears*12,"",MOD($A114-1,12)+1)</f>
        <v/>
      </c>
      <c r="E114" s="35">
        <f>IF($A114&gt;NYears*12,"",LotValue0*(1+LotGrowth)^($C114-1))</f>
        <v/>
      </c>
      <c r="F114" s="35">
        <f>IF($A114&gt;NYears*12,"",IF($A114=1,InitInvest,$R113))</f>
        <v/>
      </c>
      <c r="G114" s="33">
        <f>IF($A114&gt;NYears*12,"",INT($F114/$E114))</f>
        <v/>
      </c>
      <c r="H114" s="35">
        <f>IF($A114&gt;NYears*12,"",$G114*$E114)</f>
        <v/>
      </c>
      <c r="I114" s="35">
        <f>IF($A114&gt;NYears*12,"",$F114-$H114)</f>
        <v/>
      </c>
      <c r="J114" s="35">
        <f>IF($A114&gt;NYears*12,"",$H114*RateC)</f>
        <v/>
      </c>
      <c r="K114" s="35">
        <f>IF($A114&gt;NYears*12,"",IF($D114=1,$J114,$K113+$J114))</f>
        <v/>
      </c>
      <c r="L114" s="35">
        <f>IF($A114&gt;NYears*12,"",IF(MOD($D114,3)=0,SUM($J112:$J114),0))</f>
        <v/>
      </c>
      <c r="M114" s="35">
        <f>IF($A114&gt;NYears*12,"",IF(TaxFreq="Quarterly",$K114*12/$D114,$K114))</f>
        <v/>
      </c>
      <c r="N114" s="36">
        <f>IF($A114&gt;NYears*12,"",LOOKUP($M114,TaxLower,TaxRate))</f>
        <v/>
      </c>
      <c r="O114" s="35">
        <f>IF($A114&gt;NYears*12,"",IF(TaxFreq="Quarterly",IF(MOD($D114,3)=0,$L114*$N114,0),IF($D114=12,$K114*$N114,0)))</f>
        <v/>
      </c>
      <c r="P114" s="35">
        <f>IF($A114&gt;NYears*12,"",IF($D114=1,$O114,$P113+$O114))</f>
        <v/>
      </c>
      <c r="Q114" s="35">
        <f>IF($A114&gt;NYears*12,"",IF($D114=12,MIN(WdrPct*IF(WdrBase="Post-tax profit",$K114-$P114,$K114),WdrCap),0))</f>
        <v/>
      </c>
      <c r="R114" s="35">
        <f>IF($A114&gt;NYears*12,"",$F114+$J114-$O114-$Q114)</f>
        <v/>
      </c>
      <c r="S114" s="33">
        <f>IF($A114&gt;NYears*12,"",INT($R114/$E114))</f>
        <v/>
      </c>
    </row>
    <row r="115">
      <c r="A115" s="33">
        <f>111</f>
        <v/>
      </c>
      <c r="B115" s="34">
        <f>IF($A115&gt;NYears*12,"",EDATE(StartMonth,$A115-1))</f>
        <v/>
      </c>
      <c r="C115" s="33">
        <f>IF($A115&gt;NYears*12,"",INT(($A115-1)/12)+1)</f>
        <v/>
      </c>
      <c r="D115" s="33">
        <f>IF($A115&gt;NYears*12,"",MOD($A115-1,12)+1)</f>
        <v/>
      </c>
      <c r="E115" s="35">
        <f>IF($A115&gt;NYears*12,"",LotValue0*(1+LotGrowth)^($C115-1))</f>
        <v/>
      </c>
      <c r="F115" s="35">
        <f>IF($A115&gt;NYears*12,"",IF($A115=1,InitInvest,$R114))</f>
        <v/>
      </c>
      <c r="G115" s="33">
        <f>IF($A115&gt;NYears*12,"",INT($F115/$E115))</f>
        <v/>
      </c>
      <c r="H115" s="35">
        <f>IF($A115&gt;NYears*12,"",$G115*$E115)</f>
        <v/>
      </c>
      <c r="I115" s="35">
        <f>IF($A115&gt;NYears*12,"",$F115-$H115)</f>
        <v/>
      </c>
      <c r="J115" s="35">
        <f>IF($A115&gt;NYears*12,"",$H115*RateC)</f>
        <v/>
      </c>
      <c r="K115" s="35">
        <f>IF($A115&gt;NYears*12,"",IF($D115=1,$J115,$K114+$J115))</f>
        <v/>
      </c>
      <c r="L115" s="35">
        <f>IF($A115&gt;NYears*12,"",IF(MOD($D115,3)=0,SUM($J113:$J115),0))</f>
        <v/>
      </c>
      <c r="M115" s="35">
        <f>IF($A115&gt;NYears*12,"",IF(TaxFreq="Quarterly",$K115*12/$D115,$K115))</f>
        <v/>
      </c>
      <c r="N115" s="36">
        <f>IF($A115&gt;NYears*12,"",LOOKUP($M115,TaxLower,TaxRate))</f>
        <v/>
      </c>
      <c r="O115" s="35">
        <f>IF($A115&gt;NYears*12,"",IF(TaxFreq="Quarterly",IF(MOD($D115,3)=0,$L115*$N115,0),IF($D115=12,$K115*$N115,0)))</f>
        <v/>
      </c>
      <c r="P115" s="35">
        <f>IF($A115&gt;NYears*12,"",IF($D115=1,$O115,$P114+$O115))</f>
        <v/>
      </c>
      <c r="Q115" s="35">
        <f>IF($A115&gt;NYears*12,"",IF($D115=12,MIN(WdrPct*IF(WdrBase="Post-tax profit",$K115-$P115,$K115),WdrCap),0))</f>
        <v/>
      </c>
      <c r="R115" s="35">
        <f>IF($A115&gt;NYears*12,"",$F115+$J115-$O115-$Q115)</f>
        <v/>
      </c>
      <c r="S115" s="33">
        <f>IF($A115&gt;NYears*12,"",INT($R115/$E115))</f>
        <v/>
      </c>
    </row>
    <row r="116">
      <c r="A116" s="33">
        <f>112</f>
        <v/>
      </c>
      <c r="B116" s="34">
        <f>IF($A116&gt;NYears*12,"",EDATE(StartMonth,$A116-1))</f>
        <v/>
      </c>
      <c r="C116" s="33">
        <f>IF($A116&gt;NYears*12,"",INT(($A116-1)/12)+1)</f>
        <v/>
      </c>
      <c r="D116" s="33">
        <f>IF($A116&gt;NYears*12,"",MOD($A116-1,12)+1)</f>
        <v/>
      </c>
      <c r="E116" s="35">
        <f>IF($A116&gt;NYears*12,"",LotValue0*(1+LotGrowth)^($C116-1))</f>
        <v/>
      </c>
      <c r="F116" s="35">
        <f>IF($A116&gt;NYears*12,"",IF($A116=1,InitInvest,$R115))</f>
        <v/>
      </c>
      <c r="G116" s="33">
        <f>IF($A116&gt;NYears*12,"",INT($F116/$E116))</f>
        <v/>
      </c>
      <c r="H116" s="35">
        <f>IF($A116&gt;NYears*12,"",$G116*$E116)</f>
        <v/>
      </c>
      <c r="I116" s="35">
        <f>IF($A116&gt;NYears*12,"",$F116-$H116)</f>
        <v/>
      </c>
      <c r="J116" s="35">
        <f>IF($A116&gt;NYears*12,"",$H116*RateC)</f>
        <v/>
      </c>
      <c r="K116" s="35">
        <f>IF($A116&gt;NYears*12,"",IF($D116=1,$J116,$K115+$J116))</f>
        <v/>
      </c>
      <c r="L116" s="35">
        <f>IF($A116&gt;NYears*12,"",IF(MOD($D116,3)=0,SUM($J114:$J116),0))</f>
        <v/>
      </c>
      <c r="M116" s="35">
        <f>IF($A116&gt;NYears*12,"",IF(TaxFreq="Quarterly",$K116*12/$D116,$K116))</f>
        <v/>
      </c>
      <c r="N116" s="36">
        <f>IF($A116&gt;NYears*12,"",LOOKUP($M116,TaxLower,TaxRate))</f>
        <v/>
      </c>
      <c r="O116" s="35">
        <f>IF($A116&gt;NYears*12,"",IF(TaxFreq="Quarterly",IF(MOD($D116,3)=0,$L116*$N116,0),IF($D116=12,$K116*$N116,0)))</f>
        <v/>
      </c>
      <c r="P116" s="35">
        <f>IF($A116&gt;NYears*12,"",IF($D116=1,$O116,$P115+$O116))</f>
        <v/>
      </c>
      <c r="Q116" s="35">
        <f>IF($A116&gt;NYears*12,"",IF($D116=12,MIN(WdrPct*IF(WdrBase="Post-tax profit",$K116-$P116,$K116),WdrCap),0))</f>
        <v/>
      </c>
      <c r="R116" s="35">
        <f>IF($A116&gt;NYears*12,"",$F116+$J116-$O116-$Q116)</f>
        <v/>
      </c>
      <c r="S116" s="33">
        <f>IF($A116&gt;NYears*12,"",INT($R116/$E116))</f>
        <v/>
      </c>
    </row>
    <row r="117">
      <c r="A117" s="33">
        <f>113</f>
        <v/>
      </c>
      <c r="B117" s="34">
        <f>IF($A117&gt;NYears*12,"",EDATE(StartMonth,$A117-1))</f>
        <v/>
      </c>
      <c r="C117" s="33">
        <f>IF($A117&gt;NYears*12,"",INT(($A117-1)/12)+1)</f>
        <v/>
      </c>
      <c r="D117" s="33">
        <f>IF($A117&gt;NYears*12,"",MOD($A117-1,12)+1)</f>
        <v/>
      </c>
      <c r="E117" s="35">
        <f>IF($A117&gt;NYears*12,"",LotValue0*(1+LotGrowth)^($C117-1))</f>
        <v/>
      </c>
      <c r="F117" s="35">
        <f>IF($A117&gt;NYears*12,"",IF($A117=1,InitInvest,$R116))</f>
        <v/>
      </c>
      <c r="G117" s="33">
        <f>IF($A117&gt;NYears*12,"",INT($F117/$E117))</f>
        <v/>
      </c>
      <c r="H117" s="35">
        <f>IF($A117&gt;NYears*12,"",$G117*$E117)</f>
        <v/>
      </c>
      <c r="I117" s="35">
        <f>IF($A117&gt;NYears*12,"",$F117-$H117)</f>
        <v/>
      </c>
      <c r="J117" s="35">
        <f>IF($A117&gt;NYears*12,"",$H117*RateC)</f>
        <v/>
      </c>
      <c r="K117" s="35">
        <f>IF($A117&gt;NYears*12,"",IF($D117=1,$J117,$K116+$J117))</f>
        <v/>
      </c>
      <c r="L117" s="35">
        <f>IF($A117&gt;NYears*12,"",IF(MOD($D117,3)=0,SUM($J115:$J117),0))</f>
        <v/>
      </c>
      <c r="M117" s="35">
        <f>IF($A117&gt;NYears*12,"",IF(TaxFreq="Quarterly",$K117*12/$D117,$K117))</f>
        <v/>
      </c>
      <c r="N117" s="36">
        <f>IF($A117&gt;NYears*12,"",LOOKUP($M117,TaxLower,TaxRate))</f>
        <v/>
      </c>
      <c r="O117" s="35">
        <f>IF($A117&gt;NYears*12,"",IF(TaxFreq="Quarterly",IF(MOD($D117,3)=0,$L117*$N117,0),IF($D117=12,$K117*$N117,0)))</f>
        <v/>
      </c>
      <c r="P117" s="35">
        <f>IF($A117&gt;NYears*12,"",IF($D117=1,$O117,$P116+$O117))</f>
        <v/>
      </c>
      <c r="Q117" s="35">
        <f>IF($A117&gt;NYears*12,"",IF($D117=12,MIN(WdrPct*IF(WdrBase="Post-tax profit",$K117-$P117,$K117),WdrCap),0))</f>
        <v/>
      </c>
      <c r="R117" s="35">
        <f>IF($A117&gt;NYears*12,"",$F117+$J117-$O117-$Q117)</f>
        <v/>
      </c>
      <c r="S117" s="33">
        <f>IF($A117&gt;NYears*12,"",INT($R117/$E117))</f>
        <v/>
      </c>
    </row>
    <row r="118">
      <c r="A118" s="33">
        <f>114</f>
        <v/>
      </c>
      <c r="B118" s="34">
        <f>IF($A118&gt;NYears*12,"",EDATE(StartMonth,$A118-1))</f>
        <v/>
      </c>
      <c r="C118" s="33">
        <f>IF($A118&gt;NYears*12,"",INT(($A118-1)/12)+1)</f>
        <v/>
      </c>
      <c r="D118" s="33">
        <f>IF($A118&gt;NYears*12,"",MOD($A118-1,12)+1)</f>
        <v/>
      </c>
      <c r="E118" s="35">
        <f>IF($A118&gt;NYears*12,"",LotValue0*(1+LotGrowth)^($C118-1))</f>
        <v/>
      </c>
      <c r="F118" s="35">
        <f>IF($A118&gt;NYears*12,"",IF($A118=1,InitInvest,$R117))</f>
        <v/>
      </c>
      <c r="G118" s="33">
        <f>IF($A118&gt;NYears*12,"",INT($F118/$E118))</f>
        <v/>
      </c>
      <c r="H118" s="35">
        <f>IF($A118&gt;NYears*12,"",$G118*$E118)</f>
        <v/>
      </c>
      <c r="I118" s="35">
        <f>IF($A118&gt;NYears*12,"",$F118-$H118)</f>
        <v/>
      </c>
      <c r="J118" s="35">
        <f>IF($A118&gt;NYears*12,"",$H118*RateC)</f>
        <v/>
      </c>
      <c r="K118" s="35">
        <f>IF($A118&gt;NYears*12,"",IF($D118=1,$J118,$K117+$J118))</f>
        <v/>
      </c>
      <c r="L118" s="35">
        <f>IF($A118&gt;NYears*12,"",IF(MOD($D118,3)=0,SUM($J116:$J118),0))</f>
        <v/>
      </c>
      <c r="M118" s="35">
        <f>IF($A118&gt;NYears*12,"",IF(TaxFreq="Quarterly",$K118*12/$D118,$K118))</f>
        <v/>
      </c>
      <c r="N118" s="36">
        <f>IF($A118&gt;NYears*12,"",LOOKUP($M118,TaxLower,TaxRate))</f>
        <v/>
      </c>
      <c r="O118" s="35">
        <f>IF($A118&gt;NYears*12,"",IF(TaxFreq="Quarterly",IF(MOD($D118,3)=0,$L118*$N118,0),IF($D118=12,$K118*$N118,0)))</f>
        <v/>
      </c>
      <c r="P118" s="35">
        <f>IF($A118&gt;NYears*12,"",IF($D118=1,$O118,$P117+$O118))</f>
        <v/>
      </c>
      <c r="Q118" s="35">
        <f>IF($A118&gt;NYears*12,"",IF($D118=12,MIN(WdrPct*IF(WdrBase="Post-tax profit",$K118-$P118,$K118),WdrCap),0))</f>
        <v/>
      </c>
      <c r="R118" s="35">
        <f>IF($A118&gt;NYears*12,"",$F118+$J118-$O118-$Q118)</f>
        <v/>
      </c>
      <c r="S118" s="33">
        <f>IF($A118&gt;NYears*12,"",INT($R118/$E118))</f>
        <v/>
      </c>
    </row>
    <row r="119">
      <c r="A119" s="33">
        <f>115</f>
        <v/>
      </c>
      <c r="B119" s="34">
        <f>IF($A119&gt;NYears*12,"",EDATE(StartMonth,$A119-1))</f>
        <v/>
      </c>
      <c r="C119" s="33">
        <f>IF($A119&gt;NYears*12,"",INT(($A119-1)/12)+1)</f>
        <v/>
      </c>
      <c r="D119" s="33">
        <f>IF($A119&gt;NYears*12,"",MOD($A119-1,12)+1)</f>
        <v/>
      </c>
      <c r="E119" s="35">
        <f>IF($A119&gt;NYears*12,"",LotValue0*(1+LotGrowth)^($C119-1))</f>
        <v/>
      </c>
      <c r="F119" s="35">
        <f>IF($A119&gt;NYears*12,"",IF($A119=1,InitInvest,$R118))</f>
        <v/>
      </c>
      <c r="G119" s="33">
        <f>IF($A119&gt;NYears*12,"",INT($F119/$E119))</f>
        <v/>
      </c>
      <c r="H119" s="35">
        <f>IF($A119&gt;NYears*12,"",$G119*$E119)</f>
        <v/>
      </c>
      <c r="I119" s="35">
        <f>IF($A119&gt;NYears*12,"",$F119-$H119)</f>
        <v/>
      </c>
      <c r="J119" s="35">
        <f>IF($A119&gt;NYears*12,"",$H119*RateC)</f>
        <v/>
      </c>
      <c r="K119" s="35">
        <f>IF($A119&gt;NYears*12,"",IF($D119=1,$J119,$K118+$J119))</f>
        <v/>
      </c>
      <c r="L119" s="35">
        <f>IF($A119&gt;NYears*12,"",IF(MOD($D119,3)=0,SUM($J117:$J119),0))</f>
        <v/>
      </c>
      <c r="M119" s="35">
        <f>IF($A119&gt;NYears*12,"",IF(TaxFreq="Quarterly",$K119*12/$D119,$K119))</f>
        <v/>
      </c>
      <c r="N119" s="36">
        <f>IF($A119&gt;NYears*12,"",LOOKUP($M119,TaxLower,TaxRate))</f>
        <v/>
      </c>
      <c r="O119" s="35">
        <f>IF($A119&gt;NYears*12,"",IF(TaxFreq="Quarterly",IF(MOD($D119,3)=0,$L119*$N119,0),IF($D119=12,$K119*$N119,0)))</f>
        <v/>
      </c>
      <c r="P119" s="35">
        <f>IF($A119&gt;NYears*12,"",IF($D119=1,$O119,$P118+$O119))</f>
        <v/>
      </c>
      <c r="Q119" s="35">
        <f>IF($A119&gt;NYears*12,"",IF($D119=12,MIN(WdrPct*IF(WdrBase="Post-tax profit",$K119-$P119,$K119),WdrCap),0))</f>
        <v/>
      </c>
      <c r="R119" s="35">
        <f>IF($A119&gt;NYears*12,"",$F119+$J119-$O119-$Q119)</f>
        <v/>
      </c>
      <c r="S119" s="33">
        <f>IF($A119&gt;NYears*12,"",INT($R119/$E119))</f>
        <v/>
      </c>
    </row>
    <row r="120">
      <c r="A120" s="33">
        <f>116</f>
        <v/>
      </c>
      <c r="B120" s="34">
        <f>IF($A120&gt;NYears*12,"",EDATE(StartMonth,$A120-1))</f>
        <v/>
      </c>
      <c r="C120" s="33">
        <f>IF($A120&gt;NYears*12,"",INT(($A120-1)/12)+1)</f>
        <v/>
      </c>
      <c r="D120" s="33">
        <f>IF($A120&gt;NYears*12,"",MOD($A120-1,12)+1)</f>
        <v/>
      </c>
      <c r="E120" s="35">
        <f>IF($A120&gt;NYears*12,"",LotValue0*(1+LotGrowth)^($C120-1))</f>
        <v/>
      </c>
      <c r="F120" s="35">
        <f>IF($A120&gt;NYears*12,"",IF($A120=1,InitInvest,$R119))</f>
        <v/>
      </c>
      <c r="G120" s="33">
        <f>IF($A120&gt;NYears*12,"",INT($F120/$E120))</f>
        <v/>
      </c>
      <c r="H120" s="35">
        <f>IF($A120&gt;NYears*12,"",$G120*$E120)</f>
        <v/>
      </c>
      <c r="I120" s="35">
        <f>IF($A120&gt;NYears*12,"",$F120-$H120)</f>
        <v/>
      </c>
      <c r="J120" s="35">
        <f>IF($A120&gt;NYears*12,"",$H120*RateC)</f>
        <v/>
      </c>
      <c r="K120" s="35">
        <f>IF($A120&gt;NYears*12,"",IF($D120=1,$J120,$K119+$J120))</f>
        <v/>
      </c>
      <c r="L120" s="35">
        <f>IF($A120&gt;NYears*12,"",IF(MOD($D120,3)=0,SUM($J118:$J120),0))</f>
        <v/>
      </c>
      <c r="M120" s="35">
        <f>IF($A120&gt;NYears*12,"",IF(TaxFreq="Quarterly",$K120*12/$D120,$K120))</f>
        <v/>
      </c>
      <c r="N120" s="36">
        <f>IF($A120&gt;NYears*12,"",LOOKUP($M120,TaxLower,TaxRate))</f>
        <v/>
      </c>
      <c r="O120" s="35">
        <f>IF($A120&gt;NYears*12,"",IF(TaxFreq="Quarterly",IF(MOD($D120,3)=0,$L120*$N120,0),IF($D120=12,$K120*$N120,0)))</f>
        <v/>
      </c>
      <c r="P120" s="35">
        <f>IF($A120&gt;NYears*12,"",IF($D120=1,$O120,$P119+$O120))</f>
        <v/>
      </c>
      <c r="Q120" s="35">
        <f>IF($A120&gt;NYears*12,"",IF($D120=12,MIN(WdrPct*IF(WdrBase="Post-tax profit",$K120-$P120,$K120),WdrCap),0))</f>
        <v/>
      </c>
      <c r="R120" s="35">
        <f>IF($A120&gt;NYears*12,"",$F120+$J120-$O120-$Q120)</f>
        <v/>
      </c>
      <c r="S120" s="33">
        <f>IF($A120&gt;NYears*12,"",INT($R120/$E120))</f>
        <v/>
      </c>
    </row>
    <row r="121">
      <c r="A121" s="33">
        <f>117</f>
        <v/>
      </c>
      <c r="B121" s="34">
        <f>IF($A121&gt;NYears*12,"",EDATE(StartMonth,$A121-1))</f>
        <v/>
      </c>
      <c r="C121" s="33">
        <f>IF($A121&gt;NYears*12,"",INT(($A121-1)/12)+1)</f>
        <v/>
      </c>
      <c r="D121" s="33">
        <f>IF($A121&gt;NYears*12,"",MOD($A121-1,12)+1)</f>
        <v/>
      </c>
      <c r="E121" s="35">
        <f>IF($A121&gt;NYears*12,"",LotValue0*(1+LotGrowth)^($C121-1))</f>
        <v/>
      </c>
      <c r="F121" s="35">
        <f>IF($A121&gt;NYears*12,"",IF($A121=1,InitInvest,$R120))</f>
        <v/>
      </c>
      <c r="G121" s="33">
        <f>IF($A121&gt;NYears*12,"",INT($F121/$E121))</f>
        <v/>
      </c>
      <c r="H121" s="35">
        <f>IF($A121&gt;NYears*12,"",$G121*$E121)</f>
        <v/>
      </c>
      <c r="I121" s="35">
        <f>IF($A121&gt;NYears*12,"",$F121-$H121)</f>
        <v/>
      </c>
      <c r="J121" s="35">
        <f>IF($A121&gt;NYears*12,"",$H121*RateC)</f>
        <v/>
      </c>
      <c r="K121" s="35">
        <f>IF($A121&gt;NYears*12,"",IF($D121=1,$J121,$K120+$J121))</f>
        <v/>
      </c>
      <c r="L121" s="35">
        <f>IF($A121&gt;NYears*12,"",IF(MOD($D121,3)=0,SUM($J119:$J121),0))</f>
        <v/>
      </c>
      <c r="M121" s="35">
        <f>IF($A121&gt;NYears*12,"",IF(TaxFreq="Quarterly",$K121*12/$D121,$K121))</f>
        <v/>
      </c>
      <c r="N121" s="36">
        <f>IF($A121&gt;NYears*12,"",LOOKUP($M121,TaxLower,TaxRate))</f>
        <v/>
      </c>
      <c r="O121" s="35">
        <f>IF($A121&gt;NYears*12,"",IF(TaxFreq="Quarterly",IF(MOD($D121,3)=0,$L121*$N121,0),IF($D121=12,$K121*$N121,0)))</f>
        <v/>
      </c>
      <c r="P121" s="35">
        <f>IF($A121&gt;NYears*12,"",IF($D121=1,$O121,$P120+$O121))</f>
        <v/>
      </c>
      <c r="Q121" s="35">
        <f>IF($A121&gt;NYears*12,"",IF($D121=12,MIN(WdrPct*IF(WdrBase="Post-tax profit",$K121-$P121,$K121),WdrCap),0))</f>
        <v/>
      </c>
      <c r="R121" s="35">
        <f>IF($A121&gt;NYears*12,"",$F121+$J121-$O121-$Q121)</f>
        <v/>
      </c>
      <c r="S121" s="33">
        <f>IF($A121&gt;NYears*12,"",INT($R121/$E121))</f>
        <v/>
      </c>
    </row>
    <row r="122">
      <c r="A122" s="33">
        <f>118</f>
        <v/>
      </c>
      <c r="B122" s="34">
        <f>IF($A122&gt;NYears*12,"",EDATE(StartMonth,$A122-1))</f>
        <v/>
      </c>
      <c r="C122" s="33">
        <f>IF($A122&gt;NYears*12,"",INT(($A122-1)/12)+1)</f>
        <v/>
      </c>
      <c r="D122" s="33">
        <f>IF($A122&gt;NYears*12,"",MOD($A122-1,12)+1)</f>
        <v/>
      </c>
      <c r="E122" s="35">
        <f>IF($A122&gt;NYears*12,"",LotValue0*(1+LotGrowth)^($C122-1))</f>
        <v/>
      </c>
      <c r="F122" s="35">
        <f>IF($A122&gt;NYears*12,"",IF($A122=1,InitInvest,$R121))</f>
        <v/>
      </c>
      <c r="G122" s="33">
        <f>IF($A122&gt;NYears*12,"",INT($F122/$E122))</f>
        <v/>
      </c>
      <c r="H122" s="35">
        <f>IF($A122&gt;NYears*12,"",$G122*$E122)</f>
        <v/>
      </c>
      <c r="I122" s="35">
        <f>IF($A122&gt;NYears*12,"",$F122-$H122)</f>
        <v/>
      </c>
      <c r="J122" s="35">
        <f>IF($A122&gt;NYears*12,"",$H122*RateC)</f>
        <v/>
      </c>
      <c r="K122" s="35">
        <f>IF($A122&gt;NYears*12,"",IF($D122=1,$J122,$K121+$J122))</f>
        <v/>
      </c>
      <c r="L122" s="35">
        <f>IF($A122&gt;NYears*12,"",IF(MOD($D122,3)=0,SUM($J120:$J122),0))</f>
        <v/>
      </c>
      <c r="M122" s="35">
        <f>IF($A122&gt;NYears*12,"",IF(TaxFreq="Quarterly",$K122*12/$D122,$K122))</f>
        <v/>
      </c>
      <c r="N122" s="36">
        <f>IF($A122&gt;NYears*12,"",LOOKUP($M122,TaxLower,TaxRate))</f>
        <v/>
      </c>
      <c r="O122" s="35">
        <f>IF($A122&gt;NYears*12,"",IF(TaxFreq="Quarterly",IF(MOD($D122,3)=0,$L122*$N122,0),IF($D122=12,$K122*$N122,0)))</f>
        <v/>
      </c>
      <c r="P122" s="35">
        <f>IF($A122&gt;NYears*12,"",IF($D122=1,$O122,$P121+$O122))</f>
        <v/>
      </c>
      <c r="Q122" s="35">
        <f>IF($A122&gt;NYears*12,"",IF($D122=12,MIN(WdrPct*IF(WdrBase="Post-tax profit",$K122-$P122,$K122),WdrCap),0))</f>
        <v/>
      </c>
      <c r="R122" s="35">
        <f>IF($A122&gt;NYears*12,"",$F122+$J122-$O122-$Q122)</f>
        <v/>
      </c>
      <c r="S122" s="33">
        <f>IF($A122&gt;NYears*12,"",INT($R122/$E122))</f>
        <v/>
      </c>
    </row>
    <row r="123">
      <c r="A123" s="33">
        <f>119</f>
        <v/>
      </c>
      <c r="B123" s="34">
        <f>IF($A123&gt;NYears*12,"",EDATE(StartMonth,$A123-1))</f>
        <v/>
      </c>
      <c r="C123" s="33">
        <f>IF($A123&gt;NYears*12,"",INT(($A123-1)/12)+1)</f>
        <v/>
      </c>
      <c r="D123" s="33">
        <f>IF($A123&gt;NYears*12,"",MOD($A123-1,12)+1)</f>
        <v/>
      </c>
      <c r="E123" s="35">
        <f>IF($A123&gt;NYears*12,"",LotValue0*(1+LotGrowth)^($C123-1))</f>
        <v/>
      </c>
      <c r="F123" s="35">
        <f>IF($A123&gt;NYears*12,"",IF($A123=1,InitInvest,$R122))</f>
        <v/>
      </c>
      <c r="G123" s="33">
        <f>IF($A123&gt;NYears*12,"",INT($F123/$E123))</f>
        <v/>
      </c>
      <c r="H123" s="35">
        <f>IF($A123&gt;NYears*12,"",$G123*$E123)</f>
        <v/>
      </c>
      <c r="I123" s="35">
        <f>IF($A123&gt;NYears*12,"",$F123-$H123)</f>
        <v/>
      </c>
      <c r="J123" s="35">
        <f>IF($A123&gt;NYears*12,"",$H123*RateC)</f>
        <v/>
      </c>
      <c r="K123" s="35">
        <f>IF($A123&gt;NYears*12,"",IF($D123=1,$J123,$K122+$J123))</f>
        <v/>
      </c>
      <c r="L123" s="35">
        <f>IF($A123&gt;NYears*12,"",IF(MOD($D123,3)=0,SUM($J121:$J123),0))</f>
        <v/>
      </c>
      <c r="M123" s="35">
        <f>IF($A123&gt;NYears*12,"",IF(TaxFreq="Quarterly",$K123*12/$D123,$K123))</f>
        <v/>
      </c>
      <c r="N123" s="36">
        <f>IF($A123&gt;NYears*12,"",LOOKUP($M123,TaxLower,TaxRate))</f>
        <v/>
      </c>
      <c r="O123" s="35">
        <f>IF($A123&gt;NYears*12,"",IF(TaxFreq="Quarterly",IF(MOD($D123,3)=0,$L123*$N123,0),IF($D123=12,$K123*$N123,0)))</f>
        <v/>
      </c>
      <c r="P123" s="35">
        <f>IF($A123&gt;NYears*12,"",IF($D123=1,$O123,$P122+$O123))</f>
        <v/>
      </c>
      <c r="Q123" s="35">
        <f>IF($A123&gt;NYears*12,"",IF($D123=12,MIN(WdrPct*IF(WdrBase="Post-tax profit",$K123-$P123,$K123),WdrCap),0))</f>
        <v/>
      </c>
      <c r="R123" s="35">
        <f>IF($A123&gt;NYears*12,"",$F123+$J123-$O123-$Q123)</f>
        <v/>
      </c>
      <c r="S123" s="33">
        <f>IF($A123&gt;NYears*12,"",INT($R123/$E123))</f>
        <v/>
      </c>
    </row>
    <row r="124">
      <c r="A124" s="37">
        <f>120</f>
        <v/>
      </c>
      <c r="B124" s="38">
        <f>IF($A124&gt;NYears*12,"",EDATE(StartMonth,$A124-1))</f>
        <v/>
      </c>
      <c r="C124" s="37">
        <f>IF($A124&gt;NYears*12,"",INT(($A124-1)/12)+1)</f>
        <v/>
      </c>
      <c r="D124" s="37">
        <f>IF($A124&gt;NYears*12,"",MOD($A124-1,12)+1)</f>
        <v/>
      </c>
      <c r="E124" s="39">
        <f>IF($A124&gt;NYears*12,"",LotValue0*(1+LotGrowth)^($C124-1))</f>
        <v/>
      </c>
      <c r="F124" s="39">
        <f>IF($A124&gt;NYears*12,"",IF($A124=1,InitInvest,$R123))</f>
        <v/>
      </c>
      <c r="G124" s="37">
        <f>IF($A124&gt;NYears*12,"",INT($F124/$E124))</f>
        <v/>
      </c>
      <c r="H124" s="39">
        <f>IF($A124&gt;NYears*12,"",$G124*$E124)</f>
        <v/>
      </c>
      <c r="I124" s="39">
        <f>IF($A124&gt;NYears*12,"",$F124-$H124)</f>
        <v/>
      </c>
      <c r="J124" s="39">
        <f>IF($A124&gt;NYears*12,"",$H124*RateC)</f>
        <v/>
      </c>
      <c r="K124" s="39">
        <f>IF($A124&gt;NYears*12,"",IF($D124=1,$J124,$K123+$J124))</f>
        <v/>
      </c>
      <c r="L124" s="39">
        <f>IF($A124&gt;NYears*12,"",IF(MOD($D124,3)=0,SUM($J122:$J124),0))</f>
        <v/>
      </c>
      <c r="M124" s="39">
        <f>IF($A124&gt;NYears*12,"",IF(TaxFreq="Quarterly",$K124*12/$D124,$K124))</f>
        <v/>
      </c>
      <c r="N124" s="40">
        <f>IF($A124&gt;NYears*12,"",LOOKUP($M124,TaxLower,TaxRate))</f>
        <v/>
      </c>
      <c r="O124" s="39">
        <f>IF($A124&gt;NYears*12,"",IF(TaxFreq="Quarterly",IF(MOD($D124,3)=0,$L124*$N124,0),IF($D124=12,$K124*$N124,0)))</f>
        <v/>
      </c>
      <c r="P124" s="39">
        <f>IF($A124&gt;NYears*12,"",IF($D124=1,$O124,$P123+$O124))</f>
        <v/>
      </c>
      <c r="Q124" s="39">
        <f>IF($A124&gt;NYears*12,"",IF($D124=12,MIN(WdrPct*IF(WdrBase="Post-tax profit",$K124-$P124,$K124),WdrCap),0))</f>
        <v/>
      </c>
      <c r="R124" s="39">
        <f>IF($A124&gt;NYears*12,"",$F124+$J124-$O124-$Q124)</f>
        <v/>
      </c>
      <c r="S124" s="37">
        <f>IF($A124&gt;NYears*12,"",INT($R124/$E124))</f>
        <v/>
      </c>
    </row>
    <row r="125">
      <c r="A125" s="33">
        <f>121</f>
        <v/>
      </c>
      <c r="B125" s="34">
        <f>IF($A125&gt;NYears*12,"",EDATE(StartMonth,$A125-1))</f>
        <v/>
      </c>
      <c r="C125" s="33">
        <f>IF($A125&gt;NYears*12,"",INT(($A125-1)/12)+1)</f>
        <v/>
      </c>
      <c r="D125" s="33">
        <f>IF($A125&gt;NYears*12,"",MOD($A125-1,12)+1)</f>
        <v/>
      </c>
      <c r="E125" s="35">
        <f>IF($A125&gt;NYears*12,"",LotValue0*(1+LotGrowth)^($C125-1))</f>
        <v/>
      </c>
      <c r="F125" s="35">
        <f>IF($A125&gt;NYears*12,"",IF($A125=1,InitInvest,$R124))</f>
        <v/>
      </c>
      <c r="G125" s="33">
        <f>IF($A125&gt;NYears*12,"",INT($F125/$E125))</f>
        <v/>
      </c>
      <c r="H125" s="35">
        <f>IF($A125&gt;NYears*12,"",$G125*$E125)</f>
        <v/>
      </c>
      <c r="I125" s="35">
        <f>IF($A125&gt;NYears*12,"",$F125-$H125)</f>
        <v/>
      </c>
      <c r="J125" s="35">
        <f>IF($A125&gt;NYears*12,"",$H125*RateC)</f>
        <v/>
      </c>
      <c r="K125" s="35">
        <f>IF($A125&gt;NYears*12,"",IF($D125=1,$J125,$K124+$J125))</f>
        <v/>
      </c>
      <c r="L125" s="35">
        <f>IF($A125&gt;NYears*12,"",IF(MOD($D125,3)=0,SUM($J123:$J125),0))</f>
        <v/>
      </c>
      <c r="M125" s="35">
        <f>IF($A125&gt;NYears*12,"",IF(TaxFreq="Quarterly",$K125*12/$D125,$K125))</f>
        <v/>
      </c>
      <c r="N125" s="36">
        <f>IF($A125&gt;NYears*12,"",LOOKUP($M125,TaxLower,TaxRate))</f>
        <v/>
      </c>
      <c r="O125" s="35">
        <f>IF($A125&gt;NYears*12,"",IF(TaxFreq="Quarterly",IF(MOD($D125,3)=0,$L125*$N125,0),IF($D125=12,$K125*$N125,0)))</f>
        <v/>
      </c>
      <c r="P125" s="35">
        <f>IF($A125&gt;NYears*12,"",IF($D125=1,$O125,$P124+$O125))</f>
        <v/>
      </c>
      <c r="Q125" s="35">
        <f>IF($A125&gt;NYears*12,"",IF($D125=12,MIN(WdrPct*IF(WdrBase="Post-tax profit",$K125-$P125,$K125),WdrCap),0))</f>
        <v/>
      </c>
      <c r="R125" s="35">
        <f>IF($A125&gt;NYears*12,"",$F125+$J125-$O125-$Q125)</f>
        <v/>
      </c>
      <c r="S125" s="33">
        <f>IF($A125&gt;NYears*12,"",INT($R125/$E125))</f>
        <v/>
      </c>
    </row>
    <row r="126">
      <c r="A126" s="33">
        <f>122</f>
        <v/>
      </c>
      <c r="B126" s="34">
        <f>IF($A126&gt;NYears*12,"",EDATE(StartMonth,$A126-1))</f>
        <v/>
      </c>
      <c r="C126" s="33">
        <f>IF($A126&gt;NYears*12,"",INT(($A126-1)/12)+1)</f>
        <v/>
      </c>
      <c r="D126" s="33">
        <f>IF($A126&gt;NYears*12,"",MOD($A126-1,12)+1)</f>
        <v/>
      </c>
      <c r="E126" s="35">
        <f>IF($A126&gt;NYears*12,"",LotValue0*(1+LotGrowth)^($C126-1))</f>
        <v/>
      </c>
      <c r="F126" s="35">
        <f>IF($A126&gt;NYears*12,"",IF($A126=1,InitInvest,$R125))</f>
        <v/>
      </c>
      <c r="G126" s="33">
        <f>IF($A126&gt;NYears*12,"",INT($F126/$E126))</f>
        <v/>
      </c>
      <c r="H126" s="35">
        <f>IF($A126&gt;NYears*12,"",$G126*$E126)</f>
        <v/>
      </c>
      <c r="I126" s="35">
        <f>IF($A126&gt;NYears*12,"",$F126-$H126)</f>
        <v/>
      </c>
      <c r="J126" s="35">
        <f>IF($A126&gt;NYears*12,"",$H126*RateC)</f>
        <v/>
      </c>
      <c r="K126" s="35">
        <f>IF($A126&gt;NYears*12,"",IF($D126=1,$J126,$K125+$J126))</f>
        <v/>
      </c>
      <c r="L126" s="35">
        <f>IF($A126&gt;NYears*12,"",IF(MOD($D126,3)=0,SUM($J124:$J126),0))</f>
        <v/>
      </c>
      <c r="M126" s="35">
        <f>IF($A126&gt;NYears*12,"",IF(TaxFreq="Quarterly",$K126*12/$D126,$K126))</f>
        <v/>
      </c>
      <c r="N126" s="36">
        <f>IF($A126&gt;NYears*12,"",LOOKUP($M126,TaxLower,TaxRate))</f>
        <v/>
      </c>
      <c r="O126" s="35">
        <f>IF($A126&gt;NYears*12,"",IF(TaxFreq="Quarterly",IF(MOD($D126,3)=0,$L126*$N126,0),IF($D126=12,$K126*$N126,0)))</f>
        <v/>
      </c>
      <c r="P126" s="35">
        <f>IF($A126&gt;NYears*12,"",IF($D126=1,$O126,$P125+$O126))</f>
        <v/>
      </c>
      <c r="Q126" s="35">
        <f>IF($A126&gt;NYears*12,"",IF($D126=12,MIN(WdrPct*IF(WdrBase="Post-tax profit",$K126-$P126,$K126),WdrCap),0))</f>
        <v/>
      </c>
      <c r="R126" s="35">
        <f>IF($A126&gt;NYears*12,"",$F126+$J126-$O126-$Q126)</f>
        <v/>
      </c>
      <c r="S126" s="33">
        <f>IF($A126&gt;NYears*12,"",INT($R126/$E126))</f>
        <v/>
      </c>
    </row>
    <row r="127">
      <c r="A127" s="33">
        <f>123</f>
        <v/>
      </c>
      <c r="B127" s="34">
        <f>IF($A127&gt;NYears*12,"",EDATE(StartMonth,$A127-1))</f>
        <v/>
      </c>
      <c r="C127" s="33">
        <f>IF($A127&gt;NYears*12,"",INT(($A127-1)/12)+1)</f>
        <v/>
      </c>
      <c r="D127" s="33">
        <f>IF($A127&gt;NYears*12,"",MOD($A127-1,12)+1)</f>
        <v/>
      </c>
      <c r="E127" s="35">
        <f>IF($A127&gt;NYears*12,"",LotValue0*(1+LotGrowth)^($C127-1))</f>
        <v/>
      </c>
      <c r="F127" s="35">
        <f>IF($A127&gt;NYears*12,"",IF($A127=1,InitInvest,$R126))</f>
        <v/>
      </c>
      <c r="G127" s="33">
        <f>IF($A127&gt;NYears*12,"",INT($F127/$E127))</f>
        <v/>
      </c>
      <c r="H127" s="35">
        <f>IF($A127&gt;NYears*12,"",$G127*$E127)</f>
        <v/>
      </c>
      <c r="I127" s="35">
        <f>IF($A127&gt;NYears*12,"",$F127-$H127)</f>
        <v/>
      </c>
      <c r="J127" s="35">
        <f>IF($A127&gt;NYears*12,"",$H127*RateC)</f>
        <v/>
      </c>
      <c r="K127" s="35">
        <f>IF($A127&gt;NYears*12,"",IF($D127=1,$J127,$K126+$J127))</f>
        <v/>
      </c>
      <c r="L127" s="35">
        <f>IF($A127&gt;NYears*12,"",IF(MOD($D127,3)=0,SUM($J125:$J127),0))</f>
        <v/>
      </c>
      <c r="M127" s="35">
        <f>IF($A127&gt;NYears*12,"",IF(TaxFreq="Quarterly",$K127*12/$D127,$K127))</f>
        <v/>
      </c>
      <c r="N127" s="36">
        <f>IF($A127&gt;NYears*12,"",LOOKUP($M127,TaxLower,TaxRate))</f>
        <v/>
      </c>
      <c r="O127" s="35">
        <f>IF($A127&gt;NYears*12,"",IF(TaxFreq="Quarterly",IF(MOD($D127,3)=0,$L127*$N127,0),IF($D127=12,$K127*$N127,0)))</f>
        <v/>
      </c>
      <c r="P127" s="35">
        <f>IF($A127&gt;NYears*12,"",IF($D127=1,$O127,$P126+$O127))</f>
        <v/>
      </c>
      <c r="Q127" s="35">
        <f>IF($A127&gt;NYears*12,"",IF($D127=12,MIN(WdrPct*IF(WdrBase="Post-tax profit",$K127-$P127,$K127),WdrCap),0))</f>
        <v/>
      </c>
      <c r="R127" s="35">
        <f>IF($A127&gt;NYears*12,"",$F127+$J127-$O127-$Q127)</f>
        <v/>
      </c>
      <c r="S127" s="33">
        <f>IF($A127&gt;NYears*12,"",INT($R127/$E127))</f>
        <v/>
      </c>
    </row>
    <row r="128">
      <c r="A128" s="33">
        <f>124</f>
        <v/>
      </c>
      <c r="B128" s="34">
        <f>IF($A128&gt;NYears*12,"",EDATE(StartMonth,$A128-1))</f>
        <v/>
      </c>
      <c r="C128" s="33">
        <f>IF($A128&gt;NYears*12,"",INT(($A128-1)/12)+1)</f>
        <v/>
      </c>
      <c r="D128" s="33">
        <f>IF($A128&gt;NYears*12,"",MOD($A128-1,12)+1)</f>
        <v/>
      </c>
      <c r="E128" s="35">
        <f>IF($A128&gt;NYears*12,"",LotValue0*(1+LotGrowth)^($C128-1))</f>
        <v/>
      </c>
      <c r="F128" s="35">
        <f>IF($A128&gt;NYears*12,"",IF($A128=1,InitInvest,$R127))</f>
        <v/>
      </c>
      <c r="G128" s="33">
        <f>IF($A128&gt;NYears*12,"",INT($F128/$E128))</f>
        <v/>
      </c>
      <c r="H128" s="35">
        <f>IF($A128&gt;NYears*12,"",$G128*$E128)</f>
        <v/>
      </c>
      <c r="I128" s="35">
        <f>IF($A128&gt;NYears*12,"",$F128-$H128)</f>
        <v/>
      </c>
      <c r="J128" s="35">
        <f>IF($A128&gt;NYears*12,"",$H128*RateC)</f>
        <v/>
      </c>
      <c r="K128" s="35">
        <f>IF($A128&gt;NYears*12,"",IF($D128=1,$J128,$K127+$J128))</f>
        <v/>
      </c>
      <c r="L128" s="35">
        <f>IF($A128&gt;NYears*12,"",IF(MOD($D128,3)=0,SUM($J126:$J128),0))</f>
        <v/>
      </c>
      <c r="M128" s="35">
        <f>IF($A128&gt;NYears*12,"",IF(TaxFreq="Quarterly",$K128*12/$D128,$K128))</f>
        <v/>
      </c>
      <c r="N128" s="36">
        <f>IF($A128&gt;NYears*12,"",LOOKUP($M128,TaxLower,TaxRate))</f>
        <v/>
      </c>
      <c r="O128" s="35">
        <f>IF($A128&gt;NYears*12,"",IF(TaxFreq="Quarterly",IF(MOD($D128,3)=0,$L128*$N128,0),IF($D128=12,$K128*$N128,0)))</f>
        <v/>
      </c>
      <c r="P128" s="35">
        <f>IF($A128&gt;NYears*12,"",IF($D128=1,$O128,$P127+$O128))</f>
        <v/>
      </c>
      <c r="Q128" s="35">
        <f>IF($A128&gt;NYears*12,"",IF($D128=12,MIN(WdrPct*IF(WdrBase="Post-tax profit",$K128-$P128,$K128),WdrCap),0))</f>
        <v/>
      </c>
      <c r="R128" s="35">
        <f>IF($A128&gt;NYears*12,"",$F128+$J128-$O128-$Q128)</f>
        <v/>
      </c>
      <c r="S128" s="33">
        <f>IF($A128&gt;NYears*12,"",INT($R128/$E128))</f>
        <v/>
      </c>
    </row>
    <row r="129">
      <c r="A129" s="33">
        <f>125</f>
        <v/>
      </c>
      <c r="B129" s="34">
        <f>IF($A129&gt;NYears*12,"",EDATE(StartMonth,$A129-1))</f>
        <v/>
      </c>
      <c r="C129" s="33">
        <f>IF($A129&gt;NYears*12,"",INT(($A129-1)/12)+1)</f>
        <v/>
      </c>
      <c r="D129" s="33">
        <f>IF($A129&gt;NYears*12,"",MOD($A129-1,12)+1)</f>
        <v/>
      </c>
      <c r="E129" s="35">
        <f>IF($A129&gt;NYears*12,"",LotValue0*(1+LotGrowth)^($C129-1))</f>
        <v/>
      </c>
      <c r="F129" s="35">
        <f>IF($A129&gt;NYears*12,"",IF($A129=1,InitInvest,$R128))</f>
        <v/>
      </c>
      <c r="G129" s="33">
        <f>IF($A129&gt;NYears*12,"",INT($F129/$E129))</f>
        <v/>
      </c>
      <c r="H129" s="35">
        <f>IF($A129&gt;NYears*12,"",$G129*$E129)</f>
        <v/>
      </c>
      <c r="I129" s="35">
        <f>IF($A129&gt;NYears*12,"",$F129-$H129)</f>
        <v/>
      </c>
      <c r="J129" s="35">
        <f>IF($A129&gt;NYears*12,"",$H129*RateC)</f>
        <v/>
      </c>
      <c r="K129" s="35">
        <f>IF($A129&gt;NYears*12,"",IF($D129=1,$J129,$K128+$J129))</f>
        <v/>
      </c>
      <c r="L129" s="35">
        <f>IF($A129&gt;NYears*12,"",IF(MOD($D129,3)=0,SUM($J127:$J129),0))</f>
        <v/>
      </c>
      <c r="M129" s="35">
        <f>IF($A129&gt;NYears*12,"",IF(TaxFreq="Quarterly",$K129*12/$D129,$K129))</f>
        <v/>
      </c>
      <c r="N129" s="36">
        <f>IF($A129&gt;NYears*12,"",LOOKUP($M129,TaxLower,TaxRate))</f>
        <v/>
      </c>
      <c r="O129" s="35">
        <f>IF($A129&gt;NYears*12,"",IF(TaxFreq="Quarterly",IF(MOD($D129,3)=0,$L129*$N129,0),IF($D129=12,$K129*$N129,0)))</f>
        <v/>
      </c>
      <c r="P129" s="35">
        <f>IF($A129&gt;NYears*12,"",IF($D129=1,$O129,$P128+$O129))</f>
        <v/>
      </c>
      <c r="Q129" s="35">
        <f>IF($A129&gt;NYears*12,"",IF($D129=12,MIN(WdrPct*IF(WdrBase="Post-tax profit",$K129-$P129,$K129),WdrCap),0))</f>
        <v/>
      </c>
      <c r="R129" s="35">
        <f>IF($A129&gt;NYears*12,"",$F129+$J129-$O129-$Q129)</f>
        <v/>
      </c>
      <c r="S129" s="33">
        <f>IF($A129&gt;NYears*12,"",INT($R129/$E129))</f>
        <v/>
      </c>
    </row>
    <row r="130">
      <c r="A130" s="33">
        <f>126</f>
        <v/>
      </c>
      <c r="B130" s="34">
        <f>IF($A130&gt;NYears*12,"",EDATE(StartMonth,$A130-1))</f>
        <v/>
      </c>
      <c r="C130" s="33">
        <f>IF($A130&gt;NYears*12,"",INT(($A130-1)/12)+1)</f>
        <v/>
      </c>
      <c r="D130" s="33">
        <f>IF($A130&gt;NYears*12,"",MOD($A130-1,12)+1)</f>
        <v/>
      </c>
      <c r="E130" s="35">
        <f>IF($A130&gt;NYears*12,"",LotValue0*(1+LotGrowth)^($C130-1))</f>
        <v/>
      </c>
      <c r="F130" s="35">
        <f>IF($A130&gt;NYears*12,"",IF($A130=1,InitInvest,$R129))</f>
        <v/>
      </c>
      <c r="G130" s="33">
        <f>IF($A130&gt;NYears*12,"",INT($F130/$E130))</f>
        <v/>
      </c>
      <c r="H130" s="35">
        <f>IF($A130&gt;NYears*12,"",$G130*$E130)</f>
        <v/>
      </c>
      <c r="I130" s="35">
        <f>IF($A130&gt;NYears*12,"",$F130-$H130)</f>
        <v/>
      </c>
      <c r="J130" s="35">
        <f>IF($A130&gt;NYears*12,"",$H130*RateC)</f>
        <v/>
      </c>
      <c r="K130" s="35">
        <f>IF($A130&gt;NYears*12,"",IF($D130=1,$J130,$K129+$J130))</f>
        <v/>
      </c>
      <c r="L130" s="35">
        <f>IF($A130&gt;NYears*12,"",IF(MOD($D130,3)=0,SUM($J128:$J130),0))</f>
        <v/>
      </c>
      <c r="M130" s="35">
        <f>IF($A130&gt;NYears*12,"",IF(TaxFreq="Quarterly",$K130*12/$D130,$K130))</f>
        <v/>
      </c>
      <c r="N130" s="36">
        <f>IF($A130&gt;NYears*12,"",LOOKUP($M130,TaxLower,TaxRate))</f>
        <v/>
      </c>
      <c r="O130" s="35">
        <f>IF($A130&gt;NYears*12,"",IF(TaxFreq="Quarterly",IF(MOD($D130,3)=0,$L130*$N130,0),IF($D130=12,$K130*$N130,0)))</f>
        <v/>
      </c>
      <c r="P130" s="35">
        <f>IF($A130&gt;NYears*12,"",IF($D130=1,$O130,$P129+$O130))</f>
        <v/>
      </c>
      <c r="Q130" s="35">
        <f>IF($A130&gt;NYears*12,"",IF($D130=12,MIN(WdrPct*IF(WdrBase="Post-tax profit",$K130-$P130,$K130),WdrCap),0))</f>
        <v/>
      </c>
      <c r="R130" s="35">
        <f>IF($A130&gt;NYears*12,"",$F130+$J130-$O130-$Q130)</f>
        <v/>
      </c>
      <c r="S130" s="33">
        <f>IF($A130&gt;NYears*12,"",INT($R130/$E130))</f>
        <v/>
      </c>
    </row>
    <row r="131">
      <c r="A131" s="33">
        <f>127</f>
        <v/>
      </c>
      <c r="B131" s="34">
        <f>IF($A131&gt;NYears*12,"",EDATE(StartMonth,$A131-1))</f>
        <v/>
      </c>
      <c r="C131" s="33">
        <f>IF($A131&gt;NYears*12,"",INT(($A131-1)/12)+1)</f>
        <v/>
      </c>
      <c r="D131" s="33">
        <f>IF($A131&gt;NYears*12,"",MOD($A131-1,12)+1)</f>
        <v/>
      </c>
      <c r="E131" s="35">
        <f>IF($A131&gt;NYears*12,"",LotValue0*(1+LotGrowth)^($C131-1))</f>
        <v/>
      </c>
      <c r="F131" s="35">
        <f>IF($A131&gt;NYears*12,"",IF($A131=1,InitInvest,$R130))</f>
        <v/>
      </c>
      <c r="G131" s="33">
        <f>IF($A131&gt;NYears*12,"",INT($F131/$E131))</f>
        <v/>
      </c>
      <c r="H131" s="35">
        <f>IF($A131&gt;NYears*12,"",$G131*$E131)</f>
        <v/>
      </c>
      <c r="I131" s="35">
        <f>IF($A131&gt;NYears*12,"",$F131-$H131)</f>
        <v/>
      </c>
      <c r="J131" s="35">
        <f>IF($A131&gt;NYears*12,"",$H131*RateC)</f>
        <v/>
      </c>
      <c r="K131" s="35">
        <f>IF($A131&gt;NYears*12,"",IF($D131=1,$J131,$K130+$J131))</f>
        <v/>
      </c>
      <c r="L131" s="35">
        <f>IF($A131&gt;NYears*12,"",IF(MOD($D131,3)=0,SUM($J129:$J131),0))</f>
        <v/>
      </c>
      <c r="M131" s="35">
        <f>IF($A131&gt;NYears*12,"",IF(TaxFreq="Quarterly",$K131*12/$D131,$K131))</f>
        <v/>
      </c>
      <c r="N131" s="36">
        <f>IF($A131&gt;NYears*12,"",LOOKUP($M131,TaxLower,TaxRate))</f>
        <v/>
      </c>
      <c r="O131" s="35">
        <f>IF($A131&gt;NYears*12,"",IF(TaxFreq="Quarterly",IF(MOD($D131,3)=0,$L131*$N131,0),IF($D131=12,$K131*$N131,0)))</f>
        <v/>
      </c>
      <c r="P131" s="35">
        <f>IF($A131&gt;NYears*12,"",IF($D131=1,$O131,$P130+$O131))</f>
        <v/>
      </c>
      <c r="Q131" s="35">
        <f>IF($A131&gt;NYears*12,"",IF($D131=12,MIN(WdrPct*IF(WdrBase="Post-tax profit",$K131-$P131,$K131),WdrCap),0))</f>
        <v/>
      </c>
      <c r="R131" s="35">
        <f>IF($A131&gt;NYears*12,"",$F131+$J131-$O131-$Q131)</f>
        <v/>
      </c>
      <c r="S131" s="33">
        <f>IF($A131&gt;NYears*12,"",INT($R131/$E131))</f>
        <v/>
      </c>
    </row>
    <row r="132">
      <c r="A132" s="33">
        <f>128</f>
        <v/>
      </c>
      <c r="B132" s="34">
        <f>IF($A132&gt;NYears*12,"",EDATE(StartMonth,$A132-1))</f>
        <v/>
      </c>
      <c r="C132" s="33">
        <f>IF($A132&gt;NYears*12,"",INT(($A132-1)/12)+1)</f>
        <v/>
      </c>
      <c r="D132" s="33">
        <f>IF($A132&gt;NYears*12,"",MOD($A132-1,12)+1)</f>
        <v/>
      </c>
      <c r="E132" s="35">
        <f>IF($A132&gt;NYears*12,"",LotValue0*(1+LotGrowth)^($C132-1))</f>
        <v/>
      </c>
      <c r="F132" s="35">
        <f>IF($A132&gt;NYears*12,"",IF($A132=1,InitInvest,$R131))</f>
        <v/>
      </c>
      <c r="G132" s="33">
        <f>IF($A132&gt;NYears*12,"",INT($F132/$E132))</f>
        <v/>
      </c>
      <c r="H132" s="35">
        <f>IF($A132&gt;NYears*12,"",$G132*$E132)</f>
        <v/>
      </c>
      <c r="I132" s="35">
        <f>IF($A132&gt;NYears*12,"",$F132-$H132)</f>
        <v/>
      </c>
      <c r="J132" s="35">
        <f>IF($A132&gt;NYears*12,"",$H132*RateC)</f>
        <v/>
      </c>
      <c r="K132" s="35">
        <f>IF($A132&gt;NYears*12,"",IF($D132=1,$J132,$K131+$J132))</f>
        <v/>
      </c>
      <c r="L132" s="35">
        <f>IF($A132&gt;NYears*12,"",IF(MOD($D132,3)=0,SUM($J130:$J132),0))</f>
        <v/>
      </c>
      <c r="M132" s="35">
        <f>IF($A132&gt;NYears*12,"",IF(TaxFreq="Quarterly",$K132*12/$D132,$K132))</f>
        <v/>
      </c>
      <c r="N132" s="36">
        <f>IF($A132&gt;NYears*12,"",LOOKUP($M132,TaxLower,TaxRate))</f>
        <v/>
      </c>
      <c r="O132" s="35">
        <f>IF($A132&gt;NYears*12,"",IF(TaxFreq="Quarterly",IF(MOD($D132,3)=0,$L132*$N132,0),IF($D132=12,$K132*$N132,0)))</f>
        <v/>
      </c>
      <c r="P132" s="35">
        <f>IF($A132&gt;NYears*12,"",IF($D132=1,$O132,$P131+$O132))</f>
        <v/>
      </c>
      <c r="Q132" s="35">
        <f>IF($A132&gt;NYears*12,"",IF($D132=12,MIN(WdrPct*IF(WdrBase="Post-tax profit",$K132-$P132,$K132),WdrCap),0))</f>
        <v/>
      </c>
      <c r="R132" s="35">
        <f>IF($A132&gt;NYears*12,"",$F132+$J132-$O132-$Q132)</f>
        <v/>
      </c>
      <c r="S132" s="33">
        <f>IF($A132&gt;NYears*12,"",INT($R132/$E132))</f>
        <v/>
      </c>
    </row>
    <row r="133">
      <c r="A133" s="33">
        <f>129</f>
        <v/>
      </c>
      <c r="B133" s="34">
        <f>IF($A133&gt;NYears*12,"",EDATE(StartMonth,$A133-1))</f>
        <v/>
      </c>
      <c r="C133" s="33">
        <f>IF($A133&gt;NYears*12,"",INT(($A133-1)/12)+1)</f>
        <v/>
      </c>
      <c r="D133" s="33">
        <f>IF($A133&gt;NYears*12,"",MOD($A133-1,12)+1)</f>
        <v/>
      </c>
      <c r="E133" s="35">
        <f>IF($A133&gt;NYears*12,"",LotValue0*(1+LotGrowth)^($C133-1))</f>
        <v/>
      </c>
      <c r="F133" s="35">
        <f>IF($A133&gt;NYears*12,"",IF($A133=1,InitInvest,$R132))</f>
        <v/>
      </c>
      <c r="G133" s="33">
        <f>IF($A133&gt;NYears*12,"",INT($F133/$E133))</f>
        <v/>
      </c>
      <c r="H133" s="35">
        <f>IF($A133&gt;NYears*12,"",$G133*$E133)</f>
        <v/>
      </c>
      <c r="I133" s="35">
        <f>IF($A133&gt;NYears*12,"",$F133-$H133)</f>
        <v/>
      </c>
      <c r="J133" s="35">
        <f>IF($A133&gt;NYears*12,"",$H133*RateC)</f>
        <v/>
      </c>
      <c r="K133" s="35">
        <f>IF($A133&gt;NYears*12,"",IF($D133=1,$J133,$K132+$J133))</f>
        <v/>
      </c>
      <c r="L133" s="35">
        <f>IF($A133&gt;NYears*12,"",IF(MOD($D133,3)=0,SUM($J131:$J133),0))</f>
        <v/>
      </c>
      <c r="M133" s="35">
        <f>IF($A133&gt;NYears*12,"",IF(TaxFreq="Quarterly",$K133*12/$D133,$K133))</f>
        <v/>
      </c>
      <c r="N133" s="36">
        <f>IF($A133&gt;NYears*12,"",LOOKUP($M133,TaxLower,TaxRate))</f>
        <v/>
      </c>
      <c r="O133" s="35">
        <f>IF($A133&gt;NYears*12,"",IF(TaxFreq="Quarterly",IF(MOD($D133,3)=0,$L133*$N133,0),IF($D133=12,$K133*$N133,0)))</f>
        <v/>
      </c>
      <c r="P133" s="35">
        <f>IF($A133&gt;NYears*12,"",IF($D133=1,$O133,$P132+$O133))</f>
        <v/>
      </c>
      <c r="Q133" s="35">
        <f>IF($A133&gt;NYears*12,"",IF($D133=12,MIN(WdrPct*IF(WdrBase="Post-tax profit",$K133-$P133,$K133),WdrCap),0))</f>
        <v/>
      </c>
      <c r="R133" s="35">
        <f>IF($A133&gt;NYears*12,"",$F133+$J133-$O133-$Q133)</f>
        <v/>
      </c>
      <c r="S133" s="33">
        <f>IF($A133&gt;NYears*12,"",INT($R133/$E133))</f>
        <v/>
      </c>
    </row>
    <row r="134">
      <c r="A134" s="33">
        <f>130</f>
        <v/>
      </c>
      <c r="B134" s="34">
        <f>IF($A134&gt;NYears*12,"",EDATE(StartMonth,$A134-1))</f>
        <v/>
      </c>
      <c r="C134" s="33">
        <f>IF($A134&gt;NYears*12,"",INT(($A134-1)/12)+1)</f>
        <v/>
      </c>
      <c r="D134" s="33">
        <f>IF($A134&gt;NYears*12,"",MOD($A134-1,12)+1)</f>
        <v/>
      </c>
      <c r="E134" s="35">
        <f>IF($A134&gt;NYears*12,"",LotValue0*(1+LotGrowth)^($C134-1))</f>
        <v/>
      </c>
      <c r="F134" s="35">
        <f>IF($A134&gt;NYears*12,"",IF($A134=1,InitInvest,$R133))</f>
        <v/>
      </c>
      <c r="G134" s="33">
        <f>IF($A134&gt;NYears*12,"",INT($F134/$E134))</f>
        <v/>
      </c>
      <c r="H134" s="35">
        <f>IF($A134&gt;NYears*12,"",$G134*$E134)</f>
        <v/>
      </c>
      <c r="I134" s="35">
        <f>IF($A134&gt;NYears*12,"",$F134-$H134)</f>
        <v/>
      </c>
      <c r="J134" s="35">
        <f>IF($A134&gt;NYears*12,"",$H134*RateC)</f>
        <v/>
      </c>
      <c r="K134" s="35">
        <f>IF($A134&gt;NYears*12,"",IF($D134=1,$J134,$K133+$J134))</f>
        <v/>
      </c>
      <c r="L134" s="35">
        <f>IF($A134&gt;NYears*12,"",IF(MOD($D134,3)=0,SUM($J132:$J134),0))</f>
        <v/>
      </c>
      <c r="M134" s="35">
        <f>IF($A134&gt;NYears*12,"",IF(TaxFreq="Quarterly",$K134*12/$D134,$K134))</f>
        <v/>
      </c>
      <c r="N134" s="36">
        <f>IF($A134&gt;NYears*12,"",LOOKUP($M134,TaxLower,TaxRate))</f>
        <v/>
      </c>
      <c r="O134" s="35">
        <f>IF($A134&gt;NYears*12,"",IF(TaxFreq="Quarterly",IF(MOD($D134,3)=0,$L134*$N134,0),IF($D134=12,$K134*$N134,0)))</f>
        <v/>
      </c>
      <c r="P134" s="35">
        <f>IF($A134&gt;NYears*12,"",IF($D134=1,$O134,$P133+$O134))</f>
        <v/>
      </c>
      <c r="Q134" s="35">
        <f>IF($A134&gt;NYears*12,"",IF($D134=12,MIN(WdrPct*IF(WdrBase="Post-tax profit",$K134-$P134,$K134),WdrCap),0))</f>
        <v/>
      </c>
      <c r="R134" s="35">
        <f>IF($A134&gt;NYears*12,"",$F134+$J134-$O134-$Q134)</f>
        <v/>
      </c>
      <c r="S134" s="33">
        <f>IF($A134&gt;NYears*12,"",INT($R134/$E134))</f>
        <v/>
      </c>
    </row>
    <row r="135">
      <c r="A135" s="33">
        <f>131</f>
        <v/>
      </c>
      <c r="B135" s="34">
        <f>IF($A135&gt;NYears*12,"",EDATE(StartMonth,$A135-1))</f>
        <v/>
      </c>
      <c r="C135" s="33">
        <f>IF($A135&gt;NYears*12,"",INT(($A135-1)/12)+1)</f>
        <v/>
      </c>
      <c r="D135" s="33">
        <f>IF($A135&gt;NYears*12,"",MOD($A135-1,12)+1)</f>
        <v/>
      </c>
      <c r="E135" s="35">
        <f>IF($A135&gt;NYears*12,"",LotValue0*(1+LotGrowth)^($C135-1))</f>
        <v/>
      </c>
      <c r="F135" s="35">
        <f>IF($A135&gt;NYears*12,"",IF($A135=1,InitInvest,$R134))</f>
        <v/>
      </c>
      <c r="G135" s="33">
        <f>IF($A135&gt;NYears*12,"",INT($F135/$E135))</f>
        <v/>
      </c>
      <c r="H135" s="35">
        <f>IF($A135&gt;NYears*12,"",$G135*$E135)</f>
        <v/>
      </c>
      <c r="I135" s="35">
        <f>IF($A135&gt;NYears*12,"",$F135-$H135)</f>
        <v/>
      </c>
      <c r="J135" s="35">
        <f>IF($A135&gt;NYears*12,"",$H135*RateC)</f>
        <v/>
      </c>
      <c r="K135" s="35">
        <f>IF($A135&gt;NYears*12,"",IF($D135=1,$J135,$K134+$J135))</f>
        <v/>
      </c>
      <c r="L135" s="35">
        <f>IF($A135&gt;NYears*12,"",IF(MOD($D135,3)=0,SUM($J133:$J135),0))</f>
        <v/>
      </c>
      <c r="M135" s="35">
        <f>IF($A135&gt;NYears*12,"",IF(TaxFreq="Quarterly",$K135*12/$D135,$K135))</f>
        <v/>
      </c>
      <c r="N135" s="36">
        <f>IF($A135&gt;NYears*12,"",LOOKUP($M135,TaxLower,TaxRate))</f>
        <v/>
      </c>
      <c r="O135" s="35">
        <f>IF($A135&gt;NYears*12,"",IF(TaxFreq="Quarterly",IF(MOD($D135,3)=0,$L135*$N135,0),IF($D135=12,$K135*$N135,0)))</f>
        <v/>
      </c>
      <c r="P135" s="35">
        <f>IF($A135&gt;NYears*12,"",IF($D135=1,$O135,$P134+$O135))</f>
        <v/>
      </c>
      <c r="Q135" s="35">
        <f>IF($A135&gt;NYears*12,"",IF($D135=12,MIN(WdrPct*IF(WdrBase="Post-tax profit",$K135-$P135,$K135),WdrCap),0))</f>
        <v/>
      </c>
      <c r="R135" s="35">
        <f>IF($A135&gt;NYears*12,"",$F135+$J135-$O135-$Q135)</f>
        <v/>
      </c>
      <c r="S135" s="33">
        <f>IF($A135&gt;NYears*12,"",INT($R135/$E135))</f>
        <v/>
      </c>
    </row>
    <row r="136">
      <c r="A136" s="37">
        <f>132</f>
        <v/>
      </c>
      <c r="B136" s="38">
        <f>IF($A136&gt;NYears*12,"",EDATE(StartMonth,$A136-1))</f>
        <v/>
      </c>
      <c r="C136" s="37">
        <f>IF($A136&gt;NYears*12,"",INT(($A136-1)/12)+1)</f>
        <v/>
      </c>
      <c r="D136" s="37">
        <f>IF($A136&gt;NYears*12,"",MOD($A136-1,12)+1)</f>
        <v/>
      </c>
      <c r="E136" s="39">
        <f>IF($A136&gt;NYears*12,"",LotValue0*(1+LotGrowth)^($C136-1))</f>
        <v/>
      </c>
      <c r="F136" s="39">
        <f>IF($A136&gt;NYears*12,"",IF($A136=1,InitInvest,$R135))</f>
        <v/>
      </c>
      <c r="G136" s="37">
        <f>IF($A136&gt;NYears*12,"",INT($F136/$E136))</f>
        <v/>
      </c>
      <c r="H136" s="39">
        <f>IF($A136&gt;NYears*12,"",$G136*$E136)</f>
        <v/>
      </c>
      <c r="I136" s="39">
        <f>IF($A136&gt;NYears*12,"",$F136-$H136)</f>
        <v/>
      </c>
      <c r="J136" s="39">
        <f>IF($A136&gt;NYears*12,"",$H136*RateC)</f>
        <v/>
      </c>
      <c r="K136" s="39">
        <f>IF($A136&gt;NYears*12,"",IF($D136=1,$J136,$K135+$J136))</f>
        <v/>
      </c>
      <c r="L136" s="39">
        <f>IF($A136&gt;NYears*12,"",IF(MOD($D136,3)=0,SUM($J134:$J136),0))</f>
        <v/>
      </c>
      <c r="M136" s="39">
        <f>IF($A136&gt;NYears*12,"",IF(TaxFreq="Quarterly",$K136*12/$D136,$K136))</f>
        <v/>
      </c>
      <c r="N136" s="40">
        <f>IF($A136&gt;NYears*12,"",LOOKUP($M136,TaxLower,TaxRate))</f>
        <v/>
      </c>
      <c r="O136" s="39">
        <f>IF($A136&gt;NYears*12,"",IF(TaxFreq="Quarterly",IF(MOD($D136,3)=0,$L136*$N136,0),IF($D136=12,$K136*$N136,0)))</f>
        <v/>
      </c>
      <c r="P136" s="39">
        <f>IF($A136&gt;NYears*12,"",IF($D136=1,$O136,$P135+$O136))</f>
        <v/>
      </c>
      <c r="Q136" s="39">
        <f>IF($A136&gt;NYears*12,"",IF($D136=12,MIN(WdrPct*IF(WdrBase="Post-tax profit",$K136-$P136,$K136),WdrCap),0))</f>
        <v/>
      </c>
      <c r="R136" s="39">
        <f>IF($A136&gt;NYears*12,"",$F136+$J136-$O136-$Q136)</f>
        <v/>
      </c>
      <c r="S136" s="37">
        <f>IF($A136&gt;NYears*12,"",INT($R136/$E136))</f>
        <v/>
      </c>
    </row>
    <row r="137">
      <c r="A137" s="33">
        <f>133</f>
        <v/>
      </c>
      <c r="B137" s="34">
        <f>IF($A137&gt;NYears*12,"",EDATE(StartMonth,$A137-1))</f>
        <v/>
      </c>
      <c r="C137" s="33">
        <f>IF($A137&gt;NYears*12,"",INT(($A137-1)/12)+1)</f>
        <v/>
      </c>
      <c r="D137" s="33">
        <f>IF($A137&gt;NYears*12,"",MOD($A137-1,12)+1)</f>
        <v/>
      </c>
      <c r="E137" s="35">
        <f>IF($A137&gt;NYears*12,"",LotValue0*(1+LotGrowth)^($C137-1))</f>
        <v/>
      </c>
      <c r="F137" s="35">
        <f>IF($A137&gt;NYears*12,"",IF($A137=1,InitInvest,$R136))</f>
        <v/>
      </c>
      <c r="G137" s="33">
        <f>IF($A137&gt;NYears*12,"",INT($F137/$E137))</f>
        <v/>
      </c>
      <c r="H137" s="35">
        <f>IF($A137&gt;NYears*12,"",$G137*$E137)</f>
        <v/>
      </c>
      <c r="I137" s="35">
        <f>IF($A137&gt;NYears*12,"",$F137-$H137)</f>
        <v/>
      </c>
      <c r="J137" s="35">
        <f>IF($A137&gt;NYears*12,"",$H137*RateC)</f>
        <v/>
      </c>
      <c r="K137" s="35">
        <f>IF($A137&gt;NYears*12,"",IF($D137=1,$J137,$K136+$J137))</f>
        <v/>
      </c>
      <c r="L137" s="35">
        <f>IF($A137&gt;NYears*12,"",IF(MOD($D137,3)=0,SUM($J135:$J137),0))</f>
        <v/>
      </c>
      <c r="M137" s="35">
        <f>IF($A137&gt;NYears*12,"",IF(TaxFreq="Quarterly",$K137*12/$D137,$K137))</f>
        <v/>
      </c>
      <c r="N137" s="36">
        <f>IF($A137&gt;NYears*12,"",LOOKUP($M137,TaxLower,TaxRate))</f>
        <v/>
      </c>
      <c r="O137" s="35">
        <f>IF($A137&gt;NYears*12,"",IF(TaxFreq="Quarterly",IF(MOD($D137,3)=0,$L137*$N137,0),IF($D137=12,$K137*$N137,0)))</f>
        <v/>
      </c>
      <c r="P137" s="35">
        <f>IF($A137&gt;NYears*12,"",IF($D137=1,$O137,$P136+$O137))</f>
        <v/>
      </c>
      <c r="Q137" s="35">
        <f>IF($A137&gt;NYears*12,"",IF($D137=12,MIN(WdrPct*IF(WdrBase="Post-tax profit",$K137-$P137,$K137),WdrCap),0))</f>
        <v/>
      </c>
      <c r="R137" s="35">
        <f>IF($A137&gt;NYears*12,"",$F137+$J137-$O137-$Q137)</f>
        <v/>
      </c>
      <c r="S137" s="33">
        <f>IF($A137&gt;NYears*12,"",INT($R137/$E137))</f>
        <v/>
      </c>
    </row>
    <row r="138">
      <c r="A138" s="33">
        <f>134</f>
        <v/>
      </c>
      <c r="B138" s="34">
        <f>IF($A138&gt;NYears*12,"",EDATE(StartMonth,$A138-1))</f>
        <v/>
      </c>
      <c r="C138" s="33">
        <f>IF($A138&gt;NYears*12,"",INT(($A138-1)/12)+1)</f>
        <v/>
      </c>
      <c r="D138" s="33">
        <f>IF($A138&gt;NYears*12,"",MOD($A138-1,12)+1)</f>
        <v/>
      </c>
      <c r="E138" s="35">
        <f>IF($A138&gt;NYears*12,"",LotValue0*(1+LotGrowth)^($C138-1))</f>
        <v/>
      </c>
      <c r="F138" s="35">
        <f>IF($A138&gt;NYears*12,"",IF($A138=1,InitInvest,$R137))</f>
        <v/>
      </c>
      <c r="G138" s="33">
        <f>IF($A138&gt;NYears*12,"",INT($F138/$E138))</f>
        <v/>
      </c>
      <c r="H138" s="35">
        <f>IF($A138&gt;NYears*12,"",$G138*$E138)</f>
        <v/>
      </c>
      <c r="I138" s="35">
        <f>IF($A138&gt;NYears*12,"",$F138-$H138)</f>
        <v/>
      </c>
      <c r="J138" s="35">
        <f>IF($A138&gt;NYears*12,"",$H138*RateC)</f>
        <v/>
      </c>
      <c r="K138" s="35">
        <f>IF($A138&gt;NYears*12,"",IF($D138=1,$J138,$K137+$J138))</f>
        <v/>
      </c>
      <c r="L138" s="35">
        <f>IF($A138&gt;NYears*12,"",IF(MOD($D138,3)=0,SUM($J136:$J138),0))</f>
        <v/>
      </c>
      <c r="M138" s="35">
        <f>IF($A138&gt;NYears*12,"",IF(TaxFreq="Quarterly",$K138*12/$D138,$K138))</f>
        <v/>
      </c>
      <c r="N138" s="36">
        <f>IF($A138&gt;NYears*12,"",LOOKUP($M138,TaxLower,TaxRate))</f>
        <v/>
      </c>
      <c r="O138" s="35">
        <f>IF($A138&gt;NYears*12,"",IF(TaxFreq="Quarterly",IF(MOD($D138,3)=0,$L138*$N138,0),IF($D138=12,$K138*$N138,0)))</f>
        <v/>
      </c>
      <c r="P138" s="35">
        <f>IF($A138&gt;NYears*12,"",IF($D138=1,$O138,$P137+$O138))</f>
        <v/>
      </c>
      <c r="Q138" s="35">
        <f>IF($A138&gt;NYears*12,"",IF($D138=12,MIN(WdrPct*IF(WdrBase="Post-tax profit",$K138-$P138,$K138),WdrCap),0))</f>
        <v/>
      </c>
      <c r="R138" s="35">
        <f>IF($A138&gt;NYears*12,"",$F138+$J138-$O138-$Q138)</f>
        <v/>
      </c>
      <c r="S138" s="33">
        <f>IF($A138&gt;NYears*12,"",INT($R138/$E138))</f>
        <v/>
      </c>
    </row>
    <row r="139">
      <c r="A139" s="33">
        <f>135</f>
        <v/>
      </c>
      <c r="B139" s="34">
        <f>IF($A139&gt;NYears*12,"",EDATE(StartMonth,$A139-1))</f>
        <v/>
      </c>
      <c r="C139" s="33">
        <f>IF($A139&gt;NYears*12,"",INT(($A139-1)/12)+1)</f>
        <v/>
      </c>
      <c r="D139" s="33">
        <f>IF($A139&gt;NYears*12,"",MOD($A139-1,12)+1)</f>
        <v/>
      </c>
      <c r="E139" s="35">
        <f>IF($A139&gt;NYears*12,"",LotValue0*(1+LotGrowth)^($C139-1))</f>
        <v/>
      </c>
      <c r="F139" s="35">
        <f>IF($A139&gt;NYears*12,"",IF($A139=1,InitInvest,$R138))</f>
        <v/>
      </c>
      <c r="G139" s="33">
        <f>IF($A139&gt;NYears*12,"",INT($F139/$E139))</f>
        <v/>
      </c>
      <c r="H139" s="35">
        <f>IF($A139&gt;NYears*12,"",$G139*$E139)</f>
        <v/>
      </c>
      <c r="I139" s="35">
        <f>IF($A139&gt;NYears*12,"",$F139-$H139)</f>
        <v/>
      </c>
      <c r="J139" s="35">
        <f>IF($A139&gt;NYears*12,"",$H139*RateC)</f>
        <v/>
      </c>
      <c r="K139" s="35">
        <f>IF($A139&gt;NYears*12,"",IF($D139=1,$J139,$K138+$J139))</f>
        <v/>
      </c>
      <c r="L139" s="35">
        <f>IF($A139&gt;NYears*12,"",IF(MOD($D139,3)=0,SUM($J137:$J139),0))</f>
        <v/>
      </c>
      <c r="M139" s="35">
        <f>IF($A139&gt;NYears*12,"",IF(TaxFreq="Quarterly",$K139*12/$D139,$K139))</f>
        <v/>
      </c>
      <c r="N139" s="36">
        <f>IF($A139&gt;NYears*12,"",LOOKUP($M139,TaxLower,TaxRate))</f>
        <v/>
      </c>
      <c r="O139" s="35">
        <f>IF($A139&gt;NYears*12,"",IF(TaxFreq="Quarterly",IF(MOD($D139,3)=0,$L139*$N139,0),IF($D139=12,$K139*$N139,0)))</f>
        <v/>
      </c>
      <c r="P139" s="35">
        <f>IF($A139&gt;NYears*12,"",IF($D139=1,$O139,$P138+$O139))</f>
        <v/>
      </c>
      <c r="Q139" s="35">
        <f>IF($A139&gt;NYears*12,"",IF($D139=12,MIN(WdrPct*IF(WdrBase="Post-tax profit",$K139-$P139,$K139),WdrCap),0))</f>
        <v/>
      </c>
      <c r="R139" s="35">
        <f>IF($A139&gt;NYears*12,"",$F139+$J139-$O139-$Q139)</f>
        <v/>
      </c>
      <c r="S139" s="33">
        <f>IF($A139&gt;NYears*12,"",INT($R139/$E139))</f>
        <v/>
      </c>
    </row>
    <row r="140">
      <c r="A140" s="33">
        <f>136</f>
        <v/>
      </c>
      <c r="B140" s="34">
        <f>IF($A140&gt;NYears*12,"",EDATE(StartMonth,$A140-1))</f>
        <v/>
      </c>
      <c r="C140" s="33">
        <f>IF($A140&gt;NYears*12,"",INT(($A140-1)/12)+1)</f>
        <v/>
      </c>
      <c r="D140" s="33">
        <f>IF($A140&gt;NYears*12,"",MOD($A140-1,12)+1)</f>
        <v/>
      </c>
      <c r="E140" s="35">
        <f>IF($A140&gt;NYears*12,"",LotValue0*(1+LotGrowth)^($C140-1))</f>
        <v/>
      </c>
      <c r="F140" s="35">
        <f>IF($A140&gt;NYears*12,"",IF($A140=1,InitInvest,$R139))</f>
        <v/>
      </c>
      <c r="G140" s="33">
        <f>IF($A140&gt;NYears*12,"",INT($F140/$E140))</f>
        <v/>
      </c>
      <c r="H140" s="35">
        <f>IF($A140&gt;NYears*12,"",$G140*$E140)</f>
        <v/>
      </c>
      <c r="I140" s="35">
        <f>IF($A140&gt;NYears*12,"",$F140-$H140)</f>
        <v/>
      </c>
      <c r="J140" s="35">
        <f>IF($A140&gt;NYears*12,"",$H140*RateC)</f>
        <v/>
      </c>
      <c r="K140" s="35">
        <f>IF($A140&gt;NYears*12,"",IF($D140=1,$J140,$K139+$J140))</f>
        <v/>
      </c>
      <c r="L140" s="35">
        <f>IF($A140&gt;NYears*12,"",IF(MOD($D140,3)=0,SUM($J138:$J140),0))</f>
        <v/>
      </c>
      <c r="M140" s="35">
        <f>IF($A140&gt;NYears*12,"",IF(TaxFreq="Quarterly",$K140*12/$D140,$K140))</f>
        <v/>
      </c>
      <c r="N140" s="36">
        <f>IF($A140&gt;NYears*12,"",LOOKUP($M140,TaxLower,TaxRate))</f>
        <v/>
      </c>
      <c r="O140" s="35">
        <f>IF($A140&gt;NYears*12,"",IF(TaxFreq="Quarterly",IF(MOD($D140,3)=0,$L140*$N140,0),IF($D140=12,$K140*$N140,0)))</f>
        <v/>
      </c>
      <c r="P140" s="35">
        <f>IF($A140&gt;NYears*12,"",IF($D140=1,$O140,$P139+$O140))</f>
        <v/>
      </c>
      <c r="Q140" s="35">
        <f>IF($A140&gt;NYears*12,"",IF($D140=12,MIN(WdrPct*IF(WdrBase="Post-tax profit",$K140-$P140,$K140),WdrCap),0))</f>
        <v/>
      </c>
      <c r="R140" s="35">
        <f>IF($A140&gt;NYears*12,"",$F140+$J140-$O140-$Q140)</f>
        <v/>
      </c>
      <c r="S140" s="33">
        <f>IF($A140&gt;NYears*12,"",INT($R140/$E140))</f>
        <v/>
      </c>
    </row>
    <row r="141">
      <c r="A141" s="33">
        <f>137</f>
        <v/>
      </c>
      <c r="B141" s="34">
        <f>IF($A141&gt;NYears*12,"",EDATE(StartMonth,$A141-1))</f>
        <v/>
      </c>
      <c r="C141" s="33">
        <f>IF($A141&gt;NYears*12,"",INT(($A141-1)/12)+1)</f>
        <v/>
      </c>
      <c r="D141" s="33">
        <f>IF($A141&gt;NYears*12,"",MOD($A141-1,12)+1)</f>
        <v/>
      </c>
      <c r="E141" s="35">
        <f>IF($A141&gt;NYears*12,"",LotValue0*(1+LotGrowth)^($C141-1))</f>
        <v/>
      </c>
      <c r="F141" s="35">
        <f>IF($A141&gt;NYears*12,"",IF($A141=1,InitInvest,$R140))</f>
        <v/>
      </c>
      <c r="G141" s="33">
        <f>IF($A141&gt;NYears*12,"",INT($F141/$E141))</f>
        <v/>
      </c>
      <c r="H141" s="35">
        <f>IF($A141&gt;NYears*12,"",$G141*$E141)</f>
        <v/>
      </c>
      <c r="I141" s="35">
        <f>IF($A141&gt;NYears*12,"",$F141-$H141)</f>
        <v/>
      </c>
      <c r="J141" s="35">
        <f>IF($A141&gt;NYears*12,"",$H141*RateC)</f>
        <v/>
      </c>
      <c r="K141" s="35">
        <f>IF($A141&gt;NYears*12,"",IF($D141=1,$J141,$K140+$J141))</f>
        <v/>
      </c>
      <c r="L141" s="35">
        <f>IF($A141&gt;NYears*12,"",IF(MOD($D141,3)=0,SUM($J139:$J141),0))</f>
        <v/>
      </c>
      <c r="M141" s="35">
        <f>IF($A141&gt;NYears*12,"",IF(TaxFreq="Quarterly",$K141*12/$D141,$K141))</f>
        <v/>
      </c>
      <c r="N141" s="36">
        <f>IF($A141&gt;NYears*12,"",LOOKUP($M141,TaxLower,TaxRate))</f>
        <v/>
      </c>
      <c r="O141" s="35">
        <f>IF($A141&gt;NYears*12,"",IF(TaxFreq="Quarterly",IF(MOD($D141,3)=0,$L141*$N141,0),IF($D141=12,$K141*$N141,0)))</f>
        <v/>
      </c>
      <c r="P141" s="35">
        <f>IF($A141&gt;NYears*12,"",IF($D141=1,$O141,$P140+$O141))</f>
        <v/>
      </c>
      <c r="Q141" s="35">
        <f>IF($A141&gt;NYears*12,"",IF($D141=12,MIN(WdrPct*IF(WdrBase="Post-tax profit",$K141-$P141,$K141),WdrCap),0))</f>
        <v/>
      </c>
      <c r="R141" s="35">
        <f>IF($A141&gt;NYears*12,"",$F141+$J141-$O141-$Q141)</f>
        <v/>
      </c>
      <c r="S141" s="33">
        <f>IF($A141&gt;NYears*12,"",INT($R141/$E141))</f>
        <v/>
      </c>
    </row>
    <row r="142">
      <c r="A142" s="33">
        <f>138</f>
        <v/>
      </c>
      <c r="B142" s="34">
        <f>IF($A142&gt;NYears*12,"",EDATE(StartMonth,$A142-1))</f>
        <v/>
      </c>
      <c r="C142" s="33">
        <f>IF($A142&gt;NYears*12,"",INT(($A142-1)/12)+1)</f>
        <v/>
      </c>
      <c r="D142" s="33">
        <f>IF($A142&gt;NYears*12,"",MOD($A142-1,12)+1)</f>
        <v/>
      </c>
      <c r="E142" s="35">
        <f>IF($A142&gt;NYears*12,"",LotValue0*(1+LotGrowth)^($C142-1))</f>
        <v/>
      </c>
      <c r="F142" s="35">
        <f>IF($A142&gt;NYears*12,"",IF($A142=1,InitInvest,$R141))</f>
        <v/>
      </c>
      <c r="G142" s="33">
        <f>IF($A142&gt;NYears*12,"",INT($F142/$E142))</f>
        <v/>
      </c>
      <c r="H142" s="35">
        <f>IF($A142&gt;NYears*12,"",$G142*$E142)</f>
        <v/>
      </c>
      <c r="I142" s="35">
        <f>IF($A142&gt;NYears*12,"",$F142-$H142)</f>
        <v/>
      </c>
      <c r="J142" s="35">
        <f>IF($A142&gt;NYears*12,"",$H142*RateC)</f>
        <v/>
      </c>
      <c r="K142" s="35">
        <f>IF($A142&gt;NYears*12,"",IF($D142=1,$J142,$K141+$J142))</f>
        <v/>
      </c>
      <c r="L142" s="35">
        <f>IF($A142&gt;NYears*12,"",IF(MOD($D142,3)=0,SUM($J140:$J142),0))</f>
        <v/>
      </c>
      <c r="M142" s="35">
        <f>IF($A142&gt;NYears*12,"",IF(TaxFreq="Quarterly",$K142*12/$D142,$K142))</f>
        <v/>
      </c>
      <c r="N142" s="36">
        <f>IF($A142&gt;NYears*12,"",LOOKUP($M142,TaxLower,TaxRate))</f>
        <v/>
      </c>
      <c r="O142" s="35">
        <f>IF($A142&gt;NYears*12,"",IF(TaxFreq="Quarterly",IF(MOD($D142,3)=0,$L142*$N142,0),IF($D142=12,$K142*$N142,0)))</f>
        <v/>
      </c>
      <c r="P142" s="35">
        <f>IF($A142&gt;NYears*12,"",IF($D142=1,$O142,$P141+$O142))</f>
        <v/>
      </c>
      <c r="Q142" s="35">
        <f>IF($A142&gt;NYears*12,"",IF($D142=12,MIN(WdrPct*IF(WdrBase="Post-tax profit",$K142-$P142,$K142),WdrCap),0))</f>
        <v/>
      </c>
      <c r="R142" s="35">
        <f>IF($A142&gt;NYears*12,"",$F142+$J142-$O142-$Q142)</f>
        <v/>
      </c>
      <c r="S142" s="33">
        <f>IF($A142&gt;NYears*12,"",INT($R142/$E142))</f>
        <v/>
      </c>
    </row>
    <row r="143">
      <c r="A143" s="33">
        <f>139</f>
        <v/>
      </c>
      <c r="B143" s="34">
        <f>IF($A143&gt;NYears*12,"",EDATE(StartMonth,$A143-1))</f>
        <v/>
      </c>
      <c r="C143" s="33">
        <f>IF($A143&gt;NYears*12,"",INT(($A143-1)/12)+1)</f>
        <v/>
      </c>
      <c r="D143" s="33">
        <f>IF($A143&gt;NYears*12,"",MOD($A143-1,12)+1)</f>
        <v/>
      </c>
      <c r="E143" s="35">
        <f>IF($A143&gt;NYears*12,"",LotValue0*(1+LotGrowth)^($C143-1))</f>
        <v/>
      </c>
      <c r="F143" s="35">
        <f>IF($A143&gt;NYears*12,"",IF($A143=1,InitInvest,$R142))</f>
        <v/>
      </c>
      <c r="G143" s="33">
        <f>IF($A143&gt;NYears*12,"",INT($F143/$E143))</f>
        <v/>
      </c>
      <c r="H143" s="35">
        <f>IF($A143&gt;NYears*12,"",$G143*$E143)</f>
        <v/>
      </c>
      <c r="I143" s="35">
        <f>IF($A143&gt;NYears*12,"",$F143-$H143)</f>
        <v/>
      </c>
      <c r="J143" s="35">
        <f>IF($A143&gt;NYears*12,"",$H143*RateC)</f>
        <v/>
      </c>
      <c r="K143" s="35">
        <f>IF($A143&gt;NYears*12,"",IF($D143=1,$J143,$K142+$J143))</f>
        <v/>
      </c>
      <c r="L143" s="35">
        <f>IF($A143&gt;NYears*12,"",IF(MOD($D143,3)=0,SUM($J141:$J143),0))</f>
        <v/>
      </c>
      <c r="M143" s="35">
        <f>IF($A143&gt;NYears*12,"",IF(TaxFreq="Quarterly",$K143*12/$D143,$K143))</f>
        <v/>
      </c>
      <c r="N143" s="36">
        <f>IF($A143&gt;NYears*12,"",LOOKUP($M143,TaxLower,TaxRate))</f>
        <v/>
      </c>
      <c r="O143" s="35">
        <f>IF($A143&gt;NYears*12,"",IF(TaxFreq="Quarterly",IF(MOD($D143,3)=0,$L143*$N143,0),IF($D143=12,$K143*$N143,0)))</f>
        <v/>
      </c>
      <c r="P143" s="35">
        <f>IF($A143&gt;NYears*12,"",IF($D143=1,$O143,$P142+$O143))</f>
        <v/>
      </c>
      <c r="Q143" s="35">
        <f>IF($A143&gt;NYears*12,"",IF($D143=12,MIN(WdrPct*IF(WdrBase="Post-tax profit",$K143-$P143,$K143),WdrCap),0))</f>
        <v/>
      </c>
      <c r="R143" s="35">
        <f>IF($A143&gt;NYears*12,"",$F143+$J143-$O143-$Q143)</f>
        <v/>
      </c>
      <c r="S143" s="33">
        <f>IF($A143&gt;NYears*12,"",INT($R143/$E143))</f>
        <v/>
      </c>
    </row>
    <row r="144">
      <c r="A144" s="33">
        <f>140</f>
        <v/>
      </c>
      <c r="B144" s="34">
        <f>IF($A144&gt;NYears*12,"",EDATE(StartMonth,$A144-1))</f>
        <v/>
      </c>
      <c r="C144" s="33">
        <f>IF($A144&gt;NYears*12,"",INT(($A144-1)/12)+1)</f>
        <v/>
      </c>
      <c r="D144" s="33">
        <f>IF($A144&gt;NYears*12,"",MOD($A144-1,12)+1)</f>
        <v/>
      </c>
      <c r="E144" s="35">
        <f>IF($A144&gt;NYears*12,"",LotValue0*(1+LotGrowth)^($C144-1))</f>
        <v/>
      </c>
      <c r="F144" s="35">
        <f>IF($A144&gt;NYears*12,"",IF($A144=1,InitInvest,$R143))</f>
        <v/>
      </c>
      <c r="G144" s="33">
        <f>IF($A144&gt;NYears*12,"",INT($F144/$E144))</f>
        <v/>
      </c>
      <c r="H144" s="35">
        <f>IF($A144&gt;NYears*12,"",$G144*$E144)</f>
        <v/>
      </c>
      <c r="I144" s="35">
        <f>IF($A144&gt;NYears*12,"",$F144-$H144)</f>
        <v/>
      </c>
      <c r="J144" s="35">
        <f>IF($A144&gt;NYears*12,"",$H144*RateC)</f>
        <v/>
      </c>
      <c r="K144" s="35">
        <f>IF($A144&gt;NYears*12,"",IF($D144=1,$J144,$K143+$J144))</f>
        <v/>
      </c>
      <c r="L144" s="35">
        <f>IF($A144&gt;NYears*12,"",IF(MOD($D144,3)=0,SUM($J142:$J144),0))</f>
        <v/>
      </c>
      <c r="M144" s="35">
        <f>IF($A144&gt;NYears*12,"",IF(TaxFreq="Quarterly",$K144*12/$D144,$K144))</f>
        <v/>
      </c>
      <c r="N144" s="36">
        <f>IF($A144&gt;NYears*12,"",LOOKUP($M144,TaxLower,TaxRate))</f>
        <v/>
      </c>
      <c r="O144" s="35">
        <f>IF($A144&gt;NYears*12,"",IF(TaxFreq="Quarterly",IF(MOD($D144,3)=0,$L144*$N144,0),IF($D144=12,$K144*$N144,0)))</f>
        <v/>
      </c>
      <c r="P144" s="35">
        <f>IF($A144&gt;NYears*12,"",IF($D144=1,$O144,$P143+$O144))</f>
        <v/>
      </c>
      <c r="Q144" s="35">
        <f>IF($A144&gt;NYears*12,"",IF($D144=12,MIN(WdrPct*IF(WdrBase="Post-tax profit",$K144-$P144,$K144),WdrCap),0))</f>
        <v/>
      </c>
      <c r="R144" s="35">
        <f>IF($A144&gt;NYears*12,"",$F144+$J144-$O144-$Q144)</f>
        <v/>
      </c>
      <c r="S144" s="33">
        <f>IF($A144&gt;NYears*12,"",INT($R144/$E144))</f>
        <v/>
      </c>
    </row>
    <row r="145">
      <c r="A145" s="33">
        <f>141</f>
        <v/>
      </c>
      <c r="B145" s="34">
        <f>IF($A145&gt;NYears*12,"",EDATE(StartMonth,$A145-1))</f>
        <v/>
      </c>
      <c r="C145" s="33">
        <f>IF($A145&gt;NYears*12,"",INT(($A145-1)/12)+1)</f>
        <v/>
      </c>
      <c r="D145" s="33">
        <f>IF($A145&gt;NYears*12,"",MOD($A145-1,12)+1)</f>
        <v/>
      </c>
      <c r="E145" s="35">
        <f>IF($A145&gt;NYears*12,"",LotValue0*(1+LotGrowth)^($C145-1))</f>
        <v/>
      </c>
      <c r="F145" s="35">
        <f>IF($A145&gt;NYears*12,"",IF($A145=1,InitInvest,$R144))</f>
        <v/>
      </c>
      <c r="G145" s="33">
        <f>IF($A145&gt;NYears*12,"",INT($F145/$E145))</f>
        <v/>
      </c>
      <c r="H145" s="35">
        <f>IF($A145&gt;NYears*12,"",$G145*$E145)</f>
        <v/>
      </c>
      <c r="I145" s="35">
        <f>IF($A145&gt;NYears*12,"",$F145-$H145)</f>
        <v/>
      </c>
      <c r="J145" s="35">
        <f>IF($A145&gt;NYears*12,"",$H145*RateC)</f>
        <v/>
      </c>
      <c r="K145" s="35">
        <f>IF($A145&gt;NYears*12,"",IF($D145=1,$J145,$K144+$J145))</f>
        <v/>
      </c>
      <c r="L145" s="35">
        <f>IF($A145&gt;NYears*12,"",IF(MOD($D145,3)=0,SUM($J143:$J145),0))</f>
        <v/>
      </c>
      <c r="M145" s="35">
        <f>IF($A145&gt;NYears*12,"",IF(TaxFreq="Quarterly",$K145*12/$D145,$K145))</f>
        <v/>
      </c>
      <c r="N145" s="36">
        <f>IF($A145&gt;NYears*12,"",LOOKUP($M145,TaxLower,TaxRate))</f>
        <v/>
      </c>
      <c r="O145" s="35">
        <f>IF($A145&gt;NYears*12,"",IF(TaxFreq="Quarterly",IF(MOD($D145,3)=0,$L145*$N145,0),IF($D145=12,$K145*$N145,0)))</f>
        <v/>
      </c>
      <c r="P145" s="35">
        <f>IF($A145&gt;NYears*12,"",IF($D145=1,$O145,$P144+$O145))</f>
        <v/>
      </c>
      <c r="Q145" s="35">
        <f>IF($A145&gt;NYears*12,"",IF($D145=12,MIN(WdrPct*IF(WdrBase="Post-tax profit",$K145-$P145,$K145),WdrCap),0))</f>
        <v/>
      </c>
      <c r="R145" s="35">
        <f>IF($A145&gt;NYears*12,"",$F145+$J145-$O145-$Q145)</f>
        <v/>
      </c>
      <c r="S145" s="33">
        <f>IF($A145&gt;NYears*12,"",INT($R145/$E145))</f>
        <v/>
      </c>
    </row>
    <row r="146">
      <c r="A146" s="33">
        <f>142</f>
        <v/>
      </c>
      <c r="B146" s="34">
        <f>IF($A146&gt;NYears*12,"",EDATE(StartMonth,$A146-1))</f>
        <v/>
      </c>
      <c r="C146" s="33">
        <f>IF($A146&gt;NYears*12,"",INT(($A146-1)/12)+1)</f>
        <v/>
      </c>
      <c r="D146" s="33">
        <f>IF($A146&gt;NYears*12,"",MOD($A146-1,12)+1)</f>
        <v/>
      </c>
      <c r="E146" s="35">
        <f>IF($A146&gt;NYears*12,"",LotValue0*(1+LotGrowth)^($C146-1))</f>
        <v/>
      </c>
      <c r="F146" s="35">
        <f>IF($A146&gt;NYears*12,"",IF($A146=1,InitInvest,$R145))</f>
        <v/>
      </c>
      <c r="G146" s="33">
        <f>IF($A146&gt;NYears*12,"",INT($F146/$E146))</f>
        <v/>
      </c>
      <c r="H146" s="35">
        <f>IF($A146&gt;NYears*12,"",$G146*$E146)</f>
        <v/>
      </c>
      <c r="I146" s="35">
        <f>IF($A146&gt;NYears*12,"",$F146-$H146)</f>
        <v/>
      </c>
      <c r="J146" s="35">
        <f>IF($A146&gt;NYears*12,"",$H146*RateC)</f>
        <v/>
      </c>
      <c r="K146" s="35">
        <f>IF($A146&gt;NYears*12,"",IF($D146=1,$J146,$K145+$J146))</f>
        <v/>
      </c>
      <c r="L146" s="35">
        <f>IF($A146&gt;NYears*12,"",IF(MOD($D146,3)=0,SUM($J144:$J146),0))</f>
        <v/>
      </c>
      <c r="M146" s="35">
        <f>IF($A146&gt;NYears*12,"",IF(TaxFreq="Quarterly",$K146*12/$D146,$K146))</f>
        <v/>
      </c>
      <c r="N146" s="36">
        <f>IF($A146&gt;NYears*12,"",LOOKUP($M146,TaxLower,TaxRate))</f>
        <v/>
      </c>
      <c r="O146" s="35">
        <f>IF($A146&gt;NYears*12,"",IF(TaxFreq="Quarterly",IF(MOD($D146,3)=0,$L146*$N146,0),IF($D146=12,$K146*$N146,0)))</f>
        <v/>
      </c>
      <c r="P146" s="35">
        <f>IF($A146&gt;NYears*12,"",IF($D146=1,$O146,$P145+$O146))</f>
        <v/>
      </c>
      <c r="Q146" s="35">
        <f>IF($A146&gt;NYears*12,"",IF($D146=12,MIN(WdrPct*IF(WdrBase="Post-tax profit",$K146-$P146,$K146),WdrCap),0))</f>
        <v/>
      </c>
      <c r="R146" s="35">
        <f>IF($A146&gt;NYears*12,"",$F146+$J146-$O146-$Q146)</f>
        <v/>
      </c>
      <c r="S146" s="33">
        <f>IF($A146&gt;NYears*12,"",INT($R146/$E146))</f>
        <v/>
      </c>
    </row>
    <row r="147">
      <c r="A147" s="33">
        <f>143</f>
        <v/>
      </c>
      <c r="B147" s="34">
        <f>IF($A147&gt;NYears*12,"",EDATE(StartMonth,$A147-1))</f>
        <v/>
      </c>
      <c r="C147" s="33">
        <f>IF($A147&gt;NYears*12,"",INT(($A147-1)/12)+1)</f>
        <v/>
      </c>
      <c r="D147" s="33">
        <f>IF($A147&gt;NYears*12,"",MOD($A147-1,12)+1)</f>
        <v/>
      </c>
      <c r="E147" s="35">
        <f>IF($A147&gt;NYears*12,"",LotValue0*(1+LotGrowth)^($C147-1))</f>
        <v/>
      </c>
      <c r="F147" s="35">
        <f>IF($A147&gt;NYears*12,"",IF($A147=1,InitInvest,$R146))</f>
        <v/>
      </c>
      <c r="G147" s="33">
        <f>IF($A147&gt;NYears*12,"",INT($F147/$E147))</f>
        <v/>
      </c>
      <c r="H147" s="35">
        <f>IF($A147&gt;NYears*12,"",$G147*$E147)</f>
        <v/>
      </c>
      <c r="I147" s="35">
        <f>IF($A147&gt;NYears*12,"",$F147-$H147)</f>
        <v/>
      </c>
      <c r="J147" s="35">
        <f>IF($A147&gt;NYears*12,"",$H147*RateC)</f>
        <v/>
      </c>
      <c r="K147" s="35">
        <f>IF($A147&gt;NYears*12,"",IF($D147=1,$J147,$K146+$J147))</f>
        <v/>
      </c>
      <c r="L147" s="35">
        <f>IF($A147&gt;NYears*12,"",IF(MOD($D147,3)=0,SUM($J145:$J147),0))</f>
        <v/>
      </c>
      <c r="M147" s="35">
        <f>IF($A147&gt;NYears*12,"",IF(TaxFreq="Quarterly",$K147*12/$D147,$K147))</f>
        <v/>
      </c>
      <c r="N147" s="36">
        <f>IF($A147&gt;NYears*12,"",LOOKUP($M147,TaxLower,TaxRate))</f>
        <v/>
      </c>
      <c r="O147" s="35">
        <f>IF($A147&gt;NYears*12,"",IF(TaxFreq="Quarterly",IF(MOD($D147,3)=0,$L147*$N147,0),IF($D147=12,$K147*$N147,0)))</f>
        <v/>
      </c>
      <c r="P147" s="35">
        <f>IF($A147&gt;NYears*12,"",IF($D147=1,$O147,$P146+$O147))</f>
        <v/>
      </c>
      <c r="Q147" s="35">
        <f>IF($A147&gt;NYears*12,"",IF($D147=12,MIN(WdrPct*IF(WdrBase="Post-tax profit",$K147-$P147,$K147),WdrCap),0))</f>
        <v/>
      </c>
      <c r="R147" s="35">
        <f>IF($A147&gt;NYears*12,"",$F147+$J147-$O147-$Q147)</f>
        <v/>
      </c>
      <c r="S147" s="33">
        <f>IF($A147&gt;NYears*12,"",INT($R147/$E147))</f>
        <v/>
      </c>
    </row>
    <row r="148">
      <c r="A148" s="37">
        <f>144</f>
        <v/>
      </c>
      <c r="B148" s="38">
        <f>IF($A148&gt;NYears*12,"",EDATE(StartMonth,$A148-1))</f>
        <v/>
      </c>
      <c r="C148" s="37">
        <f>IF($A148&gt;NYears*12,"",INT(($A148-1)/12)+1)</f>
        <v/>
      </c>
      <c r="D148" s="37">
        <f>IF($A148&gt;NYears*12,"",MOD($A148-1,12)+1)</f>
        <v/>
      </c>
      <c r="E148" s="39">
        <f>IF($A148&gt;NYears*12,"",LotValue0*(1+LotGrowth)^($C148-1))</f>
        <v/>
      </c>
      <c r="F148" s="39">
        <f>IF($A148&gt;NYears*12,"",IF($A148=1,InitInvest,$R147))</f>
        <v/>
      </c>
      <c r="G148" s="37">
        <f>IF($A148&gt;NYears*12,"",INT($F148/$E148))</f>
        <v/>
      </c>
      <c r="H148" s="39">
        <f>IF($A148&gt;NYears*12,"",$G148*$E148)</f>
        <v/>
      </c>
      <c r="I148" s="39">
        <f>IF($A148&gt;NYears*12,"",$F148-$H148)</f>
        <v/>
      </c>
      <c r="J148" s="39">
        <f>IF($A148&gt;NYears*12,"",$H148*RateC)</f>
        <v/>
      </c>
      <c r="K148" s="39">
        <f>IF($A148&gt;NYears*12,"",IF($D148=1,$J148,$K147+$J148))</f>
        <v/>
      </c>
      <c r="L148" s="39">
        <f>IF($A148&gt;NYears*12,"",IF(MOD($D148,3)=0,SUM($J146:$J148),0))</f>
        <v/>
      </c>
      <c r="M148" s="39">
        <f>IF($A148&gt;NYears*12,"",IF(TaxFreq="Quarterly",$K148*12/$D148,$K148))</f>
        <v/>
      </c>
      <c r="N148" s="40">
        <f>IF($A148&gt;NYears*12,"",LOOKUP($M148,TaxLower,TaxRate))</f>
        <v/>
      </c>
      <c r="O148" s="39">
        <f>IF($A148&gt;NYears*12,"",IF(TaxFreq="Quarterly",IF(MOD($D148,3)=0,$L148*$N148,0),IF($D148=12,$K148*$N148,0)))</f>
        <v/>
      </c>
      <c r="P148" s="39">
        <f>IF($A148&gt;NYears*12,"",IF($D148=1,$O148,$P147+$O148))</f>
        <v/>
      </c>
      <c r="Q148" s="39">
        <f>IF($A148&gt;NYears*12,"",IF($D148=12,MIN(WdrPct*IF(WdrBase="Post-tax profit",$K148-$P148,$K148),WdrCap),0))</f>
        <v/>
      </c>
      <c r="R148" s="39">
        <f>IF($A148&gt;NYears*12,"",$F148+$J148-$O148-$Q148)</f>
        <v/>
      </c>
      <c r="S148" s="37">
        <f>IF($A148&gt;NYears*12,"",INT($R148/$E148))</f>
        <v/>
      </c>
    </row>
    <row r="149">
      <c r="A149" s="33">
        <f>145</f>
        <v/>
      </c>
      <c r="B149" s="34">
        <f>IF($A149&gt;NYears*12,"",EDATE(StartMonth,$A149-1))</f>
        <v/>
      </c>
      <c r="C149" s="33">
        <f>IF($A149&gt;NYears*12,"",INT(($A149-1)/12)+1)</f>
        <v/>
      </c>
      <c r="D149" s="33">
        <f>IF($A149&gt;NYears*12,"",MOD($A149-1,12)+1)</f>
        <v/>
      </c>
      <c r="E149" s="35">
        <f>IF($A149&gt;NYears*12,"",LotValue0*(1+LotGrowth)^($C149-1))</f>
        <v/>
      </c>
      <c r="F149" s="35">
        <f>IF($A149&gt;NYears*12,"",IF($A149=1,InitInvest,$R148))</f>
        <v/>
      </c>
      <c r="G149" s="33">
        <f>IF($A149&gt;NYears*12,"",INT($F149/$E149))</f>
        <v/>
      </c>
      <c r="H149" s="35">
        <f>IF($A149&gt;NYears*12,"",$G149*$E149)</f>
        <v/>
      </c>
      <c r="I149" s="35">
        <f>IF($A149&gt;NYears*12,"",$F149-$H149)</f>
        <v/>
      </c>
      <c r="J149" s="35">
        <f>IF($A149&gt;NYears*12,"",$H149*RateC)</f>
        <v/>
      </c>
      <c r="K149" s="35">
        <f>IF($A149&gt;NYears*12,"",IF($D149=1,$J149,$K148+$J149))</f>
        <v/>
      </c>
      <c r="L149" s="35">
        <f>IF($A149&gt;NYears*12,"",IF(MOD($D149,3)=0,SUM($J147:$J149),0))</f>
        <v/>
      </c>
      <c r="M149" s="35">
        <f>IF($A149&gt;NYears*12,"",IF(TaxFreq="Quarterly",$K149*12/$D149,$K149))</f>
        <v/>
      </c>
      <c r="N149" s="36">
        <f>IF($A149&gt;NYears*12,"",LOOKUP($M149,TaxLower,TaxRate))</f>
        <v/>
      </c>
      <c r="O149" s="35">
        <f>IF($A149&gt;NYears*12,"",IF(TaxFreq="Quarterly",IF(MOD($D149,3)=0,$L149*$N149,0),IF($D149=12,$K149*$N149,0)))</f>
        <v/>
      </c>
      <c r="P149" s="35">
        <f>IF($A149&gt;NYears*12,"",IF($D149=1,$O149,$P148+$O149))</f>
        <v/>
      </c>
      <c r="Q149" s="35">
        <f>IF($A149&gt;NYears*12,"",IF($D149=12,MIN(WdrPct*IF(WdrBase="Post-tax profit",$K149-$P149,$K149),WdrCap),0))</f>
        <v/>
      </c>
      <c r="R149" s="35">
        <f>IF($A149&gt;NYears*12,"",$F149+$J149-$O149-$Q149)</f>
        <v/>
      </c>
      <c r="S149" s="33">
        <f>IF($A149&gt;NYears*12,"",INT($R149/$E149))</f>
        <v/>
      </c>
    </row>
    <row r="150">
      <c r="A150" s="33">
        <f>146</f>
        <v/>
      </c>
      <c r="B150" s="34">
        <f>IF($A150&gt;NYears*12,"",EDATE(StartMonth,$A150-1))</f>
        <v/>
      </c>
      <c r="C150" s="33">
        <f>IF($A150&gt;NYears*12,"",INT(($A150-1)/12)+1)</f>
        <v/>
      </c>
      <c r="D150" s="33">
        <f>IF($A150&gt;NYears*12,"",MOD($A150-1,12)+1)</f>
        <v/>
      </c>
      <c r="E150" s="35">
        <f>IF($A150&gt;NYears*12,"",LotValue0*(1+LotGrowth)^($C150-1))</f>
        <v/>
      </c>
      <c r="F150" s="35">
        <f>IF($A150&gt;NYears*12,"",IF($A150=1,InitInvest,$R149))</f>
        <v/>
      </c>
      <c r="G150" s="33">
        <f>IF($A150&gt;NYears*12,"",INT($F150/$E150))</f>
        <v/>
      </c>
      <c r="H150" s="35">
        <f>IF($A150&gt;NYears*12,"",$G150*$E150)</f>
        <v/>
      </c>
      <c r="I150" s="35">
        <f>IF($A150&gt;NYears*12,"",$F150-$H150)</f>
        <v/>
      </c>
      <c r="J150" s="35">
        <f>IF($A150&gt;NYears*12,"",$H150*RateC)</f>
        <v/>
      </c>
      <c r="K150" s="35">
        <f>IF($A150&gt;NYears*12,"",IF($D150=1,$J150,$K149+$J150))</f>
        <v/>
      </c>
      <c r="L150" s="35">
        <f>IF($A150&gt;NYears*12,"",IF(MOD($D150,3)=0,SUM($J148:$J150),0))</f>
        <v/>
      </c>
      <c r="M150" s="35">
        <f>IF($A150&gt;NYears*12,"",IF(TaxFreq="Quarterly",$K150*12/$D150,$K150))</f>
        <v/>
      </c>
      <c r="N150" s="36">
        <f>IF($A150&gt;NYears*12,"",LOOKUP($M150,TaxLower,TaxRate))</f>
        <v/>
      </c>
      <c r="O150" s="35">
        <f>IF($A150&gt;NYears*12,"",IF(TaxFreq="Quarterly",IF(MOD($D150,3)=0,$L150*$N150,0),IF($D150=12,$K150*$N150,0)))</f>
        <v/>
      </c>
      <c r="P150" s="35">
        <f>IF($A150&gt;NYears*12,"",IF($D150=1,$O150,$P149+$O150))</f>
        <v/>
      </c>
      <c r="Q150" s="35">
        <f>IF($A150&gt;NYears*12,"",IF($D150=12,MIN(WdrPct*IF(WdrBase="Post-tax profit",$K150-$P150,$K150),WdrCap),0))</f>
        <v/>
      </c>
      <c r="R150" s="35">
        <f>IF($A150&gt;NYears*12,"",$F150+$J150-$O150-$Q150)</f>
        <v/>
      </c>
      <c r="S150" s="33">
        <f>IF($A150&gt;NYears*12,"",INT($R150/$E150))</f>
        <v/>
      </c>
    </row>
    <row r="151">
      <c r="A151" s="33">
        <f>147</f>
        <v/>
      </c>
      <c r="B151" s="34">
        <f>IF($A151&gt;NYears*12,"",EDATE(StartMonth,$A151-1))</f>
        <v/>
      </c>
      <c r="C151" s="33">
        <f>IF($A151&gt;NYears*12,"",INT(($A151-1)/12)+1)</f>
        <v/>
      </c>
      <c r="D151" s="33">
        <f>IF($A151&gt;NYears*12,"",MOD($A151-1,12)+1)</f>
        <v/>
      </c>
      <c r="E151" s="35">
        <f>IF($A151&gt;NYears*12,"",LotValue0*(1+LotGrowth)^($C151-1))</f>
        <v/>
      </c>
      <c r="F151" s="35">
        <f>IF($A151&gt;NYears*12,"",IF($A151=1,InitInvest,$R150))</f>
        <v/>
      </c>
      <c r="G151" s="33">
        <f>IF($A151&gt;NYears*12,"",INT($F151/$E151))</f>
        <v/>
      </c>
      <c r="H151" s="35">
        <f>IF($A151&gt;NYears*12,"",$G151*$E151)</f>
        <v/>
      </c>
      <c r="I151" s="35">
        <f>IF($A151&gt;NYears*12,"",$F151-$H151)</f>
        <v/>
      </c>
      <c r="J151" s="35">
        <f>IF($A151&gt;NYears*12,"",$H151*RateC)</f>
        <v/>
      </c>
      <c r="K151" s="35">
        <f>IF($A151&gt;NYears*12,"",IF($D151=1,$J151,$K150+$J151))</f>
        <v/>
      </c>
      <c r="L151" s="35">
        <f>IF($A151&gt;NYears*12,"",IF(MOD($D151,3)=0,SUM($J149:$J151),0))</f>
        <v/>
      </c>
      <c r="M151" s="35">
        <f>IF($A151&gt;NYears*12,"",IF(TaxFreq="Quarterly",$K151*12/$D151,$K151))</f>
        <v/>
      </c>
      <c r="N151" s="36">
        <f>IF($A151&gt;NYears*12,"",LOOKUP($M151,TaxLower,TaxRate))</f>
        <v/>
      </c>
      <c r="O151" s="35">
        <f>IF($A151&gt;NYears*12,"",IF(TaxFreq="Quarterly",IF(MOD($D151,3)=0,$L151*$N151,0),IF($D151=12,$K151*$N151,0)))</f>
        <v/>
      </c>
      <c r="P151" s="35">
        <f>IF($A151&gt;NYears*12,"",IF($D151=1,$O151,$P150+$O151))</f>
        <v/>
      </c>
      <c r="Q151" s="35">
        <f>IF($A151&gt;NYears*12,"",IF($D151=12,MIN(WdrPct*IF(WdrBase="Post-tax profit",$K151-$P151,$K151),WdrCap),0))</f>
        <v/>
      </c>
      <c r="R151" s="35">
        <f>IF($A151&gt;NYears*12,"",$F151+$J151-$O151-$Q151)</f>
        <v/>
      </c>
      <c r="S151" s="33">
        <f>IF($A151&gt;NYears*12,"",INT($R151/$E151))</f>
        <v/>
      </c>
    </row>
    <row r="152">
      <c r="A152" s="33">
        <f>148</f>
        <v/>
      </c>
      <c r="B152" s="34">
        <f>IF($A152&gt;NYears*12,"",EDATE(StartMonth,$A152-1))</f>
        <v/>
      </c>
      <c r="C152" s="33">
        <f>IF($A152&gt;NYears*12,"",INT(($A152-1)/12)+1)</f>
        <v/>
      </c>
      <c r="D152" s="33">
        <f>IF($A152&gt;NYears*12,"",MOD($A152-1,12)+1)</f>
        <v/>
      </c>
      <c r="E152" s="35">
        <f>IF($A152&gt;NYears*12,"",LotValue0*(1+LotGrowth)^($C152-1))</f>
        <v/>
      </c>
      <c r="F152" s="35">
        <f>IF($A152&gt;NYears*12,"",IF($A152=1,InitInvest,$R151))</f>
        <v/>
      </c>
      <c r="G152" s="33">
        <f>IF($A152&gt;NYears*12,"",INT($F152/$E152))</f>
        <v/>
      </c>
      <c r="H152" s="35">
        <f>IF($A152&gt;NYears*12,"",$G152*$E152)</f>
        <v/>
      </c>
      <c r="I152" s="35">
        <f>IF($A152&gt;NYears*12,"",$F152-$H152)</f>
        <v/>
      </c>
      <c r="J152" s="35">
        <f>IF($A152&gt;NYears*12,"",$H152*RateC)</f>
        <v/>
      </c>
      <c r="K152" s="35">
        <f>IF($A152&gt;NYears*12,"",IF($D152=1,$J152,$K151+$J152))</f>
        <v/>
      </c>
      <c r="L152" s="35">
        <f>IF($A152&gt;NYears*12,"",IF(MOD($D152,3)=0,SUM($J150:$J152),0))</f>
        <v/>
      </c>
      <c r="M152" s="35">
        <f>IF($A152&gt;NYears*12,"",IF(TaxFreq="Quarterly",$K152*12/$D152,$K152))</f>
        <v/>
      </c>
      <c r="N152" s="36">
        <f>IF($A152&gt;NYears*12,"",LOOKUP($M152,TaxLower,TaxRate))</f>
        <v/>
      </c>
      <c r="O152" s="35">
        <f>IF($A152&gt;NYears*12,"",IF(TaxFreq="Quarterly",IF(MOD($D152,3)=0,$L152*$N152,0),IF($D152=12,$K152*$N152,0)))</f>
        <v/>
      </c>
      <c r="P152" s="35">
        <f>IF($A152&gt;NYears*12,"",IF($D152=1,$O152,$P151+$O152))</f>
        <v/>
      </c>
      <c r="Q152" s="35">
        <f>IF($A152&gt;NYears*12,"",IF($D152=12,MIN(WdrPct*IF(WdrBase="Post-tax profit",$K152-$P152,$K152),WdrCap),0))</f>
        <v/>
      </c>
      <c r="R152" s="35">
        <f>IF($A152&gt;NYears*12,"",$F152+$J152-$O152-$Q152)</f>
        <v/>
      </c>
      <c r="S152" s="33">
        <f>IF($A152&gt;NYears*12,"",INT($R152/$E152))</f>
        <v/>
      </c>
    </row>
    <row r="153">
      <c r="A153" s="33">
        <f>149</f>
        <v/>
      </c>
      <c r="B153" s="34">
        <f>IF($A153&gt;NYears*12,"",EDATE(StartMonth,$A153-1))</f>
        <v/>
      </c>
      <c r="C153" s="33">
        <f>IF($A153&gt;NYears*12,"",INT(($A153-1)/12)+1)</f>
        <v/>
      </c>
      <c r="D153" s="33">
        <f>IF($A153&gt;NYears*12,"",MOD($A153-1,12)+1)</f>
        <v/>
      </c>
      <c r="E153" s="35">
        <f>IF($A153&gt;NYears*12,"",LotValue0*(1+LotGrowth)^($C153-1))</f>
        <v/>
      </c>
      <c r="F153" s="35">
        <f>IF($A153&gt;NYears*12,"",IF($A153=1,InitInvest,$R152))</f>
        <v/>
      </c>
      <c r="G153" s="33">
        <f>IF($A153&gt;NYears*12,"",INT($F153/$E153))</f>
        <v/>
      </c>
      <c r="H153" s="35">
        <f>IF($A153&gt;NYears*12,"",$G153*$E153)</f>
        <v/>
      </c>
      <c r="I153" s="35">
        <f>IF($A153&gt;NYears*12,"",$F153-$H153)</f>
        <v/>
      </c>
      <c r="J153" s="35">
        <f>IF($A153&gt;NYears*12,"",$H153*RateC)</f>
        <v/>
      </c>
      <c r="K153" s="35">
        <f>IF($A153&gt;NYears*12,"",IF($D153=1,$J153,$K152+$J153))</f>
        <v/>
      </c>
      <c r="L153" s="35">
        <f>IF($A153&gt;NYears*12,"",IF(MOD($D153,3)=0,SUM($J151:$J153),0))</f>
        <v/>
      </c>
      <c r="M153" s="35">
        <f>IF($A153&gt;NYears*12,"",IF(TaxFreq="Quarterly",$K153*12/$D153,$K153))</f>
        <v/>
      </c>
      <c r="N153" s="36">
        <f>IF($A153&gt;NYears*12,"",LOOKUP($M153,TaxLower,TaxRate))</f>
        <v/>
      </c>
      <c r="O153" s="35">
        <f>IF($A153&gt;NYears*12,"",IF(TaxFreq="Quarterly",IF(MOD($D153,3)=0,$L153*$N153,0),IF($D153=12,$K153*$N153,0)))</f>
        <v/>
      </c>
      <c r="P153" s="35">
        <f>IF($A153&gt;NYears*12,"",IF($D153=1,$O153,$P152+$O153))</f>
        <v/>
      </c>
      <c r="Q153" s="35">
        <f>IF($A153&gt;NYears*12,"",IF($D153=12,MIN(WdrPct*IF(WdrBase="Post-tax profit",$K153-$P153,$K153),WdrCap),0))</f>
        <v/>
      </c>
      <c r="R153" s="35">
        <f>IF($A153&gt;NYears*12,"",$F153+$J153-$O153-$Q153)</f>
        <v/>
      </c>
      <c r="S153" s="33">
        <f>IF($A153&gt;NYears*12,"",INT($R153/$E153))</f>
        <v/>
      </c>
    </row>
    <row r="154">
      <c r="A154" s="33">
        <f>150</f>
        <v/>
      </c>
      <c r="B154" s="34">
        <f>IF($A154&gt;NYears*12,"",EDATE(StartMonth,$A154-1))</f>
        <v/>
      </c>
      <c r="C154" s="33">
        <f>IF($A154&gt;NYears*12,"",INT(($A154-1)/12)+1)</f>
        <v/>
      </c>
      <c r="D154" s="33">
        <f>IF($A154&gt;NYears*12,"",MOD($A154-1,12)+1)</f>
        <v/>
      </c>
      <c r="E154" s="35">
        <f>IF($A154&gt;NYears*12,"",LotValue0*(1+LotGrowth)^($C154-1))</f>
        <v/>
      </c>
      <c r="F154" s="35">
        <f>IF($A154&gt;NYears*12,"",IF($A154=1,InitInvest,$R153))</f>
        <v/>
      </c>
      <c r="G154" s="33">
        <f>IF($A154&gt;NYears*12,"",INT($F154/$E154))</f>
        <v/>
      </c>
      <c r="H154" s="35">
        <f>IF($A154&gt;NYears*12,"",$G154*$E154)</f>
        <v/>
      </c>
      <c r="I154" s="35">
        <f>IF($A154&gt;NYears*12,"",$F154-$H154)</f>
        <v/>
      </c>
      <c r="J154" s="35">
        <f>IF($A154&gt;NYears*12,"",$H154*RateC)</f>
        <v/>
      </c>
      <c r="K154" s="35">
        <f>IF($A154&gt;NYears*12,"",IF($D154=1,$J154,$K153+$J154))</f>
        <v/>
      </c>
      <c r="L154" s="35">
        <f>IF($A154&gt;NYears*12,"",IF(MOD($D154,3)=0,SUM($J152:$J154),0))</f>
        <v/>
      </c>
      <c r="M154" s="35">
        <f>IF($A154&gt;NYears*12,"",IF(TaxFreq="Quarterly",$K154*12/$D154,$K154))</f>
        <v/>
      </c>
      <c r="N154" s="36">
        <f>IF($A154&gt;NYears*12,"",LOOKUP($M154,TaxLower,TaxRate))</f>
        <v/>
      </c>
      <c r="O154" s="35">
        <f>IF($A154&gt;NYears*12,"",IF(TaxFreq="Quarterly",IF(MOD($D154,3)=0,$L154*$N154,0),IF($D154=12,$K154*$N154,0)))</f>
        <v/>
      </c>
      <c r="P154" s="35">
        <f>IF($A154&gt;NYears*12,"",IF($D154=1,$O154,$P153+$O154))</f>
        <v/>
      </c>
      <c r="Q154" s="35">
        <f>IF($A154&gt;NYears*12,"",IF($D154=12,MIN(WdrPct*IF(WdrBase="Post-tax profit",$K154-$P154,$K154),WdrCap),0))</f>
        <v/>
      </c>
      <c r="R154" s="35">
        <f>IF($A154&gt;NYears*12,"",$F154+$J154-$O154-$Q154)</f>
        <v/>
      </c>
      <c r="S154" s="33">
        <f>IF($A154&gt;NYears*12,"",INT($R154/$E154))</f>
        <v/>
      </c>
    </row>
    <row r="155">
      <c r="A155" s="33">
        <f>151</f>
        <v/>
      </c>
      <c r="B155" s="34">
        <f>IF($A155&gt;NYears*12,"",EDATE(StartMonth,$A155-1))</f>
        <v/>
      </c>
      <c r="C155" s="33">
        <f>IF($A155&gt;NYears*12,"",INT(($A155-1)/12)+1)</f>
        <v/>
      </c>
      <c r="D155" s="33">
        <f>IF($A155&gt;NYears*12,"",MOD($A155-1,12)+1)</f>
        <v/>
      </c>
      <c r="E155" s="35">
        <f>IF($A155&gt;NYears*12,"",LotValue0*(1+LotGrowth)^($C155-1))</f>
        <v/>
      </c>
      <c r="F155" s="35">
        <f>IF($A155&gt;NYears*12,"",IF($A155=1,InitInvest,$R154))</f>
        <v/>
      </c>
      <c r="G155" s="33">
        <f>IF($A155&gt;NYears*12,"",INT($F155/$E155))</f>
        <v/>
      </c>
      <c r="H155" s="35">
        <f>IF($A155&gt;NYears*12,"",$G155*$E155)</f>
        <v/>
      </c>
      <c r="I155" s="35">
        <f>IF($A155&gt;NYears*12,"",$F155-$H155)</f>
        <v/>
      </c>
      <c r="J155" s="35">
        <f>IF($A155&gt;NYears*12,"",$H155*RateC)</f>
        <v/>
      </c>
      <c r="K155" s="35">
        <f>IF($A155&gt;NYears*12,"",IF($D155=1,$J155,$K154+$J155))</f>
        <v/>
      </c>
      <c r="L155" s="35">
        <f>IF($A155&gt;NYears*12,"",IF(MOD($D155,3)=0,SUM($J153:$J155),0))</f>
        <v/>
      </c>
      <c r="M155" s="35">
        <f>IF($A155&gt;NYears*12,"",IF(TaxFreq="Quarterly",$K155*12/$D155,$K155))</f>
        <v/>
      </c>
      <c r="N155" s="36">
        <f>IF($A155&gt;NYears*12,"",LOOKUP($M155,TaxLower,TaxRate))</f>
        <v/>
      </c>
      <c r="O155" s="35">
        <f>IF($A155&gt;NYears*12,"",IF(TaxFreq="Quarterly",IF(MOD($D155,3)=0,$L155*$N155,0),IF($D155=12,$K155*$N155,0)))</f>
        <v/>
      </c>
      <c r="P155" s="35">
        <f>IF($A155&gt;NYears*12,"",IF($D155=1,$O155,$P154+$O155))</f>
        <v/>
      </c>
      <c r="Q155" s="35">
        <f>IF($A155&gt;NYears*12,"",IF($D155=12,MIN(WdrPct*IF(WdrBase="Post-tax profit",$K155-$P155,$K155),WdrCap),0))</f>
        <v/>
      </c>
      <c r="R155" s="35">
        <f>IF($A155&gt;NYears*12,"",$F155+$J155-$O155-$Q155)</f>
        <v/>
      </c>
      <c r="S155" s="33">
        <f>IF($A155&gt;NYears*12,"",INT($R155/$E155))</f>
        <v/>
      </c>
    </row>
    <row r="156">
      <c r="A156" s="33">
        <f>152</f>
        <v/>
      </c>
      <c r="B156" s="34">
        <f>IF($A156&gt;NYears*12,"",EDATE(StartMonth,$A156-1))</f>
        <v/>
      </c>
      <c r="C156" s="33">
        <f>IF($A156&gt;NYears*12,"",INT(($A156-1)/12)+1)</f>
        <v/>
      </c>
      <c r="D156" s="33">
        <f>IF($A156&gt;NYears*12,"",MOD($A156-1,12)+1)</f>
        <v/>
      </c>
      <c r="E156" s="35">
        <f>IF($A156&gt;NYears*12,"",LotValue0*(1+LotGrowth)^($C156-1))</f>
        <v/>
      </c>
      <c r="F156" s="35">
        <f>IF($A156&gt;NYears*12,"",IF($A156=1,InitInvest,$R155))</f>
        <v/>
      </c>
      <c r="G156" s="33">
        <f>IF($A156&gt;NYears*12,"",INT($F156/$E156))</f>
        <v/>
      </c>
      <c r="H156" s="35">
        <f>IF($A156&gt;NYears*12,"",$G156*$E156)</f>
        <v/>
      </c>
      <c r="I156" s="35">
        <f>IF($A156&gt;NYears*12,"",$F156-$H156)</f>
        <v/>
      </c>
      <c r="J156" s="35">
        <f>IF($A156&gt;NYears*12,"",$H156*RateC)</f>
        <v/>
      </c>
      <c r="K156" s="35">
        <f>IF($A156&gt;NYears*12,"",IF($D156=1,$J156,$K155+$J156))</f>
        <v/>
      </c>
      <c r="L156" s="35">
        <f>IF($A156&gt;NYears*12,"",IF(MOD($D156,3)=0,SUM($J154:$J156),0))</f>
        <v/>
      </c>
      <c r="M156" s="35">
        <f>IF($A156&gt;NYears*12,"",IF(TaxFreq="Quarterly",$K156*12/$D156,$K156))</f>
        <v/>
      </c>
      <c r="N156" s="36">
        <f>IF($A156&gt;NYears*12,"",LOOKUP($M156,TaxLower,TaxRate))</f>
        <v/>
      </c>
      <c r="O156" s="35">
        <f>IF($A156&gt;NYears*12,"",IF(TaxFreq="Quarterly",IF(MOD($D156,3)=0,$L156*$N156,0),IF($D156=12,$K156*$N156,0)))</f>
        <v/>
      </c>
      <c r="P156" s="35">
        <f>IF($A156&gt;NYears*12,"",IF($D156=1,$O156,$P155+$O156))</f>
        <v/>
      </c>
      <c r="Q156" s="35">
        <f>IF($A156&gt;NYears*12,"",IF($D156=12,MIN(WdrPct*IF(WdrBase="Post-tax profit",$K156-$P156,$K156),WdrCap),0))</f>
        <v/>
      </c>
      <c r="R156" s="35">
        <f>IF($A156&gt;NYears*12,"",$F156+$J156-$O156-$Q156)</f>
        <v/>
      </c>
      <c r="S156" s="33">
        <f>IF($A156&gt;NYears*12,"",INT($R156/$E156))</f>
        <v/>
      </c>
    </row>
    <row r="157">
      <c r="A157" s="33">
        <f>153</f>
        <v/>
      </c>
      <c r="B157" s="34">
        <f>IF($A157&gt;NYears*12,"",EDATE(StartMonth,$A157-1))</f>
        <v/>
      </c>
      <c r="C157" s="33">
        <f>IF($A157&gt;NYears*12,"",INT(($A157-1)/12)+1)</f>
        <v/>
      </c>
      <c r="D157" s="33">
        <f>IF($A157&gt;NYears*12,"",MOD($A157-1,12)+1)</f>
        <v/>
      </c>
      <c r="E157" s="35">
        <f>IF($A157&gt;NYears*12,"",LotValue0*(1+LotGrowth)^($C157-1))</f>
        <v/>
      </c>
      <c r="F157" s="35">
        <f>IF($A157&gt;NYears*12,"",IF($A157=1,InitInvest,$R156))</f>
        <v/>
      </c>
      <c r="G157" s="33">
        <f>IF($A157&gt;NYears*12,"",INT($F157/$E157))</f>
        <v/>
      </c>
      <c r="H157" s="35">
        <f>IF($A157&gt;NYears*12,"",$G157*$E157)</f>
        <v/>
      </c>
      <c r="I157" s="35">
        <f>IF($A157&gt;NYears*12,"",$F157-$H157)</f>
        <v/>
      </c>
      <c r="J157" s="35">
        <f>IF($A157&gt;NYears*12,"",$H157*RateC)</f>
        <v/>
      </c>
      <c r="K157" s="35">
        <f>IF($A157&gt;NYears*12,"",IF($D157=1,$J157,$K156+$J157))</f>
        <v/>
      </c>
      <c r="L157" s="35">
        <f>IF($A157&gt;NYears*12,"",IF(MOD($D157,3)=0,SUM($J155:$J157),0))</f>
        <v/>
      </c>
      <c r="M157" s="35">
        <f>IF($A157&gt;NYears*12,"",IF(TaxFreq="Quarterly",$K157*12/$D157,$K157))</f>
        <v/>
      </c>
      <c r="N157" s="36">
        <f>IF($A157&gt;NYears*12,"",LOOKUP($M157,TaxLower,TaxRate))</f>
        <v/>
      </c>
      <c r="O157" s="35">
        <f>IF($A157&gt;NYears*12,"",IF(TaxFreq="Quarterly",IF(MOD($D157,3)=0,$L157*$N157,0),IF($D157=12,$K157*$N157,0)))</f>
        <v/>
      </c>
      <c r="P157" s="35">
        <f>IF($A157&gt;NYears*12,"",IF($D157=1,$O157,$P156+$O157))</f>
        <v/>
      </c>
      <c r="Q157" s="35">
        <f>IF($A157&gt;NYears*12,"",IF($D157=12,MIN(WdrPct*IF(WdrBase="Post-tax profit",$K157-$P157,$K157),WdrCap),0))</f>
        <v/>
      </c>
      <c r="R157" s="35">
        <f>IF($A157&gt;NYears*12,"",$F157+$J157-$O157-$Q157)</f>
        <v/>
      </c>
      <c r="S157" s="33">
        <f>IF($A157&gt;NYears*12,"",INT($R157/$E157))</f>
        <v/>
      </c>
    </row>
    <row r="158">
      <c r="A158" s="33">
        <f>154</f>
        <v/>
      </c>
      <c r="B158" s="34">
        <f>IF($A158&gt;NYears*12,"",EDATE(StartMonth,$A158-1))</f>
        <v/>
      </c>
      <c r="C158" s="33">
        <f>IF($A158&gt;NYears*12,"",INT(($A158-1)/12)+1)</f>
        <v/>
      </c>
      <c r="D158" s="33">
        <f>IF($A158&gt;NYears*12,"",MOD($A158-1,12)+1)</f>
        <v/>
      </c>
      <c r="E158" s="35">
        <f>IF($A158&gt;NYears*12,"",LotValue0*(1+LotGrowth)^($C158-1))</f>
        <v/>
      </c>
      <c r="F158" s="35">
        <f>IF($A158&gt;NYears*12,"",IF($A158=1,InitInvest,$R157))</f>
        <v/>
      </c>
      <c r="G158" s="33">
        <f>IF($A158&gt;NYears*12,"",INT($F158/$E158))</f>
        <v/>
      </c>
      <c r="H158" s="35">
        <f>IF($A158&gt;NYears*12,"",$G158*$E158)</f>
        <v/>
      </c>
      <c r="I158" s="35">
        <f>IF($A158&gt;NYears*12,"",$F158-$H158)</f>
        <v/>
      </c>
      <c r="J158" s="35">
        <f>IF($A158&gt;NYears*12,"",$H158*RateC)</f>
        <v/>
      </c>
      <c r="K158" s="35">
        <f>IF($A158&gt;NYears*12,"",IF($D158=1,$J158,$K157+$J158))</f>
        <v/>
      </c>
      <c r="L158" s="35">
        <f>IF($A158&gt;NYears*12,"",IF(MOD($D158,3)=0,SUM($J156:$J158),0))</f>
        <v/>
      </c>
      <c r="M158" s="35">
        <f>IF($A158&gt;NYears*12,"",IF(TaxFreq="Quarterly",$K158*12/$D158,$K158))</f>
        <v/>
      </c>
      <c r="N158" s="36">
        <f>IF($A158&gt;NYears*12,"",LOOKUP($M158,TaxLower,TaxRate))</f>
        <v/>
      </c>
      <c r="O158" s="35">
        <f>IF($A158&gt;NYears*12,"",IF(TaxFreq="Quarterly",IF(MOD($D158,3)=0,$L158*$N158,0),IF($D158=12,$K158*$N158,0)))</f>
        <v/>
      </c>
      <c r="P158" s="35">
        <f>IF($A158&gt;NYears*12,"",IF($D158=1,$O158,$P157+$O158))</f>
        <v/>
      </c>
      <c r="Q158" s="35">
        <f>IF($A158&gt;NYears*12,"",IF($D158=12,MIN(WdrPct*IF(WdrBase="Post-tax profit",$K158-$P158,$K158),WdrCap),0))</f>
        <v/>
      </c>
      <c r="R158" s="35">
        <f>IF($A158&gt;NYears*12,"",$F158+$J158-$O158-$Q158)</f>
        <v/>
      </c>
      <c r="S158" s="33">
        <f>IF($A158&gt;NYears*12,"",INT($R158/$E158))</f>
        <v/>
      </c>
    </row>
    <row r="159">
      <c r="A159" s="33">
        <f>155</f>
        <v/>
      </c>
      <c r="B159" s="34">
        <f>IF($A159&gt;NYears*12,"",EDATE(StartMonth,$A159-1))</f>
        <v/>
      </c>
      <c r="C159" s="33">
        <f>IF($A159&gt;NYears*12,"",INT(($A159-1)/12)+1)</f>
        <v/>
      </c>
      <c r="D159" s="33">
        <f>IF($A159&gt;NYears*12,"",MOD($A159-1,12)+1)</f>
        <v/>
      </c>
      <c r="E159" s="35">
        <f>IF($A159&gt;NYears*12,"",LotValue0*(1+LotGrowth)^($C159-1))</f>
        <v/>
      </c>
      <c r="F159" s="35">
        <f>IF($A159&gt;NYears*12,"",IF($A159=1,InitInvest,$R158))</f>
        <v/>
      </c>
      <c r="G159" s="33">
        <f>IF($A159&gt;NYears*12,"",INT($F159/$E159))</f>
        <v/>
      </c>
      <c r="H159" s="35">
        <f>IF($A159&gt;NYears*12,"",$G159*$E159)</f>
        <v/>
      </c>
      <c r="I159" s="35">
        <f>IF($A159&gt;NYears*12,"",$F159-$H159)</f>
        <v/>
      </c>
      <c r="J159" s="35">
        <f>IF($A159&gt;NYears*12,"",$H159*RateC)</f>
        <v/>
      </c>
      <c r="K159" s="35">
        <f>IF($A159&gt;NYears*12,"",IF($D159=1,$J159,$K158+$J159))</f>
        <v/>
      </c>
      <c r="L159" s="35">
        <f>IF($A159&gt;NYears*12,"",IF(MOD($D159,3)=0,SUM($J157:$J159),0))</f>
        <v/>
      </c>
      <c r="M159" s="35">
        <f>IF($A159&gt;NYears*12,"",IF(TaxFreq="Quarterly",$K159*12/$D159,$K159))</f>
        <v/>
      </c>
      <c r="N159" s="36">
        <f>IF($A159&gt;NYears*12,"",LOOKUP($M159,TaxLower,TaxRate))</f>
        <v/>
      </c>
      <c r="O159" s="35">
        <f>IF($A159&gt;NYears*12,"",IF(TaxFreq="Quarterly",IF(MOD($D159,3)=0,$L159*$N159,0),IF($D159=12,$K159*$N159,0)))</f>
        <v/>
      </c>
      <c r="P159" s="35">
        <f>IF($A159&gt;NYears*12,"",IF($D159=1,$O159,$P158+$O159))</f>
        <v/>
      </c>
      <c r="Q159" s="35">
        <f>IF($A159&gt;NYears*12,"",IF($D159=12,MIN(WdrPct*IF(WdrBase="Post-tax profit",$K159-$P159,$K159),WdrCap),0))</f>
        <v/>
      </c>
      <c r="R159" s="35">
        <f>IF($A159&gt;NYears*12,"",$F159+$J159-$O159-$Q159)</f>
        <v/>
      </c>
      <c r="S159" s="33">
        <f>IF($A159&gt;NYears*12,"",INT($R159/$E159))</f>
        <v/>
      </c>
    </row>
    <row r="160">
      <c r="A160" s="37">
        <f>156</f>
        <v/>
      </c>
      <c r="B160" s="38">
        <f>IF($A160&gt;NYears*12,"",EDATE(StartMonth,$A160-1))</f>
        <v/>
      </c>
      <c r="C160" s="37">
        <f>IF($A160&gt;NYears*12,"",INT(($A160-1)/12)+1)</f>
        <v/>
      </c>
      <c r="D160" s="37">
        <f>IF($A160&gt;NYears*12,"",MOD($A160-1,12)+1)</f>
        <v/>
      </c>
      <c r="E160" s="39">
        <f>IF($A160&gt;NYears*12,"",LotValue0*(1+LotGrowth)^($C160-1))</f>
        <v/>
      </c>
      <c r="F160" s="39">
        <f>IF($A160&gt;NYears*12,"",IF($A160=1,InitInvest,$R159))</f>
        <v/>
      </c>
      <c r="G160" s="37">
        <f>IF($A160&gt;NYears*12,"",INT($F160/$E160))</f>
        <v/>
      </c>
      <c r="H160" s="39">
        <f>IF($A160&gt;NYears*12,"",$G160*$E160)</f>
        <v/>
      </c>
      <c r="I160" s="39">
        <f>IF($A160&gt;NYears*12,"",$F160-$H160)</f>
        <v/>
      </c>
      <c r="J160" s="39">
        <f>IF($A160&gt;NYears*12,"",$H160*RateC)</f>
        <v/>
      </c>
      <c r="K160" s="39">
        <f>IF($A160&gt;NYears*12,"",IF($D160=1,$J160,$K159+$J160))</f>
        <v/>
      </c>
      <c r="L160" s="39">
        <f>IF($A160&gt;NYears*12,"",IF(MOD($D160,3)=0,SUM($J158:$J160),0))</f>
        <v/>
      </c>
      <c r="M160" s="39">
        <f>IF($A160&gt;NYears*12,"",IF(TaxFreq="Quarterly",$K160*12/$D160,$K160))</f>
        <v/>
      </c>
      <c r="N160" s="40">
        <f>IF($A160&gt;NYears*12,"",LOOKUP($M160,TaxLower,TaxRate))</f>
        <v/>
      </c>
      <c r="O160" s="39">
        <f>IF($A160&gt;NYears*12,"",IF(TaxFreq="Quarterly",IF(MOD($D160,3)=0,$L160*$N160,0),IF($D160=12,$K160*$N160,0)))</f>
        <v/>
      </c>
      <c r="P160" s="39">
        <f>IF($A160&gt;NYears*12,"",IF($D160=1,$O160,$P159+$O160))</f>
        <v/>
      </c>
      <c r="Q160" s="39">
        <f>IF($A160&gt;NYears*12,"",IF($D160=12,MIN(WdrPct*IF(WdrBase="Post-tax profit",$K160-$P160,$K160),WdrCap),0))</f>
        <v/>
      </c>
      <c r="R160" s="39">
        <f>IF($A160&gt;NYears*12,"",$F160+$J160-$O160-$Q160)</f>
        <v/>
      </c>
      <c r="S160" s="37">
        <f>IF($A160&gt;NYears*12,"",INT($R160/$E160))</f>
        <v/>
      </c>
    </row>
    <row r="161">
      <c r="A161" s="33">
        <f>157</f>
        <v/>
      </c>
      <c r="B161" s="34">
        <f>IF($A161&gt;NYears*12,"",EDATE(StartMonth,$A161-1))</f>
        <v/>
      </c>
      <c r="C161" s="33">
        <f>IF($A161&gt;NYears*12,"",INT(($A161-1)/12)+1)</f>
        <v/>
      </c>
      <c r="D161" s="33">
        <f>IF($A161&gt;NYears*12,"",MOD($A161-1,12)+1)</f>
        <v/>
      </c>
      <c r="E161" s="35">
        <f>IF($A161&gt;NYears*12,"",LotValue0*(1+LotGrowth)^($C161-1))</f>
        <v/>
      </c>
      <c r="F161" s="35">
        <f>IF($A161&gt;NYears*12,"",IF($A161=1,InitInvest,$R160))</f>
        <v/>
      </c>
      <c r="G161" s="33">
        <f>IF($A161&gt;NYears*12,"",INT($F161/$E161))</f>
        <v/>
      </c>
      <c r="H161" s="35">
        <f>IF($A161&gt;NYears*12,"",$G161*$E161)</f>
        <v/>
      </c>
      <c r="I161" s="35">
        <f>IF($A161&gt;NYears*12,"",$F161-$H161)</f>
        <v/>
      </c>
      <c r="J161" s="35">
        <f>IF($A161&gt;NYears*12,"",$H161*RateC)</f>
        <v/>
      </c>
      <c r="K161" s="35">
        <f>IF($A161&gt;NYears*12,"",IF($D161=1,$J161,$K160+$J161))</f>
        <v/>
      </c>
      <c r="L161" s="35">
        <f>IF($A161&gt;NYears*12,"",IF(MOD($D161,3)=0,SUM($J159:$J161),0))</f>
        <v/>
      </c>
      <c r="M161" s="35">
        <f>IF($A161&gt;NYears*12,"",IF(TaxFreq="Quarterly",$K161*12/$D161,$K161))</f>
        <v/>
      </c>
      <c r="N161" s="36">
        <f>IF($A161&gt;NYears*12,"",LOOKUP($M161,TaxLower,TaxRate))</f>
        <v/>
      </c>
      <c r="O161" s="35">
        <f>IF($A161&gt;NYears*12,"",IF(TaxFreq="Quarterly",IF(MOD($D161,3)=0,$L161*$N161,0),IF($D161=12,$K161*$N161,0)))</f>
        <v/>
      </c>
      <c r="P161" s="35">
        <f>IF($A161&gt;NYears*12,"",IF($D161=1,$O161,$P160+$O161))</f>
        <v/>
      </c>
      <c r="Q161" s="35">
        <f>IF($A161&gt;NYears*12,"",IF($D161=12,MIN(WdrPct*IF(WdrBase="Post-tax profit",$K161-$P161,$K161),WdrCap),0))</f>
        <v/>
      </c>
      <c r="R161" s="35">
        <f>IF($A161&gt;NYears*12,"",$F161+$J161-$O161-$Q161)</f>
        <v/>
      </c>
      <c r="S161" s="33">
        <f>IF($A161&gt;NYears*12,"",INT($R161/$E161))</f>
        <v/>
      </c>
    </row>
    <row r="162">
      <c r="A162" s="33">
        <f>158</f>
        <v/>
      </c>
      <c r="B162" s="34">
        <f>IF($A162&gt;NYears*12,"",EDATE(StartMonth,$A162-1))</f>
        <v/>
      </c>
      <c r="C162" s="33">
        <f>IF($A162&gt;NYears*12,"",INT(($A162-1)/12)+1)</f>
        <v/>
      </c>
      <c r="D162" s="33">
        <f>IF($A162&gt;NYears*12,"",MOD($A162-1,12)+1)</f>
        <v/>
      </c>
      <c r="E162" s="35">
        <f>IF($A162&gt;NYears*12,"",LotValue0*(1+LotGrowth)^($C162-1))</f>
        <v/>
      </c>
      <c r="F162" s="35">
        <f>IF($A162&gt;NYears*12,"",IF($A162=1,InitInvest,$R161))</f>
        <v/>
      </c>
      <c r="G162" s="33">
        <f>IF($A162&gt;NYears*12,"",INT($F162/$E162))</f>
        <v/>
      </c>
      <c r="H162" s="35">
        <f>IF($A162&gt;NYears*12,"",$G162*$E162)</f>
        <v/>
      </c>
      <c r="I162" s="35">
        <f>IF($A162&gt;NYears*12,"",$F162-$H162)</f>
        <v/>
      </c>
      <c r="J162" s="35">
        <f>IF($A162&gt;NYears*12,"",$H162*RateC)</f>
        <v/>
      </c>
      <c r="K162" s="35">
        <f>IF($A162&gt;NYears*12,"",IF($D162=1,$J162,$K161+$J162))</f>
        <v/>
      </c>
      <c r="L162" s="35">
        <f>IF($A162&gt;NYears*12,"",IF(MOD($D162,3)=0,SUM($J160:$J162),0))</f>
        <v/>
      </c>
      <c r="M162" s="35">
        <f>IF($A162&gt;NYears*12,"",IF(TaxFreq="Quarterly",$K162*12/$D162,$K162))</f>
        <v/>
      </c>
      <c r="N162" s="36">
        <f>IF($A162&gt;NYears*12,"",LOOKUP($M162,TaxLower,TaxRate))</f>
        <v/>
      </c>
      <c r="O162" s="35">
        <f>IF($A162&gt;NYears*12,"",IF(TaxFreq="Quarterly",IF(MOD($D162,3)=0,$L162*$N162,0),IF($D162=12,$K162*$N162,0)))</f>
        <v/>
      </c>
      <c r="P162" s="35">
        <f>IF($A162&gt;NYears*12,"",IF($D162=1,$O162,$P161+$O162))</f>
        <v/>
      </c>
      <c r="Q162" s="35">
        <f>IF($A162&gt;NYears*12,"",IF($D162=12,MIN(WdrPct*IF(WdrBase="Post-tax profit",$K162-$P162,$K162),WdrCap),0))</f>
        <v/>
      </c>
      <c r="R162" s="35">
        <f>IF($A162&gt;NYears*12,"",$F162+$J162-$O162-$Q162)</f>
        <v/>
      </c>
      <c r="S162" s="33">
        <f>IF($A162&gt;NYears*12,"",INT($R162/$E162))</f>
        <v/>
      </c>
    </row>
    <row r="163">
      <c r="A163" s="33">
        <f>159</f>
        <v/>
      </c>
      <c r="B163" s="34">
        <f>IF($A163&gt;NYears*12,"",EDATE(StartMonth,$A163-1))</f>
        <v/>
      </c>
      <c r="C163" s="33">
        <f>IF($A163&gt;NYears*12,"",INT(($A163-1)/12)+1)</f>
        <v/>
      </c>
      <c r="D163" s="33">
        <f>IF($A163&gt;NYears*12,"",MOD($A163-1,12)+1)</f>
        <v/>
      </c>
      <c r="E163" s="35">
        <f>IF($A163&gt;NYears*12,"",LotValue0*(1+LotGrowth)^($C163-1))</f>
        <v/>
      </c>
      <c r="F163" s="35">
        <f>IF($A163&gt;NYears*12,"",IF($A163=1,InitInvest,$R162))</f>
        <v/>
      </c>
      <c r="G163" s="33">
        <f>IF($A163&gt;NYears*12,"",INT($F163/$E163))</f>
        <v/>
      </c>
      <c r="H163" s="35">
        <f>IF($A163&gt;NYears*12,"",$G163*$E163)</f>
        <v/>
      </c>
      <c r="I163" s="35">
        <f>IF($A163&gt;NYears*12,"",$F163-$H163)</f>
        <v/>
      </c>
      <c r="J163" s="35">
        <f>IF($A163&gt;NYears*12,"",$H163*RateC)</f>
        <v/>
      </c>
      <c r="K163" s="35">
        <f>IF($A163&gt;NYears*12,"",IF($D163=1,$J163,$K162+$J163))</f>
        <v/>
      </c>
      <c r="L163" s="35">
        <f>IF($A163&gt;NYears*12,"",IF(MOD($D163,3)=0,SUM($J161:$J163),0))</f>
        <v/>
      </c>
      <c r="M163" s="35">
        <f>IF($A163&gt;NYears*12,"",IF(TaxFreq="Quarterly",$K163*12/$D163,$K163))</f>
        <v/>
      </c>
      <c r="N163" s="36">
        <f>IF($A163&gt;NYears*12,"",LOOKUP($M163,TaxLower,TaxRate))</f>
        <v/>
      </c>
      <c r="O163" s="35">
        <f>IF($A163&gt;NYears*12,"",IF(TaxFreq="Quarterly",IF(MOD($D163,3)=0,$L163*$N163,0),IF($D163=12,$K163*$N163,0)))</f>
        <v/>
      </c>
      <c r="P163" s="35">
        <f>IF($A163&gt;NYears*12,"",IF($D163=1,$O163,$P162+$O163))</f>
        <v/>
      </c>
      <c r="Q163" s="35">
        <f>IF($A163&gt;NYears*12,"",IF($D163=12,MIN(WdrPct*IF(WdrBase="Post-tax profit",$K163-$P163,$K163),WdrCap),0))</f>
        <v/>
      </c>
      <c r="R163" s="35">
        <f>IF($A163&gt;NYears*12,"",$F163+$J163-$O163-$Q163)</f>
        <v/>
      </c>
      <c r="S163" s="33">
        <f>IF($A163&gt;NYears*12,"",INT($R163/$E163))</f>
        <v/>
      </c>
    </row>
    <row r="164">
      <c r="A164" s="33">
        <f>160</f>
        <v/>
      </c>
      <c r="B164" s="34">
        <f>IF($A164&gt;NYears*12,"",EDATE(StartMonth,$A164-1))</f>
        <v/>
      </c>
      <c r="C164" s="33">
        <f>IF($A164&gt;NYears*12,"",INT(($A164-1)/12)+1)</f>
        <v/>
      </c>
      <c r="D164" s="33">
        <f>IF($A164&gt;NYears*12,"",MOD($A164-1,12)+1)</f>
        <v/>
      </c>
      <c r="E164" s="35">
        <f>IF($A164&gt;NYears*12,"",LotValue0*(1+LotGrowth)^($C164-1))</f>
        <v/>
      </c>
      <c r="F164" s="35">
        <f>IF($A164&gt;NYears*12,"",IF($A164=1,InitInvest,$R163))</f>
        <v/>
      </c>
      <c r="G164" s="33">
        <f>IF($A164&gt;NYears*12,"",INT($F164/$E164))</f>
        <v/>
      </c>
      <c r="H164" s="35">
        <f>IF($A164&gt;NYears*12,"",$G164*$E164)</f>
        <v/>
      </c>
      <c r="I164" s="35">
        <f>IF($A164&gt;NYears*12,"",$F164-$H164)</f>
        <v/>
      </c>
      <c r="J164" s="35">
        <f>IF($A164&gt;NYears*12,"",$H164*RateC)</f>
        <v/>
      </c>
      <c r="K164" s="35">
        <f>IF($A164&gt;NYears*12,"",IF($D164=1,$J164,$K163+$J164))</f>
        <v/>
      </c>
      <c r="L164" s="35">
        <f>IF($A164&gt;NYears*12,"",IF(MOD($D164,3)=0,SUM($J162:$J164),0))</f>
        <v/>
      </c>
      <c r="M164" s="35">
        <f>IF($A164&gt;NYears*12,"",IF(TaxFreq="Quarterly",$K164*12/$D164,$K164))</f>
        <v/>
      </c>
      <c r="N164" s="36">
        <f>IF($A164&gt;NYears*12,"",LOOKUP($M164,TaxLower,TaxRate))</f>
        <v/>
      </c>
      <c r="O164" s="35">
        <f>IF($A164&gt;NYears*12,"",IF(TaxFreq="Quarterly",IF(MOD($D164,3)=0,$L164*$N164,0),IF($D164=12,$K164*$N164,0)))</f>
        <v/>
      </c>
      <c r="P164" s="35">
        <f>IF($A164&gt;NYears*12,"",IF($D164=1,$O164,$P163+$O164))</f>
        <v/>
      </c>
      <c r="Q164" s="35">
        <f>IF($A164&gt;NYears*12,"",IF($D164=12,MIN(WdrPct*IF(WdrBase="Post-tax profit",$K164-$P164,$K164),WdrCap),0))</f>
        <v/>
      </c>
      <c r="R164" s="35">
        <f>IF($A164&gt;NYears*12,"",$F164+$J164-$O164-$Q164)</f>
        <v/>
      </c>
      <c r="S164" s="33">
        <f>IF($A164&gt;NYears*12,"",INT($R164/$E164))</f>
        <v/>
      </c>
    </row>
    <row r="165">
      <c r="A165" s="33">
        <f>161</f>
        <v/>
      </c>
      <c r="B165" s="34">
        <f>IF($A165&gt;NYears*12,"",EDATE(StartMonth,$A165-1))</f>
        <v/>
      </c>
      <c r="C165" s="33">
        <f>IF($A165&gt;NYears*12,"",INT(($A165-1)/12)+1)</f>
        <v/>
      </c>
      <c r="D165" s="33">
        <f>IF($A165&gt;NYears*12,"",MOD($A165-1,12)+1)</f>
        <v/>
      </c>
      <c r="E165" s="35">
        <f>IF($A165&gt;NYears*12,"",LotValue0*(1+LotGrowth)^($C165-1))</f>
        <v/>
      </c>
      <c r="F165" s="35">
        <f>IF($A165&gt;NYears*12,"",IF($A165=1,InitInvest,$R164))</f>
        <v/>
      </c>
      <c r="G165" s="33">
        <f>IF($A165&gt;NYears*12,"",INT($F165/$E165))</f>
        <v/>
      </c>
      <c r="H165" s="35">
        <f>IF($A165&gt;NYears*12,"",$G165*$E165)</f>
        <v/>
      </c>
      <c r="I165" s="35">
        <f>IF($A165&gt;NYears*12,"",$F165-$H165)</f>
        <v/>
      </c>
      <c r="J165" s="35">
        <f>IF($A165&gt;NYears*12,"",$H165*RateC)</f>
        <v/>
      </c>
      <c r="K165" s="35">
        <f>IF($A165&gt;NYears*12,"",IF($D165=1,$J165,$K164+$J165))</f>
        <v/>
      </c>
      <c r="L165" s="35">
        <f>IF($A165&gt;NYears*12,"",IF(MOD($D165,3)=0,SUM($J163:$J165),0))</f>
        <v/>
      </c>
      <c r="M165" s="35">
        <f>IF($A165&gt;NYears*12,"",IF(TaxFreq="Quarterly",$K165*12/$D165,$K165))</f>
        <v/>
      </c>
      <c r="N165" s="36">
        <f>IF($A165&gt;NYears*12,"",LOOKUP($M165,TaxLower,TaxRate))</f>
        <v/>
      </c>
      <c r="O165" s="35">
        <f>IF($A165&gt;NYears*12,"",IF(TaxFreq="Quarterly",IF(MOD($D165,3)=0,$L165*$N165,0),IF($D165=12,$K165*$N165,0)))</f>
        <v/>
      </c>
      <c r="P165" s="35">
        <f>IF($A165&gt;NYears*12,"",IF($D165=1,$O165,$P164+$O165))</f>
        <v/>
      </c>
      <c r="Q165" s="35">
        <f>IF($A165&gt;NYears*12,"",IF($D165=12,MIN(WdrPct*IF(WdrBase="Post-tax profit",$K165-$P165,$K165),WdrCap),0))</f>
        <v/>
      </c>
      <c r="R165" s="35">
        <f>IF($A165&gt;NYears*12,"",$F165+$J165-$O165-$Q165)</f>
        <v/>
      </c>
      <c r="S165" s="33">
        <f>IF($A165&gt;NYears*12,"",INT($R165/$E165))</f>
        <v/>
      </c>
    </row>
    <row r="166">
      <c r="A166" s="33">
        <f>162</f>
        <v/>
      </c>
      <c r="B166" s="34">
        <f>IF($A166&gt;NYears*12,"",EDATE(StartMonth,$A166-1))</f>
        <v/>
      </c>
      <c r="C166" s="33">
        <f>IF($A166&gt;NYears*12,"",INT(($A166-1)/12)+1)</f>
        <v/>
      </c>
      <c r="D166" s="33">
        <f>IF($A166&gt;NYears*12,"",MOD($A166-1,12)+1)</f>
        <v/>
      </c>
      <c r="E166" s="35">
        <f>IF($A166&gt;NYears*12,"",LotValue0*(1+LotGrowth)^($C166-1))</f>
        <v/>
      </c>
      <c r="F166" s="35">
        <f>IF($A166&gt;NYears*12,"",IF($A166=1,InitInvest,$R165))</f>
        <v/>
      </c>
      <c r="G166" s="33">
        <f>IF($A166&gt;NYears*12,"",INT($F166/$E166))</f>
        <v/>
      </c>
      <c r="H166" s="35">
        <f>IF($A166&gt;NYears*12,"",$G166*$E166)</f>
        <v/>
      </c>
      <c r="I166" s="35">
        <f>IF($A166&gt;NYears*12,"",$F166-$H166)</f>
        <v/>
      </c>
      <c r="J166" s="35">
        <f>IF($A166&gt;NYears*12,"",$H166*RateC)</f>
        <v/>
      </c>
      <c r="K166" s="35">
        <f>IF($A166&gt;NYears*12,"",IF($D166=1,$J166,$K165+$J166))</f>
        <v/>
      </c>
      <c r="L166" s="35">
        <f>IF($A166&gt;NYears*12,"",IF(MOD($D166,3)=0,SUM($J164:$J166),0))</f>
        <v/>
      </c>
      <c r="M166" s="35">
        <f>IF($A166&gt;NYears*12,"",IF(TaxFreq="Quarterly",$K166*12/$D166,$K166))</f>
        <v/>
      </c>
      <c r="N166" s="36">
        <f>IF($A166&gt;NYears*12,"",LOOKUP($M166,TaxLower,TaxRate))</f>
        <v/>
      </c>
      <c r="O166" s="35">
        <f>IF($A166&gt;NYears*12,"",IF(TaxFreq="Quarterly",IF(MOD($D166,3)=0,$L166*$N166,0),IF($D166=12,$K166*$N166,0)))</f>
        <v/>
      </c>
      <c r="P166" s="35">
        <f>IF($A166&gt;NYears*12,"",IF($D166=1,$O166,$P165+$O166))</f>
        <v/>
      </c>
      <c r="Q166" s="35">
        <f>IF($A166&gt;NYears*12,"",IF($D166=12,MIN(WdrPct*IF(WdrBase="Post-tax profit",$K166-$P166,$K166),WdrCap),0))</f>
        <v/>
      </c>
      <c r="R166" s="35">
        <f>IF($A166&gt;NYears*12,"",$F166+$J166-$O166-$Q166)</f>
        <v/>
      </c>
      <c r="S166" s="33">
        <f>IF($A166&gt;NYears*12,"",INT($R166/$E166))</f>
        <v/>
      </c>
    </row>
    <row r="167">
      <c r="A167" s="33">
        <f>163</f>
        <v/>
      </c>
      <c r="B167" s="34">
        <f>IF($A167&gt;NYears*12,"",EDATE(StartMonth,$A167-1))</f>
        <v/>
      </c>
      <c r="C167" s="33">
        <f>IF($A167&gt;NYears*12,"",INT(($A167-1)/12)+1)</f>
        <v/>
      </c>
      <c r="D167" s="33">
        <f>IF($A167&gt;NYears*12,"",MOD($A167-1,12)+1)</f>
        <v/>
      </c>
      <c r="E167" s="35">
        <f>IF($A167&gt;NYears*12,"",LotValue0*(1+LotGrowth)^($C167-1))</f>
        <v/>
      </c>
      <c r="F167" s="35">
        <f>IF($A167&gt;NYears*12,"",IF($A167=1,InitInvest,$R166))</f>
        <v/>
      </c>
      <c r="G167" s="33">
        <f>IF($A167&gt;NYears*12,"",INT($F167/$E167))</f>
        <v/>
      </c>
      <c r="H167" s="35">
        <f>IF($A167&gt;NYears*12,"",$G167*$E167)</f>
        <v/>
      </c>
      <c r="I167" s="35">
        <f>IF($A167&gt;NYears*12,"",$F167-$H167)</f>
        <v/>
      </c>
      <c r="J167" s="35">
        <f>IF($A167&gt;NYears*12,"",$H167*RateC)</f>
        <v/>
      </c>
      <c r="K167" s="35">
        <f>IF($A167&gt;NYears*12,"",IF($D167=1,$J167,$K166+$J167))</f>
        <v/>
      </c>
      <c r="L167" s="35">
        <f>IF($A167&gt;NYears*12,"",IF(MOD($D167,3)=0,SUM($J165:$J167),0))</f>
        <v/>
      </c>
      <c r="M167" s="35">
        <f>IF($A167&gt;NYears*12,"",IF(TaxFreq="Quarterly",$K167*12/$D167,$K167))</f>
        <v/>
      </c>
      <c r="N167" s="36">
        <f>IF($A167&gt;NYears*12,"",LOOKUP($M167,TaxLower,TaxRate))</f>
        <v/>
      </c>
      <c r="O167" s="35">
        <f>IF($A167&gt;NYears*12,"",IF(TaxFreq="Quarterly",IF(MOD($D167,3)=0,$L167*$N167,0),IF($D167=12,$K167*$N167,0)))</f>
        <v/>
      </c>
      <c r="P167" s="35">
        <f>IF($A167&gt;NYears*12,"",IF($D167=1,$O167,$P166+$O167))</f>
        <v/>
      </c>
      <c r="Q167" s="35">
        <f>IF($A167&gt;NYears*12,"",IF($D167=12,MIN(WdrPct*IF(WdrBase="Post-tax profit",$K167-$P167,$K167),WdrCap),0))</f>
        <v/>
      </c>
      <c r="R167" s="35">
        <f>IF($A167&gt;NYears*12,"",$F167+$J167-$O167-$Q167)</f>
        <v/>
      </c>
      <c r="S167" s="33">
        <f>IF($A167&gt;NYears*12,"",INT($R167/$E167))</f>
        <v/>
      </c>
    </row>
    <row r="168">
      <c r="A168" s="33">
        <f>164</f>
        <v/>
      </c>
      <c r="B168" s="34">
        <f>IF($A168&gt;NYears*12,"",EDATE(StartMonth,$A168-1))</f>
        <v/>
      </c>
      <c r="C168" s="33">
        <f>IF($A168&gt;NYears*12,"",INT(($A168-1)/12)+1)</f>
        <v/>
      </c>
      <c r="D168" s="33">
        <f>IF($A168&gt;NYears*12,"",MOD($A168-1,12)+1)</f>
        <v/>
      </c>
      <c r="E168" s="35">
        <f>IF($A168&gt;NYears*12,"",LotValue0*(1+LotGrowth)^($C168-1))</f>
        <v/>
      </c>
      <c r="F168" s="35">
        <f>IF($A168&gt;NYears*12,"",IF($A168=1,InitInvest,$R167))</f>
        <v/>
      </c>
      <c r="G168" s="33">
        <f>IF($A168&gt;NYears*12,"",INT($F168/$E168))</f>
        <v/>
      </c>
      <c r="H168" s="35">
        <f>IF($A168&gt;NYears*12,"",$G168*$E168)</f>
        <v/>
      </c>
      <c r="I168" s="35">
        <f>IF($A168&gt;NYears*12,"",$F168-$H168)</f>
        <v/>
      </c>
      <c r="J168" s="35">
        <f>IF($A168&gt;NYears*12,"",$H168*RateC)</f>
        <v/>
      </c>
      <c r="K168" s="35">
        <f>IF($A168&gt;NYears*12,"",IF($D168=1,$J168,$K167+$J168))</f>
        <v/>
      </c>
      <c r="L168" s="35">
        <f>IF($A168&gt;NYears*12,"",IF(MOD($D168,3)=0,SUM($J166:$J168),0))</f>
        <v/>
      </c>
      <c r="M168" s="35">
        <f>IF($A168&gt;NYears*12,"",IF(TaxFreq="Quarterly",$K168*12/$D168,$K168))</f>
        <v/>
      </c>
      <c r="N168" s="36">
        <f>IF($A168&gt;NYears*12,"",LOOKUP($M168,TaxLower,TaxRate))</f>
        <v/>
      </c>
      <c r="O168" s="35">
        <f>IF($A168&gt;NYears*12,"",IF(TaxFreq="Quarterly",IF(MOD($D168,3)=0,$L168*$N168,0),IF($D168=12,$K168*$N168,0)))</f>
        <v/>
      </c>
      <c r="P168" s="35">
        <f>IF($A168&gt;NYears*12,"",IF($D168=1,$O168,$P167+$O168))</f>
        <v/>
      </c>
      <c r="Q168" s="35">
        <f>IF($A168&gt;NYears*12,"",IF($D168=12,MIN(WdrPct*IF(WdrBase="Post-tax profit",$K168-$P168,$K168),WdrCap),0))</f>
        <v/>
      </c>
      <c r="R168" s="35">
        <f>IF($A168&gt;NYears*12,"",$F168+$J168-$O168-$Q168)</f>
        <v/>
      </c>
      <c r="S168" s="33">
        <f>IF($A168&gt;NYears*12,"",INT($R168/$E168))</f>
        <v/>
      </c>
    </row>
    <row r="169">
      <c r="A169" s="33">
        <f>165</f>
        <v/>
      </c>
      <c r="B169" s="34">
        <f>IF($A169&gt;NYears*12,"",EDATE(StartMonth,$A169-1))</f>
        <v/>
      </c>
      <c r="C169" s="33">
        <f>IF($A169&gt;NYears*12,"",INT(($A169-1)/12)+1)</f>
        <v/>
      </c>
      <c r="D169" s="33">
        <f>IF($A169&gt;NYears*12,"",MOD($A169-1,12)+1)</f>
        <v/>
      </c>
      <c r="E169" s="35">
        <f>IF($A169&gt;NYears*12,"",LotValue0*(1+LotGrowth)^($C169-1))</f>
        <v/>
      </c>
      <c r="F169" s="35">
        <f>IF($A169&gt;NYears*12,"",IF($A169=1,InitInvest,$R168))</f>
        <v/>
      </c>
      <c r="G169" s="33">
        <f>IF($A169&gt;NYears*12,"",INT($F169/$E169))</f>
        <v/>
      </c>
      <c r="H169" s="35">
        <f>IF($A169&gt;NYears*12,"",$G169*$E169)</f>
        <v/>
      </c>
      <c r="I169" s="35">
        <f>IF($A169&gt;NYears*12,"",$F169-$H169)</f>
        <v/>
      </c>
      <c r="J169" s="35">
        <f>IF($A169&gt;NYears*12,"",$H169*RateC)</f>
        <v/>
      </c>
      <c r="K169" s="35">
        <f>IF($A169&gt;NYears*12,"",IF($D169=1,$J169,$K168+$J169))</f>
        <v/>
      </c>
      <c r="L169" s="35">
        <f>IF($A169&gt;NYears*12,"",IF(MOD($D169,3)=0,SUM($J167:$J169),0))</f>
        <v/>
      </c>
      <c r="M169" s="35">
        <f>IF($A169&gt;NYears*12,"",IF(TaxFreq="Quarterly",$K169*12/$D169,$K169))</f>
        <v/>
      </c>
      <c r="N169" s="36">
        <f>IF($A169&gt;NYears*12,"",LOOKUP($M169,TaxLower,TaxRate))</f>
        <v/>
      </c>
      <c r="O169" s="35">
        <f>IF($A169&gt;NYears*12,"",IF(TaxFreq="Quarterly",IF(MOD($D169,3)=0,$L169*$N169,0),IF($D169=12,$K169*$N169,0)))</f>
        <v/>
      </c>
      <c r="P169" s="35">
        <f>IF($A169&gt;NYears*12,"",IF($D169=1,$O169,$P168+$O169))</f>
        <v/>
      </c>
      <c r="Q169" s="35">
        <f>IF($A169&gt;NYears*12,"",IF($D169=12,MIN(WdrPct*IF(WdrBase="Post-tax profit",$K169-$P169,$K169),WdrCap),0))</f>
        <v/>
      </c>
      <c r="R169" s="35">
        <f>IF($A169&gt;NYears*12,"",$F169+$J169-$O169-$Q169)</f>
        <v/>
      </c>
      <c r="S169" s="33">
        <f>IF($A169&gt;NYears*12,"",INT($R169/$E169))</f>
        <v/>
      </c>
    </row>
    <row r="170">
      <c r="A170" s="33">
        <f>166</f>
        <v/>
      </c>
      <c r="B170" s="34">
        <f>IF($A170&gt;NYears*12,"",EDATE(StartMonth,$A170-1))</f>
        <v/>
      </c>
      <c r="C170" s="33">
        <f>IF($A170&gt;NYears*12,"",INT(($A170-1)/12)+1)</f>
        <v/>
      </c>
      <c r="D170" s="33">
        <f>IF($A170&gt;NYears*12,"",MOD($A170-1,12)+1)</f>
        <v/>
      </c>
      <c r="E170" s="35">
        <f>IF($A170&gt;NYears*12,"",LotValue0*(1+LotGrowth)^($C170-1))</f>
        <v/>
      </c>
      <c r="F170" s="35">
        <f>IF($A170&gt;NYears*12,"",IF($A170=1,InitInvest,$R169))</f>
        <v/>
      </c>
      <c r="G170" s="33">
        <f>IF($A170&gt;NYears*12,"",INT($F170/$E170))</f>
        <v/>
      </c>
      <c r="H170" s="35">
        <f>IF($A170&gt;NYears*12,"",$G170*$E170)</f>
        <v/>
      </c>
      <c r="I170" s="35">
        <f>IF($A170&gt;NYears*12,"",$F170-$H170)</f>
        <v/>
      </c>
      <c r="J170" s="35">
        <f>IF($A170&gt;NYears*12,"",$H170*RateC)</f>
        <v/>
      </c>
      <c r="K170" s="35">
        <f>IF($A170&gt;NYears*12,"",IF($D170=1,$J170,$K169+$J170))</f>
        <v/>
      </c>
      <c r="L170" s="35">
        <f>IF($A170&gt;NYears*12,"",IF(MOD($D170,3)=0,SUM($J168:$J170),0))</f>
        <v/>
      </c>
      <c r="M170" s="35">
        <f>IF($A170&gt;NYears*12,"",IF(TaxFreq="Quarterly",$K170*12/$D170,$K170))</f>
        <v/>
      </c>
      <c r="N170" s="36">
        <f>IF($A170&gt;NYears*12,"",LOOKUP($M170,TaxLower,TaxRate))</f>
        <v/>
      </c>
      <c r="O170" s="35">
        <f>IF($A170&gt;NYears*12,"",IF(TaxFreq="Quarterly",IF(MOD($D170,3)=0,$L170*$N170,0),IF($D170=12,$K170*$N170,0)))</f>
        <v/>
      </c>
      <c r="P170" s="35">
        <f>IF($A170&gt;NYears*12,"",IF($D170=1,$O170,$P169+$O170))</f>
        <v/>
      </c>
      <c r="Q170" s="35">
        <f>IF($A170&gt;NYears*12,"",IF($D170=12,MIN(WdrPct*IF(WdrBase="Post-tax profit",$K170-$P170,$K170),WdrCap),0))</f>
        <v/>
      </c>
      <c r="R170" s="35">
        <f>IF($A170&gt;NYears*12,"",$F170+$J170-$O170-$Q170)</f>
        <v/>
      </c>
      <c r="S170" s="33">
        <f>IF($A170&gt;NYears*12,"",INT($R170/$E170))</f>
        <v/>
      </c>
    </row>
    <row r="171">
      <c r="A171" s="33">
        <f>167</f>
        <v/>
      </c>
      <c r="B171" s="34">
        <f>IF($A171&gt;NYears*12,"",EDATE(StartMonth,$A171-1))</f>
        <v/>
      </c>
      <c r="C171" s="33">
        <f>IF($A171&gt;NYears*12,"",INT(($A171-1)/12)+1)</f>
        <v/>
      </c>
      <c r="D171" s="33">
        <f>IF($A171&gt;NYears*12,"",MOD($A171-1,12)+1)</f>
        <v/>
      </c>
      <c r="E171" s="35">
        <f>IF($A171&gt;NYears*12,"",LotValue0*(1+LotGrowth)^($C171-1))</f>
        <v/>
      </c>
      <c r="F171" s="35">
        <f>IF($A171&gt;NYears*12,"",IF($A171=1,InitInvest,$R170))</f>
        <v/>
      </c>
      <c r="G171" s="33">
        <f>IF($A171&gt;NYears*12,"",INT($F171/$E171))</f>
        <v/>
      </c>
      <c r="H171" s="35">
        <f>IF($A171&gt;NYears*12,"",$G171*$E171)</f>
        <v/>
      </c>
      <c r="I171" s="35">
        <f>IF($A171&gt;NYears*12,"",$F171-$H171)</f>
        <v/>
      </c>
      <c r="J171" s="35">
        <f>IF($A171&gt;NYears*12,"",$H171*RateC)</f>
        <v/>
      </c>
      <c r="K171" s="35">
        <f>IF($A171&gt;NYears*12,"",IF($D171=1,$J171,$K170+$J171))</f>
        <v/>
      </c>
      <c r="L171" s="35">
        <f>IF($A171&gt;NYears*12,"",IF(MOD($D171,3)=0,SUM($J169:$J171),0))</f>
        <v/>
      </c>
      <c r="M171" s="35">
        <f>IF($A171&gt;NYears*12,"",IF(TaxFreq="Quarterly",$K171*12/$D171,$K171))</f>
        <v/>
      </c>
      <c r="N171" s="36">
        <f>IF($A171&gt;NYears*12,"",LOOKUP($M171,TaxLower,TaxRate))</f>
        <v/>
      </c>
      <c r="O171" s="35">
        <f>IF($A171&gt;NYears*12,"",IF(TaxFreq="Quarterly",IF(MOD($D171,3)=0,$L171*$N171,0),IF($D171=12,$K171*$N171,0)))</f>
        <v/>
      </c>
      <c r="P171" s="35">
        <f>IF($A171&gt;NYears*12,"",IF($D171=1,$O171,$P170+$O171))</f>
        <v/>
      </c>
      <c r="Q171" s="35">
        <f>IF($A171&gt;NYears*12,"",IF($D171=12,MIN(WdrPct*IF(WdrBase="Post-tax profit",$K171-$P171,$K171),WdrCap),0))</f>
        <v/>
      </c>
      <c r="R171" s="35">
        <f>IF($A171&gt;NYears*12,"",$F171+$J171-$O171-$Q171)</f>
        <v/>
      </c>
      <c r="S171" s="33">
        <f>IF($A171&gt;NYears*12,"",INT($R171/$E171))</f>
        <v/>
      </c>
    </row>
    <row r="172">
      <c r="A172" s="37">
        <f>168</f>
        <v/>
      </c>
      <c r="B172" s="38">
        <f>IF($A172&gt;NYears*12,"",EDATE(StartMonth,$A172-1))</f>
        <v/>
      </c>
      <c r="C172" s="37">
        <f>IF($A172&gt;NYears*12,"",INT(($A172-1)/12)+1)</f>
        <v/>
      </c>
      <c r="D172" s="37">
        <f>IF($A172&gt;NYears*12,"",MOD($A172-1,12)+1)</f>
        <v/>
      </c>
      <c r="E172" s="39">
        <f>IF($A172&gt;NYears*12,"",LotValue0*(1+LotGrowth)^($C172-1))</f>
        <v/>
      </c>
      <c r="F172" s="39">
        <f>IF($A172&gt;NYears*12,"",IF($A172=1,InitInvest,$R171))</f>
        <v/>
      </c>
      <c r="G172" s="37">
        <f>IF($A172&gt;NYears*12,"",INT($F172/$E172))</f>
        <v/>
      </c>
      <c r="H172" s="39">
        <f>IF($A172&gt;NYears*12,"",$G172*$E172)</f>
        <v/>
      </c>
      <c r="I172" s="39">
        <f>IF($A172&gt;NYears*12,"",$F172-$H172)</f>
        <v/>
      </c>
      <c r="J172" s="39">
        <f>IF($A172&gt;NYears*12,"",$H172*RateC)</f>
        <v/>
      </c>
      <c r="K172" s="39">
        <f>IF($A172&gt;NYears*12,"",IF($D172=1,$J172,$K171+$J172))</f>
        <v/>
      </c>
      <c r="L172" s="39">
        <f>IF($A172&gt;NYears*12,"",IF(MOD($D172,3)=0,SUM($J170:$J172),0))</f>
        <v/>
      </c>
      <c r="M172" s="39">
        <f>IF($A172&gt;NYears*12,"",IF(TaxFreq="Quarterly",$K172*12/$D172,$K172))</f>
        <v/>
      </c>
      <c r="N172" s="40">
        <f>IF($A172&gt;NYears*12,"",LOOKUP($M172,TaxLower,TaxRate))</f>
        <v/>
      </c>
      <c r="O172" s="39">
        <f>IF($A172&gt;NYears*12,"",IF(TaxFreq="Quarterly",IF(MOD($D172,3)=0,$L172*$N172,0),IF($D172=12,$K172*$N172,0)))</f>
        <v/>
      </c>
      <c r="P172" s="39">
        <f>IF($A172&gt;NYears*12,"",IF($D172=1,$O172,$P171+$O172))</f>
        <v/>
      </c>
      <c r="Q172" s="39">
        <f>IF($A172&gt;NYears*12,"",IF($D172=12,MIN(WdrPct*IF(WdrBase="Post-tax profit",$K172-$P172,$K172),WdrCap),0))</f>
        <v/>
      </c>
      <c r="R172" s="39">
        <f>IF($A172&gt;NYears*12,"",$F172+$J172-$O172-$Q172)</f>
        <v/>
      </c>
      <c r="S172" s="37">
        <f>IF($A172&gt;NYears*12,"",INT($R172/$E172))</f>
        <v/>
      </c>
    </row>
    <row r="173">
      <c r="A173" s="33">
        <f>169</f>
        <v/>
      </c>
      <c r="B173" s="34">
        <f>IF($A173&gt;NYears*12,"",EDATE(StartMonth,$A173-1))</f>
        <v/>
      </c>
      <c r="C173" s="33">
        <f>IF($A173&gt;NYears*12,"",INT(($A173-1)/12)+1)</f>
        <v/>
      </c>
      <c r="D173" s="33">
        <f>IF($A173&gt;NYears*12,"",MOD($A173-1,12)+1)</f>
        <v/>
      </c>
      <c r="E173" s="35">
        <f>IF($A173&gt;NYears*12,"",LotValue0*(1+LotGrowth)^($C173-1))</f>
        <v/>
      </c>
      <c r="F173" s="35">
        <f>IF($A173&gt;NYears*12,"",IF($A173=1,InitInvest,$R172))</f>
        <v/>
      </c>
      <c r="G173" s="33">
        <f>IF($A173&gt;NYears*12,"",INT($F173/$E173))</f>
        <v/>
      </c>
      <c r="H173" s="35">
        <f>IF($A173&gt;NYears*12,"",$G173*$E173)</f>
        <v/>
      </c>
      <c r="I173" s="35">
        <f>IF($A173&gt;NYears*12,"",$F173-$H173)</f>
        <v/>
      </c>
      <c r="J173" s="35">
        <f>IF($A173&gt;NYears*12,"",$H173*RateC)</f>
        <v/>
      </c>
      <c r="K173" s="35">
        <f>IF($A173&gt;NYears*12,"",IF($D173=1,$J173,$K172+$J173))</f>
        <v/>
      </c>
      <c r="L173" s="35">
        <f>IF($A173&gt;NYears*12,"",IF(MOD($D173,3)=0,SUM($J171:$J173),0))</f>
        <v/>
      </c>
      <c r="M173" s="35">
        <f>IF($A173&gt;NYears*12,"",IF(TaxFreq="Quarterly",$K173*12/$D173,$K173))</f>
        <v/>
      </c>
      <c r="N173" s="36">
        <f>IF($A173&gt;NYears*12,"",LOOKUP($M173,TaxLower,TaxRate))</f>
        <v/>
      </c>
      <c r="O173" s="35">
        <f>IF($A173&gt;NYears*12,"",IF(TaxFreq="Quarterly",IF(MOD($D173,3)=0,$L173*$N173,0),IF($D173=12,$K173*$N173,0)))</f>
        <v/>
      </c>
      <c r="P173" s="35">
        <f>IF($A173&gt;NYears*12,"",IF($D173=1,$O173,$P172+$O173))</f>
        <v/>
      </c>
      <c r="Q173" s="35">
        <f>IF($A173&gt;NYears*12,"",IF($D173=12,MIN(WdrPct*IF(WdrBase="Post-tax profit",$K173-$P173,$K173),WdrCap),0))</f>
        <v/>
      </c>
      <c r="R173" s="35">
        <f>IF($A173&gt;NYears*12,"",$F173+$J173-$O173-$Q173)</f>
        <v/>
      </c>
      <c r="S173" s="33">
        <f>IF($A173&gt;NYears*12,"",INT($R173/$E173))</f>
        <v/>
      </c>
    </row>
    <row r="174">
      <c r="A174" s="33">
        <f>170</f>
        <v/>
      </c>
      <c r="B174" s="34">
        <f>IF($A174&gt;NYears*12,"",EDATE(StartMonth,$A174-1))</f>
        <v/>
      </c>
      <c r="C174" s="33">
        <f>IF($A174&gt;NYears*12,"",INT(($A174-1)/12)+1)</f>
        <v/>
      </c>
      <c r="D174" s="33">
        <f>IF($A174&gt;NYears*12,"",MOD($A174-1,12)+1)</f>
        <v/>
      </c>
      <c r="E174" s="35">
        <f>IF($A174&gt;NYears*12,"",LotValue0*(1+LotGrowth)^($C174-1))</f>
        <v/>
      </c>
      <c r="F174" s="35">
        <f>IF($A174&gt;NYears*12,"",IF($A174=1,InitInvest,$R173))</f>
        <v/>
      </c>
      <c r="G174" s="33">
        <f>IF($A174&gt;NYears*12,"",INT($F174/$E174))</f>
        <v/>
      </c>
      <c r="H174" s="35">
        <f>IF($A174&gt;NYears*12,"",$G174*$E174)</f>
        <v/>
      </c>
      <c r="I174" s="35">
        <f>IF($A174&gt;NYears*12,"",$F174-$H174)</f>
        <v/>
      </c>
      <c r="J174" s="35">
        <f>IF($A174&gt;NYears*12,"",$H174*RateC)</f>
        <v/>
      </c>
      <c r="K174" s="35">
        <f>IF($A174&gt;NYears*12,"",IF($D174=1,$J174,$K173+$J174))</f>
        <v/>
      </c>
      <c r="L174" s="35">
        <f>IF($A174&gt;NYears*12,"",IF(MOD($D174,3)=0,SUM($J172:$J174),0))</f>
        <v/>
      </c>
      <c r="M174" s="35">
        <f>IF($A174&gt;NYears*12,"",IF(TaxFreq="Quarterly",$K174*12/$D174,$K174))</f>
        <v/>
      </c>
      <c r="N174" s="36">
        <f>IF($A174&gt;NYears*12,"",LOOKUP($M174,TaxLower,TaxRate))</f>
        <v/>
      </c>
      <c r="O174" s="35">
        <f>IF($A174&gt;NYears*12,"",IF(TaxFreq="Quarterly",IF(MOD($D174,3)=0,$L174*$N174,0),IF($D174=12,$K174*$N174,0)))</f>
        <v/>
      </c>
      <c r="P174" s="35">
        <f>IF($A174&gt;NYears*12,"",IF($D174=1,$O174,$P173+$O174))</f>
        <v/>
      </c>
      <c r="Q174" s="35">
        <f>IF($A174&gt;NYears*12,"",IF($D174=12,MIN(WdrPct*IF(WdrBase="Post-tax profit",$K174-$P174,$K174),WdrCap),0))</f>
        <v/>
      </c>
      <c r="R174" s="35">
        <f>IF($A174&gt;NYears*12,"",$F174+$J174-$O174-$Q174)</f>
        <v/>
      </c>
      <c r="S174" s="33">
        <f>IF($A174&gt;NYears*12,"",INT($R174/$E174))</f>
        <v/>
      </c>
    </row>
    <row r="175">
      <c r="A175" s="33">
        <f>171</f>
        <v/>
      </c>
      <c r="B175" s="34">
        <f>IF($A175&gt;NYears*12,"",EDATE(StartMonth,$A175-1))</f>
        <v/>
      </c>
      <c r="C175" s="33">
        <f>IF($A175&gt;NYears*12,"",INT(($A175-1)/12)+1)</f>
        <v/>
      </c>
      <c r="D175" s="33">
        <f>IF($A175&gt;NYears*12,"",MOD($A175-1,12)+1)</f>
        <v/>
      </c>
      <c r="E175" s="35">
        <f>IF($A175&gt;NYears*12,"",LotValue0*(1+LotGrowth)^($C175-1))</f>
        <v/>
      </c>
      <c r="F175" s="35">
        <f>IF($A175&gt;NYears*12,"",IF($A175=1,InitInvest,$R174))</f>
        <v/>
      </c>
      <c r="G175" s="33">
        <f>IF($A175&gt;NYears*12,"",INT($F175/$E175))</f>
        <v/>
      </c>
      <c r="H175" s="35">
        <f>IF($A175&gt;NYears*12,"",$G175*$E175)</f>
        <v/>
      </c>
      <c r="I175" s="35">
        <f>IF($A175&gt;NYears*12,"",$F175-$H175)</f>
        <v/>
      </c>
      <c r="J175" s="35">
        <f>IF($A175&gt;NYears*12,"",$H175*RateC)</f>
        <v/>
      </c>
      <c r="K175" s="35">
        <f>IF($A175&gt;NYears*12,"",IF($D175=1,$J175,$K174+$J175))</f>
        <v/>
      </c>
      <c r="L175" s="35">
        <f>IF($A175&gt;NYears*12,"",IF(MOD($D175,3)=0,SUM($J173:$J175),0))</f>
        <v/>
      </c>
      <c r="M175" s="35">
        <f>IF($A175&gt;NYears*12,"",IF(TaxFreq="Quarterly",$K175*12/$D175,$K175))</f>
        <v/>
      </c>
      <c r="N175" s="36">
        <f>IF($A175&gt;NYears*12,"",LOOKUP($M175,TaxLower,TaxRate))</f>
        <v/>
      </c>
      <c r="O175" s="35">
        <f>IF($A175&gt;NYears*12,"",IF(TaxFreq="Quarterly",IF(MOD($D175,3)=0,$L175*$N175,0),IF($D175=12,$K175*$N175,0)))</f>
        <v/>
      </c>
      <c r="P175" s="35">
        <f>IF($A175&gt;NYears*12,"",IF($D175=1,$O175,$P174+$O175))</f>
        <v/>
      </c>
      <c r="Q175" s="35">
        <f>IF($A175&gt;NYears*12,"",IF($D175=12,MIN(WdrPct*IF(WdrBase="Post-tax profit",$K175-$P175,$K175),WdrCap),0))</f>
        <v/>
      </c>
      <c r="R175" s="35">
        <f>IF($A175&gt;NYears*12,"",$F175+$J175-$O175-$Q175)</f>
        <v/>
      </c>
      <c r="S175" s="33">
        <f>IF($A175&gt;NYears*12,"",INT($R175/$E175))</f>
        <v/>
      </c>
    </row>
    <row r="176">
      <c r="A176" s="33">
        <f>172</f>
        <v/>
      </c>
      <c r="B176" s="34">
        <f>IF($A176&gt;NYears*12,"",EDATE(StartMonth,$A176-1))</f>
        <v/>
      </c>
      <c r="C176" s="33">
        <f>IF($A176&gt;NYears*12,"",INT(($A176-1)/12)+1)</f>
        <v/>
      </c>
      <c r="D176" s="33">
        <f>IF($A176&gt;NYears*12,"",MOD($A176-1,12)+1)</f>
        <v/>
      </c>
      <c r="E176" s="35">
        <f>IF($A176&gt;NYears*12,"",LotValue0*(1+LotGrowth)^($C176-1))</f>
        <v/>
      </c>
      <c r="F176" s="35">
        <f>IF($A176&gt;NYears*12,"",IF($A176=1,InitInvest,$R175))</f>
        <v/>
      </c>
      <c r="G176" s="33">
        <f>IF($A176&gt;NYears*12,"",INT($F176/$E176))</f>
        <v/>
      </c>
      <c r="H176" s="35">
        <f>IF($A176&gt;NYears*12,"",$G176*$E176)</f>
        <v/>
      </c>
      <c r="I176" s="35">
        <f>IF($A176&gt;NYears*12,"",$F176-$H176)</f>
        <v/>
      </c>
      <c r="J176" s="35">
        <f>IF($A176&gt;NYears*12,"",$H176*RateC)</f>
        <v/>
      </c>
      <c r="K176" s="35">
        <f>IF($A176&gt;NYears*12,"",IF($D176=1,$J176,$K175+$J176))</f>
        <v/>
      </c>
      <c r="L176" s="35">
        <f>IF($A176&gt;NYears*12,"",IF(MOD($D176,3)=0,SUM($J174:$J176),0))</f>
        <v/>
      </c>
      <c r="M176" s="35">
        <f>IF($A176&gt;NYears*12,"",IF(TaxFreq="Quarterly",$K176*12/$D176,$K176))</f>
        <v/>
      </c>
      <c r="N176" s="36">
        <f>IF($A176&gt;NYears*12,"",LOOKUP($M176,TaxLower,TaxRate))</f>
        <v/>
      </c>
      <c r="O176" s="35">
        <f>IF($A176&gt;NYears*12,"",IF(TaxFreq="Quarterly",IF(MOD($D176,3)=0,$L176*$N176,0),IF($D176=12,$K176*$N176,0)))</f>
        <v/>
      </c>
      <c r="P176" s="35">
        <f>IF($A176&gt;NYears*12,"",IF($D176=1,$O176,$P175+$O176))</f>
        <v/>
      </c>
      <c r="Q176" s="35">
        <f>IF($A176&gt;NYears*12,"",IF($D176=12,MIN(WdrPct*IF(WdrBase="Post-tax profit",$K176-$P176,$K176),WdrCap),0))</f>
        <v/>
      </c>
      <c r="R176" s="35">
        <f>IF($A176&gt;NYears*12,"",$F176+$J176-$O176-$Q176)</f>
        <v/>
      </c>
      <c r="S176" s="33">
        <f>IF($A176&gt;NYears*12,"",INT($R176/$E176))</f>
        <v/>
      </c>
    </row>
    <row r="177">
      <c r="A177" s="33">
        <f>173</f>
        <v/>
      </c>
      <c r="B177" s="34">
        <f>IF($A177&gt;NYears*12,"",EDATE(StartMonth,$A177-1))</f>
        <v/>
      </c>
      <c r="C177" s="33">
        <f>IF($A177&gt;NYears*12,"",INT(($A177-1)/12)+1)</f>
        <v/>
      </c>
      <c r="D177" s="33">
        <f>IF($A177&gt;NYears*12,"",MOD($A177-1,12)+1)</f>
        <v/>
      </c>
      <c r="E177" s="35">
        <f>IF($A177&gt;NYears*12,"",LotValue0*(1+LotGrowth)^($C177-1))</f>
        <v/>
      </c>
      <c r="F177" s="35">
        <f>IF($A177&gt;NYears*12,"",IF($A177=1,InitInvest,$R176))</f>
        <v/>
      </c>
      <c r="G177" s="33">
        <f>IF($A177&gt;NYears*12,"",INT($F177/$E177))</f>
        <v/>
      </c>
      <c r="H177" s="35">
        <f>IF($A177&gt;NYears*12,"",$G177*$E177)</f>
        <v/>
      </c>
      <c r="I177" s="35">
        <f>IF($A177&gt;NYears*12,"",$F177-$H177)</f>
        <v/>
      </c>
      <c r="J177" s="35">
        <f>IF($A177&gt;NYears*12,"",$H177*RateC)</f>
        <v/>
      </c>
      <c r="K177" s="35">
        <f>IF($A177&gt;NYears*12,"",IF($D177=1,$J177,$K176+$J177))</f>
        <v/>
      </c>
      <c r="L177" s="35">
        <f>IF($A177&gt;NYears*12,"",IF(MOD($D177,3)=0,SUM($J175:$J177),0))</f>
        <v/>
      </c>
      <c r="M177" s="35">
        <f>IF($A177&gt;NYears*12,"",IF(TaxFreq="Quarterly",$K177*12/$D177,$K177))</f>
        <v/>
      </c>
      <c r="N177" s="36">
        <f>IF($A177&gt;NYears*12,"",LOOKUP($M177,TaxLower,TaxRate))</f>
        <v/>
      </c>
      <c r="O177" s="35">
        <f>IF($A177&gt;NYears*12,"",IF(TaxFreq="Quarterly",IF(MOD($D177,3)=0,$L177*$N177,0),IF($D177=12,$K177*$N177,0)))</f>
        <v/>
      </c>
      <c r="P177" s="35">
        <f>IF($A177&gt;NYears*12,"",IF($D177=1,$O177,$P176+$O177))</f>
        <v/>
      </c>
      <c r="Q177" s="35">
        <f>IF($A177&gt;NYears*12,"",IF($D177=12,MIN(WdrPct*IF(WdrBase="Post-tax profit",$K177-$P177,$K177),WdrCap),0))</f>
        <v/>
      </c>
      <c r="R177" s="35">
        <f>IF($A177&gt;NYears*12,"",$F177+$J177-$O177-$Q177)</f>
        <v/>
      </c>
      <c r="S177" s="33">
        <f>IF($A177&gt;NYears*12,"",INT($R177/$E177))</f>
        <v/>
      </c>
    </row>
    <row r="178">
      <c r="A178" s="33">
        <f>174</f>
        <v/>
      </c>
      <c r="B178" s="34">
        <f>IF($A178&gt;NYears*12,"",EDATE(StartMonth,$A178-1))</f>
        <v/>
      </c>
      <c r="C178" s="33">
        <f>IF($A178&gt;NYears*12,"",INT(($A178-1)/12)+1)</f>
        <v/>
      </c>
      <c r="D178" s="33">
        <f>IF($A178&gt;NYears*12,"",MOD($A178-1,12)+1)</f>
        <v/>
      </c>
      <c r="E178" s="35">
        <f>IF($A178&gt;NYears*12,"",LotValue0*(1+LotGrowth)^($C178-1))</f>
        <v/>
      </c>
      <c r="F178" s="35">
        <f>IF($A178&gt;NYears*12,"",IF($A178=1,InitInvest,$R177))</f>
        <v/>
      </c>
      <c r="G178" s="33">
        <f>IF($A178&gt;NYears*12,"",INT($F178/$E178))</f>
        <v/>
      </c>
      <c r="H178" s="35">
        <f>IF($A178&gt;NYears*12,"",$G178*$E178)</f>
        <v/>
      </c>
      <c r="I178" s="35">
        <f>IF($A178&gt;NYears*12,"",$F178-$H178)</f>
        <v/>
      </c>
      <c r="J178" s="35">
        <f>IF($A178&gt;NYears*12,"",$H178*RateC)</f>
        <v/>
      </c>
      <c r="K178" s="35">
        <f>IF($A178&gt;NYears*12,"",IF($D178=1,$J178,$K177+$J178))</f>
        <v/>
      </c>
      <c r="L178" s="35">
        <f>IF($A178&gt;NYears*12,"",IF(MOD($D178,3)=0,SUM($J176:$J178),0))</f>
        <v/>
      </c>
      <c r="M178" s="35">
        <f>IF($A178&gt;NYears*12,"",IF(TaxFreq="Quarterly",$K178*12/$D178,$K178))</f>
        <v/>
      </c>
      <c r="N178" s="36">
        <f>IF($A178&gt;NYears*12,"",LOOKUP($M178,TaxLower,TaxRate))</f>
        <v/>
      </c>
      <c r="O178" s="35">
        <f>IF($A178&gt;NYears*12,"",IF(TaxFreq="Quarterly",IF(MOD($D178,3)=0,$L178*$N178,0),IF($D178=12,$K178*$N178,0)))</f>
        <v/>
      </c>
      <c r="P178" s="35">
        <f>IF($A178&gt;NYears*12,"",IF($D178=1,$O178,$P177+$O178))</f>
        <v/>
      </c>
      <c r="Q178" s="35">
        <f>IF($A178&gt;NYears*12,"",IF($D178=12,MIN(WdrPct*IF(WdrBase="Post-tax profit",$K178-$P178,$K178),WdrCap),0))</f>
        <v/>
      </c>
      <c r="R178" s="35">
        <f>IF($A178&gt;NYears*12,"",$F178+$J178-$O178-$Q178)</f>
        <v/>
      </c>
      <c r="S178" s="33">
        <f>IF($A178&gt;NYears*12,"",INT($R178/$E178))</f>
        <v/>
      </c>
    </row>
    <row r="179">
      <c r="A179" s="33">
        <f>175</f>
        <v/>
      </c>
      <c r="B179" s="34">
        <f>IF($A179&gt;NYears*12,"",EDATE(StartMonth,$A179-1))</f>
        <v/>
      </c>
      <c r="C179" s="33">
        <f>IF($A179&gt;NYears*12,"",INT(($A179-1)/12)+1)</f>
        <v/>
      </c>
      <c r="D179" s="33">
        <f>IF($A179&gt;NYears*12,"",MOD($A179-1,12)+1)</f>
        <v/>
      </c>
      <c r="E179" s="35">
        <f>IF($A179&gt;NYears*12,"",LotValue0*(1+LotGrowth)^($C179-1))</f>
        <v/>
      </c>
      <c r="F179" s="35">
        <f>IF($A179&gt;NYears*12,"",IF($A179=1,InitInvest,$R178))</f>
        <v/>
      </c>
      <c r="G179" s="33">
        <f>IF($A179&gt;NYears*12,"",INT($F179/$E179))</f>
        <v/>
      </c>
      <c r="H179" s="35">
        <f>IF($A179&gt;NYears*12,"",$G179*$E179)</f>
        <v/>
      </c>
      <c r="I179" s="35">
        <f>IF($A179&gt;NYears*12,"",$F179-$H179)</f>
        <v/>
      </c>
      <c r="J179" s="35">
        <f>IF($A179&gt;NYears*12,"",$H179*RateC)</f>
        <v/>
      </c>
      <c r="K179" s="35">
        <f>IF($A179&gt;NYears*12,"",IF($D179=1,$J179,$K178+$J179))</f>
        <v/>
      </c>
      <c r="L179" s="35">
        <f>IF($A179&gt;NYears*12,"",IF(MOD($D179,3)=0,SUM($J177:$J179),0))</f>
        <v/>
      </c>
      <c r="M179" s="35">
        <f>IF($A179&gt;NYears*12,"",IF(TaxFreq="Quarterly",$K179*12/$D179,$K179))</f>
        <v/>
      </c>
      <c r="N179" s="36">
        <f>IF($A179&gt;NYears*12,"",LOOKUP($M179,TaxLower,TaxRate))</f>
        <v/>
      </c>
      <c r="O179" s="35">
        <f>IF($A179&gt;NYears*12,"",IF(TaxFreq="Quarterly",IF(MOD($D179,3)=0,$L179*$N179,0),IF($D179=12,$K179*$N179,0)))</f>
        <v/>
      </c>
      <c r="P179" s="35">
        <f>IF($A179&gt;NYears*12,"",IF($D179=1,$O179,$P178+$O179))</f>
        <v/>
      </c>
      <c r="Q179" s="35">
        <f>IF($A179&gt;NYears*12,"",IF($D179=12,MIN(WdrPct*IF(WdrBase="Post-tax profit",$K179-$P179,$K179),WdrCap),0))</f>
        <v/>
      </c>
      <c r="R179" s="35">
        <f>IF($A179&gt;NYears*12,"",$F179+$J179-$O179-$Q179)</f>
        <v/>
      </c>
      <c r="S179" s="33">
        <f>IF($A179&gt;NYears*12,"",INT($R179/$E179))</f>
        <v/>
      </c>
    </row>
    <row r="180">
      <c r="A180" s="33">
        <f>176</f>
        <v/>
      </c>
      <c r="B180" s="34">
        <f>IF($A180&gt;NYears*12,"",EDATE(StartMonth,$A180-1))</f>
        <v/>
      </c>
      <c r="C180" s="33">
        <f>IF($A180&gt;NYears*12,"",INT(($A180-1)/12)+1)</f>
        <v/>
      </c>
      <c r="D180" s="33">
        <f>IF($A180&gt;NYears*12,"",MOD($A180-1,12)+1)</f>
        <v/>
      </c>
      <c r="E180" s="35">
        <f>IF($A180&gt;NYears*12,"",LotValue0*(1+LotGrowth)^($C180-1))</f>
        <v/>
      </c>
      <c r="F180" s="35">
        <f>IF($A180&gt;NYears*12,"",IF($A180=1,InitInvest,$R179))</f>
        <v/>
      </c>
      <c r="G180" s="33">
        <f>IF($A180&gt;NYears*12,"",INT($F180/$E180))</f>
        <v/>
      </c>
      <c r="H180" s="35">
        <f>IF($A180&gt;NYears*12,"",$G180*$E180)</f>
        <v/>
      </c>
      <c r="I180" s="35">
        <f>IF($A180&gt;NYears*12,"",$F180-$H180)</f>
        <v/>
      </c>
      <c r="J180" s="35">
        <f>IF($A180&gt;NYears*12,"",$H180*RateC)</f>
        <v/>
      </c>
      <c r="K180" s="35">
        <f>IF($A180&gt;NYears*12,"",IF($D180=1,$J180,$K179+$J180))</f>
        <v/>
      </c>
      <c r="L180" s="35">
        <f>IF($A180&gt;NYears*12,"",IF(MOD($D180,3)=0,SUM($J178:$J180),0))</f>
        <v/>
      </c>
      <c r="M180" s="35">
        <f>IF($A180&gt;NYears*12,"",IF(TaxFreq="Quarterly",$K180*12/$D180,$K180))</f>
        <v/>
      </c>
      <c r="N180" s="36">
        <f>IF($A180&gt;NYears*12,"",LOOKUP($M180,TaxLower,TaxRate))</f>
        <v/>
      </c>
      <c r="O180" s="35">
        <f>IF($A180&gt;NYears*12,"",IF(TaxFreq="Quarterly",IF(MOD($D180,3)=0,$L180*$N180,0),IF($D180=12,$K180*$N180,0)))</f>
        <v/>
      </c>
      <c r="P180" s="35">
        <f>IF($A180&gt;NYears*12,"",IF($D180=1,$O180,$P179+$O180))</f>
        <v/>
      </c>
      <c r="Q180" s="35">
        <f>IF($A180&gt;NYears*12,"",IF($D180=12,MIN(WdrPct*IF(WdrBase="Post-tax profit",$K180-$P180,$K180),WdrCap),0))</f>
        <v/>
      </c>
      <c r="R180" s="35">
        <f>IF($A180&gt;NYears*12,"",$F180+$J180-$O180-$Q180)</f>
        <v/>
      </c>
      <c r="S180" s="33">
        <f>IF($A180&gt;NYears*12,"",INT($R180/$E180))</f>
        <v/>
      </c>
    </row>
    <row r="181">
      <c r="A181" s="33">
        <f>177</f>
        <v/>
      </c>
      <c r="B181" s="34">
        <f>IF($A181&gt;NYears*12,"",EDATE(StartMonth,$A181-1))</f>
        <v/>
      </c>
      <c r="C181" s="33">
        <f>IF($A181&gt;NYears*12,"",INT(($A181-1)/12)+1)</f>
        <v/>
      </c>
      <c r="D181" s="33">
        <f>IF($A181&gt;NYears*12,"",MOD($A181-1,12)+1)</f>
        <v/>
      </c>
      <c r="E181" s="35">
        <f>IF($A181&gt;NYears*12,"",LotValue0*(1+LotGrowth)^($C181-1))</f>
        <v/>
      </c>
      <c r="F181" s="35">
        <f>IF($A181&gt;NYears*12,"",IF($A181=1,InitInvest,$R180))</f>
        <v/>
      </c>
      <c r="G181" s="33">
        <f>IF($A181&gt;NYears*12,"",INT($F181/$E181))</f>
        <v/>
      </c>
      <c r="H181" s="35">
        <f>IF($A181&gt;NYears*12,"",$G181*$E181)</f>
        <v/>
      </c>
      <c r="I181" s="35">
        <f>IF($A181&gt;NYears*12,"",$F181-$H181)</f>
        <v/>
      </c>
      <c r="J181" s="35">
        <f>IF($A181&gt;NYears*12,"",$H181*RateC)</f>
        <v/>
      </c>
      <c r="K181" s="35">
        <f>IF($A181&gt;NYears*12,"",IF($D181=1,$J181,$K180+$J181))</f>
        <v/>
      </c>
      <c r="L181" s="35">
        <f>IF($A181&gt;NYears*12,"",IF(MOD($D181,3)=0,SUM($J179:$J181),0))</f>
        <v/>
      </c>
      <c r="M181" s="35">
        <f>IF($A181&gt;NYears*12,"",IF(TaxFreq="Quarterly",$K181*12/$D181,$K181))</f>
        <v/>
      </c>
      <c r="N181" s="36">
        <f>IF($A181&gt;NYears*12,"",LOOKUP($M181,TaxLower,TaxRate))</f>
        <v/>
      </c>
      <c r="O181" s="35">
        <f>IF($A181&gt;NYears*12,"",IF(TaxFreq="Quarterly",IF(MOD($D181,3)=0,$L181*$N181,0),IF($D181=12,$K181*$N181,0)))</f>
        <v/>
      </c>
      <c r="P181" s="35">
        <f>IF($A181&gt;NYears*12,"",IF($D181=1,$O181,$P180+$O181))</f>
        <v/>
      </c>
      <c r="Q181" s="35">
        <f>IF($A181&gt;NYears*12,"",IF($D181=12,MIN(WdrPct*IF(WdrBase="Post-tax profit",$K181-$P181,$K181),WdrCap),0))</f>
        <v/>
      </c>
      <c r="R181" s="35">
        <f>IF($A181&gt;NYears*12,"",$F181+$J181-$O181-$Q181)</f>
        <v/>
      </c>
      <c r="S181" s="33">
        <f>IF($A181&gt;NYears*12,"",INT($R181/$E181))</f>
        <v/>
      </c>
    </row>
    <row r="182">
      <c r="A182" s="33">
        <f>178</f>
        <v/>
      </c>
      <c r="B182" s="34">
        <f>IF($A182&gt;NYears*12,"",EDATE(StartMonth,$A182-1))</f>
        <v/>
      </c>
      <c r="C182" s="33">
        <f>IF($A182&gt;NYears*12,"",INT(($A182-1)/12)+1)</f>
        <v/>
      </c>
      <c r="D182" s="33">
        <f>IF($A182&gt;NYears*12,"",MOD($A182-1,12)+1)</f>
        <v/>
      </c>
      <c r="E182" s="35">
        <f>IF($A182&gt;NYears*12,"",LotValue0*(1+LotGrowth)^($C182-1))</f>
        <v/>
      </c>
      <c r="F182" s="35">
        <f>IF($A182&gt;NYears*12,"",IF($A182=1,InitInvest,$R181))</f>
        <v/>
      </c>
      <c r="G182" s="33">
        <f>IF($A182&gt;NYears*12,"",INT($F182/$E182))</f>
        <v/>
      </c>
      <c r="H182" s="35">
        <f>IF($A182&gt;NYears*12,"",$G182*$E182)</f>
        <v/>
      </c>
      <c r="I182" s="35">
        <f>IF($A182&gt;NYears*12,"",$F182-$H182)</f>
        <v/>
      </c>
      <c r="J182" s="35">
        <f>IF($A182&gt;NYears*12,"",$H182*RateC)</f>
        <v/>
      </c>
      <c r="K182" s="35">
        <f>IF($A182&gt;NYears*12,"",IF($D182=1,$J182,$K181+$J182))</f>
        <v/>
      </c>
      <c r="L182" s="35">
        <f>IF($A182&gt;NYears*12,"",IF(MOD($D182,3)=0,SUM($J180:$J182),0))</f>
        <v/>
      </c>
      <c r="M182" s="35">
        <f>IF($A182&gt;NYears*12,"",IF(TaxFreq="Quarterly",$K182*12/$D182,$K182))</f>
        <v/>
      </c>
      <c r="N182" s="36">
        <f>IF($A182&gt;NYears*12,"",LOOKUP($M182,TaxLower,TaxRate))</f>
        <v/>
      </c>
      <c r="O182" s="35">
        <f>IF($A182&gt;NYears*12,"",IF(TaxFreq="Quarterly",IF(MOD($D182,3)=0,$L182*$N182,0),IF($D182=12,$K182*$N182,0)))</f>
        <v/>
      </c>
      <c r="P182" s="35">
        <f>IF($A182&gt;NYears*12,"",IF($D182=1,$O182,$P181+$O182))</f>
        <v/>
      </c>
      <c r="Q182" s="35">
        <f>IF($A182&gt;NYears*12,"",IF($D182=12,MIN(WdrPct*IF(WdrBase="Post-tax profit",$K182-$P182,$K182),WdrCap),0))</f>
        <v/>
      </c>
      <c r="R182" s="35">
        <f>IF($A182&gt;NYears*12,"",$F182+$J182-$O182-$Q182)</f>
        <v/>
      </c>
      <c r="S182" s="33">
        <f>IF($A182&gt;NYears*12,"",INT($R182/$E182))</f>
        <v/>
      </c>
    </row>
    <row r="183">
      <c r="A183" s="33">
        <f>179</f>
        <v/>
      </c>
      <c r="B183" s="34">
        <f>IF($A183&gt;NYears*12,"",EDATE(StartMonth,$A183-1))</f>
        <v/>
      </c>
      <c r="C183" s="33">
        <f>IF($A183&gt;NYears*12,"",INT(($A183-1)/12)+1)</f>
        <v/>
      </c>
      <c r="D183" s="33">
        <f>IF($A183&gt;NYears*12,"",MOD($A183-1,12)+1)</f>
        <v/>
      </c>
      <c r="E183" s="35">
        <f>IF($A183&gt;NYears*12,"",LotValue0*(1+LotGrowth)^($C183-1))</f>
        <v/>
      </c>
      <c r="F183" s="35">
        <f>IF($A183&gt;NYears*12,"",IF($A183=1,InitInvest,$R182))</f>
        <v/>
      </c>
      <c r="G183" s="33">
        <f>IF($A183&gt;NYears*12,"",INT($F183/$E183))</f>
        <v/>
      </c>
      <c r="H183" s="35">
        <f>IF($A183&gt;NYears*12,"",$G183*$E183)</f>
        <v/>
      </c>
      <c r="I183" s="35">
        <f>IF($A183&gt;NYears*12,"",$F183-$H183)</f>
        <v/>
      </c>
      <c r="J183" s="35">
        <f>IF($A183&gt;NYears*12,"",$H183*RateC)</f>
        <v/>
      </c>
      <c r="K183" s="35">
        <f>IF($A183&gt;NYears*12,"",IF($D183=1,$J183,$K182+$J183))</f>
        <v/>
      </c>
      <c r="L183" s="35">
        <f>IF($A183&gt;NYears*12,"",IF(MOD($D183,3)=0,SUM($J181:$J183),0))</f>
        <v/>
      </c>
      <c r="M183" s="35">
        <f>IF($A183&gt;NYears*12,"",IF(TaxFreq="Quarterly",$K183*12/$D183,$K183))</f>
        <v/>
      </c>
      <c r="N183" s="36">
        <f>IF($A183&gt;NYears*12,"",LOOKUP($M183,TaxLower,TaxRate))</f>
        <v/>
      </c>
      <c r="O183" s="35">
        <f>IF($A183&gt;NYears*12,"",IF(TaxFreq="Quarterly",IF(MOD($D183,3)=0,$L183*$N183,0),IF($D183=12,$K183*$N183,0)))</f>
        <v/>
      </c>
      <c r="P183" s="35">
        <f>IF($A183&gt;NYears*12,"",IF($D183=1,$O183,$P182+$O183))</f>
        <v/>
      </c>
      <c r="Q183" s="35">
        <f>IF($A183&gt;NYears*12,"",IF($D183=12,MIN(WdrPct*IF(WdrBase="Post-tax profit",$K183-$P183,$K183),WdrCap),0))</f>
        <v/>
      </c>
      <c r="R183" s="35">
        <f>IF($A183&gt;NYears*12,"",$F183+$J183-$O183-$Q183)</f>
        <v/>
      </c>
      <c r="S183" s="33">
        <f>IF($A183&gt;NYears*12,"",INT($R183/$E183))</f>
        <v/>
      </c>
    </row>
    <row r="184">
      <c r="A184" s="37">
        <f>180</f>
        <v/>
      </c>
      <c r="B184" s="38">
        <f>IF($A184&gt;NYears*12,"",EDATE(StartMonth,$A184-1))</f>
        <v/>
      </c>
      <c r="C184" s="37">
        <f>IF($A184&gt;NYears*12,"",INT(($A184-1)/12)+1)</f>
        <v/>
      </c>
      <c r="D184" s="37">
        <f>IF($A184&gt;NYears*12,"",MOD($A184-1,12)+1)</f>
        <v/>
      </c>
      <c r="E184" s="39">
        <f>IF($A184&gt;NYears*12,"",LotValue0*(1+LotGrowth)^($C184-1))</f>
        <v/>
      </c>
      <c r="F184" s="39">
        <f>IF($A184&gt;NYears*12,"",IF($A184=1,InitInvest,$R183))</f>
        <v/>
      </c>
      <c r="G184" s="37">
        <f>IF($A184&gt;NYears*12,"",INT($F184/$E184))</f>
        <v/>
      </c>
      <c r="H184" s="39">
        <f>IF($A184&gt;NYears*12,"",$G184*$E184)</f>
        <v/>
      </c>
      <c r="I184" s="39">
        <f>IF($A184&gt;NYears*12,"",$F184-$H184)</f>
        <v/>
      </c>
      <c r="J184" s="39">
        <f>IF($A184&gt;NYears*12,"",$H184*RateC)</f>
        <v/>
      </c>
      <c r="K184" s="39">
        <f>IF($A184&gt;NYears*12,"",IF($D184=1,$J184,$K183+$J184))</f>
        <v/>
      </c>
      <c r="L184" s="39">
        <f>IF($A184&gt;NYears*12,"",IF(MOD($D184,3)=0,SUM($J182:$J184),0))</f>
        <v/>
      </c>
      <c r="M184" s="39">
        <f>IF($A184&gt;NYears*12,"",IF(TaxFreq="Quarterly",$K184*12/$D184,$K184))</f>
        <v/>
      </c>
      <c r="N184" s="40">
        <f>IF($A184&gt;NYears*12,"",LOOKUP($M184,TaxLower,TaxRate))</f>
        <v/>
      </c>
      <c r="O184" s="39">
        <f>IF($A184&gt;NYears*12,"",IF(TaxFreq="Quarterly",IF(MOD($D184,3)=0,$L184*$N184,0),IF($D184=12,$K184*$N184,0)))</f>
        <v/>
      </c>
      <c r="P184" s="39">
        <f>IF($A184&gt;NYears*12,"",IF($D184=1,$O184,$P183+$O184))</f>
        <v/>
      </c>
      <c r="Q184" s="39">
        <f>IF($A184&gt;NYears*12,"",IF($D184=12,MIN(WdrPct*IF(WdrBase="Post-tax profit",$K184-$P184,$K184),WdrCap),0))</f>
        <v/>
      </c>
      <c r="R184" s="39">
        <f>IF($A184&gt;NYears*12,"",$F184+$J184-$O184-$Q184)</f>
        <v/>
      </c>
      <c r="S184" s="37">
        <f>IF($A184&gt;NYears*12,"",INT($R184/$E184))</f>
        <v/>
      </c>
    </row>
    <row r="185">
      <c r="A185" s="33">
        <f>181</f>
        <v/>
      </c>
      <c r="B185" s="34">
        <f>IF($A185&gt;NYears*12,"",EDATE(StartMonth,$A185-1))</f>
        <v/>
      </c>
      <c r="C185" s="33">
        <f>IF($A185&gt;NYears*12,"",INT(($A185-1)/12)+1)</f>
        <v/>
      </c>
      <c r="D185" s="33">
        <f>IF($A185&gt;NYears*12,"",MOD($A185-1,12)+1)</f>
        <v/>
      </c>
      <c r="E185" s="35">
        <f>IF($A185&gt;NYears*12,"",LotValue0*(1+LotGrowth)^($C185-1))</f>
        <v/>
      </c>
      <c r="F185" s="35">
        <f>IF($A185&gt;NYears*12,"",IF($A185=1,InitInvest,$R184))</f>
        <v/>
      </c>
      <c r="G185" s="33">
        <f>IF($A185&gt;NYears*12,"",INT($F185/$E185))</f>
        <v/>
      </c>
      <c r="H185" s="35">
        <f>IF($A185&gt;NYears*12,"",$G185*$E185)</f>
        <v/>
      </c>
      <c r="I185" s="35">
        <f>IF($A185&gt;NYears*12,"",$F185-$H185)</f>
        <v/>
      </c>
      <c r="J185" s="35">
        <f>IF($A185&gt;NYears*12,"",$H185*RateC)</f>
        <v/>
      </c>
      <c r="K185" s="35">
        <f>IF($A185&gt;NYears*12,"",IF($D185=1,$J185,$K184+$J185))</f>
        <v/>
      </c>
      <c r="L185" s="35">
        <f>IF($A185&gt;NYears*12,"",IF(MOD($D185,3)=0,SUM($J183:$J185),0))</f>
        <v/>
      </c>
      <c r="M185" s="35">
        <f>IF($A185&gt;NYears*12,"",IF(TaxFreq="Quarterly",$K185*12/$D185,$K185))</f>
        <v/>
      </c>
      <c r="N185" s="36">
        <f>IF($A185&gt;NYears*12,"",LOOKUP($M185,TaxLower,TaxRate))</f>
        <v/>
      </c>
      <c r="O185" s="35">
        <f>IF($A185&gt;NYears*12,"",IF(TaxFreq="Quarterly",IF(MOD($D185,3)=0,$L185*$N185,0),IF($D185=12,$K185*$N185,0)))</f>
        <v/>
      </c>
      <c r="P185" s="35">
        <f>IF($A185&gt;NYears*12,"",IF($D185=1,$O185,$P184+$O185))</f>
        <v/>
      </c>
      <c r="Q185" s="35">
        <f>IF($A185&gt;NYears*12,"",IF($D185=12,MIN(WdrPct*IF(WdrBase="Post-tax profit",$K185-$P185,$K185),WdrCap),0))</f>
        <v/>
      </c>
      <c r="R185" s="35">
        <f>IF($A185&gt;NYears*12,"",$F185+$J185-$O185-$Q185)</f>
        <v/>
      </c>
      <c r="S185" s="33">
        <f>IF($A185&gt;NYears*12,"",INT($R185/$E185))</f>
        <v/>
      </c>
    </row>
    <row r="186">
      <c r="A186" s="33">
        <f>182</f>
        <v/>
      </c>
      <c r="B186" s="34">
        <f>IF($A186&gt;NYears*12,"",EDATE(StartMonth,$A186-1))</f>
        <v/>
      </c>
      <c r="C186" s="33">
        <f>IF($A186&gt;NYears*12,"",INT(($A186-1)/12)+1)</f>
        <v/>
      </c>
      <c r="D186" s="33">
        <f>IF($A186&gt;NYears*12,"",MOD($A186-1,12)+1)</f>
        <v/>
      </c>
      <c r="E186" s="35">
        <f>IF($A186&gt;NYears*12,"",LotValue0*(1+LotGrowth)^($C186-1))</f>
        <v/>
      </c>
      <c r="F186" s="35">
        <f>IF($A186&gt;NYears*12,"",IF($A186=1,InitInvest,$R185))</f>
        <v/>
      </c>
      <c r="G186" s="33">
        <f>IF($A186&gt;NYears*12,"",INT($F186/$E186))</f>
        <v/>
      </c>
      <c r="H186" s="35">
        <f>IF($A186&gt;NYears*12,"",$G186*$E186)</f>
        <v/>
      </c>
      <c r="I186" s="35">
        <f>IF($A186&gt;NYears*12,"",$F186-$H186)</f>
        <v/>
      </c>
      <c r="J186" s="35">
        <f>IF($A186&gt;NYears*12,"",$H186*RateC)</f>
        <v/>
      </c>
      <c r="K186" s="35">
        <f>IF($A186&gt;NYears*12,"",IF($D186=1,$J186,$K185+$J186))</f>
        <v/>
      </c>
      <c r="L186" s="35">
        <f>IF($A186&gt;NYears*12,"",IF(MOD($D186,3)=0,SUM($J184:$J186),0))</f>
        <v/>
      </c>
      <c r="M186" s="35">
        <f>IF($A186&gt;NYears*12,"",IF(TaxFreq="Quarterly",$K186*12/$D186,$K186))</f>
        <v/>
      </c>
      <c r="N186" s="36">
        <f>IF($A186&gt;NYears*12,"",LOOKUP($M186,TaxLower,TaxRate))</f>
        <v/>
      </c>
      <c r="O186" s="35">
        <f>IF($A186&gt;NYears*12,"",IF(TaxFreq="Quarterly",IF(MOD($D186,3)=0,$L186*$N186,0),IF($D186=12,$K186*$N186,0)))</f>
        <v/>
      </c>
      <c r="P186" s="35">
        <f>IF($A186&gt;NYears*12,"",IF($D186=1,$O186,$P185+$O186))</f>
        <v/>
      </c>
      <c r="Q186" s="35">
        <f>IF($A186&gt;NYears*12,"",IF($D186=12,MIN(WdrPct*IF(WdrBase="Post-tax profit",$K186-$P186,$K186),WdrCap),0))</f>
        <v/>
      </c>
      <c r="R186" s="35">
        <f>IF($A186&gt;NYears*12,"",$F186+$J186-$O186-$Q186)</f>
        <v/>
      </c>
      <c r="S186" s="33">
        <f>IF($A186&gt;NYears*12,"",INT($R186/$E186))</f>
        <v/>
      </c>
    </row>
    <row r="187">
      <c r="A187" s="33">
        <f>183</f>
        <v/>
      </c>
      <c r="B187" s="34">
        <f>IF($A187&gt;NYears*12,"",EDATE(StartMonth,$A187-1))</f>
        <v/>
      </c>
      <c r="C187" s="33">
        <f>IF($A187&gt;NYears*12,"",INT(($A187-1)/12)+1)</f>
        <v/>
      </c>
      <c r="D187" s="33">
        <f>IF($A187&gt;NYears*12,"",MOD($A187-1,12)+1)</f>
        <v/>
      </c>
      <c r="E187" s="35">
        <f>IF($A187&gt;NYears*12,"",LotValue0*(1+LotGrowth)^($C187-1))</f>
        <v/>
      </c>
      <c r="F187" s="35">
        <f>IF($A187&gt;NYears*12,"",IF($A187=1,InitInvest,$R186))</f>
        <v/>
      </c>
      <c r="G187" s="33">
        <f>IF($A187&gt;NYears*12,"",INT($F187/$E187))</f>
        <v/>
      </c>
      <c r="H187" s="35">
        <f>IF($A187&gt;NYears*12,"",$G187*$E187)</f>
        <v/>
      </c>
      <c r="I187" s="35">
        <f>IF($A187&gt;NYears*12,"",$F187-$H187)</f>
        <v/>
      </c>
      <c r="J187" s="35">
        <f>IF($A187&gt;NYears*12,"",$H187*RateC)</f>
        <v/>
      </c>
      <c r="K187" s="35">
        <f>IF($A187&gt;NYears*12,"",IF($D187=1,$J187,$K186+$J187))</f>
        <v/>
      </c>
      <c r="L187" s="35">
        <f>IF($A187&gt;NYears*12,"",IF(MOD($D187,3)=0,SUM($J185:$J187),0))</f>
        <v/>
      </c>
      <c r="M187" s="35">
        <f>IF($A187&gt;NYears*12,"",IF(TaxFreq="Quarterly",$K187*12/$D187,$K187))</f>
        <v/>
      </c>
      <c r="N187" s="36">
        <f>IF($A187&gt;NYears*12,"",LOOKUP($M187,TaxLower,TaxRate))</f>
        <v/>
      </c>
      <c r="O187" s="35">
        <f>IF($A187&gt;NYears*12,"",IF(TaxFreq="Quarterly",IF(MOD($D187,3)=0,$L187*$N187,0),IF($D187=12,$K187*$N187,0)))</f>
        <v/>
      </c>
      <c r="P187" s="35">
        <f>IF($A187&gt;NYears*12,"",IF($D187=1,$O187,$P186+$O187))</f>
        <v/>
      </c>
      <c r="Q187" s="35">
        <f>IF($A187&gt;NYears*12,"",IF($D187=12,MIN(WdrPct*IF(WdrBase="Post-tax profit",$K187-$P187,$K187),WdrCap),0))</f>
        <v/>
      </c>
      <c r="R187" s="35">
        <f>IF($A187&gt;NYears*12,"",$F187+$J187-$O187-$Q187)</f>
        <v/>
      </c>
      <c r="S187" s="33">
        <f>IF($A187&gt;NYears*12,"",INT($R187/$E187))</f>
        <v/>
      </c>
    </row>
    <row r="188">
      <c r="A188" s="33">
        <f>184</f>
        <v/>
      </c>
      <c r="B188" s="34">
        <f>IF($A188&gt;NYears*12,"",EDATE(StartMonth,$A188-1))</f>
        <v/>
      </c>
      <c r="C188" s="33">
        <f>IF($A188&gt;NYears*12,"",INT(($A188-1)/12)+1)</f>
        <v/>
      </c>
      <c r="D188" s="33">
        <f>IF($A188&gt;NYears*12,"",MOD($A188-1,12)+1)</f>
        <v/>
      </c>
      <c r="E188" s="35">
        <f>IF($A188&gt;NYears*12,"",LotValue0*(1+LotGrowth)^($C188-1))</f>
        <v/>
      </c>
      <c r="F188" s="35">
        <f>IF($A188&gt;NYears*12,"",IF($A188=1,InitInvest,$R187))</f>
        <v/>
      </c>
      <c r="G188" s="33">
        <f>IF($A188&gt;NYears*12,"",INT($F188/$E188))</f>
        <v/>
      </c>
      <c r="H188" s="35">
        <f>IF($A188&gt;NYears*12,"",$G188*$E188)</f>
        <v/>
      </c>
      <c r="I188" s="35">
        <f>IF($A188&gt;NYears*12,"",$F188-$H188)</f>
        <v/>
      </c>
      <c r="J188" s="35">
        <f>IF($A188&gt;NYears*12,"",$H188*RateC)</f>
        <v/>
      </c>
      <c r="K188" s="35">
        <f>IF($A188&gt;NYears*12,"",IF($D188=1,$J188,$K187+$J188))</f>
        <v/>
      </c>
      <c r="L188" s="35">
        <f>IF($A188&gt;NYears*12,"",IF(MOD($D188,3)=0,SUM($J186:$J188),0))</f>
        <v/>
      </c>
      <c r="M188" s="35">
        <f>IF($A188&gt;NYears*12,"",IF(TaxFreq="Quarterly",$K188*12/$D188,$K188))</f>
        <v/>
      </c>
      <c r="N188" s="36">
        <f>IF($A188&gt;NYears*12,"",LOOKUP($M188,TaxLower,TaxRate))</f>
        <v/>
      </c>
      <c r="O188" s="35">
        <f>IF($A188&gt;NYears*12,"",IF(TaxFreq="Quarterly",IF(MOD($D188,3)=0,$L188*$N188,0),IF($D188=12,$K188*$N188,0)))</f>
        <v/>
      </c>
      <c r="P188" s="35">
        <f>IF($A188&gt;NYears*12,"",IF($D188=1,$O188,$P187+$O188))</f>
        <v/>
      </c>
      <c r="Q188" s="35">
        <f>IF($A188&gt;NYears*12,"",IF($D188=12,MIN(WdrPct*IF(WdrBase="Post-tax profit",$K188-$P188,$K188),WdrCap),0))</f>
        <v/>
      </c>
      <c r="R188" s="35">
        <f>IF($A188&gt;NYears*12,"",$F188+$J188-$O188-$Q188)</f>
        <v/>
      </c>
      <c r="S188" s="33">
        <f>IF($A188&gt;NYears*12,"",INT($R188/$E188))</f>
        <v/>
      </c>
    </row>
    <row r="189">
      <c r="A189" s="33">
        <f>185</f>
        <v/>
      </c>
      <c r="B189" s="34">
        <f>IF($A189&gt;NYears*12,"",EDATE(StartMonth,$A189-1))</f>
        <v/>
      </c>
      <c r="C189" s="33">
        <f>IF($A189&gt;NYears*12,"",INT(($A189-1)/12)+1)</f>
        <v/>
      </c>
      <c r="D189" s="33">
        <f>IF($A189&gt;NYears*12,"",MOD($A189-1,12)+1)</f>
        <v/>
      </c>
      <c r="E189" s="35">
        <f>IF($A189&gt;NYears*12,"",LotValue0*(1+LotGrowth)^($C189-1))</f>
        <v/>
      </c>
      <c r="F189" s="35">
        <f>IF($A189&gt;NYears*12,"",IF($A189=1,InitInvest,$R188))</f>
        <v/>
      </c>
      <c r="G189" s="33">
        <f>IF($A189&gt;NYears*12,"",INT($F189/$E189))</f>
        <v/>
      </c>
      <c r="H189" s="35">
        <f>IF($A189&gt;NYears*12,"",$G189*$E189)</f>
        <v/>
      </c>
      <c r="I189" s="35">
        <f>IF($A189&gt;NYears*12,"",$F189-$H189)</f>
        <v/>
      </c>
      <c r="J189" s="35">
        <f>IF($A189&gt;NYears*12,"",$H189*RateC)</f>
        <v/>
      </c>
      <c r="K189" s="35">
        <f>IF($A189&gt;NYears*12,"",IF($D189=1,$J189,$K188+$J189))</f>
        <v/>
      </c>
      <c r="L189" s="35">
        <f>IF($A189&gt;NYears*12,"",IF(MOD($D189,3)=0,SUM($J187:$J189),0))</f>
        <v/>
      </c>
      <c r="M189" s="35">
        <f>IF($A189&gt;NYears*12,"",IF(TaxFreq="Quarterly",$K189*12/$D189,$K189))</f>
        <v/>
      </c>
      <c r="N189" s="36">
        <f>IF($A189&gt;NYears*12,"",LOOKUP($M189,TaxLower,TaxRate))</f>
        <v/>
      </c>
      <c r="O189" s="35">
        <f>IF($A189&gt;NYears*12,"",IF(TaxFreq="Quarterly",IF(MOD($D189,3)=0,$L189*$N189,0),IF($D189=12,$K189*$N189,0)))</f>
        <v/>
      </c>
      <c r="P189" s="35">
        <f>IF($A189&gt;NYears*12,"",IF($D189=1,$O189,$P188+$O189))</f>
        <v/>
      </c>
      <c r="Q189" s="35">
        <f>IF($A189&gt;NYears*12,"",IF($D189=12,MIN(WdrPct*IF(WdrBase="Post-tax profit",$K189-$P189,$K189),WdrCap),0))</f>
        <v/>
      </c>
      <c r="R189" s="35">
        <f>IF($A189&gt;NYears*12,"",$F189+$J189-$O189-$Q189)</f>
        <v/>
      </c>
      <c r="S189" s="33">
        <f>IF($A189&gt;NYears*12,"",INT($R189/$E189))</f>
        <v/>
      </c>
    </row>
    <row r="190">
      <c r="A190" s="33">
        <f>186</f>
        <v/>
      </c>
      <c r="B190" s="34">
        <f>IF($A190&gt;NYears*12,"",EDATE(StartMonth,$A190-1))</f>
        <v/>
      </c>
      <c r="C190" s="33">
        <f>IF($A190&gt;NYears*12,"",INT(($A190-1)/12)+1)</f>
        <v/>
      </c>
      <c r="D190" s="33">
        <f>IF($A190&gt;NYears*12,"",MOD($A190-1,12)+1)</f>
        <v/>
      </c>
      <c r="E190" s="35">
        <f>IF($A190&gt;NYears*12,"",LotValue0*(1+LotGrowth)^($C190-1))</f>
        <v/>
      </c>
      <c r="F190" s="35">
        <f>IF($A190&gt;NYears*12,"",IF($A190=1,InitInvest,$R189))</f>
        <v/>
      </c>
      <c r="G190" s="33">
        <f>IF($A190&gt;NYears*12,"",INT($F190/$E190))</f>
        <v/>
      </c>
      <c r="H190" s="35">
        <f>IF($A190&gt;NYears*12,"",$G190*$E190)</f>
        <v/>
      </c>
      <c r="I190" s="35">
        <f>IF($A190&gt;NYears*12,"",$F190-$H190)</f>
        <v/>
      </c>
      <c r="J190" s="35">
        <f>IF($A190&gt;NYears*12,"",$H190*RateC)</f>
        <v/>
      </c>
      <c r="K190" s="35">
        <f>IF($A190&gt;NYears*12,"",IF($D190=1,$J190,$K189+$J190))</f>
        <v/>
      </c>
      <c r="L190" s="35">
        <f>IF($A190&gt;NYears*12,"",IF(MOD($D190,3)=0,SUM($J188:$J190),0))</f>
        <v/>
      </c>
      <c r="M190" s="35">
        <f>IF($A190&gt;NYears*12,"",IF(TaxFreq="Quarterly",$K190*12/$D190,$K190))</f>
        <v/>
      </c>
      <c r="N190" s="36">
        <f>IF($A190&gt;NYears*12,"",LOOKUP($M190,TaxLower,TaxRate))</f>
        <v/>
      </c>
      <c r="O190" s="35">
        <f>IF($A190&gt;NYears*12,"",IF(TaxFreq="Quarterly",IF(MOD($D190,3)=0,$L190*$N190,0),IF($D190=12,$K190*$N190,0)))</f>
        <v/>
      </c>
      <c r="P190" s="35">
        <f>IF($A190&gt;NYears*12,"",IF($D190=1,$O190,$P189+$O190))</f>
        <v/>
      </c>
      <c r="Q190" s="35">
        <f>IF($A190&gt;NYears*12,"",IF($D190=12,MIN(WdrPct*IF(WdrBase="Post-tax profit",$K190-$P190,$K190),WdrCap),0))</f>
        <v/>
      </c>
      <c r="R190" s="35">
        <f>IF($A190&gt;NYears*12,"",$F190+$J190-$O190-$Q190)</f>
        <v/>
      </c>
      <c r="S190" s="33">
        <f>IF($A190&gt;NYears*12,"",INT($R190/$E190))</f>
        <v/>
      </c>
    </row>
    <row r="191">
      <c r="A191" s="33">
        <f>187</f>
        <v/>
      </c>
      <c r="B191" s="34">
        <f>IF($A191&gt;NYears*12,"",EDATE(StartMonth,$A191-1))</f>
        <v/>
      </c>
      <c r="C191" s="33">
        <f>IF($A191&gt;NYears*12,"",INT(($A191-1)/12)+1)</f>
        <v/>
      </c>
      <c r="D191" s="33">
        <f>IF($A191&gt;NYears*12,"",MOD($A191-1,12)+1)</f>
        <v/>
      </c>
      <c r="E191" s="35">
        <f>IF($A191&gt;NYears*12,"",LotValue0*(1+LotGrowth)^($C191-1))</f>
        <v/>
      </c>
      <c r="F191" s="35">
        <f>IF($A191&gt;NYears*12,"",IF($A191=1,InitInvest,$R190))</f>
        <v/>
      </c>
      <c r="G191" s="33">
        <f>IF($A191&gt;NYears*12,"",INT($F191/$E191))</f>
        <v/>
      </c>
      <c r="H191" s="35">
        <f>IF($A191&gt;NYears*12,"",$G191*$E191)</f>
        <v/>
      </c>
      <c r="I191" s="35">
        <f>IF($A191&gt;NYears*12,"",$F191-$H191)</f>
        <v/>
      </c>
      <c r="J191" s="35">
        <f>IF($A191&gt;NYears*12,"",$H191*RateC)</f>
        <v/>
      </c>
      <c r="K191" s="35">
        <f>IF($A191&gt;NYears*12,"",IF($D191=1,$J191,$K190+$J191))</f>
        <v/>
      </c>
      <c r="L191" s="35">
        <f>IF($A191&gt;NYears*12,"",IF(MOD($D191,3)=0,SUM($J189:$J191),0))</f>
        <v/>
      </c>
      <c r="M191" s="35">
        <f>IF($A191&gt;NYears*12,"",IF(TaxFreq="Quarterly",$K191*12/$D191,$K191))</f>
        <v/>
      </c>
      <c r="N191" s="36">
        <f>IF($A191&gt;NYears*12,"",LOOKUP($M191,TaxLower,TaxRate))</f>
        <v/>
      </c>
      <c r="O191" s="35">
        <f>IF($A191&gt;NYears*12,"",IF(TaxFreq="Quarterly",IF(MOD($D191,3)=0,$L191*$N191,0),IF($D191=12,$K191*$N191,0)))</f>
        <v/>
      </c>
      <c r="P191" s="35">
        <f>IF($A191&gt;NYears*12,"",IF($D191=1,$O191,$P190+$O191))</f>
        <v/>
      </c>
      <c r="Q191" s="35">
        <f>IF($A191&gt;NYears*12,"",IF($D191=12,MIN(WdrPct*IF(WdrBase="Post-tax profit",$K191-$P191,$K191),WdrCap),0))</f>
        <v/>
      </c>
      <c r="R191" s="35">
        <f>IF($A191&gt;NYears*12,"",$F191+$J191-$O191-$Q191)</f>
        <v/>
      </c>
      <c r="S191" s="33">
        <f>IF($A191&gt;NYears*12,"",INT($R191/$E191))</f>
        <v/>
      </c>
    </row>
    <row r="192">
      <c r="A192" s="33">
        <f>188</f>
        <v/>
      </c>
      <c r="B192" s="34">
        <f>IF($A192&gt;NYears*12,"",EDATE(StartMonth,$A192-1))</f>
        <v/>
      </c>
      <c r="C192" s="33">
        <f>IF($A192&gt;NYears*12,"",INT(($A192-1)/12)+1)</f>
        <v/>
      </c>
      <c r="D192" s="33">
        <f>IF($A192&gt;NYears*12,"",MOD($A192-1,12)+1)</f>
        <v/>
      </c>
      <c r="E192" s="35">
        <f>IF($A192&gt;NYears*12,"",LotValue0*(1+LotGrowth)^($C192-1))</f>
        <v/>
      </c>
      <c r="F192" s="35">
        <f>IF($A192&gt;NYears*12,"",IF($A192=1,InitInvest,$R191))</f>
        <v/>
      </c>
      <c r="G192" s="33">
        <f>IF($A192&gt;NYears*12,"",INT($F192/$E192))</f>
        <v/>
      </c>
      <c r="H192" s="35">
        <f>IF($A192&gt;NYears*12,"",$G192*$E192)</f>
        <v/>
      </c>
      <c r="I192" s="35">
        <f>IF($A192&gt;NYears*12,"",$F192-$H192)</f>
        <v/>
      </c>
      <c r="J192" s="35">
        <f>IF($A192&gt;NYears*12,"",$H192*RateC)</f>
        <v/>
      </c>
      <c r="K192" s="35">
        <f>IF($A192&gt;NYears*12,"",IF($D192=1,$J192,$K191+$J192))</f>
        <v/>
      </c>
      <c r="L192" s="35">
        <f>IF($A192&gt;NYears*12,"",IF(MOD($D192,3)=0,SUM($J190:$J192),0))</f>
        <v/>
      </c>
      <c r="M192" s="35">
        <f>IF($A192&gt;NYears*12,"",IF(TaxFreq="Quarterly",$K192*12/$D192,$K192))</f>
        <v/>
      </c>
      <c r="N192" s="36">
        <f>IF($A192&gt;NYears*12,"",LOOKUP($M192,TaxLower,TaxRate))</f>
        <v/>
      </c>
      <c r="O192" s="35">
        <f>IF($A192&gt;NYears*12,"",IF(TaxFreq="Quarterly",IF(MOD($D192,3)=0,$L192*$N192,0),IF($D192=12,$K192*$N192,0)))</f>
        <v/>
      </c>
      <c r="P192" s="35">
        <f>IF($A192&gt;NYears*12,"",IF($D192=1,$O192,$P191+$O192))</f>
        <v/>
      </c>
      <c r="Q192" s="35">
        <f>IF($A192&gt;NYears*12,"",IF($D192=12,MIN(WdrPct*IF(WdrBase="Post-tax profit",$K192-$P192,$K192),WdrCap),0))</f>
        <v/>
      </c>
      <c r="R192" s="35">
        <f>IF($A192&gt;NYears*12,"",$F192+$J192-$O192-$Q192)</f>
        <v/>
      </c>
      <c r="S192" s="33">
        <f>IF($A192&gt;NYears*12,"",INT($R192/$E192))</f>
        <v/>
      </c>
    </row>
    <row r="193">
      <c r="A193" s="33">
        <f>189</f>
        <v/>
      </c>
      <c r="B193" s="34">
        <f>IF($A193&gt;NYears*12,"",EDATE(StartMonth,$A193-1))</f>
        <v/>
      </c>
      <c r="C193" s="33">
        <f>IF($A193&gt;NYears*12,"",INT(($A193-1)/12)+1)</f>
        <v/>
      </c>
      <c r="D193" s="33">
        <f>IF($A193&gt;NYears*12,"",MOD($A193-1,12)+1)</f>
        <v/>
      </c>
      <c r="E193" s="35">
        <f>IF($A193&gt;NYears*12,"",LotValue0*(1+LotGrowth)^($C193-1))</f>
        <v/>
      </c>
      <c r="F193" s="35">
        <f>IF($A193&gt;NYears*12,"",IF($A193=1,InitInvest,$R192))</f>
        <v/>
      </c>
      <c r="G193" s="33">
        <f>IF($A193&gt;NYears*12,"",INT($F193/$E193))</f>
        <v/>
      </c>
      <c r="H193" s="35">
        <f>IF($A193&gt;NYears*12,"",$G193*$E193)</f>
        <v/>
      </c>
      <c r="I193" s="35">
        <f>IF($A193&gt;NYears*12,"",$F193-$H193)</f>
        <v/>
      </c>
      <c r="J193" s="35">
        <f>IF($A193&gt;NYears*12,"",$H193*RateC)</f>
        <v/>
      </c>
      <c r="K193" s="35">
        <f>IF($A193&gt;NYears*12,"",IF($D193=1,$J193,$K192+$J193))</f>
        <v/>
      </c>
      <c r="L193" s="35">
        <f>IF($A193&gt;NYears*12,"",IF(MOD($D193,3)=0,SUM($J191:$J193),0))</f>
        <v/>
      </c>
      <c r="M193" s="35">
        <f>IF($A193&gt;NYears*12,"",IF(TaxFreq="Quarterly",$K193*12/$D193,$K193))</f>
        <v/>
      </c>
      <c r="N193" s="36">
        <f>IF($A193&gt;NYears*12,"",LOOKUP($M193,TaxLower,TaxRate))</f>
        <v/>
      </c>
      <c r="O193" s="35">
        <f>IF($A193&gt;NYears*12,"",IF(TaxFreq="Quarterly",IF(MOD($D193,3)=0,$L193*$N193,0),IF($D193=12,$K193*$N193,0)))</f>
        <v/>
      </c>
      <c r="P193" s="35">
        <f>IF($A193&gt;NYears*12,"",IF($D193=1,$O193,$P192+$O193))</f>
        <v/>
      </c>
      <c r="Q193" s="35">
        <f>IF($A193&gt;NYears*12,"",IF($D193=12,MIN(WdrPct*IF(WdrBase="Post-tax profit",$K193-$P193,$K193),WdrCap),0))</f>
        <v/>
      </c>
      <c r="R193" s="35">
        <f>IF($A193&gt;NYears*12,"",$F193+$J193-$O193-$Q193)</f>
        <v/>
      </c>
      <c r="S193" s="33">
        <f>IF($A193&gt;NYears*12,"",INT($R193/$E193))</f>
        <v/>
      </c>
    </row>
    <row r="194">
      <c r="A194" s="33">
        <f>190</f>
        <v/>
      </c>
      <c r="B194" s="34">
        <f>IF($A194&gt;NYears*12,"",EDATE(StartMonth,$A194-1))</f>
        <v/>
      </c>
      <c r="C194" s="33">
        <f>IF($A194&gt;NYears*12,"",INT(($A194-1)/12)+1)</f>
        <v/>
      </c>
      <c r="D194" s="33">
        <f>IF($A194&gt;NYears*12,"",MOD($A194-1,12)+1)</f>
        <v/>
      </c>
      <c r="E194" s="35">
        <f>IF($A194&gt;NYears*12,"",LotValue0*(1+LotGrowth)^($C194-1))</f>
        <v/>
      </c>
      <c r="F194" s="35">
        <f>IF($A194&gt;NYears*12,"",IF($A194=1,InitInvest,$R193))</f>
        <v/>
      </c>
      <c r="G194" s="33">
        <f>IF($A194&gt;NYears*12,"",INT($F194/$E194))</f>
        <v/>
      </c>
      <c r="H194" s="35">
        <f>IF($A194&gt;NYears*12,"",$G194*$E194)</f>
        <v/>
      </c>
      <c r="I194" s="35">
        <f>IF($A194&gt;NYears*12,"",$F194-$H194)</f>
        <v/>
      </c>
      <c r="J194" s="35">
        <f>IF($A194&gt;NYears*12,"",$H194*RateC)</f>
        <v/>
      </c>
      <c r="K194" s="35">
        <f>IF($A194&gt;NYears*12,"",IF($D194=1,$J194,$K193+$J194))</f>
        <v/>
      </c>
      <c r="L194" s="35">
        <f>IF($A194&gt;NYears*12,"",IF(MOD($D194,3)=0,SUM($J192:$J194),0))</f>
        <v/>
      </c>
      <c r="M194" s="35">
        <f>IF($A194&gt;NYears*12,"",IF(TaxFreq="Quarterly",$K194*12/$D194,$K194))</f>
        <v/>
      </c>
      <c r="N194" s="36">
        <f>IF($A194&gt;NYears*12,"",LOOKUP($M194,TaxLower,TaxRate))</f>
        <v/>
      </c>
      <c r="O194" s="35">
        <f>IF($A194&gt;NYears*12,"",IF(TaxFreq="Quarterly",IF(MOD($D194,3)=0,$L194*$N194,0),IF($D194=12,$K194*$N194,0)))</f>
        <v/>
      </c>
      <c r="P194" s="35">
        <f>IF($A194&gt;NYears*12,"",IF($D194=1,$O194,$P193+$O194))</f>
        <v/>
      </c>
      <c r="Q194" s="35">
        <f>IF($A194&gt;NYears*12,"",IF($D194=12,MIN(WdrPct*IF(WdrBase="Post-tax profit",$K194-$P194,$K194),WdrCap),0))</f>
        <v/>
      </c>
      <c r="R194" s="35">
        <f>IF($A194&gt;NYears*12,"",$F194+$J194-$O194-$Q194)</f>
        <v/>
      </c>
      <c r="S194" s="33">
        <f>IF($A194&gt;NYears*12,"",INT($R194/$E194))</f>
        <v/>
      </c>
    </row>
    <row r="195">
      <c r="A195" s="33">
        <f>191</f>
        <v/>
      </c>
      <c r="B195" s="34">
        <f>IF($A195&gt;NYears*12,"",EDATE(StartMonth,$A195-1))</f>
        <v/>
      </c>
      <c r="C195" s="33">
        <f>IF($A195&gt;NYears*12,"",INT(($A195-1)/12)+1)</f>
        <v/>
      </c>
      <c r="D195" s="33">
        <f>IF($A195&gt;NYears*12,"",MOD($A195-1,12)+1)</f>
        <v/>
      </c>
      <c r="E195" s="35">
        <f>IF($A195&gt;NYears*12,"",LotValue0*(1+LotGrowth)^($C195-1))</f>
        <v/>
      </c>
      <c r="F195" s="35">
        <f>IF($A195&gt;NYears*12,"",IF($A195=1,InitInvest,$R194))</f>
        <v/>
      </c>
      <c r="G195" s="33">
        <f>IF($A195&gt;NYears*12,"",INT($F195/$E195))</f>
        <v/>
      </c>
      <c r="H195" s="35">
        <f>IF($A195&gt;NYears*12,"",$G195*$E195)</f>
        <v/>
      </c>
      <c r="I195" s="35">
        <f>IF($A195&gt;NYears*12,"",$F195-$H195)</f>
        <v/>
      </c>
      <c r="J195" s="35">
        <f>IF($A195&gt;NYears*12,"",$H195*RateC)</f>
        <v/>
      </c>
      <c r="K195" s="35">
        <f>IF($A195&gt;NYears*12,"",IF($D195=1,$J195,$K194+$J195))</f>
        <v/>
      </c>
      <c r="L195" s="35">
        <f>IF($A195&gt;NYears*12,"",IF(MOD($D195,3)=0,SUM($J193:$J195),0))</f>
        <v/>
      </c>
      <c r="M195" s="35">
        <f>IF($A195&gt;NYears*12,"",IF(TaxFreq="Quarterly",$K195*12/$D195,$K195))</f>
        <v/>
      </c>
      <c r="N195" s="36">
        <f>IF($A195&gt;NYears*12,"",LOOKUP($M195,TaxLower,TaxRate))</f>
        <v/>
      </c>
      <c r="O195" s="35">
        <f>IF($A195&gt;NYears*12,"",IF(TaxFreq="Quarterly",IF(MOD($D195,3)=0,$L195*$N195,0),IF($D195=12,$K195*$N195,0)))</f>
        <v/>
      </c>
      <c r="P195" s="35">
        <f>IF($A195&gt;NYears*12,"",IF($D195=1,$O195,$P194+$O195))</f>
        <v/>
      </c>
      <c r="Q195" s="35">
        <f>IF($A195&gt;NYears*12,"",IF($D195=12,MIN(WdrPct*IF(WdrBase="Post-tax profit",$K195-$P195,$K195),WdrCap),0))</f>
        <v/>
      </c>
      <c r="R195" s="35">
        <f>IF($A195&gt;NYears*12,"",$F195+$J195-$O195-$Q195)</f>
        <v/>
      </c>
      <c r="S195" s="33">
        <f>IF($A195&gt;NYears*12,"",INT($R195/$E195))</f>
        <v/>
      </c>
    </row>
    <row r="196">
      <c r="A196" s="37">
        <f>192</f>
        <v/>
      </c>
      <c r="B196" s="38">
        <f>IF($A196&gt;NYears*12,"",EDATE(StartMonth,$A196-1))</f>
        <v/>
      </c>
      <c r="C196" s="37">
        <f>IF($A196&gt;NYears*12,"",INT(($A196-1)/12)+1)</f>
        <v/>
      </c>
      <c r="D196" s="37">
        <f>IF($A196&gt;NYears*12,"",MOD($A196-1,12)+1)</f>
        <v/>
      </c>
      <c r="E196" s="39">
        <f>IF($A196&gt;NYears*12,"",LotValue0*(1+LotGrowth)^($C196-1))</f>
        <v/>
      </c>
      <c r="F196" s="39">
        <f>IF($A196&gt;NYears*12,"",IF($A196=1,InitInvest,$R195))</f>
        <v/>
      </c>
      <c r="G196" s="37">
        <f>IF($A196&gt;NYears*12,"",INT($F196/$E196))</f>
        <v/>
      </c>
      <c r="H196" s="39">
        <f>IF($A196&gt;NYears*12,"",$G196*$E196)</f>
        <v/>
      </c>
      <c r="I196" s="39">
        <f>IF($A196&gt;NYears*12,"",$F196-$H196)</f>
        <v/>
      </c>
      <c r="J196" s="39">
        <f>IF($A196&gt;NYears*12,"",$H196*RateC)</f>
        <v/>
      </c>
      <c r="K196" s="39">
        <f>IF($A196&gt;NYears*12,"",IF($D196=1,$J196,$K195+$J196))</f>
        <v/>
      </c>
      <c r="L196" s="39">
        <f>IF($A196&gt;NYears*12,"",IF(MOD($D196,3)=0,SUM($J194:$J196),0))</f>
        <v/>
      </c>
      <c r="M196" s="39">
        <f>IF($A196&gt;NYears*12,"",IF(TaxFreq="Quarterly",$K196*12/$D196,$K196))</f>
        <v/>
      </c>
      <c r="N196" s="40">
        <f>IF($A196&gt;NYears*12,"",LOOKUP($M196,TaxLower,TaxRate))</f>
        <v/>
      </c>
      <c r="O196" s="39">
        <f>IF($A196&gt;NYears*12,"",IF(TaxFreq="Quarterly",IF(MOD($D196,3)=0,$L196*$N196,0),IF($D196=12,$K196*$N196,0)))</f>
        <v/>
      </c>
      <c r="P196" s="39">
        <f>IF($A196&gt;NYears*12,"",IF($D196=1,$O196,$P195+$O196))</f>
        <v/>
      </c>
      <c r="Q196" s="39">
        <f>IF($A196&gt;NYears*12,"",IF($D196=12,MIN(WdrPct*IF(WdrBase="Post-tax profit",$K196-$P196,$K196),WdrCap),0))</f>
        <v/>
      </c>
      <c r="R196" s="39">
        <f>IF($A196&gt;NYears*12,"",$F196+$J196-$O196-$Q196)</f>
        <v/>
      </c>
      <c r="S196" s="37">
        <f>IF($A196&gt;NYears*12,"",INT($R196/$E196))</f>
        <v/>
      </c>
    </row>
    <row r="197">
      <c r="A197" s="33">
        <f>193</f>
        <v/>
      </c>
      <c r="B197" s="34">
        <f>IF($A197&gt;NYears*12,"",EDATE(StartMonth,$A197-1))</f>
        <v/>
      </c>
      <c r="C197" s="33">
        <f>IF($A197&gt;NYears*12,"",INT(($A197-1)/12)+1)</f>
        <v/>
      </c>
      <c r="D197" s="33">
        <f>IF($A197&gt;NYears*12,"",MOD($A197-1,12)+1)</f>
        <v/>
      </c>
      <c r="E197" s="35">
        <f>IF($A197&gt;NYears*12,"",LotValue0*(1+LotGrowth)^($C197-1))</f>
        <v/>
      </c>
      <c r="F197" s="35">
        <f>IF($A197&gt;NYears*12,"",IF($A197=1,InitInvest,$R196))</f>
        <v/>
      </c>
      <c r="G197" s="33">
        <f>IF($A197&gt;NYears*12,"",INT($F197/$E197))</f>
        <v/>
      </c>
      <c r="H197" s="35">
        <f>IF($A197&gt;NYears*12,"",$G197*$E197)</f>
        <v/>
      </c>
      <c r="I197" s="35">
        <f>IF($A197&gt;NYears*12,"",$F197-$H197)</f>
        <v/>
      </c>
      <c r="J197" s="35">
        <f>IF($A197&gt;NYears*12,"",$H197*RateC)</f>
        <v/>
      </c>
      <c r="K197" s="35">
        <f>IF($A197&gt;NYears*12,"",IF($D197=1,$J197,$K196+$J197))</f>
        <v/>
      </c>
      <c r="L197" s="35">
        <f>IF($A197&gt;NYears*12,"",IF(MOD($D197,3)=0,SUM($J195:$J197),0))</f>
        <v/>
      </c>
      <c r="M197" s="35">
        <f>IF($A197&gt;NYears*12,"",IF(TaxFreq="Quarterly",$K197*12/$D197,$K197))</f>
        <v/>
      </c>
      <c r="N197" s="36">
        <f>IF($A197&gt;NYears*12,"",LOOKUP($M197,TaxLower,TaxRate))</f>
        <v/>
      </c>
      <c r="O197" s="35">
        <f>IF($A197&gt;NYears*12,"",IF(TaxFreq="Quarterly",IF(MOD($D197,3)=0,$L197*$N197,0),IF($D197=12,$K197*$N197,0)))</f>
        <v/>
      </c>
      <c r="P197" s="35">
        <f>IF($A197&gt;NYears*12,"",IF($D197=1,$O197,$P196+$O197))</f>
        <v/>
      </c>
      <c r="Q197" s="35">
        <f>IF($A197&gt;NYears*12,"",IF($D197=12,MIN(WdrPct*IF(WdrBase="Post-tax profit",$K197-$P197,$K197),WdrCap),0))</f>
        <v/>
      </c>
      <c r="R197" s="35">
        <f>IF($A197&gt;NYears*12,"",$F197+$J197-$O197-$Q197)</f>
        <v/>
      </c>
      <c r="S197" s="33">
        <f>IF($A197&gt;NYears*12,"",INT($R197/$E197))</f>
        <v/>
      </c>
    </row>
    <row r="198">
      <c r="A198" s="33">
        <f>194</f>
        <v/>
      </c>
      <c r="B198" s="34">
        <f>IF($A198&gt;NYears*12,"",EDATE(StartMonth,$A198-1))</f>
        <v/>
      </c>
      <c r="C198" s="33">
        <f>IF($A198&gt;NYears*12,"",INT(($A198-1)/12)+1)</f>
        <v/>
      </c>
      <c r="D198" s="33">
        <f>IF($A198&gt;NYears*12,"",MOD($A198-1,12)+1)</f>
        <v/>
      </c>
      <c r="E198" s="35">
        <f>IF($A198&gt;NYears*12,"",LotValue0*(1+LotGrowth)^($C198-1))</f>
        <v/>
      </c>
      <c r="F198" s="35">
        <f>IF($A198&gt;NYears*12,"",IF($A198=1,InitInvest,$R197))</f>
        <v/>
      </c>
      <c r="G198" s="33">
        <f>IF($A198&gt;NYears*12,"",INT($F198/$E198))</f>
        <v/>
      </c>
      <c r="H198" s="35">
        <f>IF($A198&gt;NYears*12,"",$G198*$E198)</f>
        <v/>
      </c>
      <c r="I198" s="35">
        <f>IF($A198&gt;NYears*12,"",$F198-$H198)</f>
        <v/>
      </c>
      <c r="J198" s="35">
        <f>IF($A198&gt;NYears*12,"",$H198*RateC)</f>
        <v/>
      </c>
      <c r="K198" s="35">
        <f>IF($A198&gt;NYears*12,"",IF($D198=1,$J198,$K197+$J198))</f>
        <v/>
      </c>
      <c r="L198" s="35">
        <f>IF($A198&gt;NYears*12,"",IF(MOD($D198,3)=0,SUM($J196:$J198),0))</f>
        <v/>
      </c>
      <c r="M198" s="35">
        <f>IF($A198&gt;NYears*12,"",IF(TaxFreq="Quarterly",$K198*12/$D198,$K198))</f>
        <v/>
      </c>
      <c r="N198" s="36">
        <f>IF($A198&gt;NYears*12,"",LOOKUP($M198,TaxLower,TaxRate))</f>
        <v/>
      </c>
      <c r="O198" s="35">
        <f>IF($A198&gt;NYears*12,"",IF(TaxFreq="Quarterly",IF(MOD($D198,3)=0,$L198*$N198,0),IF($D198=12,$K198*$N198,0)))</f>
        <v/>
      </c>
      <c r="P198" s="35">
        <f>IF($A198&gt;NYears*12,"",IF($D198=1,$O198,$P197+$O198))</f>
        <v/>
      </c>
      <c r="Q198" s="35">
        <f>IF($A198&gt;NYears*12,"",IF($D198=12,MIN(WdrPct*IF(WdrBase="Post-tax profit",$K198-$P198,$K198),WdrCap),0))</f>
        <v/>
      </c>
      <c r="R198" s="35">
        <f>IF($A198&gt;NYears*12,"",$F198+$J198-$O198-$Q198)</f>
        <v/>
      </c>
      <c r="S198" s="33">
        <f>IF($A198&gt;NYears*12,"",INT($R198/$E198))</f>
        <v/>
      </c>
    </row>
    <row r="199">
      <c r="A199" s="33">
        <f>195</f>
        <v/>
      </c>
      <c r="B199" s="34">
        <f>IF($A199&gt;NYears*12,"",EDATE(StartMonth,$A199-1))</f>
        <v/>
      </c>
      <c r="C199" s="33">
        <f>IF($A199&gt;NYears*12,"",INT(($A199-1)/12)+1)</f>
        <v/>
      </c>
      <c r="D199" s="33">
        <f>IF($A199&gt;NYears*12,"",MOD($A199-1,12)+1)</f>
        <v/>
      </c>
      <c r="E199" s="35">
        <f>IF($A199&gt;NYears*12,"",LotValue0*(1+LotGrowth)^($C199-1))</f>
        <v/>
      </c>
      <c r="F199" s="35">
        <f>IF($A199&gt;NYears*12,"",IF($A199=1,InitInvest,$R198))</f>
        <v/>
      </c>
      <c r="G199" s="33">
        <f>IF($A199&gt;NYears*12,"",INT($F199/$E199))</f>
        <v/>
      </c>
      <c r="H199" s="35">
        <f>IF($A199&gt;NYears*12,"",$G199*$E199)</f>
        <v/>
      </c>
      <c r="I199" s="35">
        <f>IF($A199&gt;NYears*12,"",$F199-$H199)</f>
        <v/>
      </c>
      <c r="J199" s="35">
        <f>IF($A199&gt;NYears*12,"",$H199*RateC)</f>
        <v/>
      </c>
      <c r="K199" s="35">
        <f>IF($A199&gt;NYears*12,"",IF($D199=1,$J199,$K198+$J199))</f>
        <v/>
      </c>
      <c r="L199" s="35">
        <f>IF($A199&gt;NYears*12,"",IF(MOD($D199,3)=0,SUM($J197:$J199),0))</f>
        <v/>
      </c>
      <c r="M199" s="35">
        <f>IF($A199&gt;NYears*12,"",IF(TaxFreq="Quarterly",$K199*12/$D199,$K199))</f>
        <v/>
      </c>
      <c r="N199" s="36">
        <f>IF($A199&gt;NYears*12,"",LOOKUP($M199,TaxLower,TaxRate))</f>
        <v/>
      </c>
      <c r="O199" s="35">
        <f>IF($A199&gt;NYears*12,"",IF(TaxFreq="Quarterly",IF(MOD($D199,3)=0,$L199*$N199,0),IF($D199=12,$K199*$N199,0)))</f>
        <v/>
      </c>
      <c r="P199" s="35">
        <f>IF($A199&gt;NYears*12,"",IF($D199=1,$O199,$P198+$O199))</f>
        <v/>
      </c>
      <c r="Q199" s="35">
        <f>IF($A199&gt;NYears*12,"",IF($D199=12,MIN(WdrPct*IF(WdrBase="Post-tax profit",$K199-$P199,$K199),WdrCap),0))</f>
        <v/>
      </c>
      <c r="R199" s="35">
        <f>IF($A199&gt;NYears*12,"",$F199+$J199-$O199-$Q199)</f>
        <v/>
      </c>
      <c r="S199" s="33">
        <f>IF($A199&gt;NYears*12,"",INT($R199/$E199))</f>
        <v/>
      </c>
    </row>
    <row r="200">
      <c r="A200" s="33">
        <f>196</f>
        <v/>
      </c>
      <c r="B200" s="34">
        <f>IF($A200&gt;NYears*12,"",EDATE(StartMonth,$A200-1))</f>
        <v/>
      </c>
      <c r="C200" s="33">
        <f>IF($A200&gt;NYears*12,"",INT(($A200-1)/12)+1)</f>
        <v/>
      </c>
      <c r="D200" s="33">
        <f>IF($A200&gt;NYears*12,"",MOD($A200-1,12)+1)</f>
        <v/>
      </c>
      <c r="E200" s="35">
        <f>IF($A200&gt;NYears*12,"",LotValue0*(1+LotGrowth)^($C200-1))</f>
        <v/>
      </c>
      <c r="F200" s="35">
        <f>IF($A200&gt;NYears*12,"",IF($A200=1,InitInvest,$R199))</f>
        <v/>
      </c>
      <c r="G200" s="33">
        <f>IF($A200&gt;NYears*12,"",INT($F200/$E200))</f>
        <v/>
      </c>
      <c r="H200" s="35">
        <f>IF($A200&gt;NYears*12,"",$G200*$E200)</f>
        <v/>
      </c>
      <c r="I200" s="35">
        <f>IF($A200&gt;NYears*12,"",$F200-$H200)</f>
        <v/>
      </c>
      <c r="J200" s="35">
        <f>IF($A200&gt;NYears*12,"",$H200*RateC)</f>
        <v/>
      </c>
      <c r="K200" s="35">
        <f>IF($A200&gt;NYears*12,"",IF($D200=1,$J200,$K199+$J200))</f>
        <v/>
      </c>
      <c r="L200" s="35">
        <f>IF($A200&gt;NYears*12,"",IF(MOD($D200,3)=0,SUM($J198:$J200),0))</f>
        <v/>
      </c>
      <c r="M200" s="35">
        <f>IF($A200&gt;NYears*12,"",IF(TaxFreq="Quarterly",$K200*12/$D200,$K200))</f>
        <v/>
      </c>
      <c r="N200" s="36">
        <f>IF($A200&gt;NYears*12,"",LOOKUP($M200,TaxLower,TaxRate))</f>
        <v/>
      </c>
      <c r="O200" s="35">
        <f>IF($A200&gt;NYears*12,"",IF(TaxFreq="Quarterly",IF(MOD($D200,3)=0,$L200*$N200,0),IF($D200=12,$K200*$N200,0)))</f>
        <v/>
      </c>
      <c r="P200" s="35">
        <f>IF($A200&gt;NYears*12,"",IF($D200=1,$O200,$P199+$O200))</f>
        <v/>
      </c>
      <c r="Q200" s="35">
        <f>IF($A200&gt;NYears*12,"",IF($D200=12,MIN(WdrPct*IF(WdrBase="Post-tax profit",$K200-$P200,$K200),WdrCap),0))</f>
        <v/>
      </c>
      <c r="R200" s="35">
        <f>IF($A200&gt;NYears*12,"",$F200+$J200-$O200-$Q200)</f>
        <v/>
      </c>
      <c r="S200" s="33">
        <f>IF($A200&gt;NYears*12,"",INT($R200/$E200))</f>
        <v/>
      </c>
    </row>
    <row r="201">
      <c r="A201" s="33">
        <f>197</f>
        <v/>
      </c>
      <c r="B201" s="34">
        <f>IF($A201&gt;NYears*12,"",EDATE(StartMonth,$A201-1))</f>
        <v/>
      </c>
      <c r="C201" s="33">
        <f>IF($A201&gt;NYears*12,"",INT(($A201-1)/12)+1)</f>
        <v/>
      </c>
      <c r="D201" s="33">
        <f>IF($A201&gt;NYears*12,"",MOD($A201-1,12)+1)</f>
        <v/>
      </c>
      <c r="E201" s="35">
        <f>IF($A201&gt;NYears*12,"",LotValue0*(1+LotGrowth)^($C201-1))</f>
        <v/>
      </c>
      <c r="F201" s="35">
        <f>IF($A201&gt;NYears*12,"",IF($A201=1,InitInvest,$R200))</f>
        <v/>
      </c>
      <c r="G201" s="33">
        <f>IF($A201&gt;NYears*12,"",INT($F201/$E201))</f>
        <v/>
      </c>
      <c r="H201" s="35">
        <f>IF($A201&gt;NYears*12,"",$G201*$E201)</f>
        <v/>
      </c>
      <c r="I201" s="35">
        <f>IF($A201&gt;NYears*12,"",$F201-$H201)</f>
        <v/>
      </c>
      <c r="J201" s="35">
        <f>IF($A201&gt;NYears*12,"",$H201*RateC)</f>
        <v/>
      </c>
      <c r="K201" s="35">
        <f>IF($A201&gt;NYears*12,"",IF($D201=1,$J201,$K200+$J201))</f>
        <v/>
      </c>
      <c r="L201" s="35">
        <f>IF($A201&gt;NYears*12,"",IF(MOD($D201,3)=0,SUM($J199:$J201),0))</f>
        <v/>
      </c>
      <c r="M201" s="35">
        <f>IF($A201&gt;NYears*12,"",IF(TaxFreq="Quarterly",$K201*12/$D201,$K201))</f>
        <v/>
      </c>
      <c r="N201" s="36">
        <f>IF($A201&gt;NYears*12,"",LOOKUP($M201,TaxLower,TaxRate))</f>
        <v/>
      </c>
      <c r="O201" s="35">
        <f>IF($A201&gt;NYears*12,"",IF(TaxFreq="Quarterly",IF(MOD($D201,3)=0,$L201*$N201,0),IF($D201=12,$K201*$N201,0)))</f>
        <v/>
      </c>
      <c r="P201" s="35">
        <f>IF($A201&gt;NYears*12,"",IF($D201=1,$O201,$P200+$O201))</f>
        <v/>
      </c>
      <c r="Q201" s="35">
        <f>IF($A201&gt;NYears*12,"",IF($D201=12,MIN(WdrPct*IF(WdrBase="Post-tax profit",$K201-$P201,$K201),WdrCap),0))</f>
        <v/>
      </c>
      <c r="R201" s="35">
        <f>IF($A201&gt;NYears*12,"",$F201+$J201-$O201-$Q201)</f>
        <v/>
      </c>
      <c r="S201" s="33">
        <f>IF($A201&gt;NYears*12,"",INT($R201/$E201))</f>
        <v/>
      </c>
    </row>
    <row r="202">
      <c r="A202" s="33">
        <f>198</f>
        <v/>
      </c>
      <c r="B202" s="34">
        <f>IF($A202&gt;NYears*12,"",EDATE(StartMonth,$A202-1))</f>
        <v/>
      </c>
      <c r="C202" s="33">
        <f>IF($A202&gt;NYears*12,"",INT(($A202-1)/12)+1)</f>
        <v/>
      </c>
      <c r="D202" s="33">
        <f>IF($A202&gt;NYears*12,"",MOD($A202-1,12)+1)</f>
        <v/>
      </c>
      <c r="E202" s="35">
        <f>IF($A202&gt;NYears*12,"",LotValue0*(1+LotGrowth)^($C202-1))</f>
        <v/>
      </c>
      <c r="F202" s="35">
        <f>IF($A202&gt;NYears*12,"",IF($A202=1,InitInvest,$R201))</f>
        <v/>
      </c>
      <c r="G202" s="33">
        <f>IF($A202&gt;NYears*12,"",INT($F202/$E202))</f>
        <v/>
      </c>
      <c r="H202" s="35">
        <f>IF($A202&gt;NYears*12,"",$G202*$E202)</f>
        <v/>
      </c>
      <c r="I202" s="35">
        <f>IF($A202&gt;NYears*12,"",$F202-$H202)</f>
        <v/>
      </c>
      <c r="J202" s="35">
        <f>IF($A202&gt;NYears*12,"",$H202*RateC)</f>
        <v/>
      </c>
      <c r="K202" s="35">
        <f>IF($A202&gt;NYears*12,"",IF($D202=1,$J202,$K201+$J202))</f>
        <v/>
      </c>
      <c r="L202" s="35">
        <f>IF($A202&gt;NYears*12,"",IF(MOD($D202,3)=0,SUM($J200:$J202),0))</f>
        <v/>
      </c>
      <c r="M202" s="35">
        <f>IF($A202&gt;NYears*12,"",IF(TaxFreq="Quarterly",$K202*12/$D202,$K202))</f>
        <v/>
      </c>
      <c r="N202" s="36">
        <f>IF($A202&gt;NYears*12,"",LOOKUP($M202,TaxLower,TaxRate))</f>
        <v/>
      </c>
      <c r="O202" s="35">
        <f>IF($A202&gt;NYears*12,"",IF(TaxFreq="Quarterly",IF(MOD($D202,3)=0,$L202*$N202,0),IF($D202=12,$K202*$N202,0)))</f>
        <v/>
      </c>
      <c r="P202" s="35">
        <f>IF($A202&gt;NYears*12,"",IF($D202=1,$O202,$P201+$O202))</f>
        <v/>
      </c>
      <c r="Q202" s="35">
        <f>IF($A202&gt;NYears*12,"",IF($D202=12,MIN(WdrPct*IF(WdrBase="Post-tax profit",$K202-$P202,$K202),WdrCap),0))</f>
        <v/>
      </c>
      <c r="R202" s="35">
        <f>IF($A202&gt;NYears*12,"",$F202+$J202-$O202-$Q202)</f>
        <v/>
      </c>
      <c r="S202" s="33">
        <f>IF($A202&gt;NYears*12,"",INT($R202/$E202))</f>
        <v/>
      </c>
    </row>
    <row r="203">
      <c r="A203" s="33">
        <f>199</f>
        <v/>
      </c>
      <c r="B203" s="34">
        <f>IF($A203&gt;NYears*12,"",EDATE(StartMonth,$A203-1))</f>
        <v/>
      </c>
      <c r="C203" s="33">
        <f>IF($A203&gt;NYears*12,"",INT(($A203-1)/12)+1)</f>
        <v/>
      </c>
      <c r="D203" s="33">
        <f>IF($A203&gt;NYears*12,"",MOD($A203-1,12)+1)</f>
        <v/>
      </c>
      <c r="E203" s="35">
        <f>IF($A203&gt;NYears*12,"",LotValue0*(1+LotGrowth)^($C203-1))</f>
        <v/>
      </c>
      <c r="F203" s="35">
        <f>IF($A203&gt;NYears*12,"",IF($A203=1,InitInvest,$R202))</f>
        <v/>
      </c>
      <c r="G203" s="33">
        <f>IF($A203&gt;NYears*12,"",INT($F203/$E203))</f>
        <v/>
      </c>
      <c r="H203" s="35">
        <f>IF($A203&gt;NYears*12,"",$G203*$E203)</f>
        <v/>
      </c>
      <c r="I203" s="35">
        <f>IF($A203&gt;NYears*12,"",$F203-$H203)</f>
        <v/>
      </c>
      <c r="J203" s="35">
        <f>IF($A203&gt;NYears*12,"",$H203*RateC)</f>
        <v/>
      </c>
      <c r="K203" s="35">
        <f>IF($A203&gt;NYears*12,"",IF($D203=1,$J203,$K202+$J203))</f>
        <v/>
      </c>
      <c r="L203" s="35">
        <f>IF($A203&gt;NYears*12,"",IF(MOD($D203,3)=0,SUM($J201:$J203),0))</f>
        <v/>
      </c>
      <c r="M203" s="35">
        <f>IF($A203&gt;NYears*12,"",IF(TaxFreq="Quarterly",$K203*12/$D203,$K203))</f>
        <v/>
      </c>
      <c r="N203" s="36">
        <f>IF($A203&gt;NYears*12,"",LOOKUP($M203,TaxLower,TaxRate))</f>
        <v/>
      </c>
      <c r="O203" s="35">
        <f>IF($A203&gt;NYears*12,"",IF(TaxFreq="Quarterly",IF(MOD($D203,3)=0,$L203*$N203,0),IF($D203=12,$K203*$N203,0)))</f>
        <v/>
      </c>
      <c r="P203" s="35">
        <f>IF($A203&gt;NYears*12,"",IF($D203=1,$O203,$P202+$O203))</f>
        <v/>
      </c>
      <c r="Q203" s="35">
        <f>IF($A203&gt;NYears*12,"",IF($D203=12,MIN(WdrPct*IF(WdrBase="Post-tax profit",$K203-$P203,$K203),WdrCap),0))</f>
        <v/>
      </c>
      <c r="R203" s="35">
        <f>IF($A203&gt;NYears*12,"",$F203+$J203-$O203-$Q203)</f>
        <v/>
      </c>
      <c r="S203" s="33">
        <f>IF($A203&gt;NYears*12,"",INT($R203/$E203))</f>
        <v/>
      </c>
    </row>
    <row r="204">
      <c r="A204" s="33">
        <f>200</f>
        <v/>
      </c>
      <c r="B204" s="34">
        <f>IF($A204&gt;NYears*12,"",EDATE(StartMonth,$A204-1))</f>
        <v/>
      </c>
      <c r="C204" s="33">
        <f>IF($A204&gt;NYears*12,"",INT(($A204-1)/12)+1)</f>
        <v/>
      </c>
      <c r="D204" s="33">
        <f>IF($A204&gt;NYears*12,"",MOD($A204-1,12)+1)</f>
        <v/>
      </c>
      <c r="E204" s="35">
        <f>IF($A204&gt;NYears*12,"",LotValue0*(1+LotGrowth)^($C204-1))</f>
        <v/>
      </c>
      <c r="F204" s="35">
        <f>IF($A204&gt;NYears*12,"",IF($A204=1,InitInvest,$R203))</f>
        <v/>
      </c>
      <c r="G204" s="33">
        <f>IF($A204&gt;NYears*12,"",INT($F204/$E204))</f>
        <v/>
      </c>
      <c r="H204" s="35">
        <f>IF($A204&gt;NYears*12,"",$G204*$E204)</f>
        <v/>
      </c>
      <c r="I204" s="35">
        <f>IF($A204&gt;NYears*12,"",$F204-$H204)</f>
        <v/>
      </c>
      <c r="J204" s="35">
        <f>IF($A204&gt;NYears*12,"",$H204*RateC)</f>
        <v/>
      </c>
      <c r="K204" s="35">
        <f>IF($A204&gt;NYears*12,"",IF($D204=1,$J204,$K203+$J204))</f>
        <v/>
      </c>
      <c r="L204" s="35">
        <f>IF($A204&gt;NYears*12,"",IF(MOD($D204,3)=0,SUM($J202:$J204),0))</f>
        <v/>
      </c>
      <c r="M204" s="35">
        <f>IF($A204&gt;NYears*12,"",IF(TaxFreq="Quarterly",$K204*12/$D204,$K204))</f>
        <v/>
      </c>
      <c r="N204" s="36">
        <f>IF($A204&gt;NYears*12,"",LOOKUP($M204,TaxLower,TaxRate))</f>
        <v/>
      </c>
      <c r="O204" s="35">
        <f>IF($A204&gt;NYears*12,"",IF(TaxFreq="Quarterly",IF(MOD($D204,3)=0,$L204*$N204,0),IF($D204=12,$K204*$N204,0)))</f>
        <v/>
      </c>
      <c r="P204" s="35">
        <f>IF($A204&gt;NYears*12,"",IF($D204=1,$O204,$P203+$O204))</f>
        <v/>
      </c>
      <c r="Q204" s="35">
        <f>IF($A204&gt;NYears*12,"",IF($D204=12,MIN(WdrPct*IF(WdrBase="Post-tax profit",$K204-$P204,$K204),WdrCap),0))</f>
        <v/>
      </c>
      <c r="R204" s="35">
        <f>IF($A204&gt;NYears*12,"",$F204+$J204-$O204-$Q204)</f>
        <v/>
      </c>
      <c r="S204" s="33">
        <f>IF($A204&gt;NYears*12,"",INT($R204/$E204))</f>
        <v/>
      </c>
    </row>
    <row r="205">
      <c r="A205" s="33">
        <f>201</f>
        <v/>
      </c>
      <c r="B205" s="34">
        <f>IF($A205&gt;NYears*12,"",EDATE(StartMonth,$A205-1))</f>
        <v/>
      </c>
      <c r="C205" s="33">
        <f>IF($A205&gt;NYears*12,"",INT(($A205-1)/12)+1)</f>
        <v/>
      </c>
      <c r="D205" s="33">
        <f>IF($A205&gt;NYears*12,"",MOD($A205-1,12)+1)</f>
        <v/>
      </c>
      <c r="E205" s="35">
        <f>IF($A205&gt;NYears*12,"",LotValue0*(1+LotGrowth)^($C205-1))</f>
        <v/>
      </c>
      <c r="F205" s="35">
        <f>IF($A205&gt;NYears*12,"",IF($A205=1,InitInvest,$R204))</f>
        <v/>
      </c>
      <c r="G205" s="33">
        <f>IF($A205&gt;NYears*12,"",INT($F205/$E205))</f>
        <v/>
      </c>
      <c r="H205" s="35">
        <f>IF($A205&gt;NYears*12,"",$G205*$E205)</f>
        <v/>
      </c>
      <c r="I205" s="35">
        <f>IF($A205&gt;NYears*12,"",$F205-$H205)</f>
        <v/>
      </c>
      <c r="J205" s="35">
        <f>IF($A205&gt;NYears*12,"",$H205*RateC)</f>
        <v/>
      </c>
      <c r="K205" s="35">
        <f>IF($A205&gt;NYears*12,"",IF($D205=1,$J205,$K204+$J205))</f>
        <v/>
      </c>
      <c r="L205" s="35">
        <f>IF($A205&gt;NYears*12,"",IF(MOD($D205,3)=0,SUM($J203:$J205),0))</f>
        <v/>
      </c>
      <c r="M205" s="35">
        <f>IF($A205&gt;NYears*12,"",IF(TaxFreq="Quarterly",$K205*12/$D205,$K205))</f>
        <v/>
      </c>
      <c r="N205" s="36">
        <f>IF($A205&gt;NYears*12,"",LOOKUP($M205,TaxLower,TaxRate))</f>
        <v/>
      </c>
      <c r="O205" s="35">
        <f>IF($A205&gt;NYears*12,"",IF(TaxFreq="Quarterly",IF(MOD($D205,3)=0,$L205*$N205,0),IF($D205=12,$K205*$N205,0)))</f>
        <v/>
      </c>
      <c r="P205" s="35">
        <f>IF($A205&gt;NYears*12,"",IF($D205=1,$O205,$P204+$O205))</f>
        <v/>
      </c>
      <c r="Q205" s="35">
        <f>IF($A205&gt;NYears*12,"",IF($D205=12,MIN(WdrPct*IF(WdrBase="Post-tax profit",$K205-$P205,$K205),WdrCap),0))</f>
        <v/>
      </c>
      <c r="R205" s="35">
        <f>IF($A205&gt;NYears*12,"",$F205+$J205-$O205-$Q205)</f>
        <v/>
      </c>
      <c r="S205" s="33">
        <f>IF($A205&gt;NYears*12,"",INT($R205/$E205))</f>
        <v/>
      </c>
    </row>
    <row r="206">
      <c r="A206" s="33">
        <f>202</f>
        <v/>
      </c>
      <c r="B206" s="34">
        <f>IF($A206&gt;NYears*12,"",EDATE(StartMonth,$A206-1))</f>
        <v/>
      </c>
      <c r="C206" s="33">
        <f>IF($A206&gt;NYears*12,"",INT(($A206-1)/12)+1)</f>
        <v/>
      </c>
      <c r="D206" s="33">
        <f>IF($A206&gt;NYears*12,"",MOD($A206-1,12)+1)</f>
        <v/>
      </c>
      <c r="E206" s="35">
        <f>IF($A206&gt;NYears*12,"",LotValue0*(1+LotGrowth)^($C206-1))</f>
        <v/>
      </c>
      <c r="F206" s="35">
        <f>IF($A206&gt;NYears*12,"",IF($A206=1,InitInvest,$R205))</f>
        <v/>
      </c>
      <c r="G206" s="33">
        <f>IF($A206&gt;NYears*12,"",INT($F206/$E206))</f>
        <v/>
      </c>
      <c r="H206" s="35">
        <f>IF($A206&gt;NYears*12,"",$G206*$E206)</f>
        <v/>
      </c>
      <c r="I206" s="35">
        <f>IF($A206&gt;NYears*12,"",$F206-$H206)</f>
        <v/>
      </c>
      <c r="J206" s="35">
        <f>IF($A206&gt;NYears*12,"",$H206*RateC)</f>
        <v/>
      </c>
      <c r="K206" s="35">
        <f>IF($A206&gt;NYears*12,"",IF($D206=1,$J206,$K205+$J206))</f>
        <v/>
      </c>
      <c r="L206" s="35">
        <f>IF($A206&gt;NYears*12,"",IF(MOD($D206,3)=0,SUM($J204:$J206),0))</f>
        <v/>
      </c>
      <c r="M206" s="35">
        <f>IF($A206&gt;NYears*12,"",IF(TaxFreq="Quarterly",$K206*12/$D206,$K206))</f>
        <v/>
      </c>
      <c r="N206" s="36">
        <f>IF($A206&gt;NYears*12,"",LOOKUP($M206,TaxLower,TaxRate))</f>
        <v/>
      </c>
      <c r="O206" s="35">
        <f>IF($A206&gt;NYears*12,"",IF(TaxFreq="Quarterly",IF(MOD($D206,3)=0,$L206*$N206,0),IF($D206=12,$K206*$N206,0)))</f>
        <v/>
      </c>
      <c r="P206" s="35">
        <f>IF($A206&gt;NYears*12,"",IF($D206=1,$O206,$P205+$O206))</f>
        <v/>
      </c>
      <c r="Q206" s="35">
        <f>IF($A206&gt;NYears*12,"",IF($D206=12,MIN(WdrPct*IF(WdrBase="Post-tax profit",$K206-$P206,$K206),WdrCap),0))</f>
        <v/>
      </c>
      <c r="R206" s="35">
        <f>IF($A206&gt;NYears*12,"",$F206+$J206-$O206-$Q206)</f>
        <v/>
      </c>
      <c r="S206" s="33">
        <f>IF($A206&gt;NYears*12,"",INT($R206/$E206))</f>
        <v/>
      </c>
    </row>
    <row r="207">
      <c r="A207" s="33">
        <f>203</f>
        <v/>
      </c>
      <c r="B207" s="34">
        <f>IF($A207&gt;NYears*12,"",EDATE(StartMonth,$A207-1))</f>
        <v/>
      </c>
      <c r="C207" s="33">
        <f>IF($A207&gt;NYears*12,"",INT(($A207-1)/12)+1)</f>
        <v/>
      </c>
      <c r="D207" s="33">
        <f>IF($A207&gt;NYears*12,"",MOD($A207-1,12)+1)</f>
        <v/>
      </c>
      <c r="E207" s="35">
        <f>IF($A207&gt;NYears*12,"",LotValue0*(1+LotGrowth)^($C207-1))</f>
        <v/>
      </c>
      <c r="F207" s="35">
        <f>IF($A207&gt;NYears*12,"",IF($A207=1,InitInvest,$R206))</f>
        <v/>
      </c>
      <c r="G207" s="33">
        <f>IF($A207&gt;NYears*12,"",INT($F207/$E207))</f>
        <v/>
      </c>
      <c r="H207" s="35">
        <f>IF($A207&gt;NYears*12,"",$G207*$E207)</f>
        <v/>
      </c>
      <c r="I207" s="35">
        <f>IF($A207&gt;NYears*12,"",$F207-$H207)</f>
        <v/>
      </c>
      <c r="J207" s="35">
        <f>IF($A207&gt;NYears*12,"",$H207*RateC)</f>
        <v/>
      </c>
      <c r="K207" s="35">
        <f>IF($A207&gt;NYears*12,"",IF($D207=1,$J207,$K206+$J207))</f>
        <v/>
      </c>
      <c r="L207" s="35">
        <f>IF($A207&gt;NYears*12,"",IF(MOD($D207,3)=0,SUM($J205:$J207),0))</f>
        <v/>
      </c>
      <c r="M207" s="35">
        <f>IF($A207&gt;NYears*12,"",IF(TaxFreq="Quarterly",$K207*12/$D207,$K207))</f>
        <v/>
      </c>
      <c r="N207" s="36">
        <f>IF($A207&gt;NYears*12,"",LOOKUP($M207,TaxLower,TaxRate))</f>
        <v/>
      </c>
      <c r="O207" s="35">
        <f>IF($A207&gt;NYears*12,"",IF(TaxFreq="Quarterly",IF(MOD($D207,3)=0,$L207*$N207,0),IF($D207=12,$K207*$N207,0)))</f>
        <v/>
      </c>
      <c r="P207" s="35">
        <f>IF($A207&gt;NYears*12,"",IF($D207=1,$O207,$P206+$O207))</f>
        <v/>
      </c>
      <c r="Q207" s="35">
        <f>IF($A207&gt;NYears*12,"",IF($D207=12,MIN(WdrPct*IF(WdrBase="Post-tax profit",$K207-$P207,$K207),WdrCap),0))</f>
        <v/>
      </c>
      <c r="R207" s="35">
        <f>IF($A207&gt;NYears*12,"",$F207+$J207-$O207-$Q207)</f>
        <v/>
      </c>
      <c r="S207" s="33">
        <f>IF($A207&gt;NYears*12,"",INT($R207/$E207))</f>
        <v/>
      </c>
    </row>
    <row r="208">
      <c r="A208" s="37">
        <f>204</f>
        <v/>
      </c>
      <c r="B208" s="38">
        <f>IF($A208&gt;NYears*12,"",EDATE(StartMonth,$A208-1))</f>
        <v/>
      </c>
      <c r="C208" s="37">
        <f>IF($A208&gt;NYears*12,"",INT(($A208-1)/12)+1)</f>
        <v/>
      </c>
      <c r="D208" s="37">
        <f>IF($A208&gt;NYears*12,"",MOD($A208-1,12)+1)</f>
        <v/>
      </c>
      <c r="E208" s="39">
        <f>IF($A208&gt;NYears*12,"",LotValue0*(1+LotGrowth)^($C208-1))</f>
        <v/>
      </c>
      <c r="F208" s="39">
        <f>IF($A208&gt;NYears*12,"",IF($A208=1,InitInvest,$R207))</f>
        <v/>
      </c>
      <c r="G208" s="37">
        <f>IF($A208&gt;NYears*12,"",INT($F208/$E208))</f>
        <v/>
      </c>
      <c r="H208" s="39">
        <f>IF($A208&gt;NYears*12,"",$G208*$E208)</f>
        <v/>
      </c>
      <c r="I208" s="39">
        <f>IF($A208&gt;NYears*12,"",$F208-$H208)</f>
        <v/>
      </c>
      <c r="J208" s="39">
        <f>IF($A208&gt;NYears*12,"",$H208*RateC)</f>
        <v/>
      </c>
      <c r="K208" s="39">
        <f>IF($A208&gt;NYears*12,"",IF($D208=1,$J208,$K207+$J208))</f>
        <v/>
      </c>
      <c r="L208" s="39">
        <f>IF($A208&gt;NYears*12,"",IF(MOD($D208,3)=0,SUM($J206:$J208),0))</f>
        <v/>
      </c>
      <c r="M208" s="39">
        <f>IF($A208&gt;NYears*12,"",IF(TaxFreq="Quarterly",$K208*12/$D208,$K208))</f>
        <v/>
      </c>
      <c r="N208" s="40">
        <f>IF($A208&gt;NYears*12,"",LOOKUP($M208,TaxLower,TaxRate))</f>
        <v/>
      </c>
      <c r="O208" s="39">
        <f>IF($A208&gt;NYears*12,"",IF(TaxFreq="Quarterly",IF(MOD($D208,3)=0,$L208*$N208,0),IF($D208=12,$K208*$N208,0)))</f>
        <v/>
      </c>
      <c r="P208" s="39">
        <f>IF($A208&gt;NYears*12,"",IF($D208=1,$O208,$P207+$O208))</f>
        <v/>
      </c>
      <c r="Q208" s="39">
        <f>IF($A208&gt;NYears*12,"",IF($D208=12,MIN(WdrPct*IF(WdrBase="Post-tax profit",$K208-$P208,$K208),WdrCap),0))</f>
        <v/>
      </c>
      <c r="R208" s="39">
        <f>IF($A208&gt;NYears*12,"",$F208+$J208-$O208-$Q208)</f>
        <v/>
      </c>
      <c r="S208" s="37">
        <f>IF($A208&gt;NYears*12,"",INT($R208/$E208))</f>
        <v/>
      </c>
    </row>
    <row r="209">
      <c r="A209" s="33">
        <f>205</f>
        <v/>
      </c>
      <c r="B209" s="34">
        <f>IF($A209&gt;NYears*12,"",EDATE(StartMonth,$A209-1))</f>
        <v/>
      </c>
      <c r="C209" s="33">
        <f>IF($A209&gt;NYears*12,"",INT(($A209-1)/12)+1)</f>
        <v/>
      </c>
      <c r="D209" s="33">
        <f>IF($A209&gt;NYears*12,"",MOD($A209-1,12)+1)</f>
        <v/>
      </c>
      <c r="E209" s="35">
        <f>IF($A209&gt;NYears*12,"",LotValue0*(1+LotGrowth)^($C209-1))</f>
        <v/>
      </c>
      <c r="F209" s="35">
        <f>IF($A209&gt;NYears*12,"",IF($A209=1,InitInvest,$R208))</f>
        <v/>
      </c>
      <c r="G209" s="33">
        <f>IF($A209&gt;NYears*12,"",INT($F209/$E209))</f>
        <v/>
      </c>
      <c r="H209" s="35">
        <f>IF($A209&gt;NYears*12,"",$G209*$E209)</f>
        <v/>
      </c>
      <c r="I209" s="35">
        <f>IF($A209&gt;NYears*12,"",$F209-$H209)</f>
        <v/>
      </c>
      <c r="J209" s="35">
        <f>IF($A209&gt;NYears*12,"",$H209*RateC)</f>
        <v/>
      </c>
      <c r="K209" s="35">
        <f>IF($A209&gt;NYears*12,"",IF($D209=1,$J209,$K208+$J209))</f>
        <v/>
      </c>
      <c r="L209" s="35">
        <f>IF($A209&gt;NYears*12,"",IF(MOD($D209,3)=0,SUM($J207:$J209),0))</f>
        <v/>
      </c>
      <c r="M209" s="35">
        <f>IF($A209&gt;NYears*12,"",IF(TaxFreq="Quarterly",$K209*12/$D209,$K209))</f>
        <v/>
      </c>
      <c r="N209" s="36">
        <f>IF($A209&gt;NYears*12,"",LOOKUP($M209,TaxLower,TaxRate))</f>
        <v/>
      </c>
      <c r="O209" s="35">
        <f>IF($A209&gt;NYears*12,"",IF(TaxFreq="Quarterly",IF(MOD($D209,3)=0,$L209*$N209,0),IF($D209=12,$K209*$N209,0)))</f>
        <v/>
      </c>
      <c r="P209" s="35">
        <f>IF($A209&gt;NYears*12,"",IF($D209=1,$O209,$P208+$O209))</f>
        <v/>
      </c>
      <c r="Q209" s="35">
        <f>IF($A209&gt;NYears*12,"",IF($D209=12,MIN(WdrPct*IF(WdrBase="Post-tax profit",$K209-$P209,$K209),WdrCap),0))</f>
        <v/>
      </c>
      <c r="R209" s="35">
        <f>IF($A209&gt;NYears*12,"",$F209+$J209-$O209-$Q209)</f>
        <v/>
      </c>
      <c r="S209" s="33">
        <f>IF($A209&gt;NYears*12,"",INT($R209/$E209))</f>
        <v/>
      </c>
    </row>
    <row r="210">
      <c r="A210" s="33">
        <f>206</f>
        <v/>
      </c>
      <c r="B210" s="34">
        <f>IF($A210&gt;NYears*12,"",EDATE(StartMonth,$A210-1))</f>
        <v/>
      </c>
      <c r="C210" s="33">
        <f>IF($A210&gt;NYears*12,"",INT(($A210-1)/12)+1)</f>
        <v/>
      </c>
      <c r="D210" s="33">
        <f>IF($A210&gt;NYears*12,"",MOD($A210-1,12)+1)</f>
        <v/>
      </c>
      <c r="E210" s="35">
        <f>IF($A210&gt;NYears*12,"",LotValue0*(1+LotGrowth)^($C210-1))</f>
        <v/>
      </c>
      <c r="F210" s="35">
        <f>IF($A210&gt;NYears*12,"",IF($A210=1,InitInvest,$R209))</f>
        <v/>
      </c>
      <c r="G210" s="33">
        <f>IF($A210&gt;NYears*12,"",INT($F210/$E210))</f>
        <v/>
      </c>
      <c r="H210" s="35">
        <f>IF($A210&gt;NYears*12,"",$G210*$E210)</f>
        <v/>
      </c>
      <c r="I210" s="35">
        <f>IF($A210&gt;NYears*12,"",$F210-$H210)</f>
        <v/>
      </c>
      <c r="J210" s="35">
        <f>IF($A210&gt;NYears*12,"",$H210*RateC)</f>
        <v/>
      </c>
      <c r="K210" s="35">
        <f>IF($A210&gt;NYears*12,"",IF($D210=1,$J210,$K209+$J210))</f>
        <v/>
      </c>
      <c r="L210" s="35">
        <f>IF($A210&gt;NYears*12,"",IF(MOD($D210,3)=0,SUM($J208:$J210),0))</f>
        <v/>
      </c>
      <c r="M210" s="35">
        <f>IF($A210&gt;NYears*12,"",IF(TaxFreq="Quarterly",$K210*12/$D210,$K210))</f>
        <v/>
      </c>
      <c r="N210" s="36">
        <f>IF($A210&gt;NYears*12,"",LOOKUP($M210,TaxLower,TaxRate))</f>
        <v/>
      </c>
      <c r="O210" s="35">
        <f>IF($A210&gt;NYears*12,"",IF(TaxFreq="Quarterly",IF(MOD($D210,3)=0,$L210*$N210,0),IF($D210=12,$K210*$N210,0)))</f>
        <v/>
      </c>
      <c r="P210" s="35">
        <f>IF($A210&gt;NYears*12,"",IF($D210=1,$O210,$P209+$O210))</f>
        <v/>
      </c>
      <c r="Q210" s="35">
        <f>IF($A210&gt;NYears*12,"",IF($D210=12,MIN(WdrPct*IF(WdrBase="Post-tax profit",$K210-$P210,$K210),WdrCap),0))</f>
        <v/>
      </c>
      <c r="R210" s="35">
        <f>IF($A210&gt;NYears*12,"",$F210+$J210-$O210-$Q210)</f>
        <v/>
      </c>
      <c r="S210" s="33">
        <f>IF($A210&gt;NYears*12,"",INT($R210/$E210))</f>
        <v/>
      </c>
    </row>
    <row r="211">
      <c r="A211" s="33">
        <f>207</f>
        <v/>
      </c>
      <c r="B211" s="34">
        <f>IF($A211&gt;NYears*12,"",EDATE(StartMonth,$A211-1))</f>
        <v/>
      </c>
      <c r="C211" s="33">
        <f>IF($A211&gt;NYears*12,"",INT(($A211-1)/12)+1)</f>
        <v/>
      </c>
      <c r="D211" s="33">
        <f>IF($A211&gt;NYears*12,"",MOD($A211-1,12)+1)</f>
        <v/>
      </c>
      <c r="E211" s="35">
        <f>IF($A211&gt;NYears*12,"",LotValue0*(1+LotGrowth)^($C211-1))</f>
        <v/>
      </c>
      <c r="F211" s="35">
        <f>IF($A211&gt;NYears*12,"",IF($A211=1,InitInvest,$R210))</f>
        <v/>
      </c>
      <c r="G211" s="33">
        <f>IF($A211&gt;NYears*12,"",INT($F211/$E211))</f>
        <v/>
      </c>
      <c r="H211" s="35">
        <f>IF($A211&gt;NYears*12,"",$G211*$E211)</f>
        <v/>
      </c>
      <c r="I211" s="35">
        <f>IF($A211&gt;NYears*12,"",$F211-$H211)</f>
        <v/>
      </c>
      <c r="J211" s="35">
        <f>IF($A211&gt;NYears*12,"",$H211*RateC)</f>
        <v/>
      </c>
      <c r="K211" s="35">
        <f>IF($A211&gt;NYears*12,"",IF($D211=1,$J211,$K210+$J211))</f>
        <v/>
      </c>
      <c r="L211" s="35">
        <f>IF($A211&gt;NYears*12,"",IF(MOD($D211,3)=0,SUM($J209:$J211),0))</f>
        <v/>
      </c>
      <c r="M211" s="35">
        <f>IF($A211&gt;NYears*12,"",IF(TaxFreq="Quarterly",$K211*12/$D211,$K211))</f>
        <v/>
      </c>
      <c r="N211" s="36">
        <f>IF($A211&gt;NYears*12,"",LOOKUP($M211,TaxLower,TaxRate))</f>
        <v/>
      </c>
      <c r="O211" s="35">
        <f>IF($A211&gt;NYears*12,"",IF(TaxFreq="Quarterly",IF(MOD($D211,3)=0,$L211*$N211,0),IF($D211=12,$K211*$N211,0)))</f>
        <v/>
      </c>
      <c r="P211" s="35">
        <f>IF($A211&gt;NYears*12,"",IF($D211=1,$O211,$P210+$O211))</f>
        <v/>
      </c>
      <c r="Q211" s="35">
        <f>IF($A211&gt;NYears*12,"",IF($D211=12,MIN(WdrPct*IF(WdrBase="Post-tax profit",$K211-$P211,$K211),WdrCap),0))</f>
        <v/>
      </c>
      <c r="R211" s="35">
        <f>IF($A211&gt;NYears*12,"",$F211+$J211-$O211-$Q211)</f>
        <v/>
      </c>
      <c r="S211" s="33">
        <f>IF($A211&gt;NYears*12,"",INT($R211/$E211))</f>
        <v/>
      </c>
    </row>
    <row r="212">
      <c r="A212" s="33">
        <f>208</f>
        <v/>
      </c>
      <c r="B212" s="34">
        <f>IF($A212&gt;NYears*12,"",EDATE(StartMonth,$A212-1))</f>
        <v/>
      </c>
      <c r="C212" s="33">
        <f>IF($A212&gt;NYears*12,"",INT(($A212-1)/12)+1)</f>
        <v/>
      </c>
      <c r="D212" s="33">
        <f>IF($A212&gt;NYears*12,"",MOD($A212-1,12)+1)</f>
        <v/>
      </c>
      <c r="E212" s="35">
        <f>IF($A212&gt;NYears*12,"",LotValue0*(1+LotGrowth)^($C212-1))</f>
        <v/>
      </c>
      <c r="F212" s="35">
        <f>IF($A212&gt;NYears*12,"",IF($A212=1,InitInvest,$R211))</f>
        <v/>
      </c>
      <c r="G212" s="33">
        <f>IF($A212&gt;NYears*12,"",INT($F212/$E212))</f>
        <v/>
      </c>
      <c r="H212" s="35">
        <f>IF($A212&gt;NYears*12,"",$G212*$E212)</f>
        <v/>
      </c>
      <c r="I212" s="35">
        <f>IF($A212&gt;NYears*12,"",$F212-$H212)</f>
        <v/>
      </c>
      <c r="J212" s="35">
        <f>IF($A212&gt;NYears*12,"",$H212*RateC)</f>
        <v/>
      </c>
      <c r="K212" s="35">
        <f>IF($A212&gt;NYears*12,"",IF($D212=1,$J212,$K211+$J212))</f>
        <v/>
      </c>
      <c r="L212" s="35">
        <f>IF($A212&gt;NYears*12,"",IF(MOD($D212,3)=0,SUM($J210:$J212),0))</f>
        <v/>
      </c>
      <c r="M212" s="35">
        <f>IF($A212&gt;NYears*12,"",IF(TaxFreq="Quarterly",$K212*12/$D212,$K212))</f>
        <v/>
      </c>
      <c r="N212" s="36">
        <f>IF($A212&gt;NYears*12,"",LOOKUP($M212,TaxLower,TaxRate))</f>
        <v/>
      </c>
      <c r="O212" s="35">
        <f>IF($A212&gt;NYears*12,"",IF(TaxFreq="Quarterly",IF(MOD($D212,3)=0,$L212*$N212,0),IF($D212=12,$K212*$N212,0)))</f>
        <v/>
      </c>
      <c r="P212" s="35">
        <f>IF($A212&gt;NYears*12,"",IF($D212=1,$O212,$P211+$O212))</f>
        <v/>
      </c>
      <c r="Q212" s="35">
        <f>IF($A212&gt;NYears*12,"",IF($D212=12,MIN(WdrPct*IF(WdrBase="Post-tax profit",$K212-$P212,$K212),WdrCap),0))</f>
        <v/>
      </c>
      <c r="R212" s="35">
        <f>IF($A212&gt;NYears*12,"",$F212+$J212-$O212-$Q212)</f>
        <v/>
      </c>
      <c r="S212" s="33">
        <f>IF($A212&gt;NYears*12,"",INT($R212/$E212))</f>
        <v/>
      </c>
    </row>
    <row r="213">
      <c r="A213" s="33">
        <f>209</f>
        <v/>
      </c>
      <c r="B213" s="34">
        <f>IF($A213&gt;NYears*12,"",EDATE(StartMonth,$A213-1))</f>
        <v/>
      </c>
      <c r="C213" s="33">
        <f>IF($A213&gt;NYears*12,"",INT(($A213-1)/12)+1)</f>
        <v/>
      </c>
      <c r="D213" s="33">
        <f>IF($A213&gt;NYears*12,"",MOD($A213-1,12)+1)</f>
        <v/>
      </c>
      <c r="E213" s="35">
        <f>IF($A213&gt;NYears*12,"",LotValue0*(1+LotGrowth)^($C213-1))</f>
        <v/>
      </c>
      <c r="F213" s="35">
        <f>IF($A213&gt;NYears*12,"",IF($A213=1,InitInvest,$R212))</f>
        <v/>
      </c>
      <c r="G213" s="33">
        <f>IF($A213&gt;NYears*12,"",INT($F213/$E213))</f>
        <v/>
      </c>
      <c r="H213" s="35">
        <f>IF($A213&gt;NYears*12,"",$G213*$E213)</f>
        <v/>
      </c>
      <c r="I213" s="35">
        <f>IF($A213&gt;NYears*12,"",$F213-$H213)</f>
        <v/>
      </c>
      <c r="J213" s="35">
        <f>IF($A213&gt;NYears*12,"",$H213*RateC)</f>
        <v/>
      </c>
      <c r="K213" s="35">
        <f>IF($A213&gt;NYears*12,"",IF($D213=1,$J213,$K212+$J213))</f>
        <v/>
      </c>
      <c r="L213" s="35">
        <f>IF($A213&gt;NYears*12,"",IF(MOD($D213,3)=0,SUM($J211:$J213),0))</f>
        <v/>
      </c>
      <c r="M213" s="35">
        <f>IF($A213&gt;NYears*12,"",IF(TaxFreq="Quarterly",$K213*12/$D213,$K213))</f>
        <v/>
      </c>
      <c r="N213" s="36">
        <f>IF($A213&gt;NYears*12,"",LOOKUP($M213,TaxLower,TaxRate))</f>
        <v/>
      </c>
      <c r="O213" s="35">
        <f>IF($A213&gt;NYears*12,"",IF(TaxFreq="Quarterly",IF(MOD($D213,3)=0,$L213*$N213,0),IF($D213=12,$K213*$N213,0)))</f>
        <v/>
      </c>
      <c r="P213" s="35">
        <f>IF($A213&gt;NYears*12,"",IF($D213=1,$O213,$P212+$O213))</f>
        <v/>
      </c>
      <c r="Q213" s="35">
        <f>IF($A213&gt;NYears*12,"",IF($D213=12,MIN(WdrPct*IF(WdrBase="Post-tax profit",$K213-$P213,$K213),WdrCap),0))</f>
        <v/>
      </c>
      <c r="R213" s="35">
        <f>IF($A213&gt;NYears*12,"",$F213+$J213-$O213-$Q213)</f>
        <v/>
      </c>
      <c r="S213" s="33">
        <f>IF($A213&gt;NYears*12,"",INT($R213/$E213))</f>
        <v/>
      </c>
    </row>
    <row r="214">
      <c r="A214" s="33">
        <f>210</f>
        <v/>
      </c>
      <c r="B214" s="34">
        <f>IF($A214&gt;NYears*12,"",EDATE(StartMonth,$A214-1))</f>
        <v/>
      </c>
      <c r="C214" s="33">
        <f>IF($A214&gt;NYears*12,"",INT(($A214-1)/12)+1)</f>
        <v/>
      </c>
      <c r="D214" s="33">
        <f>IF($A214&gt;NYears*12,"",MOD($A214-1,12)+1)</f>
        <v/>
      </c>
      <c r="E214" s="35">
        <f>IF($A214&gt;NYears*12,"",LotValue0*(1+LotGrowth)^($C214-1))</f>
        <v/>
      </c>
      <c r="F214" s="35">
        <f>IF($A214&gt;NYears*12,"",IF($A214=1,InitInvest,$R213))</f>
        <v/>
      </c>
      <c r="G214" s="33">
        <f>IF($A214&gt;NYears*12,"",INT($F214/$E214))</f>
        <v/>
      </c>
      <c r="H214" s="35">
        <f>IF($A214&gt;NYears*12,"",$G214*$E214)</f>
        <v/>
      </c>
      <c r="I214" s="35">
        <f>IF($A214&gt;NYears*12,"",$F214-$H214)</f>
        <v/>
      </c>
      <c r="J214" s="35">
        <f>IF($A214&gt;NYears*12,"",$H214*RateC)</f>
        <v/>
      </c>
      <c r="K214" s="35">
        <f>IF($A214&gt;NYears*12,"",IF($D214=1,$J214,$K213+$J214))</f>
        <v/>
      </c>
      <c r="L214" s="35">
        <f>IF($A214&gt;NYears*12,"",IF(MOD($D214,3)=0,SUM($J212:$J214),0))</f>
        <v/>
      </c>
      <c r="M214" s="35">
        <f>IF($A214&gt;NYears*12,"",IF(TaxFreq="Quarterly",$K214*12/$D214,$K214))</f>
        <v/>
      </c>
      <c r="N214" s="36">
        <f>IF($A214&gt;NYears*12,"",LOOKUP($M214,TaxLower,TaxRate))</f>
        <v/>
      </c>
      <c r="O214" s="35">
        <f>IF($A214&gt;NYears*12,"",IF(TaxFreq="Quarterly",IF(MOD($D214,3)=0,$L214*$N214,0),IF($D214=12,$K214*$N214,0)))</f>
        <v/>
      </c>
      <c r="P214" s="35">
        <f>IF($A214&gt;NYears*12,"",IF($D214=1,$O214,$P213+$O214))</f>
        <v/>
      </c>
      <c r="Q214" s="35">
        <f>IF($A214&gt;NYears*12,"",IF($D214=12,MIN(WdrPct*IF(WdrBase="Post-tax profit",$K214-$P214,$K214),WdrCap),0))</f>
        <v/>
      </c>
      <c r="R214" s="35">
        <f>IF($A214&gt;NYears*12,"",$F214+$J214-$O214-$Q214)</f>
        <v/>
      </c>
      <c r="S214" s="33">
        <f>IF($A214&gt;NYears*12,"",INT($R214/$E214))</f>
        <v/>
      </c>
    </row>
    <row r="215">
      <c r="A215" s="33">
        <f>211</f>
        <v/>
      </c>
      <c r="B215" s="34">
        <f>IF($A215&gt;NYears*12,"",EDATE(StartMonth,$A215-1))</f>
        <v/>
      </c>
      <c r="C215" s="33">
        <f>IF($A215&gt;NYears*12,"",INT(($A215-1)/12)+1)</f>
        <v/>
      </c>
      <c r="D215" s="33">
        <f>IF($A215&gt;NYears*12,"",MOD($A215-1,12)+1)</f>
        <v/>
      </c>
      <c r="E215" s="35">
        <f>IF($A215&gt;NYears*12,"",LotValue0*(1+LotGrowth)^($C215-1))</f>
        <v/>
      </c>
      <c r="F215" s="35">
        <f>IF($A215&gt;NYears*12,"",IF($A215=1,InitInvest,$R214))</f>
        <v/>
      </c>
      <c r="G215" s="33">
        <f>IF($A215&gt;NYears*12,"",INT($F215/$E215))</f>
        <v/>
      </c>
      <c r="H215" s="35">
        <f>IF($A215&gt;NYears*12,"",$G215*$E215)</f>
        <v/>
      </c>
      <c r="I215" s="35">
        <f>IF($A215&gt;NYears*12,"",$F215-$H215)</f>
        <v/>
      </c>
      <c r="J215" s="35">
        <f>IF($A215&gt;NYears*12,"",$H215*RateC)</f>
        <v/>
      </c>
      <c r="K215" s="35">
        <f>IF($A215&gt;NYears*12,"",IF($D215=1,$J215,$K214+$J215))</f>
        <v/>
      </c>
      <c r="L215" s="35">
        <f>IF($A215&gt;NYears*12,"",IF(MOD($D215,3)=0,SUM($J213:$J215),0))</f>
        <v/>
      </c>
      <c r="M215" s="35">
        <f>IF($A215&gt;NYears*12,"",IF(TaxFreq="Quarterly",$K215*12/$D215,$K215))</f>
        <v/>
      </c>
      <c r="N215" s="36">
        <f>IF($A215&gt;NYears*12,"",LOOKUP($M215,TaxLower,TaxRate))</f>
        <v/>
      </c>
      <c r="O215" s="35">
        <f>IF($A215&gt;NYears*12,"",IF(TaxFreq="Quarterly",IF(MOD($D215,3)=0,$L215*$N215,0),IF($D215=12,$K215*$N215,0)))</f>
        <v/>
      </c>
      <c r="P215" s="35">
        <f>IF($A215&gt;NYears*12,"",IF($D215=1,$O215,$P214+$O215))</f>
        <v/>
      </c>
      <c r="Q215" s="35">
        <f>IF($A215&gt;NYears*12,"",IF($D215=12,MIN(WdrPct*IF(WdrBase="Post-tax profit",$K215-$P215,$K215),WdrCap),0))</f>
        <v/>
      </c>
      <c r="R215" s="35">
        <f>IF($A215&gt;NYears*12,"",$F215+$J215-$O215-$Q215)</f>
        <v/>
      </c>
      <c r="S215" s="33">
        <f>IF($A215&gt;NYears*12,"",INT($R215/$E215))</f>
        <v/>
      </c>
    </row>
    <row r="216">
      <c r="A216" s="33">
        <f>212</f>
        <v/>
      </c>
      <c r="B216" s="34">
        <f>IF($A216&gt;NYears*12,"",EDATE(StartMonth,$A216-1))</f>
        <v/>
      </c>
      <c r="C216" s="33">
        <f>IF($A216&gt;NYears*12,"",INT(($A216-1)/12)+1)</f>
        <v/>
      </c>
      <c r="D216" s="33">
        <f>IF($A216&gt;NYears*12,"",MOD($A216-1,12)+1)</f>
        <v/>
      </c>
      <c r="E216" s="35">
        <f>IF($A216&gt;NYears*12,"",LotValue0*(1+LotGrowth)^($C216-1))</f>
        <v/>
      </c>
      <c r="F216" s="35">
        <f>IF($A216&gt;NYears*12,"",IF($A216=1,InitInvest,$R215))</f>
        <v/>
      </c>
      <c r="G216" s="33">
        <f>IF($A216&gt;NYears*12,"",INT($F216/$E216))</f>
        <v/>
      </c>
      <c r="H216" s="35">
        <f>IF($A216&gt;NYears*12,"",$G216*$E216)</f>
        <v/>
      </c>
      <c r="I216" s="35">
        <f>IF($A216&gt;NYears*12,"",$F216-$H216)</f>
        <v/>
      </c>
      <c r="J216" s="35">
        <f>IF($A216&gt;NYears*12,"",$H216*RateC)</f>
        <v/>
      </c>
      <c r="K216" s="35">
        <f>IF($A216&gt;NYears*12,"",IF($D216=1,$J216,$K215+$J216))</f>
        <v/>
      </c>
      <c r="L216" s="35">
        <f>IF($A216&gt;NYears*12,"",IF(MOD($D216,3)=0,SUM($J214:$J216),0))</f>
        <v/>
      </c>
      <c r="M216" s="35">
        <f>IF($A216&gt;NYears*12,"",IF(TaxFreq="Quarterly",$K216*12/$D216,$K216))</f>
        <v/>
      </c>
      <c r="N216" s="36">
        <f>IF($A216&gt;NYears*12,"",LOOKUP($M216,TaxLower,TaxRate))</f>
        <v/>
      </c>
      <c r="O216" s="35">
        <f>IF($A216&gt;NYears*12,"",IF(TaxFreq="Quarterly",IF(MOD($D216,3)=0,$L216*$N216,0),IF($D216=12,$K216*$N216,0)))</f>
        <v/>
      </c>
      <c r="P216" s="35">
        <f>IF($A216&gt;NYears*12,"",IF($D216=1,$O216,$P215+$O216))</f>
        <v/>
      </c>
      <c r="Q216" s="35">
        <f>IF($A216&gt;NYears*12,"",IF($D216=12,MIN(WdrPct*IF(WdrBase="Post-tax profit",$K216-$P216,$K216),WdrCap),0))</f>
        <v/>
      </c>
      <c r="R216" s="35">
        <f>IF($A216&gt;NYears*12,"",$F216+$J216-$O216-$Q216)</f>
        <v/>
      </c>
      <c r="S216" s="33">
        <f>IF($A216&gt;NYears*12,"",INT($R216/$E216))</f>
        <v/>
      </c>
    </row>
    <row r="217">
      <c r="A217" s="33">
        <f>213</f>
        <v/>
      </c>
      <c r="B217" s="34">
        <f>IF($A217&gt;NYears*12,"",EDATE(StartMonth,$A217-1))</f>
        <v/>
      </c>
      <c r="C217" s="33">
        <f>IF($A217&gt;NYears*12,"",INT(($A217-1)/12)+1)</f>
        <v/>
      </c>
      <c r="D217" s="33">
        <f>IF($A217&gt;NYears*12,"",MOD($A217-1,12)+1)</f>
        <v/>
      </c>
      <c r="E217" s="35">
        <f>IF($A217&gt;NYears*12,"",LotValue0*(1+LotGrowth)^($C217-1))</f>
        <v/>
      </c>
      <c r="F217" s="35">
        <f>IF($A217&gt;NYears*12,"",IF($A217=1,InitInvest,$R216))</f>
        <v/>
      </c>
      <c r="G217" s="33">
        <f>IF($A217&gt;NYears*12,"",INT($F217/$E217))</f>
        <v/>
      </c>
      <c r="H217" s="35">
        <f>IF($A217&gt;NYears*12,"",$G217*$E217)</f>
        <v/>
      </c>
      <c r="I217" s="35">
        <f>IF($A217&gt;NYears*12,"",$F217-$H217)</f>
        <v/>
      </c>
      <c r="J217" s="35">
        <f>IF($A217&gt;NYears*12,"",$H217*RateC)</f>
        <v/>
      </c>
      <c r="K217" s="35">
        <f>IF($A217&gt;NYears*12,"",IF($D217=1,$J217,$K216+$J217))</f>
        <v/>
      </c>
      <c r="L217" s="35">
        <f>IF($A217&gt;NYears*12,"",IF(MOD($D217,3)=0,SUM($J215:$J217),0))</f>
        <v/>
      </c>
      <c r="M217" s="35">
        <f>IF($A217&gt;NYears*12,"",IF(TaxFreq="Quarterly",$K217*12/$D217,$K217))</f>
        <v/>
      </c>
      <c r="N217" s="36">
        <f>IF($A217&gt;NYears*12,"",LOOKUP($M217,TaxLower,TaxRate))</f>
        <v/>
      </c>
      <c r="O217" s="35">
        <f>IF($A217&gt;NYears*12,"",IF(TaxFreq="Quarterly",IF(MOD($D217,3)=0,$L217*$N217,0),IF($D217=12,$K217*$N217,0)))</f>
        <v/>
      </c>
      <c r="P217" s="35">
        <f>IF($A217&gt;NYears*12,"",IF($D217=1,$O217,$P216+$O217))</f>
        <v/>
      </c>
      <c r="Q217" s="35">
        <f>IF($A217&gt;NYears*12,"",IF($D217=12,MIN(WdrPct*IF(WdrBase="Post-tax profit",$K217-$P217,$K217),WdrCap),0))</f>
        <v/>
      </c>
      <c r="R217" s="35">
        <f>IF($A217&gt;NYears*12,"",$F217+$J217-$O217-$Q217)</f>
        <v/>
      </c>
      <c r="S217" s="33">
        <f>IF($A217&gt;NYears*12,"",INT($R217/$E217))</f>
        <v/>
      </c>
    </row>
    <row r="218">
      <c r="A218" s="33">
        <f>214</f>
        <v/>
      </c>
      <c r="B218" s="34">
        <f>IF($A218&gt;NYears*12,"",EDATE(StartMonth,$A218-1))</f>
        <v/>
      </c>
      <c r="C218" s="33">
        <f>IF($A218&gt;NYears*12,"",INT(($A218-1)/12)+1)</f>
        <v/>
      </c>
      <c r="D218" s="33">
        <f>IF($A218&gt;NYears*12,"",MOD($A218-1,12)+1)</f>
        <v/>
      </c>
      <c r="E218" s="35">
        <f>IF($A218&gt;NYears*12,"",LotValue0*(1+LotGrowth)^($C218-1))</f>
        <v/>
      </c>
      <c r="F218" s="35">
        <f>IF($A218&gt;NYears*12,"",IF($A218=1,InitInvest,$R217))</f>
        <v/>
      </c>
      <c r="G218" s="33">
        <f>IF($A218&gt;NYears*12,"",INT($F218/$E218))</f>
        <v/>
      </c>
      <c r="H218" s="35">
        <f>IF($A218&gt;NYears*12,"",$G218*$E218)</f>
        <v/>
      </c>
      <c r="I218" s="35">
        <f>IF($A218&gt;NYears*12,"",$F218-$H218)</f>
        <v/>
      </c>
      <c r="J218" s="35">
        <f>IF($A218&gt;NYears*12,"",$H218*RateC)</f>
        <v/>
      </c>
      <c r="K218" s="35">
        <f>IF($A218&gt;NYears*12,"",IF($D218=1,$J218,$K217+$J218))</f>
        <v/>
      </c>
      <c r="L218" s="35">
        <f>IF($A218&gt;NYears*12,"",IF(MOD($D218,3)=0,SUM($J216:$J218),0))</f>
        <v/>
      </c>
      <c r="M218" s="35">
        <f>IF($A218&gt;NYears*12,"",IF(TaxFreq="Quarterly",$K218*12/$D218,$K218))</f>
        <v/>
      </c>
      <c r="N218" s="36">
        <f>IF($A218&gt;NYears*12,"",LOOKUP($M218,TaxLower,TaxRate))</f>
        <v/>
      </c>
      <c r="O218" s="35">
        <f>IF($A218&gt;NYears*12,"",IF(TaxFreq="Quarterly",IF(MOD($D218,3)=0,$L218*$N218,0),IF($D218=12,$K218*$N218,0)))</f>
        <v/>
      </c>
      <c r="P218" s="35">
        <f>IF($A218&gt;NYears*12,"",IF($D218=1,$O218,$P217+$O218))</f>
        <v/>
      </c>
      <c r="Q218" s="35">
        <f>IF($A218&gt;NYears*12,"",IF($D218=12,MIN(WdrPct*IF(WdrBase="Post-tax profit",$K218-$P218,$K218),WdrCap),0))</f>
        <v/>
      </c>
      <c r="R218" s="35">
        <f>IF($A218&gt;NYears*12,"",$F218+$J218-$O218-$Q218)</f>
        <v/>
      </c>
      <c r="S218" s="33">
        <f>IF($A218&gt;NYears*12,"",INT($R218/$E218))</f>
        <v/>
      </c>
    </row>
    <row r="219">
      <c r="A219" s="33">
        <f>215</f>
        <v/>
      </c>
      <c r="B219" s="34">
        <f>IF($A219&gt;NYears*12,"",EDATE(StartMonth,$A219-1))</f>
        <v/>
      </c>
      <c r="C219" s="33">
        <f>IF($A219&gt;NYears*12,"",INT(($A219-1)/12)+1)</f>
        <v/>
      </c>
      <c r="D219" s="33">
        <f>IF($A219&gt;NYears*12,"",MOD($A219-1,12)+1)</f>
        <v/>
      </c>
      <c r="E219" s="35">
        <f>IF($A219&gt;NYears*12,"",LotValue0*(1+LotGrowth)^($C219-1))</f>
        <v/>
      </c>
      <c r="F219" s="35">
        <f>IF($A219&gt;NYears*12,"",IF($A219=1,InitInvest,$R218))</f>
        <v/>
      </c>
      <c r="G219" s="33">
        <f>IF($A219&gt;NYears*12,"",INT($F219/$E219))</f>
        <v/>
      </c>
      <c r="H219" s="35">
        <f>IF($A219&gt;NYears*12,"",$G219*$E219)</f>
        <v/>
      </c>
      <c r="I219" s="35">
        <f>IF($A219&gt;NYears*12,"",$F219-$H219)</f>
        <v/>
      </c>
      <c r="J219" s="35">
        <f>IF($A219&gt;NYears*12,"",$H219*RateC)</f>
        <v/>
      </c>
      <c r="K219" s="35">
        <f>IF($A219&gt;NYears*12,"",IF($D219=1,$J219,$K218+$J219))</f>
        <v/>
      </c>
      <c r="L219" s="35">
        <f>IF($A219&gt;NYears*12,"",IF(MOD($D219,3)=0,SUM($J217:$J219),0))</f>
        <v/>
      </c>
      <c r="M219" s="35">
        <f>IF($A219&gt;NYears*12,"",IF(TaxFreq="Quarterly",$K219*12/$D219,$K219))</f>
        <v/>
      </c>
      <c r="N219" s="36">
        <f>IF($A219&gt;NYears*12,"",LOOKUP($M219,TaxLower,TaxRate))</f>
        <v/>
      </c>
      <c r="O219" s="35">
        <f>IF($A219&gt;NYears*12,"",IF(TaxFreq="Quarterly",IF(MOD($D219,3)=0,$L219*$N219,0),IF($D219=12,$K219*$N219,0)))</f>
        <v/>
      </c>
      <c r="P219" s="35">
        <f>IF($A219&gt;NYears*12,"",IF($D219=1,$O219,$P218+$O219))</f>
        <v/>
      </c>
      <c r="Q219" s="35">
        <f>IF($A219&gt;NYears*12,"",IF($D219=12,MIN(WdrPct*IF(WdrBase="Post-tax profit",$K219-$P219,$K219),WdrCap),0))</f>
        <v/>
      </c>
      <c r="R219" s="35">
        <f>IF($A219&gt;NYears*12,"",$F219+$J219-$O219-$Q219)</f>
        <v/>
      </c>
      <c r="S219" s="33">
        <f>IF($A219&gt;NYears*12,"",INT($R219/$E219))</f>
        <v/>
      </c>
    </row>
    <row r="220">
      <c r="A220" s="37">
        <f>216</f>
        <v/>
      </c>
      <c r="B220" s="38">
        <f>IF($A220&gt;NYears*12,"",EDATE(StartMonth,$A220-1))</f>
        <v/>
      </c>
      <c r="C220" s="37">
        <f>IF($A220&gt;NYears*12,"",INT(($A220-1)/12)+1)</f>
        <v/>
      </c>
      <c r="D220" s="37">
        <f>IF($A220&gt;NYears*12,"",MOD($A220-1,12)+1)</f>
        <v/>
      </c>
      <c r="E220" s="39">
        <f>IF($A220&gt;NYears*12,"",LotValue0*(1+LotGrowth)^($C220-1))</f>
        <v/>
      </c>
      <c r="F220" s="39">
        <f>IF($A220&gt;NYears*12,"",IF($A220=1,InitInvest,$R219))</f>
        <v/>
      </c>
      <c r="G220" s="37">
        <f>IF($A220&gt;NYears*12,"",INT($F220/$E220))</f>
        <v/>
      </c>
      <c r="H220" s="39">
        <f>IF($A220&gt;NYears*12,"",$G220*$E220)</f>
        <v/>
      </c>
      <c r="I220" s="39">
        <f>IF($A220&gt;NYears*12,"",$F220-$H220)</f>
        <v/>
      </c>
      <c r="J220" s="39">
        <f>IF($A220&gt;NYears*12,"",$H220*RateC)</f>
        <v/>
      </c>
      <c r="K220" s="39">
        <f>IF($A220&gt;NYears*12,"",IF($D220=1,$J220,$K219+$J220))</f>
        <v/>
      </c>
      <c r="L220" s="39">
        <f>IF($A220&gt;NYears*12,"",IF(MOD($D220,3)=0,SUM($J218:$J220),0))</f>
        <v/>
      </c>
      <c r="M220" s="39">
        <f>IF($A220&gt;NYears*12,"",IF(TaxFreq="Quarterly",$K220*12/$D220,$K220))</f>
        <v/>
      </c>
      <c r="N220" s="40">
        <f>IF($A220&gt;NYears*12,"",LOOKUP($M220,TaxLower,TaxRate))</f>
        <v/>
      </c>
      <c r="O220" s="39">
        <f>IF($A220&gt;NYears*12,"",IF(TaxFreq="Quarterly",IF(MOD($D220,3)=0,$L220*$N220,0),IF($D220=12,$K220*$N220,0)))</f>
        <v/>
      </c>
      <c r="P220" s="39">
        <f>IF($A220&gt;NYears*12,"",IF($D220=1,$O220,$P219+$O220))</f>
        <v/>
      </c>
      <c r="Q220" s="39">
        <f>IF($A220&gt;NYears*12,"",IF($D220=12,MIN(WdrPct*IF(WdrBase="Post-tax profit",$K220-$P220,$K220),WdrCap),0))</f>
        <v/>
      </c>
      <c r="R220" s="39">
        <f>IF($A220&gt;NYears*12,"",$F220+$J220-$O220-$Q220)</f>
        <v/>
      </c>
      <c r="S220" s="37">
        <f>IF($A220&gt;NYears*12,"",INT($R220/$E220))</f>
        <v/>
      </c>
    </row>
    <row r="221">
      <c r="A221" s="33">
        <f>217</f>
        <v/>
      </c>
      <c r="B221" s="34">
        <f>IF($A221&gt;NYears*12,"",EDATE(StartMonth,$A221-1))</f>
        <v/>
      </c>
      <c r="C221" s="33">
        <f>IF($A221&gt;NYears*12,"",INT(($A221-1)/12)+1)</f>
        <v/>
      </c>
      <c r="D221" s="33">
        <f>IF($A221&gt;NYears*12,"",MOD($A221-1,12)+1)</f>
        <v/>
      </c>
      <c r="E221" s="35">
        <f>IF($A221&gt;NYears*12,"",LotValue0*(1+LotGrowth)^($C221-1))</f>
        <v/>
      </c>
      <c r="F221" s="35">
        <f>IF($A221&gt;NYears*12,"",IF($A221=1,InitInvest,$R220))</f>
        <v/>
      </c>
      <c r="G221" s="33">
        <f>IF($A221&gt;NYears*12,"",INT($F221/$E221))</f>
        <v/>
      </c>
      <c r="H221" s="35">
        <f>IF($A221&gt;NYears*12,"",$G221*$E221)</f>
        <v/>
      </c>
      <c r="I221" s="35">
        <f>IF($A221&gt;NYears*12,"",$F221-$H221)</f>
        <v/>
      </c>
      <c r="J221" s="35">
        <f>IF($A221&gt;NYears*12,"",$H221*RateC)</f>
        <v/>
      </c>
      <c r="K221" s="35">
        <f>IF($A221&gt;NYears*12,"",IF($D221=1,$J221,$K220+$J221))</f>
        <v/>
      </c>
      <c r="L221" s="35">
        <f>IF($A221&gt;NYears*12,"",IF(MOD($D221,3)=0,SUM($J219:$J221),0))</f>
        <v/>
      </c>
      <c r="M221" s="35">
        <f>IF($A221&gt;NYears*12,"",IF(TaxFreq="Quarterly",$K221*12/$D221,$K221))</f>
        <v/>
      </c>
      <c r="N221" s="36">
        <f>IF($A221&gt;NYears*12,"",LOOKUP($M221,TaxLower,TaxRate))</f>
        <v/>
      </c>
      <c r="O221" s="35">
        <f>IF($A221&gt;NYears*12,"",IF(TaxFreq="Quarterly",IF(MOD($D221,3)=0,$L221*$N221,0),IF($D221=12,$K221*$N221,0)))</f>
        <v/>
      </c>
      <c r="P221" s="35">
        <f>IF($A221&gt;NYears*12,"",IF($D221=1,$O221,$P220+$O221))</f>
        <v/>
      </c>
      <c r="Q221" s="35">
        <f>IF($A221&gt;NYears*12,"",IF($D221=12,MIN(WdrPct*IF(WdrBase="Post-tax profit",$K221-$P221,$K221),WdrCap),0))</f>
        <v/>
      </c>
      <c r="R221" s="35">
        <f>IF($A221&gt;NYears*12,"",$F221+$J221-$O221-$Q221)</f>
        <v/>
      </c>
      <c r="S221" s="33">
        <f>IF($A221&gt;NYears*12,"",INT($R221/$E221))</f>
        <v/>
      </c>
    </row>
    <row r="222">
      <c r="A222" s="33">
        <f>218</f>
        <v/>
      </c>
      <c r="B222" s="34">
        <f>IF($A222&gt;NYears*12,"",EDATE(StartMonth,$A222-1))</f>
        <v/>
      </c>
      <c r="C222" s="33">
        <f>IF($A222&gt;NYears*12,"",INT(($A222-1)/12)+1)</f>
        <v/>
      </c>
      <c r="D222" s="33">
        <f>IF($A222&gt;NYears*12,"",MOD($A222-1,12)+1)</f>
        <v/>
      </c>
      <c r="E222" s="35">
        <f>IF($A222&gt;NYears*12,"",LotValue0*(1+LotGrowth)^($C222-1))</f>
        <v/>
      </c>
      <c r="F222" s="35">
        <f>IF($A222&gt;NYears*12,"",IF($A222=1,InitInvest,$R221))</f>
        <v/>
      </c>
      <c r="G222" s="33">
        <f>IF($A222&gt;NYears*12,"",INT($F222/$E222))</f>
        <v/>
      </c>
      <c r="H222" s="35">
        <f>IF($A222&gt;NYears*12,"",$G222*$E222)</f>
        <v/>
      </c>
      <c r="I222" s="35">
        <f>IF($A222&gt;NYears*12,"",$F222-$H222)</f>
        <v/>
      </c>
      <c r="J222" s="35">
        <f>IF($A222&gt;NYears*12,"",$H222*RateC)</f>
        <v/>
      </c>
      <c r="K222" s="35">
        <f>IF($A222&gt;NYears*12,"",IF($D222=1,$J222,$K221+$J222))</f>
        <v/>
      </c>
      <c r="L222" s="35">
        <f>IF($A222&gt;NYears*12,"",IF(MOD($D222,3)=0,SUM($J220:$J222),0))</f>
        <v/>
      </c>
      <c r="M222" s="35">
        <f>IF($A222&gt;NYears*12,"",IF(TaxFreq="Quarterly",$K222*12/$D222,$K222))</f>
        <v/>
      </c>
      <c r="N222" s="36">
        <f>IF($A222&gt;NYears*12,"",LOOKUP($M222,TaxLower,TaxRate))</f>
        <v/>
      </c>
      <c r="O222" s="35">
        <f>IF($A222&gt;NYears*12,"",IF(TaxFreq="Quarterly",IF(MOD($D222,3)=0,$L222*$N222,0),IF($D222=12,$K222*$N222,0)))</f>
        <v/>
      </c>
      <c r="P222" s="35">
        <f>IF($A222&gt;NYears*12,"",IF($D222=1,$O222,$P221+$O222))</f>
        <v/>
      </c>
      <c r="Q222" s="35">
        <f>IF($A222&gt;NYears*12,"",IF($D222=12,MIN(WdrPct*IF(WdrBase="Post-tax profit",$K222-$P222,$K222),WdrCap),0))</f>
        <v/>
      </c>
      <c r="R222" s="35">
        <f>IF($A222&gt;NYears*12,"",$F222+$J222-$O222-$Q222)</f>
        <v/>
      </c>
      <c r="S222" s="33">
        <f>IF($A222&gt;NYears*12,"",INT($R222/$E222))</f>
        <v/>
      </c>
    </row>
    <row r="223">
      <c r="A223" s="33">
        <f>219</f>
        <v/>
      </c>
      <c r="B223" s="34">
        <f>IF($A223&gt;NYears*12,"",EDATE(StartMonth,$A223-1))</f>
        <v/>
      </c>
      <c r="C223" s="33">
        <f>IF($A223&gt;NYears*12,"",INT(($A223-1)/12)+1)</f>
        <v/>
      </c>
      <c r="D223" s="33">
        <f>IF($A223&gt;NYears*12,"",MOD($A223-1,12)+1)</f>
        <v/>
      </c>
      <c r="E223" s="35">
        <f>IF($A223&gt;NYears*12,"",LotValue0*(1+LotGrowth)^($C223-1))</f>
        <v/>
      </c>
      <c r="F223" s="35">
        <f>IF($A223&gt;NYears*12,"",IF($A223=1,InitInvest,$R222))</f>
        <v/>
      </c>
      <c r="G223" s="33">
        <f>IF($A223&gt;NYears*12,"",INT($F223/$E223))</f>
        <v/>
      </c>
      <c r="H223" s="35">
        <f>IF($A223&gt;NYears*12,"",$G223*$E223)</f>
        <v/>
      </c>
      <c r="I223" s="35">
        <f>IF($A223&gt;NYears*12,"",$F223-$H223)</f>
        <v/>
      </c>
      <c r="J223" s="35">
        <f>IF($A223&gt;NYears*12,"",$H223*RateC)</f>
        <v/>
      </c>
      <c r="K223" s="35">
        <f>IF($A223&gt;NYears*12,"",IF($D223=1,$J223,$K222+$J223))</f>
        <v/>
      </c>
      <c r="L223" s="35">
        <f>IF($A223&gt;NYears*12,"",IF(MOD($D223,3)=0,SUM($J221:$J223),0))</f>
        <v/>
      </c>
      <c r="M223" s="35">
        <f>IF($A223&gt;NYears*12,"",IF(TaxFreq="Quarterly",$K223*12/$D223,$K223))</f>
        <v/>
      </c>
      <c r="N223" s="36">
        <f>IF($A223&gt;NYears*12,"",LOOKUP($M223,TaxLower,TaxRate))</f>
        <v/>
      </c>
      <c r="O223" s="35">
        <f>IF($A223&gt;NYears*12,"",IF(TaxFreq="Quarterly",IF(MOD($D223,3)=0,$L223*$N223,0),IF($D223=12,$K223*$N223,0)))</f>
        <v/>
      </c>
      <c r="P223" s="35">
        <f>IF($A223&gt;NYears*12,"",IF($D223=1,$O223,$P222+$O223))</f>
        <v/>
      </c>
      <c r="Q223" s="35">
        <f>IF($A223&gt;NYears*12,"",IF($D223=12,MIN(WdrPct*IF(WdrBase="Post-tax profit",$K223-$P223,$K223),WdrCap),0))</f>
        <v/>
      </c>
      <c r="R223" s="35">
        <f>IF($A223&gt;NYears*12,"",$F223+$J223-$O223-$Q223)</f>
        <v/>
      </c>
      <c r="S223" s="33">
        <f>IF($A223&gt;NYears*12,"",INT($R223/$E223))</f>
        <v/>
      </c>
    </row>
    <row r="224">
      <c r="A224" s="33">
        <f>220</f>
        <v/>
      </c>
      <c r="B224" s="34">
        <f>IF($A224&gt;NYears*12,"",EDATE(StartMonth,$A224-1))</f>
        <v/>
      </c>
      <c r="C224" s="33">
        <f>IF($A224&gt;NYears*12,"",INT(($A224-1)/12)+1)</f>
        <v/>
      </c>
      <c r="D224" s="33">
        <f>IF($A224&gt;NYears*12,"",MOD($A224-1,12)+1)</f>
        <v/>
      </c>
      <c r="E224" s="35">
        <f>IF($A224&gt;NYears*12,"",LotValue0*(1+LotGrowth)^($C224-1))</f>
        <v/>
      </c>
      <c r="F224" s="35">
        <f>IF($A224&gt;NYears*12,"",IF($A224=1,InitInvest,$R223))</f>
        <v/>
      </c>
      <c r="G224" s="33">
        <f>IF($A224&gt;NYears*12,"",INT($F224/$E224))</f>
        <v/>
      </c>
      <c r="H224" s="35">
        <f>IF($A224&gt;NYears*12,"",$G224*$E224)</f>
        <v/>
      </c>
      <c r="I224" s="35">
        <f>IF($A224&gt;NYears*12,"",$F224-$H224)</f>
        <v/>
      </c>
      <c r="J224" s="35">
        <f>IF($A224&gt;NYears*12,"",$H224*RateC)</f>
        <v/>
      </c>
      <c r="K224" s="35">
        <f>IF($A224&gt;NYears*12,"",IF($D224=1,$J224,$K223+$J224))</f>
        <v/>
      </c>
      <c r="L224" s="35">
        <f>IF($A224&gt;NYears*12,"",IF(MOD($D224,3)=0,SUM($J222:$J224),0))</f>
        <v/>
      </c>
      <c r="M224" s="35">
        <f>IF($A224&gt;NYears*12,"",IF(TaxFreq="Quarterly",$K224*12/$D224,$K224))</f>
        <v/>
      </c>
      <c r="N224" s="36">
        <f>IF($A224&gt;NYears*12,"",LOOKUP($M224,TaxLower,TaxRate))</f>
        <v/>
      </c>
      <c r="O224" s="35">
        <f>IF($A224&gt;NYears*12,"",IF(TaxFreq="Quarterly",IF(MOD($D224,3)=0,$L224*$N224,0),IF($D224=12,$K224*$N224,0)))</f>
        <v/>
      </c>
      <c r="P224" s="35">
        <f>IF($A224&gt;NYears*12,"",IF($D224=1,$O224,$P223+$O224))</f>
        <v/>
      </c>
      <c r="Q224" s="35">
        <f>IF($A224&gt;NYears*12,"",IF($D224=12,MIN(WdrPct*IF(WdrBase="Post-tax profit",$K224-$P224,$K224),WdrCap),0))</f>
        <v/>
      </c>
      <c r="R224" s="35">
        <f>IF($A224&gt;NYears*12,"",$F224+$J224-$O224-$Q224)</f>
        <v/>
      </c>
      <c r="S224" s="33">
        <f>IF($A224&gt;NYears*12,"",INT($R224/$E224))</f>
        <v/>
      </c>
    </row>
    <row r="225">
      <c r="A225" s="33">
        <f>221</f>
        <v/>
      </c>
      <c r="B225" s="34">
        <f>IF($A225&gt;NYears*12,"",EDATE(StartMonth,$A225-1))</f>
        <v/>
      </c>
      <c r="C225" s="33">
        <f>IF($A225&gt;NYears*12,"",INT(($A225-1)/12)+1)</f>
        <v/>
      </c>
      <c r="D225" s="33">
        <f>IF($A225&gt;NYears*12,"",MOD($A225-1,12)+1)</f>
        <v/>
      </c>
      <c r="E225" s="35">
        <f>IF($A225&gt;NYears*12,"",LotValue0*(1+LotGrowth)^($C225-1))</f>
        <v/>
      </c>
      <c r="F225" s="35">
        <f>IF($A225&gt;NYears*12,"",IF($A225=1,InitInvest,$R224))</f>
        <v/>
      </c>
      <c r="G225" s="33">
        <f>IF($A225&gt;NYears*12,"",INT($F225/$E225))</f>
        <v/>
      </c>
      <c r="H225" s="35">
        <f>IF($A225&gt;NYears*12,"",$G225*$E225)</f>
        <v/>
      </c>
      <c r="I225" s="35">
        <f>IF($A225&gt;NYears*12,"",$F225-$H225)</f>
        <v/>
      </c>
      <c r="J225" s="35">
        <f>IF($A225&gt;NYears*12,"",$H225*RateC)</f>
        <v/>
      </c>
      <c r="K225" s="35">
        <f>IF($A225&gt;NYears*12,"",IF($D225=1,$J225,$K224+$J225))</f>
        <v/>
      </c>
      <c r="L225" s="35">
        <f>IF($A225&gt;NYears*12,"",IF(MOD($D225,3)=0,SUM($J223:$J225),0))</f>
        <v/>
      </c>
      <c r="M225" s="35">
        <f>IF($A225&gt;NYears*12,"",IF(TaxFreq="Quarterly",$K225*12/$D225,$K225))</f>
        <v/>
      </c>
      <c r="N225" s="36">
        <f>IF($A225&gt;NYears*12,"",LOOKUP($M225,TaxLower,TaxRate))</f>
        <v/>
      </c>
      <c r="O225" s="35">
        <f>IF($A225&gt;NYears*12,"",IF(TaxFreq="Quarterly",IF(MOD($D225,3)=0,$L225*$N225,0),IF($D225=12,$K225*$N225,0)))</f>
        <v/>
      </c>
      <c r="P225" s="35">
        <f>IF($A225&gt;NYears*12,"",IF($D225=1,$O225,$P224+$O225))</f>
        <v/>
      </c>
      <c r="Q225" s="35">
        <f>IF($A225&gt;NYears*12,"",IF($D225=12,MIN(WdrPct*IF(WdrBase="Post-tax profit",$K225-$P225,$K225),WdrCap),0))</f>
        <v/>
      </c>
      <c r="R225" s="35">
        <f>IF($A225&gt;NYears*12,"",$F225+$J225-$O225-$Q225)</f>
        <v/>
      </c>
      <c r="S225" s="33">
        <f>IF($A225&gt;NYears*12,"",INT($R225/$E225))</f>
        <v/>
      </c>
    </row>
    <row r="226">
      <c r="A226" s="33">
        <f>222</f>
        <v/>
      </c>
      <c r="B226" s="34">
        <f>IF($A226&gt;NYears*12,"",EDATE(StartMonth,$A226-1))</f>
        <v/>
      </c>
      <c r="C226" s="33">
        <f>IF($A226&gt;NYears*12,"",INT(($A226-1)/12)+1)</f>
        <v/>
      </c>
      <c r="D226" s="33">
        <f>IF($A226&gt;NYears*12,"",MOD($A226-1,12)+1)</f>
        <v/>
      </c>
      <c r="E226" s="35">
        <f>IF($A226&gt;NYears*12,"",LotValue0*(1+LotGrowth)^($C226-1))</f>
        <v/>
      </c>
      <c r="F226" s="35">
        <f>IF($A226&gt;NYears*12,"",IF($A226=1,InitInvest,$R225))</f>
        <v/>
      </c>
      <c r="G226" s="33">
        <f>IF($A226&gt;NYears*12,"",INT($F226/$E226))</f>
        <v/>
      </c>
      <c r="H226" s="35">
        <f>IF($A226&gt;NYears*12,"",$G226*$E226)</f>
        <v/>
      </c>
      <c r="I226" s="35">
        <f>IF($A226&gt;NYears*12,"",$F226-$H226)</f>
        <v/>
      </c>
      <c r="J226" s="35">
        <f>IF($A226&gt;NYears*12,"",$H226*RateC)</f>
        <v/>
      </c>
      <c r="K226" s="35">
        <f>IF($A226&gt;NYears*12,"",IF($D226=1,$J226,$K225+$J226))</f>
        <v/>
      </c>
      <c r="L226" s="35">
        <f>IF($A226&gt;NYears*12,"",IF(MOD($D226,3)=0,SUM($J224:$J226),0))</f>
        <v/>
      </c>
      <c r="M226" s="35">
        <f>IF($A226&gt;NYears*12,"",IF(TaxFreq="Quarterly",$K226*12/$D226,$K226))</f>
        <v/>
      </c>
      <c r="N226" s="36">
        <f>IF($A226&gt;NYears*12,"",LOOKUP($M226,TaxLower,TaxRate))</f>
        <v/>
      </c>
      <c r="O226" s="35">
        <f>IF($A226&gt;NYears*12,"",IF(TaxFreq="Quarterly",IF(MOD($D226,3)=0,$L226*$N226,0),IF($D226=12,$K226*$N226,0)))</f>
        <v/>
      </c>
      <c r="P226" s="35">
        <f>IF($A226&gt;NYears*12,"",IF($D226=1,$O226,$P225+$O226))</f>
        <v/>
      </c>
      <c r="Q226" s="35">
        <f>IF($A226&gt;NYears*12,"",IF($D226=12,MIN(WdrPct*IF(WdrBase="Post-tax profit",$K226-$P226,$K226),WdrCap),0))</f>
        <v/>
      </c>
      <c r="R226" s="35">
        <f>IF($A226&gt;NYears*12,"",$F226+$J226-$O226-$Q226)</f>
        <v/>
      </c>
      <c r="S226" s="33">
        <f>IF($A226&gt;NYears*12,"",INT($R226/$E226))</f>
        <v/>
      </c>
    </row>
    <row r="227">
      <c r="A227" s="33">
        <f>223</f>
        <v/>
      </c>
      <c r="B227" s="34">
        <f>IF($A227&gt;NYears*12,"",EDATE(StartMonth,$A227-1))</f>
        <v/>
      </c>
      <c r="C227" s="33">
        <f>IF($A227&gt;NYears*12,"",INT(($A227-1)/12)+1)</f>
        <v/>
      </c>
      <c r="D227" s="33">
        <f>IF($A227&gt;NYears*12,"",MOD($A227-1,12)+1)</f>
        <v/>
      </c>
      <c r="E227" s="35">
        <f>IF($A227&gt;NYears*12,"",LotValue0*(1+LotGrowth)^($C227-1))</f>
        <v/>
      </c>
      <c r="F227" s="35">
        <f>IF($A227&gt;NYears*12,"",IF($A227=1,InitInvest,$R226))</f>
        <v/>
      </c>
      <c r="G227" s="33">
        <f>IF($A227&gt;NYears*12,"",INT($F227/$E227))</f>
        <v/>
      </c>
      <c r="H227" s="35">
        <f>IF($A227&gt;NYears*12,"",$G227*$E227)</f>
        <v/>
      </c>
      <c r="I227" s="35">
        <f>IF($A227&gt;NYears*12,"",$F227-$H227)</f>
        <v/>
      </c>
      <c r="J227" s="35">
        <f>IF($A227&gt;NYears*12,"",$H227*RateC)</f>
        <v/>
      </c>
      <c r="K227" s="35">
        <f>IF($A227&gt;NYears*12,"",IF($D227=1,$J227,$K226+$J227))</f>
        <v/>
      </c>
      <c r="L227" s="35">
        <f>IF($A227&gt;NYears*12,"",IF(MOD($D227,3)=0,SUM($J225:$J227),0))</f>
        <v/>
      </c>
      <c r="M227" s="35">
        <f>IF($A227&gt;NYears*12,"",IF(TaxFreq="Quarterly",$K227*12/$D227,$K227))</f>
        <v/>
      </c>
      <c r="N227" s="36">
        <f>IF($A227&gt;NYears*12,"",LOOKUP($M227,TaxLower,TaxRate))</f>
        <v/>
      </c>
      <c r="O227" s="35">
        <f>IF($A227&gt;NYears*12,"",IF(TaxFreq="Quarterly",IF(MOD($D227,3)=0,$L227*$N227,0),IF($D227=12,$K227*$N227,0)))</f>
        <v/>
      </c>
      <c r="P227" s="35">
        <f>IF($A227&gt;NYears*12,"",IF($D227=1,$O227,$P226+$O227))</f>
        <v/>
      </c>
      <c r="Q227" s="35">
        <f>IF($A227&gt;NYears*12,"",IF($D227=12,MIN(WdrPct*IF(WdrBase="Post-tax profit",$K227-$P227,$K227),WdrCap),0))</f>
        <v/>
      </c>
      <c r="R227" s="35">
        <f>IF($A227&gt;NYears*12,"",$F227+$J227-$O227-$Q227)</f>
        <v/>
      </c>
      <c r="S227" s="33">
        <f>IF($A227&gt;NYears*12,"",INT($R227/$E227))</f>
        <v/>
      </c>
    </row>
    <row r="228">
      <c r="A228" s="33">
        <f>224</f>
        <v/>
      </c>
      <c r="B228" s="34">
        <f>IF($A228&gt;NYears*12,"",EDATE(StartMonth,$A228-1))</f>
        <v/>
      </c>
      <c r="C228" s="33">
        <f>IF($A228&gt;NYears*12,"",INT(($A228-1)/12)+1)</f>
        <v/>
      </c>
      <c r="D228" s="33">
        <f>IF($A228&gt;NYears*12,"",MOD($A228-1,12)+1)</f>
        <v/>
      </c>
      <c r="E228" s="35">
        <f>IF($A228&gt;NYears*12,"",LotValue0*(1+LotGrowth)^($C228-1))</f>
        <v/>
      </c>
      <c r="F228" s="35">
        <f>IF($A228&gt;NYears*12,"",IF($A228=1,InitInvest,$R227))</f>
        <v/>
      </c>
      <c r="G228" s="33">
        <f>IF($A228&gt;NYears*12,"",INT($F228/$E228))</f>
        <v/>
      </c>
      <c r="H228" s="35">
        <f>IF($A228&gt;NYears*12,"",$G228*$E228)</f>
        <v/>
      </c>
      <c r="I228" s="35">
        <f>IF($A228&gt;NYears*12,"",$F228-$H228)</f>
        <v/>
      </c>
      <c r="J228" s="35">
        <f>IF($A228&gt;NYears*12,"",$H228*RateC)</f>
        <v/>
      </c>
      <c r="K228" s="35">
        <f>IF($A228&gt;NYears*12,"",IF($D228=1,$J228,$K227+$J228))</f>
        <v/>
      </c>
      <c r="L228" s="35">
        <f>IF($A228&gt;NYears*12,"",IF(MOD($D228,3)=0,SUM($J226:$J228),0))</f>
        <v/>
      </c>
      <c r="M228" s="35">
        <f>IF($A228&gt;NYears*12,"",IF(TaxFreq="Quarterly",$K228*12/$D228,$K228))</f>
        <v/>
      </c>
      <c r="N228" s="36">
        <f>IF($A228&gt;NYears*12,"",LOOKUP($M228,TaxLower,TaxRate))</f>
        <v/>
      </c>
      <c r="O228" s="35">
        <f>IF($A228&gt;NYears*12,"",IF(TaxFreq="Quarterly",IF(MOD($D228,3)=0,$L228*$N228,0),IF($D228=12,$K228*$N228,0)))</f>
        <v/>
      </c>
      <c r="P228" s="35">
        <f>IF($A228&gt;NYears*12,"",IF($D228=1,$O228,$P227+$O228))</f>
        <v/>
      </c>
      <c r="Q228" s="35">
        <f>IF($A228&gt;NYears*12,"",IF($D228=12,MIN(WdrPct*IF(WdrBase="Post-tax profit",$K228-$P228,$K228),WdrCap),0))</f>
        <v/>
      </c>
      <c r="R228" s="35">
        <f>IF($A228&gt;NYears*12,"",$F228+$J228-$O228-$Q228)</f>
        <v/>
      </c>
      <c r="S228" s="33">
        <f>IF($A228&gt;NYears*12,"",INT($R228/$E228))</f>
        <v/>
      </c>
    </row>
    <row r="229">
      <c r="A229" s="33">
        <f>225</f>
        <v/>
      </c>
      <c r="B229" s="34">
        <f>IF($A229&gt;NYears*12,"",EDATE(StartMonth,$A229-1))</f>
        <v/>
      </c>
      <c r="C229" s="33">
        <f>IF($A229&gt;NYears*12,"",INT(($A229-1)/12)+1)</f>
        <v/>
      </c>
      <c r="D229" s="33">
        <f>IF($A229&gt;NYears*12,"",MOD($A229-1,12)+1)</f>
        <v/>
      </c>
      <c r="E229" s="35">
        <f>IF($A229&gt;NYears*12,"",LotValue0*(1+LotGrowth)^($C229-1))</f>
        <v/>
      </c>
      <c r="F229" s="35">
        <f>IF($A229&gt;NYears*12,"",IF($A229=1,InitInvest,$R228))</f>
        <v/>
      </c>
      <c r="G229" s="33">
        <f>IF($A229&gt;NYears*12,"",INT($F229/$E229))</f>
        <v/>
      </c>
      <c r="H229" s="35">
        <f>IF($A229&gt;NYears*12,"",$G229*$E229)</f>
        <v/>
      </c>
      <c r="I229" s="35">
        <f>IF($A229&gt;NYears*12,"",$F229-$H229)</f>
        <v/>
      </c>
      <c r="J229" s="35">
        <f>IF($A229&gt;NYears*12,"",$H229*RateC)</f>
        <v/>
      </c>
      <c r="K229" s="35">
        <f>IF($A229&gt;NYears*12,"",IF($D229=1,$J229,$K228+$J229))</f>
        <v/>
      </c>
      <c r="L229" s="35">
        <f>IF($A229&gt;NYears*12,"",IF(MOD($D229,3)=0,SUM($J227:$J229),0))</f>
        <v/>
      </c>
      <c r="M229" s="35">
        <f>IF($A229&gt;NYears*12,"",IF(TaxFreq="Quarterly",$K229*12/$D229,$K229))</f>
        <v/>
      </c>
      <c r="N229" s="36">
        <f>IF($A229&gt;NYears*12,"",LOOKUP($M229,TaxLower,TaxRate))</f>
        <v/>
      </c>
      <c r="O229" s="35">
        <f>IF($A229&gt;NYears*12,"",IF(TaxFreq="Quarterly",IF(MOD($D229,3)=0,$L229*$N229,0),IF($D229=12,$K229*$N229,0)))</f>
        <v/>
      </c>
      <c r="P229" s="35">
        <f>IF($A229&gt;NYears*12,"",IF($D229=1,$O229,$P228+$O229))</f>
        <v/>
      </c>
      <c r="Q229" s="35">
        <f>IF($A229&gt;NYears*12,"",IF($D229=12,MIN(WdrPct*IF(WdrBase="Post-tax profit",$K229-$P229,$K229),WdrCap),0))</f>
        <v/>
      </c>
      <c r="R229" s="35">
        <f>IF($A229&gt;NYears*12,"",$F229+$J229-$O229-$Q229)</f>
        <v/>
      </c>
      <c r="S229" s="33">
        <f>IF($A229&gt;NYears*12,"",INT($R229/$E229))</f>
        <v/>
      </c>
    </row>
    <row r="230">
      <c r="A230" s="33">
        <f>226</f>
        <v/>
      </c>
      <c r="B230" s="34">
        <f>IF($A230&gt;NYears*12,"",EDATE(StartMonth,$A230-1))</f>
        <v/>
      </c>
      <c r="C230" s="33">
        <f>IF($A230&gt;NYears*12,"",INT(($A230-1)/12)+1)</f>
        <v/>
      </c>
      <c r="D230" s="33">
        <f>IF($A230&gt;NYears*12,"",MOD($A230-1,12)+1)</f>
        <v/>
      </c>
      <c r="E230" s="35">
        <f>IF($A230&gt;NYears*12,"",LotValue0*(1+LotGrowth)^($C230-1))</f>
        <v/>
      </c>
      <c r="F230" s="35">
        <f>IF($A230&gt;NYears*12,"",IF($A230=1,InitInvest,$R229))</f>
        <v/>
      </c>
      <c r="G230" s="33">
        <f>IF($A230&gt;NYears*12,"",INT($F230/$E230))</f>
        <v/>
      </c>
      <c r="H230" s="35">
        <f>IF($A230&gt;NYears*12,"",$G230*$E230)</f>
        <v/>
      </c>
      <c r="I230" s="35">
        <f>IF($A230&gt;NYears*12,"",$F230-$H230)</f>
        <v/>
      </c>
      <c r="J230" s="35">
        <f>IF($A230&gt;NYears*12,"",$H230*RateC)</f>
        <v/>
      </c>
      <c r="K230" s="35">
        <f>IF($A230&gt;NYears*12,"",IF($D230=1,$J230,$K229+$J230))</f>
        <v/>
      </c>
      <c r="L230" s="35">
        <f>IF($A230&gt;NYears*12,"",IF(MOD($D230,3)=0,SUM($J228:$J230),0))</f>
        <v/>
      </c>
      <c r="M230" s="35">
        <f>IF($A230&gt;NYears*12,"",IF(TaxFreq="Quarterly",$K230*12/$D230,$K230))</f>
        <v/>
      </c>
      <c r="N230" s="36">
        <f>IF($A230&gt;NYears*12,"",LOOKUP($M230,TaxLower,TaxRate))</f>
        <v/>
      </c>
      <c r="O230" s="35">
        <f>IF($A230&gt;NYears*12,"",IF(TaxFreq="Quarterly",IF(MOD($D230,3)=0,$L230*$N230,0),IF($D230=12,$K230*$N230,0)))</f>
        <v/>
      </c>
      <c r="P230" s="35">
        <f>IF($A230&gt;NYears*12,"",IF($D230=1,$O230,$P229+$O230))</f>
        <v/>
      </c>
      <c r="Q230" s="35">
        <f>IF($A230&gt;NYears*12,"",IF($D230=12,MIN(WdrPct*IF(WdrBase="Post-tax profit",$K230-$P230,$K230),WdrCap),0))</f>
        <v/>
      </c>
      <c r="R230" s="35">
        <f>IF($A230&gt;NYears*12,"",$F230+$J230-$O230-$Q230)</f>
        <v/>
      </c>
      <c r="S230" s="33">
        <f>IF($A230&gt;NYears*12,"",INT($R230/$E230))</f>
        <v/>
      </c>
    </row>
    <row r="231">
      <c r="A231" s="33">
        <f>227</f>
        <v/>
      </c>
      <c r="B231" s="34">
        <f>IF($A231&gt;NYears*12,"",EDATE(StartMonth,$A231-1))</f>
        <v/>
      </c>
      <c r="C231" s="33">
        <f>IF($A231&gt;NYears*12,"",INT(($A231-1)/12)+1)</f>
        <v/>
      </c>
      <c r="D231" s="33">
        <f>IF($A231&gt;NYears*12,"",MOD($A231-1,12)+1)</f>
        <v/>
      </c>
      <c r="E231" s="35">
        <f>IF($A231&gt;NYears*12,"",LotValue0*(1+LotGrowth)^($C231-1))</f>
        <v/>
      </c>
      <c r="F231" s="35">
        <f>IF($A231&gt;NYears*12,"",IF($A231=1,InitInvest,$R230))</f>
        <v/>
      </c>
      <c r="G231" s="33">
        <f>IF($A231&gt;NYears*12,"",INT($F231/$E231))</f>
        <v/>
      </c>
      <c r="H231" s="35">
        <f>IF($A231&gt;NYears*12,"",$G231*$E231)</f>
        <v/>
      </c>
      <c r="I231" s="35">
        <f>IF($A231&gt;NYears*12,"",$F231-$H231)</f>
        <v/>
      </c>
      <c r="J231" s="35">
        <f>IF($A231&gt;NYears*12,"",$H231*RateC)</f>
        <v/>
      </c>
      <c r="K231" s="35">
        <f>IF($A231&gt;NYears*12,"",IF($D231=1,$J231,$K230+$J231))</f>
        <v/>
      </c>
      <c r="L231" s="35">
        <f>IF($A231&gt;NYears*12,"",IF(MOD($D231,3)=0,SUM($J229:$J231),0))</f>
        <v/>
      </c>
      <c r="M231" s="35">
        <f>IF($A231&gt;NYears*12,"",IF(TaxFreq="Quarterly",$K231*12/$D231,$K231))</f>
        <v/>
      </c>
      <c r="N231" s="36">
        <f>IF($A231&gt;NYears*12,"",LOOKUP($M231,TaxLower,TaxRate))</f>
        <v/>
      </c>
      <c r="O231" s="35">
        <f>IF($A231&gt;NYears*12,"",IF(TaxFreq="Quarterly",IF(MOD($D231,3)=0,$L231*$N231,0),IF($D231=12,$K231*$N231,0)))</f>
        <v/>
      </c>
      <c r="P231" s="35">
        <f>IF($A231&gt;NYears*12,"",IF($D231=1,$O231,$P230+$O231))</f>
        <v/>
      </c>
      <c r="Q231" s="35">
        <f>IF($A231&gt;NYears*12,"",IF($D231=12,MIN(WdrPct*IF(WdrBase="Post-tax profit",$K231-$P231,$K231),WdrCap),0))</f>
        <v/>
      </c>
      <c r="R231" s="35">
        <f>IF($A231&gt;NYears*12,"",$F231+$J231-$O231-$Q231)</f>
        <v/>
      </c>
      <c r="S231" s="33">
        <f>IF($A231&gt;NYears*12,"",INT($R231/$E231))</f>
        <v/>
      </c>
    </row>
    <row r="232">
      <c r="A232" s="37">
        <f>228</f>
        <v/>
      </c>
      <c r="B232" s="38">
        <f>IF($A232&gt;NYears*12,"",EDATE(StartMonth,$A232-1))</f>
        <v/>
      </c>
      <c r="C232" s="37">
        <f>IF($A232&gt;NYears*12,"",INT(($A232-1)/12)+1)</f>
        <v/>
      </c>
      <c r="D232" s="37">
        <f>IF($A232&gt;NYears*12,"",MOD($A232-1,12)+1)</f>
        <v/>
      </c>
      <c r="E232" s="39">
        <f>IF($A232&gt;NYears*12,"",LotValue0*(1+LotGrowth)^($C232-1))</f>
        <v/>
      </c>
      <c r="F232" s="39">
        <f>IF($A232&gt;NYears*12,"",IF($A232=1,InitInvest,$R231))</f>
        <v/>
      </c>
      <c r="G232" s="37">
        <f>IF($A232&gt;NYears*12,"",INT($F232/$E232))</f>
        <v/>
      </c>
      <c r="H232" s="39">
        <f>IF($A232&gt;NYears*12,"",$G232*$E232)</f>
        <v/>
      </c>
      <c r="I232" s="39">
        <f>IF($A232&gt;NYears*12,"",$F232-$H232)</f>
        <v/>
      </c>
      <c r="J232" s="39">
        <f>IF($A232&gt;NYears*12,"",$H232*RateC)</f>
        <v/>
      </c>
      <c r="K232" s="39">
        <f>IF($A232&gt;NYears*12,"",IF($D232=1,$J232,$K231+$J232))</f>
        <v/>
      </c>
      <c r="L232" s="39">
        <f>IF($A232&gt;NYears*12,"",IF(MOD($D232,3)=0,SUM($J230:$J232),0))</f>
        <v/>
      </c>
      <c r="M232" s="39">
        <f>IF($A232&gt;NYears*12,"",IF(TaxFreq="Quarterly",$K232*12/$D232,$K232))</f>
        <v/>
      </c>
      <c r="N232" s="40">
        <f>IF($A232&gt;NYears*12,"",LOOKUP($M232,TaxLower,TaxRate))</f>
        <v/>
      </c>
      <c r="O232" s="39">
        <f>IF($A232&gt;NYears*12,"",IF(TaxFreq="Quarterly",IF(MOD($D232,3)=0,$L232*$N232,0),IF($D232=12,$K232*$N232,0)))</f>
        <v/>
      </c>
      <c r="P232" s="39">
        <f>IF($A232&gt;NYears*12,"",IF($D232=1,$O232,$P231+$O232))</f>
        <v/>
      </c>
      <c r="Q232" s="39">
        <f>IF($A232&gt;NYears*12,"",IF($D232=12,MIN(WdrPct*IF(WdrBase="Post-tax profit",$K232-$P232,$K232),WdrCap),0))</f>
        <v/>
      </c>
      <c r="R232" s="39">
        <f>IF($A232&gt;NYears*12,"",$F232+$J232-$O232-$Q232)</f>
        <v/>
      </c>
      <c r="S232" s="37">
        <f>IF($A232&gt;NYears*12,"",INT($R232/$E232))</f>
        <v/>
      </c>
    </row>
    <row r="233">
      <c r="A233" s="33">
        <f>229</f>
        <v/>
      </c>
      <c r="B233" s="34">
        <f>IF($A233&gt;NYears*12,"",EDATE(StartMonth,$A233-1))</f>
        <v/>
      </c>
      <c r="C233" s="33">
        <f>IF($A233&gt;NYears*12,"",INT(($A233-1)/12)+1)</f>
        <v/>
      </c>
      <c r="D233" s="33">
        <f>IF($A233&gt;NYears*12,"",MOD($A233-1,12)+1)</f>
        <v/>
      </c>
      <c r="E233" s="35">
        <f>IF($A233&gt;NYears*12,"",LotValue0*(1+LotGrowth)^($C233-1))</f>
        <v/>
      </c>
      <c r="F233" s="35">
        <f>IF($A233&gt;NYears*12,"",IF($A233=1,InitInvest,$R232))</f>
        <v/>
      </c>
      <c r="G233" s="33">
        <f>IF($A233&gt;NYears*12,"",INT($F233/$E233))</f>
        <v/>
      </c>
      <c r="H233" s="35">
        <f>IF($A233&gt;NYears*12,"",$G233*$E233)</f>
        <v/>
      </c>
      <c r="I233" s="35">
        <f>IF($A233&gt;NYears*12,"",$F233-$H233)</f>
        <v/>
      </c>
      <c r="J233" s="35">
        <f>IF($A233&gt;NYears*12,"",$H233*RateC)</f>
        <v/>
      </c>
      <c r="K233" s="35">
        <f>IF($A233&gt;NYears*12,"",IF($D233=1,$J233,$K232+$J233))</f>
        <v/>
      </c>
      <c r="L233" s="35">
        <f>IF($A233&gt;NYears*12,"",IF(MOD($D233,3)=0,SUM($J231:$J233),0))</f>
        <v/>
      </c>
      <c r="M233" s="35">
        <f>IF($A233&gt;NYears*12,"",IF(TaxFreq="Quarterly",$K233*12/$D233,$K233))</f>
        <v/>
      </c>
      <c r="N233" s="36">
        <f>IF($A233&gt;NYears*12,"",LOOKUP($M233,TaxLower,TaxRate))</f>
        <v/>
      </c>
      <c r="O233" s="35">
        <f>IF($A233&gt;NYears*12,"",IF(TaxFreq="Quarterly",IF(MOD($D233,3)=0,$L233*$N233,0),IF($D233=12,$K233*$N233,0)))</f>
        <v/>
      </c>
      <c r="P233" s="35">
        <f>IF($A233&gt;NYears*12,"",IF($D233=1,$O233,$P232+$O233))</f>
        <v/>
      </c>
      <c r="Q233" s="35">
        <f>IF($A233&gt;NYears*12,"",IF($D233=12,MIN(WdrPct*IF(WdrBase="Post-tax profit",$K233-$P233,$K233),WdrCap),0))</f>
        <v/>
      </c>
      <c r="R233" s="35">
        <f>IF($A233&gt;NYears*12,"",$F233+$J233-$O233-$Q233)</f>
        <v/>
      </c>
      <c r="S233" s="33">
        <f>IF($A233&gt;NYears*12,"",INT($R233/$E233))</f>
        <v/>
      </c>
    </row>
    <row r="234">
      <c r="A234" s="33">
        <f>230</f>
        <v/>
      </c>
      <c r="B234" s="34">
        <f>IF($A234&gt;NYears*12,"",EDATE(StartMonth,$A234-1))</f>
        <v/>
      </c>
      <c r="C234" s="33">
        <f>IF($A234&gt;NYears*12,"",INT(($A234-1)/12)+1)</f>
        <v/>
      </c>
      <c r="D234" s="33">
        <f>IF($A234&gt;NYears*12,"",MOD($A234-1,12)+1)</f>
        <v/>
      </c>
      <c r="E234" s="35">
        <f>IF($A234&gt;NYears*12,"",LotValue0*(1+LotGrowth)^($C234-1))</f>
        <v/>
      </c>
      <c r="F234" s="35">
        <f>IF($A234&gt;NYears*12,"",IF($A234=1,InitInvest,$R233))</f>
        <v/>
      </c>
      <c r="G234" s="33">
        <f>IF($A234&gt;NYears*12,"",INT($F234/$E234))</f>
        <v/>
      </c>
      <c r="H234" s="35">
        <f>IF($A234&gt;NYears*12,"",$G234*$E234)</f>
        <v/>
      </c>
      <c r="I234" s="35">
        <f>IF($A234&gt;NYears*12,"",$F234-$H234)</f>
        <v/>
      </c>
      <c r="J234" s="35">
        <f>IF($A234&gt;NYears*12,"",$H234*RateC)</f>
        <v/>
      </c>
      <c r="K234" s="35">
        <f>IF($A234&gt;NYears*12,"",IF($D234=1,$J234,$K233+$J234))</f>
        <v/>
      </c>
      <c r="L234" s="35">
        <f>IF($A234&gt;NYears*12,"",IF(MOD($D234,3)=0,SUM($J232:$J234),0))</f>
        <v/>
      </c>
      <c r="M234" s="35">
        <f>IF($A234&gt;NYears*12,"",IF(TaxFreq="Quarterly",$K234*12/$D234,$K234))</f>
        <v/>
      </c>
      <c r="N234" s="36">
        <f>IF($A234&gt;NYears*12,"",LOOKUP($M234,TaxLower,TaxRate))</f>
        <v/>
      </c>
      <c r="O234" s="35">
        <f>IF($A234&gt;NYears*12,"",IF(TaxFreq="Quarterly",IF(MOD($D234,3)=0,$L234*$N234,0),IF($D234=12,$K234*$N234,0)))</f>
        <v/>
      </c>
      <c r="P234" s="35">
        <f>IF($A234&gt;NYears*12,"",IF($D234=1,$O234,$P233+$O234))</f>
        <v/>
      </c>
      <c r="Q234" s="35">
        <f>IF($A234&gt;NYears*12,"",IF($D234=12,MIN(WdrPct*IF(WdrBase="Post-tax profit",$K234-$P234,$K234),WdrCap),0))</f>
        <v/>
      </c>
      <c r="R234" s="35">
        <f>IF($A234&gt;NYears*12,"",$F234+$J234-$O234-$Q234)</f>
        <v/>
      </c>
      <c r="S234" s="33">
        <f>IF($A234&gt;NYears*12,"",INT($R234/$E234))</f>
        <v/>
      </c>
    </row>
    <row r="235">
      <c r="A235" s="33">
        <f>231</f>
        <v/>
      </c>
      <c r="B235" s="34">
        <f>IF($A235&gt;NYears*12,"",EDATE(StartMonth,$A235-1))</f>
        <v/>
      </c>
      <c r="C235" s="33">
        <f>IF($A235&gt;NYears*12,"",INT(($A235-1)/12)+1)</f>
        <v/>
      </c>
      <c r="D235" s="33">
        <f>IF($A235&gt;NYears*12,"",MOD($A235-1,12)+1)</f>
        <v/>
      </c>
      <c r="E235" s="35">
        <f>IF($A235&gt;NYears*12,"",LotValue0*(1+LotGrowth)^($C235-1))</f>
        <v/>
      </c>
      <c r="F235" s="35">
        <f>IF($A235&gt;NYears*12,"",IF($A235=1,InitInvest,$R234))</f>
        <v/>
      </c>
      <c r="G235" s="33">
        <f>IF($A235&gt;NYears*12,"",INT($F235/$E235))</f>
        <v/>
      </c>
      <c r="H235" s="35">
        <f>IF($A235&gt;NYears*12,"",$G235*$E235)</f>
        <v/>
      </c>
      <c r="I235" s="35">
        <f>IF($A235&gt;NYears*12,"",$F235-$H235)</f>
        <v/>
      </c>
      <c r="J235" s="35">
        <f>IF($A235&gt;NYears*12,"",$H235*RateC)</f>
        <v/>
      </c>
      <c r="K235" s="35">
        <f>IF($A235&gt;NYears*12,"",IF($D235=1,$J235,$K234+$J235))</f>
        <v/>
      </c>
      <c r="L235" s="35">
        <f>IF($A235&gt;NYears*12,"",IF(MOD($D235,3)=0,SUM($J233:$J235),0))</f>
        <v/>
      </c>
      <c r="M235" s="35">
        <f>IF($A235&gt;NYears*12,"",IF(TaxFreq="Quarterly",$K235*12/$D235,$K235))</f>
        <v/>
      </c>
      <c r="N235" s="36">
        <f>IF($A235&gt;NYears*12,"",LOOKUP($M235,TaxLower,TaxRate))</f>
        <v/>
      </c>
      <c r="O235" s="35">
        <f>IF($A235&gt;NYears*12,"",IF(TaxFreq="Quarterly",IF(MOD($D235,3)=0,$L235*$N235,0),IF($D235=12,$K235*$N235,0)))</f>
        <v/>
      </c>
      <c r="P235" s="35">
        <f>IF($A235&gt;NYears*12,"",IF($D235=1,$O235,$P234+$O235))</f>
        <v/>
      </c>
      <c r="Q235" s="35">
        <f>IF($A235&gt;NYears*12,"",IF($D235=12,MIN(WdrPct*IF(WdrBase="Post-tax profit",$K235-$P235,$K235),WdrCap),0))</f>
        <v/>
      </c>
      <c r="R235" s="35">
        <f>IF($A235&gt;NYears*12,"",$F235+$J235-$O235-$Q235)</f>
        <v/>
      </c>
      <c r="S235" s="33">
        <f>IF($A235&gt;NYears*12,"",INT($R235/$E235))</f>
        <v/>
      </c>
    </row>
    <row r="236">
      <c r="A236" s="33">
        <f>232</f>
        <v/>
      </c>
      <c r="B236" s="34">
        <f>IF($A236&gt;NYears*12,"",EDATE(StartMonth,$A236-1))</f>
        <v/>
      </c>
      <c r="C236" s="33">
        <f>IF($A236&gt;NYears*12,"",INT(($A236-1)/12)+1)</f>
        <v/>
      </c>
      <c r="D236" s="33">
        <f>IF($A236&gt;NYears*12,"",MOD($A236-1,12)+1)</f>
        <v/>
      </c>
      <c r="E236" s="35">
        <f>IF($A236&gt;NYears*12,"",LotValue0*(1+LotGrowth)^($C236-1))</f>
        <v/>
      </c>
      <c r="F236" s="35">
        <f>IF($A236&gt;NYears*12,"",IF($A236=1,InitInvest,$R235))</f>
        <v/>
      </c>
      <c r="G236" s="33">
        <f>IF($A236&gt;NYears*12,"",INT($F236/$E236))</f>
        <v/>
      </c>
      <c r="H236" s="35">
        <f>IF($A236&gt;NYears*12,"",$G236*$E236)</f>
        <v/>
      </c>
      <c r="I236" s="35">
        <f>IF($A236&gt;NYears*12,"",$F236-$H236)</f>
        <v/>
      </c>
      <c r="J236" s="35">
        <f>IF($A236&gt;NYears*12,"",$H236*RateC)</f>
        <v/>
      </c>
      <c r="K236" s="35">
        <f>IF($A236&gt;NYears*12,"",IF($D236=1,$J236,$K235+$J236))</f>
        <v/>
      </c>
      <c r="L236" s="35">
        <f>IF($A236&gt;NYears*12,"",IF(MOD($D236,3)=0,SUM($J234:$J236),0))</f>
        <v/>
      </c>
      <c r="M236" s="35">
        <f>IF($A236&gt;NYears*12,"",IF(TaxFreq="Quarterly",$K236*12/$D236,$K236))</f>
        <v/>
      </c>
      <c r="N236" s="36">
        <f>IF($A236&gt;NYears*12,"",LOOKUP($M236,TaxLower,TaxRate))</f>
        <v/>
      </c>
      <c r="O236" s="35">
        <f>IF($A236&gt;NYears*12,"",IF(TaxFreq="Quarterly",IF(MOD($D236,3)=0,$L236*$N236,0),IF($D236=12,$K236*$N236,0)))</f>
        <v/>
      </c>
      <c r="P236" s="35">
        <f>IF($A236&gt;NYears*12,"",IF($D236=1,$O236,$P235+$O236))</f>
        <v/>
      </c>
      <c r="Q236" s="35">
        <f>IF($A236&gt;NYears*12,"",IF($D236=12,MIN(WdrPct*IF(WdrBase="Post-tax profit",$K236-$P236,$K236),WdrCap),0))</f>
        <v/>
      </c>
      <c r="R236" s="35">
        <f>IF($A236&gt;NYears*12,"",$F236+$J236-$O236-$Q236)</f>
        <v/>
      </c>
      <c r="S236" s="33">
        <f>IF($A236&gt;NYears*12,"",INT($R236/$E236))</f>
        <v/>
      </c>
    </row>
    <row r="237">
      <c r="A237" s="33">
        <f>233</f>
        <v/>
      </c>
      <c r="B237" s="34">
        <f>IF($A237&gt;NYears*12,"",EDATE(StartMonth,$A237-1))</f>
        <v/>
      </c>
      <c r="C237" s="33">
        <f>IF($A237&gt;NYears*12,"",INT(($A237-1)/12)+1)</f>
        <v/>
      </c>
      <c r="D237" s="33">
        <f>IF($A237&gt;NYears*12,"",MOD($A237-1,12)+1)</f>
        <v/>
      </c>
      <c r="E237" s="35">
        <f>IF($A237&gt;NYears*12,"",LotValue0*(1+LotGrowth)^($C237-1))</f>
        <v/>
      </c>
      <c r="F237" s="35">
        <f>IF($A237&gt;NYears*12,"",IF($A237=1,InitInvest,$R236))</f>
        <v/>
      </c>
      <c r="G237" s="33">
        <f>IF($A237&gt;NYears*12,"",INT($F237/$E237))</f>
        <v/>
      </c>
      <c r="H237" s="35">
        <f>IF($A237&gt;NYears*12,"",$G237*$E237)</f>
        <v/>
      </c>
      <c r="I237" s="35">
        <f>IF($A237&gt;NYears*12,"",$F237-$H237)</f>
        <v/>
      </c>
      <c r="J237" s="35">
        <f>IF($A237&gt;NYears*12,"",$H237*RateC)</f>
        <v/>
      </c>
      <c r="K237" s="35">
        <f>IF($A237&gt;NYears*12,"",IF($D237=1,$J237,$K236+$J237))</f>
        <v/>
      </c>
      <c r="L237" s="35">
        <f>IF($A237&gt;NYears*12,"",IF(MOD($D237,3)=0,SUM($J235:$J237),0))</f>
        <v/>
      </c>
      <c r="M237" s="35">
        <f>IF($A237&gt;NYears*12,"",IF(TaxFreq="Quarterly",$K237*12/$D237,$K237))</f>
        <v/>
      </c>
      <c r="N237" s="36">
        <f>IF($A237&gt;NYears*12,"",LOOKUP($M237,TaxLower,TaxRate))</f>
        <v/>
      </c>
      <c r="O237" s="35">
        <f>IF($A237&gt;NYears*12,"",IF(TaxFreq="Quarterly",IF(MOD($D237,3)=0,$L237*$N237,0),IF($D237=12,$K237*$N237,0)))</f>
        <v/>
      </c>
      <c r="P237" s="35">
        <f>IF($A237&gt;NYears*12,"",IF($D237=1,$O237,$P236+$O237))</f>
        <v/>
      </c>
      <c r="Q237" s="35">
        <f>IF($A237&gt;NYears*12,"",IF($D237=12,MIN(WdrPct*IF(WdrBase="Post-tax profit",$K237-$P237,$K237),WdrCap),0))</f>
        <v/>
      </c>
      <c r="R237" s="35">
        <f>IF($A237&gt;NYears*12,"",$F237+$J237-$O237-$Q237)</f>
        <v/>
      </c>
      <c r="S237" s="33">
        <f>IF($A237&gt;NYears*12,"",INT($R237/$E237))</f>
        <v/>
      </c>
    </row>
    <row r="238">
      <c r="A238" s="33">
        <f>234</f>
        <v/>
      </c>
      <c r="B238" s="34">
        <f>IF($A238&gt;NYears*12,"",EDATE(StartMonth,$A238-1))</f>
        <v/>
      </c>
      <c r="C238" s="33">
        <f>IF($A238&gt;NYears*12,"",INT(($A238-1)/12)+1)</f>
        <v/>
      </c>
      <c r="D238" s="33">
        <f>IF($A238&gt;NYears*12,"",MOD($A238-1,12)+1)</f>
        <v/>
      </c>
      <c r="E238" s="35">
        <f>IF($A238&gt;NYears*12,"",LotValue0*(1+LotGrowth)^($C238-1))</f>
        <v/>
      </c>
      <c r="F238" s="35">
        <f>IF($A238&gt;NYears*12,"",IF($A238=1,InitInvest,$R237))</f>
        <v/>
      </c>
      <c r="G238" s="33">
        <f>IF($A238&gt;NYears*12,"",INT($F238/$E238))</f>
        <v/>
      </c>
      <c r="H238" s="35">
        <f>IF($A238&gt;NYears*12,"",$G238*$E238)</f>
        <v/>
      </c>
      <c r="I238" s="35">
        <f>IF($A238&gt;NYears*12,"",$F238-$H238)</f>
        <v/>
      </c>
      <c r="J238" s="35">
        <f>IF($A238&gt;NYears*12,"",$H238*RateC)</f>
        <v/>
      </c>
      <c r="K238" s="35">
        <f>IF($A238&gt;NYears*12,"",IF($D238=1,$J238,$K237+$J238))</f>
        <v/>
      </c>
      <c r="L238" s="35">
        <f>IF($A238&gt;NYears*12,"",IF(MOD($D238,3)=0,SUM($J236:$J238),0))</f>
        <v/>
      </c>
      <c r="M238" s="35">
        <f>IF($A238&gt;NYears*12,"",IF(TaxFreq="Quarterly",$K238*12/$D238,$K238))</f>
        <v/>
      </c>
      <c r="N238" s="36">
        <f>IF($A238&gt;NYears*12,"",LOOKUP($M238,TaxLower,TaxRate))</f>
        <v/>
      </c>
      <c r="O238" s="35">
        <f>IF($A238&gt;NYears*12,"",IF(TaxFreq="Quarterly",IF(MOD($D238,3)=0,$L238*$N238,0),IF($D238=12,$K238*$N238,0)))</f>
        <v/>
      </c>
      <c r="P238" s="35">
        <f>IF($A238&gt;NYears*12,"",IF($D238=1,$O238,$P237+$O238))</f>
        <v/>
      </c>
      <c r="Q238" s="35">
        <f>IF($A238&gt;NYears*12,"",IF($D238=12,MIN(WdrPct*IF(WdrBase="Post-tax profit",$K238-$P238,$K238),WdrCap),0))</f>
        <v/>
      </c>
      <c r="R238" s="35">
        <f>IF($A238&gt;NYears*12,"",$F238+$J238-$O238-$Q238)</f>
        <v/>
      </c>
      <c r="S238" s="33">
        <f>IF($A238&gt;NYears*12,"",INT($R238/$E238))</f>
        <v/>
      </c>
    </row>
    <row r="239">
      <c r="A239" s="33">
        <f>235</f>
        <v/>
      </c>
      <c r="B239" s="34">
        <f>IF($A239&gt;NYears*12,"",EDATE(StartMonth,$A239-1))</f>
        <v/>
      </c>
      <c r="C239" s="33">
        <f>IF($A239&gt;NYears*12,"",INT(($A239-1)/12)+1)</f>
        <v/>
      </c>
      <c r="D239" s="33">
        <f>IF($A239&gt;NYears*12,"",MOD($A239-1,12)+1)</f>
        <v/>
      </c>
      <c r="E239" s="35">
        <f>IF($A239&gt;NYears*12,"",LotValue0*(1+LotGrowth)^($C239-1))</f>
        <v/>
      </c>
      <c r="F239" s="35">
        <f>IF($A239&gt;NYears*12,"",IF($A239=1,InitInvest,$R238))</f>
        <v/>
      </c>
      <c r="G239" s="33">
        <f>IF($A239&gt;NYears*12,"",INT($F239/$E239))</f>
        <v/>
      </c>
      <c r="H239" s="35">
        <f>IF($A239&gt;NYears*12,"",$G239*$E239)</f>
        <v/>
      </c>
      <c r="I239" s="35">
        <f>IF($A239&gt;NYears*12,"",$F239-$H239)</f>
        <v/>
      </c>
      <c r="J239" s="35">
        <f>IF($A239&gt;NYears*12,"",$H239*RateC)</f>
        <v/>
      </c>
      <c r="K239" s="35">
        <f>IF($A239&gt;NYears*12,"",IF($D239=1,$J239,$K238+$J239))</f>
        <v/>
      </c>
      <c r="L239" s="35">
        <f>IF($A239&gt;NYears*12,"",IF(MOD($D239,3)=0,SUM($J237:$J239),0))</f>
        <v/>
      </c>
      <c r="M239" s="35">
        <f>IF($A239&gt;NYears*12,"",IF(TaxFreq="Quarterly",$K239*12/$D239,$K239))</f>
        <v/>
      </c>
      <c r="N239" s="36">
        <f>IF($A239&gt;NYears*12,"",LOOKUP($M239,TaxLower,TaxRate))</f>
        <v/>
      </c>
      <c r="O239" s="35">
        <f>IF($A239&gt;NYears*12,"",IF(TaxFreq="Quarterly",IF(MOD($D239,3)=0,$L239*$N239,0),IF($D239=12,$K239*$N239,0)))</f>
        <v/>
      </c>
      <c r="P239" s="35">
        <f>IF($A239&gt;NYears*12,"",IF($D239=1,$O239,$P238+$O239))</f>
        <v/>
      </c>
      <c r="Q239" s="35">
        <f>IF($A239&gt;NYears*12,"",IF($D239=12,MIN(WdrPct*IF(WdrBase="Post-tax profit",$K239-$P239,$K239),WdrCap),0))</f>
        <v/>
      </c>
      <c r="R239" s="35">
        <f>IF($A239&gt;NYears*12,"",$F239+$J239-$O239-$Q239)</f>
        <v/>
      </c>
      <c r="S239" s="33">
        <f>IF($A239&gt;NYears*12,"",INT($R239/$E239))</f>
        <v/>
      </c>
    </row>
    <row r="240">
      <c r="A240" s="33">
        <f>236</f>
        <v/>
      </c>
      <c r="B240" s="34">
        <f>IF($A240&gt;NYears*12,"",EDATE(StartMonth,$A240-1))</f>
        <v/>
      </c>
      <c r="C240" s="33">
        <f>IF($A240&gt;NYears*12,"",INT(($A240-1)/12)+1)</f>
        <v/>
      </c>
      <c r="D240" s="33">
        <f>IF($A240&gt;NYears*12,"",MOD($A240-1,12)+1)</f>
        <v/>
      </c>
      <c r="E240" s="35">
        <f>IF($A240&gt;NYears*12,"",LotValue0*(1+LotGrowth)^($C240-1))</f>
        <v/>
      </c>
      <c r="F240" s="35">
        <f>IF($A240&gt;NYears*12,"",IF($A240=1,InitInvest,$R239))</f>
        <v/>
      </c>
      <c r="G240" s="33">
        <f>IF($A240&gt;NYears*12,"",INT($F240/$E240))</f>
        <v/>
      </c>
      <c r="H240" s="35">
        <f>IF($A240&gt;NYears*12,"",$G240*$E240)</f>
        <v/>
      </c>
      <c r="I240" s="35">
        <f>IF($A240&gt;NYears*12,"",$F240-$H240)</f>
        <v/>
      </c>
      <c r="J240" s="35">
        <f>IF($A240&gt;NYears*12,"",$H240*RateC)</f>
        <v/>
      </c>
      <c r="K240" s="35">
        <f>IF($A240&gt;NYears*12,"",IF($D240=1,$J240,$K239+$J240))</f>
        <v/>
      </c>
      <c r="L240" s="35">
        <f>IF($A240&gt;NYears*12,"",IF(MOD($D240,3)=0,SUM($J238:$J240),0))</f>
        <v/>
      </c>
      <c r="M240" s="35">
        <f>IF($A240&gt;NYears*12,"",IF(TaxFreq="Quarterly",$K240*12/$D240,$K240))</f>
        <v/>
      </c>
      <c r="N240" s="36">
        <f>IF($A240&gt;NYears*12,"",LOOKUP($M240,TaxLower,TaxRate))</f>
        <v/>
      </c>
      <c r="O240" s="35">
        <f>IF($A240&gt;NYears*12,"",IF(TaxFreq="Quarterly",IF(MOD($D240,3)=0,$L240*$N240,0),IF($D240=12,$K240*$N240,0)))</f>
        <v/>
      </c>
      <c r="P240" s="35">
        <f>IF($A240&gt;NYears*12,"",IF($D240=1,$O240,$P239+$O240))</f>
        <v/>
      </c>
      <c r="Q240" s="35">
        <f>IF($A240&gt;NYears*12,"",IF($D240=12,MIN(WdrPct*IF(WdrBase="Post-tax profit",$K240-$P240,$K240),WdrCap),0))</f>
        <v/>
      </c>
      <c r="R240" s="35">
        <f>IF($A240&gt;NYears*12,"",$F240+$J240-$O240-$Q240)</f>
        <v/>
      </c>
      <c r="S240" s="33">
        <f>IF($A240&gt;NYears*12,"",INT($R240/$E240))</f>
        <v/>
      </c>
    </row>
    <row r="241">
      <c r="A241" s="33">
        <f>237</f>
        <v/>
      </c>
      <c r="B241" s="34">
        <f>IF($A241&gt;NYears*12,"",EDATE(StartMonth,$A241-1))</f>
        <v/>
      </c>
      <c r="C241" s="33">
        <f>IF($A241&gt;NYears*12,"",INT(($A241-1)/12)+1)</f>
        <v/>
      </c>
      <c r="D241" s="33">
        <f>IF($A241&gt;NYears*12,"",MOD($A241-1,12)+1)</f>
        <v/>
      </c>
      <c r="E241" s="35">
        <f>IF($A241&gt;NYears*12,"",LotValue0*(1+LotGrowth)^($C241-1))</f>
        <v/>
      </c>
      <c r="F241" s="35">
        <f>IF($A241&gt;NYears*12,"",IF($A241=1,InitInvest,$R240))</f>
        <v/>
      </c>
      <c r="G241" s="33">
        <f>IF($A241&gt;NYears*12,"",INT($F241/$E241))</f>
        <v/>
      </c>
      <c r="H241" s="35">
        <f>IF($A241&gt;NYears*12,"",$G241*$E241)</f>
        <v/>
      </c>
      <c r="I241" s="35">
        <f>IF($A241&gt;NYears*12,"",$F241-$H241)</f>
        <v/>
      </c>
      <c r="J241" s="35">
        <f>IF($A241&gt;NYears*12,"",$H241*RateC)</f>
        <v/>
      </c>
      <c r="K241" s="35">
        <f>IF($A241&gt;NYears*12,"",IF($D241=1,$J241,$K240+$J241))</f>
        <v/>
      </c>
      <c r="L241" s="35">
        <f>IF($A241&gt;NYears*12,"",IF(MOD($D241,3)=0,SUM($J239:$J241),0))</f>
        <v/>
      </c>
      <c r="M241" s="35">
        <f>IF($A241&gt;NYears*12,"",IF(TaxFreq="Quarterly",$K241*12/$D241,$K241))</f>
        <v/>
      </c>
      <c r="N241" s="36">
        <f>IF($A241&gt;NYears*12,"",LOOKUP($M241,TaxLower,TaxRate))</f>
        <v/>
      </c>
      <c r="O241" s="35">
        <f>IF($A241&gt;NYears*12,"",IF(TaxFreq="Quarterly",IF(MOD($D241,3)=0,$L241*$N241,0),IF($D241=12,$K241*$N241,0)))</f>
        <v/>
      </c>
      <c r="P241" s="35">
        <f>IF($A241&gt;NYears*12,"",IF($D241=1,$O241,$P240+$O241))</f>
        <v/>
      </c>
      <c r="Q241" s="35">
        <f>IF($A241&gt;NYears*12,"",IF($D241=12,MIN(WdrPct*IF(WdrBase="Post-tax profit",$K241-$P241,$K241),WdrCap),0))</f>
        <v/>
      </c>
      <c r="R241" s="35">
        <f>IF($A241&gt;NYears*12,"",$F241+$J241-$O241-$Q241)</f>
        <v/>
      </c>
      <c r="S241" s="33">
        <f>IF($A241&gt;NYears*12,"",INT($R241/$E241))</f>
        <v/>
      </c>
    </row>
    <row r="242">
      <c r="A242" s="33">
        <f>238</f>
        <v/>
      </c>
      <c r="B242" s="34">
        <f>IF($A242&gt;NYears*12,"",EDATE(StartMonth,$A242-1))</f>
        <v/>
      </c>
      <c r="C242" s="33">
        <f>IF($A242&gt;NYears*12,"",INT(($A242-1)/12)+1)</f>
        <v/>
      </c>
      <c r="D242" s="33">
        <f>IF($A242&gt;NYears*12,"",MOD($A242-1,12)+1)</f>
        <v/>
      </c>
      <c r="E242" s="35">
        <f>IF($A242&gt;NYears*12,"",LotValue0*(1+LotGrowth)^($C242-1))</f>
        <v/>
      </c>
      <c r="F242" s="35">
        <f>IF($A242&gt;NYears*12,"",IF($A242=1,InitInvest,$R241))</f>
        <v/>
      </c>
      <c r="G242" s="33">
        <f>IF($A242&gt;NYears*12,"",INT($F242/$E242))</f>
        <v/>
      </c>
      <c r="H242" s="35">
        <f>IF($A242&gt;NYears*12,"",$G242*$E242)</f>
        <v/>
      </c>
      <c r="I242" s="35">
        <f>IF($A242&gt;NYears*12,"",$F242-$H242)</f>
        <v/>
      </c>
      <c r="J242" s="35">
        <f>IF($A242&gt;NYears*12,"",$H242*RateC)</f>
        <v/>
      </c>
      <c r="K242" s="35">
        <f>IF($A242&gt;NYears*12,"",IF($D242=1,$J242,$K241+$J242))</f>
        <v/>
      </c>
      <c r="L242" s="35">
        <f>IF($A242&gt;NYears*12,"",IF(MOD($D242,3)=0,SUM($J240:$J242),0))</f>
        <v/>
      </c>
      <c r="M242" s="35">
        <f>IF($A242&gt;NYears*12,"",IF(TaxFreq="Quarterly",$K242*12/$D242,$K242))</f>
        <v/>
      </c>
      <c r="N242" s="36">
        <f>IF($A242&gt;NYears*12,"",LOOKUP($M242,TaxLower,TaxRate))</f>
        <v/>
      </c>
      <c r="O242" s="35">
        <f>IF($A242&gt;NYears*12,"",IF(TaxFreq="Quarterly",IF(MOD($D242,3)=0,$L242*$N242,0),IF($D242=12,$K242*$N242,0)))</f>
        <v/>
      </c>
      <c r="P242" s="35">
        <f>IF($A242&gt;NYears*12,"",IF($D242=1,$O242,$P241+$O242))</f>
        <v/>
      </c>
      <c r="Q242" s="35">
        <f>IF($A242&gt;NYears*12,"",IF($D242=12,MIN(WdrPct*IF(WdrBase="Post-tax profit",$K242-$P242,$K242),WdrCap),0))</f>
        <v/>
      </c>
      <c r="R242" s="35">
        <f>IF($A242&gt;NYears*12,"",$F242+$J242-$O242-$Q242)</f>
        <v/>
      </c>
      <c r="S242" s="33">
        <f>IF($A242&gt;NYears*12,"",INT($R242/$E242))</f>
        <v/>
      </c>
    </row>
    <row r="243">
      <c r="A243" s="33">
        <f>239</f>
        <v/>
      </c>
      <c r="B243" s="34">
        <f>IF($A243&gt;NYears*12,"",EDATE(StartMonth,$A243-1))</f>
        <v/>
      </c>
      <c r="C243" s="33">
        <f>IF($A243&gt;NYears*12,"",INT(($A243-1)/12)+1)</f>
        <v/>
      </c>
      <c r="D243" s="33">
        <f>IF($A243&gt;NYears*12,"",MOD($A243-1,12)+1)</f>
        <v/>
      </c>
      <c r="E243" s="35">
        <f>IF($A243&gt;NYears*12,"",LotValue0*(1+LotGrowth)^($C243-1))</f>
        <v/>
      </c>
      <c r="F243" s="35">
        <f>IF($A243&gt;NYears*12,"",IF($A243=1,InitInvest,$R242))</f>
        <v/>
      </c>
      <c r="G243" s="33">
        <f>IF($A243&gt;NYears*12,"",INT($F243/$E243))</f>
        <v/>
      </c>
      <c r="H243" s="35">
        <f>IF($A243&gt;NYears*12,"",$G243*$E243)</f>
        <v/>
      </c>
      <c r="I243" s="35">
        <f>IF($A243&gt;NYears*12,"",$F243-$H243)</f>
        <v/>
      </c>
      <c r="J243" s="35">
        <f>IF($A243&gt;NYears*12,"",$H243*RateC)</f>
        <v/>
      </c>
      <c r="K243" s="35">
        <f>IF($A243&gt;NYears*12,"",IF($D243=1,$J243,$K242+$J243))</f>
        <v/>
      </c>
      <c r="L243" s="35">
        <f>IF($A243&gt;NYears*12,"",IF(MOD($D243,3)=0,SUM($J241:$J243),0))</f>
        <v/>
      </c>
      <c r="M243" s="35">
        <f>IF($A243&gt;NYears*12,"",IF(TaxFreq="Quarterly",$K243*12/$D243,$K243))</f>
        <v/>
      </c>
      <c r="N243" s="36">
        <f>IF($A243&gt;NYears*12,"",LOOKUP($M243,TaxLower,TaxRate))</f>
        <v/>
      </c>
      <c r="O243" s="35">
        <f>IF($A243&gt;NYears*12,"",IF(TaxFreq="Quarterly",IF(MOD($D243,3)=0,$L243*$N243,0),IF($D243=12,$K243*$N243,0)))</f>
        <v/>
      </c>
      <c r="P243" s="35">
        <f>IF($A243&gt;NYears*12,"",IF($D243=1,$O243,$P242+$O243))</f>
        <v/>
      </c>
      <c r="Q243" s="35">
        <f>IF($A243&gt;NYears*12,"",IF($D243=12,MIN(WdrPct*IF(WdrBase="Post-tax profit",$K243-$P243,$K243),WdrCap),0))</f>
        <v/>
      </c>
      <c r="R243" s="35">
        <f>IF($A243&gt;NYears*12,"",$F243+$J243-$O243-$Q243)</f>
        <v/>
      </c>
      <c r="S243" s="33">
        <f>IF($A243&gt;NYears*12,"",INT($R243/$E243))</f>
        <v/>
      </c>
    </row>
    <row r="244">
      <c r="A244" s="37">
        <f>240</f>
        <v/>
      </c>
      <c r="B244" s="38">
        <f>IF($A244&gt;NYears*12,"",EDATE(StartMonth,$A244-1))</f>
        <v/>
      </c>
      <c r="C244" s="37">
        <f>IF($A244&gt;NYears*12,"",INT(($A244-1)/12)+1)</f>
        <v/>
      </c>
      <c r="D244" s="37">
        <f>IF($A244&gt;NYears*12,"",MOD($A244-1,12)+1)</f>
        <v/>
      </c>
      <c r="E244" s="39">
        <f>IF($A244&gt;NYears*12,"",LotValue0*(1+LotGrowth)^($C244-1))</f>
        <v/>
      </c>
      <c r="F244" s="39">
        <f>IF($A244&gt;NYears*12,"",IF($A244=1,InitInvest,$R243))</f>
        <v/>
      </c>
      <c r="G244" s="37">
        <f>IF($A244&gt;NYears*12,"",INT($F244/$E244))</f>
        <v/>
      </c>
      <c r="H244" s="39">
        <f>IF($A244&gt;NYears*12,"",$G244*$E244)</f>
        <v/>
      </c>
      <c r="I244" s="39">
        <f>IF($A244&gt;NYears*12,"",$F244-$H244)</f>
        <v/>
      </c>
      <c r="J244" s="39">
        <f>IF($A244&gt;NYears*12,"",$H244*RateC)</f>
        <v/>
      </c>
      <c r="K244" s="39">
        <f>IF($A244&gt;NYears*12,"",IF($D244=1,$J244,$K243+$J244))</f>
        <v/>
      </c>
      <c r="L244" s="39">
        <f>IF($A244&gt;NYears*12,"",IF(MOD($D244,3)=0,SUM($J242:$J244),0))</f>
        <v/>
      </c>
      <c r="M244" s="39">
        <f>IF($A244&gt;NYears*12,"",IF(TaxFreq="Quarterly",$K244*12/$D244,$K244))</f>
        <v/>
      </c>
      <c r="N244" s="40">
        <f>IF($A244&gt;NYears*12,"",LOOKUP($M244,TaxLower,TaxRate))</f>
        <v/>
      </c>
      <c r="O244" s="39">
        <f>IF($A244&gt;NYears*12,"",IF(TaxFreq="Quarterly",IF(MOD($D244,3)=0,$L244*$N244,0),IF($D244=12,$K244*$N244,0)))</f>
        <v/>
      </c>
      <c r="P244" s="39">
        <f>IF($A244&gt;NYears*12,"",IF($D244=1,$O244,$P243+$O244))</f>
        <v/>
      </c>
      <c r="Q244" s="39">
        <f>IF($A244&gt;NYears*12,"",IF($D244=12,MIN(WdrPct*IF(WdrBase="Post-tax profit",$K244-$P244,$K244),WdrCap),0))</f>
        <v/>
      </c>
      <c r="R244" s="39">
        <f>IF($A244&gt;NYears*12,"",$F244+$J244-$O244-$Q244)</f>
        <v/>
      </c>
      <c r="S244" s="37">
        <f>IF($A244&gt;NYears*12,"",INT($R244/$E244))</f>
        <v/>
      </c>
    </row>
    <row r="245">
      <c r="A245" s="33">
        <f>241</f>
        <v/>
      </c>
      <c r="B245" s="34">
        <f>IF($A245&gt;NYears*12,"",EDATE(StartMonth,$A245-1))</f>
        <v/>
      </c>
      <c r="C245" s="33">
        <f>IF($A245&gt;NYears*12,"",INT(($A245-1)/12)+1)</f>
        <v/>
      </c>
      <c r="D245" s="33">
        <f>IF($A245&gt;NYears*12,"",MOD($A245-1,12)+1)</f>
        <v/>
      </c>
      <c r="E245" s="35">
        <f>IF($A245&gt;NYears*12,"",LotValue0*(1+LotGrowth)^($C245-1))</f>
        <v/>
      </c>
      <c r="F245" s="35">
        <f>IF($A245&gt;NYears*12,"",IF($A245=1,InitInvest,$R244))</f>
        <v/>
      </c>
      <c r="G245" s="33">
        <f>IF($A245&gt;NYears*12,"",INT($F245/$E245))</f>
        <v/>
      </c>
      <c r="H245" s="35">
        <f>IF($A245&gt;NYears*12,"",$G245*$E245)</f>
        <v/>
      </c>
      <c r="I245" s="35">
        <f>IF($A245&gt;NYears*12,"",$F245-$H245)</f>
        <v/>
      </c>
      <c r="J245" s="35">
        <f>IF($A245&gt;NYears*12,"",$H245*RateC)</f>
        <v/>
      </c>
      <c r="K245" s="35">
        <f>IF($A245&gt;NYears*12,"",IF($D245=1,$J245,$K244+$J245))</f>
        <v/>
      </c>
      <c r="L245" s="35">
        <f>IF($A245&gt;NYears*12,"",IF(MOD($D245,3)=0,SUM($J243:$J245),0))</f>
        <v/>
      </c>
      <c r="M245" s="35">
        <f>IF($A245&gt;NYears*12,"",IF(TaxFreq="Quarterly",$K245*12/$D245,$K245))</f>
        <v/>
      </c>
      <c r="N245" s="36">
        <f>IF($A245&gt;NYears*12,"",LOOKUP($M245,TaxLower,TaxRate))</f>
        <v/>
      </c>
      <c r="O245" s="35">
        <f>IF($A245&gt;NYears*12,"",IF(TaxFreq="Quarterly",IF(MOD($D245,3)=0,$L245*$N245,0),IF($D245=12,$K245*$N245,0)))</f>
        <v/>
      </c>
      <c r="P245" s="35">
        <f>IF($A245&gt;NYears*12,"",IF($D245=1,$O245,$P244+$O245))</f>
        <v/>
      </c>
      <c r="Q245" s="35">
        <f>IF($A245&gt;NYears*12,"",IF($D245=12,MIN(WdrPct*IF(WdrBase="Post-tax profit",$K245-$P245,$K245),WdrCap),0))</f>
        <v/>
      </c>
      <c r="R245" s="35">
        <f>IF($A245&gt;NYears*12,"",$F245+$J245-$O245-$Q245)</f>
        <v/>
      </c>
      <c r="S245" s="33">
        <f>IF($A245&gt;NYears*12,"",INT($R245/$E245))</f>
        <v/>
      </c>
    </row>
    <row r="246">
      <c r="A246" s="33">
        <f>242</f>
        <v/>
      </c>
      <c r="B246" s="34">
        <f>IF($A246&gt;NYears*12,"",EDATE(StartMonth,$A246-1))</f>
        <v/>
      </c>
      <c r="C246" s="33">
        <f>IF($A246&gt;NYears*12,"",INT(($A246-1)/12)+1)</f>
        <v/>
      </c>
      <c r="D246" s="33">
        <f>IF($A246&gt;NYears*12,"",MOD($A246-1,12)+1)</f>
        <v/>
      </c>
      <c r="E246" s="35">
        <f>IF($A246&gt;NYears*12,"",LotValue0*(1+LotGrowth)^($C246-1))</f>
        <v/>
      </c>
      <c r="F246" s="35">
        <f>IF($A246&gt;NYears*12,"",IF($A246=1,InitInvest,$R245))</f>
        <v/>
      </c>
      <c r="G246" s="33">
        <f>IF($A246&gt;NYears*12,"",INT($F246/$E246))</f>
        <v/>
      </c>
      <c r="H246" s="35">
        <f>IF($A246&gt;NYears*12,"",$G246*$E246)</f>
        <v/>
      </c>
      <c r="I246" s="35">
        <f>IF($A246&gt;NYears*12,"",$F246-$H246)</f>
        <v/>
      </c>
      <c r="J246" s="35">
        <f>IF($A246&gt;NYears*12,"",$H246*RateC)</f>
        <v/>
      </c>
      <c r="K246" s="35">
        <f>IF($A246&gt;NYears*12,"",IF($D246=1,$J246,$K245+$J246))</f>
        <v/>
      </c>
      <c r="L246" s="35">
        <f>IF($A246&gt;NYears*12,"",IF(MOD($D246,3)=0,SUM($J244:$J246),0))</f>
        <v/>
      </c>
      <c r="M246" s="35">
        <f>IF($A246&gt;NYears*12,"",IF(TaxFreq="Quarterly",$K246*12/$D246,$K246))</f>
        <v/>
      </c>
      <c r="N246" s="36">
        <f>IF($A246&gt;NYears*12,"",LOOKUP($M246,TaxLower,TaxRate))</f>
        <v/>
      </c>
      <c r="O246" s="35">
        <f>IF($A246&gt;NYears*12,"",IF(TaxFreq="Quarterly",IF(MOD($D246,3)=0,$L246*$N246,0),IF($D246=12,$K246*$N246,0)))</f>
        <v/>
      </c>
      <c r="P246" s="35">
        <f>IF($A246&gt;NYears*12,"",IF($D246=1,$O246,$P245+$O246))</f>
        <v/>
      </c>
      <c r="Q246" s="35">
        <f>IF($A246&gt;NYears*12,"",IF($D246=12,MIN(WdrPct*IF(WdrBase="Post-tax profit",$K246-$P246,$K246),WdrCap),0))</f>
        <v/>
      </c>
      <c r="R246" s="35">
        <f>IF($A246&gt;NYears*12,"",$F246+$J246-$O246-$Q246)</f>
        <v/>
      </c>
      <c r="S246" s="33">
        <f>IF($A246&gt;NYears*12,"",INT($R246/$E246))</f>
        <v/>
      </c>
    </row>
    <row r="247">
      <c r="A247" s="33">
        <f>243</f>
        <v/>
      </c>
      <c r="B247" s="34">
        <f>IF($A247&gt;NYears*12,"",EDATE(StartMonth,$A247-1))</f>
        <v/>
      </c>
      <c r="C247" s="33">
        <f>IF($A247&gt;NYears*12,"",INT(($A247-1)/12)+1)</f>
        <v/>
      </c>
      <c r="D247" s="33">
        <f>IF($A247&gt;NYears*12,"",MOD($A247-1,12)+1)</f>
        <v/>
      </c>
      <c r="E247" s="35">
        <f>IF($A247&gt;NYears*12,"",LotValue0*(1+LotGrowth)^($C247-1))</f>
        <v/>
      </c>
      <c r="F247" s="35">
        <f>IF($A247&gt;NYears*12,"",IF($A247=1,InitInvest,$R246))</f>
        <v/>
      </c>
      <c r="G247" s="33">
        <f>IF($A247&gt;NYears*12,"",INT($F247/$E247))</f>
        <v/>
      </c>
      <c r="H247" s="35">
        <f>IF($A247&gt;NYears*12,"",$G247*$E247)</f>
        <v/>
      </c>
      <c r="I247" s="35">
        <f>IF($A247&gt;NYears*12,"",$F247-$H247)</f>
        <v/>
      </c>
      <c r="J247" s="35">
        <f>IF($A247&gt;NYears*12,"",$H247*RateC)</f>
        <v/>
      </c>
      <c r="K247" s="35">
        <f>IF($A247&gt;NYears*12,"",IF($D247=1,$J247,$K246+$J247))</f>
        <v/>
      </c>
      <c r="L247" s="35">
        <f>IF($A247&gt;NYears*12,"",IF(MOD($D247,3)=0,SUM($J245:$J247),0))</f>
        <v/>
      </c>
      <c r="M247" s="35">
        <f>IF($A247&gt;NYears*12,"",IF(TaxFreq="Quarterly",$K247*12/$D247,$K247))</f>
        <v/>
      </c>
      <c r="N247" s="36">
        <f>IF($A247&gt;NYears*12,"",LOOKUP($M247,TaxLower,TaxRate))</f>
        <v/>
      </c>
      <c r="O247" s="35">
        <f>IF($A247&gt;NYears*12,"",IF(TaxFreq="Quarterly",IF(MOD($D247,3)=0,$L247*$N247,0),IF($D247=12,$K247*$N247,0)))</f>
        <v/>
      </c>
      <c r="P247" s="35">
        <f>IF($A247&gt;NYears*12,"",IF($D247=1,$O247,$P246+$O247))</f>
        <v/>
      </c>
      <c r="Q247" s="35">
        <f>IF($A247&gt;NYears*12,"",IF($D247=12,MIN(WdrPct*IF(WdrBase="Post-tax profit",$K247-$P247,$K247),WdrCap),0))</f>
        <v/>
      </c>
      <c r="R247" s="35">
        <f>IF($A247&gt;NYears*12,"",$F247+$J247-$O247-$Q247)</f>
        <v/>
      </c>
      <c r="S247" s="33">
        <f>IF($A247&gt;NYears*12,"",INT($R247/$E247))</f>
        <v/>
      </c>
    </row>
    <row r="248">
      <c r="A248" s="33">
        <f>244</f>
        <v/>
      </c>
      <c r="B248" s="34">
        <f>IF($A248&gt;NYears*12,"",EDATE(StartMonth,$A248-1))</f>
        <v/>
      </c>
      <c r="C248" s="33">
        <f>IF($A248&gt;NYears*12,"",INT(($A248-1)/12)+1)</f>
        <v/>
      </c>
      <c r="D248" s="33">
        <f>IF($A248&gt;NYears*12,"",MOD($A248-1,12)+1)</f>
        <v/>
      </c>
      <c r="E248" s="35">
        <f>IF($A248&gt;NYears*12,"",LotValue0*(1+LotGrowth)^($C248-1))</f>
        <v/>
      </c>
      <c r="F248" s="35">
        <f>IF($A248&gt;NYears*12,"",IF($A248=1,InitInvest,$R247))</f>
        <v/>
      </c>
      <c r="G248" s="33">
        <f>IF($A248&gt;NYears*12,"",INT($F248/$E248))</f>
        <v/>
      </c>
      <c r="H248" s="35">
        <f>IF($A248&gt;NYears*12,"",$G248*$E248)</f>
        <v/>
      </c>
      <c r="I248" s="35">
        <f>IF($A248&gt;NYears*12,"",$F248-$H248)</f>
        <v/>
      </c>
      <c r="J248" s="35">
        <f>IF($A248&gt;NYears*12,"",$H248*RateC)</f>
        <v/>
      </c>
      <c r="K248" s="35">
        <f>IF($A248&gt;NYears*12,"",IF($D248=1,$J248,$K247+$J248))</f>
        <v/>
      </c>
      <c r="L248" s="35">
        <f>IF($A248&gt;NYears*12,"",IF(MOD($D248,3)=0,SUM($J246:$J248),0))</f>
        <v/>
      </c>
      <c r="M248" s="35">
        <f>IF($A248&gt;NYears*12,"",IF(TaxFreq="Quarterly",$K248*12/$D248,$K248))</f>
        <v/>
      </c>
      <c r="N248" s="36">
        <f>IF($A248&gt;NYears*12,"",LOOKUP($M248,TaxLower,TaxRate))</f>
        <v/>
      </c>
      <c r="O248" s="35">
        <f>IF($A248&gt;NYears*12,"",IF(TaxFreq="Quarterly",IF(MOD($D248,3)=0,$L248*$N248,0),IF($D248=12,$K248*$N248,0)))</f>
        <v/>
      </c>
      <c r="P248" s="35">
        <f>IF($A248&gt;NYears*12,"",IF($D248=1,$O248,$P247+$O248))</f>
        <v/>
      </c>
      <c r="Q248" s="35">
        <f>IF($A248&gt;NYears*12,"",IF($D248=12,MIN(WdrPct*IF(WdrBase="Post-tax profit",$K248-$P248,$K248),WdrCap),0))</f>
        <v/>
      </c>
      <c r="R248" s="35">
        <f>IF($A248&gt;NYears*12,"",$F248+$J248-$O248-$Q248)</f>
        <v/>
      </c>
      <c r="S248" s="33">
        <f>IF($A248&gt;NYears*12,"",INT($R248/$E248))</f>
        <v/>
      </c>
    </row>
    <row r="249">
      <c r="A249" s="33">
        <f>245</f>
        <v/>
      </c>
      <c r="B249" s="34">
        <f>IF($A249&gt;NYears*12,"",EDATE(StartMonth,$A249-1))</f>
        <v/>
      </c>
      <c r="C249" s="33">
        <f>IF($A249&gt;NYears*12,"",INT(($A249-1)/12)+1)</f>
        <v/>
      </c>
      <c r="D249" s="33">
        <f>IF($A249&gt;NYears*12,"",MOD($A249-1,12)+1)</f>
        <v/>
      </c>
      <c r="E249" s="35">
        <f>IF($A249&gt;NYears*12,"",LotValue0*(1+LotGrowth)^($C249-1))</f>
        <v/>
      </c>
      <c r="F249" s="35">
        <f>IF($A249&gt;NYears*12,"",IF($A249=1,InitInvest,$R248))</f>
        <v/>
      </c>
      <c r="G249" s="33">
        <f>IF($A249&gt;NYears*12,"",INT($F249/$E249))</f>
        <v/>
      </c>
      <c r="H249" s="35">
        <f>IF($A249&gt;NYears*12,"",$G249*$E249)</f>
        <v/>
      </c>
      <c r="I249" s="35">
        <f>IF($A249&gt;NYears*12,"",$F249-$H249)</f>
        <v/>
      </c>
      <c r="J249" s="35">
        <f>IF($A249&gt;NYears*12,"",$H249*RateC)</f>
        <v/>
      </c>
      <c r="K249" s="35">
        <f>IF($A249&gt;NYears*12,"",IF($D249=1,$J249,$K248+$J249))</f>
        <v/>
      </c>
      <c r="L249" s="35">
        <f>IF($A249&gt;NYears*12,"",IF(MOD($D249,3)=0,SUM($J247:$J249),0))</f>
        <v/>
      </c>
      <c r="M249" s="35">
        <f>IF($A249&gt;NYears*12,"",IF(TaxFreq="Quarterly",$K249*12/$D249,$K249))</f>
        <v/>
      </c>
      <c r="N249" s="36">
        <f>IF($A249&gt;NYears*12,"",LOOKUP($M249,TaxLower,TaxRate))</f>
        <v/>
      </c>
      <c r="O249" s="35">
        <f>IF($A249&gt;NYears*12,"",IF(TaxFreq="Quarterly",IF(MOD($D249,3)=0,$L249*$N249,0),IF($D249=12,$K249*$N249,0)))</f>
        <v/>
      </c>
      <c r="P249" s="35">
        <f>IF($A249&gt;NYears*12,"",IF($D249=1,$O249,$P248+$O249))</f>
        <v/>
      </c>
      <c r="Q249" s="35">
        <f>IF($A249&gt;NYears*12,"",IF($D249=12,MIN(WdrPct*IF(WdrBase="Post-tax profit",$K249-$P249,$K249),WdrCap),0))</f>
        <v/>
      </c>
      <c r="R249" s="35">
        <f>IF($A249&gt;NYears*12,"",$F249+$J249-$O249-$Q249)</f>
        <v/>
      </c>
      <c r="S249" s="33">
        <f>IF($A249&gt;NYears*12,"",INT($R249/$E249))</f>
        <v/>
      </c>
    </row>
    <row r="250">
      <c r="A250" s="33">
        <f>246</f>
        <v/>
      </c>
      <c r="B250" s="34">
        <f>IF($A250&gt;NYears*12,"",EDATE(StartMonth,$A250-1))</f>
        <v/>
      </c>
      <c r="C250" s="33">
        <f>IF($A250&gt;NYears*12,"",INT(($A250-1)/12)+1)</f>
        <v/>
      </c>
      <c r="D250" s="33">
        <f>IF($A250&gt;NYears*12,"",MOD($A250-1,12)+1)</f>
        <v/>
      </c>
      <c r="E250" s="35">
        <f>IF($A250&gt;NYears*12,"",LotValue0*(1+LotGrowth)^($C250-1))</f>
        <v/>
      </c>
      <c r="F250" s="35">
        <f>IF($A250&gt;NYears*12,"",IF($A250=1,InitInvest,$R249))</f>
        <v/>
      </c>
      <c r="G250" s="33">
        <f>IF($A250&gt;NYears*12,"",INT($F250/$E250))</f>
        <v/>
      </c>
      <c r="H250" s="35">
        <f>IF($A250&gt;NYears*12,"",$G250*$E250)</f>
        <v/>
      </c>
      <c r="I250" s="35">
        <f>IF($A250&gt;NYears*12,"",$F250-$H250)</f>
        <v/>
      </c>
      <c r="J250" s="35">
        <f>IF($A250&gt;NYears*12,"",$H250*RateC)</f>
        <v/>
      </c>
      <c r="K250" s="35">
        <f>IF($A250&gt;NYears*12,"",IF($D250=1,$J250,$K249+$J250))</f>
        <v/>
      </c>
      <c r="L250" s="35">
        <f>IF($A250&gt;NYears*12,"",IF(MOD($D250,3)=0,SUM($J248:$J250),0))</f>
        <v/>
      </c>
      <c r="M250" s="35">
        <f>IF($A250&gt;NYears*12,"",IF(TaxFreq="Quarterly",$K250*12/$D250,$K250))</f>
        <v/>
      </c>
      <c r="N250" s="36">
        <f>IF($A250&gt;NYears*12,"",LOOKUP($M250,TaxLower,TaxRate))</f>
        <v/>
      </c>
      <c r="O250" s="35">
        <f>IF($A250&gt;NYears*12,"",IF(TaxFreq="Quarterly",IF(MOD($D250,3)=0,$L250*$N250,0),IF($D250=12,$K250*$N250,0)))</f>
        <v/>
      </c>
      <c r="P250" s="35">
        <f>IF($A250&gt;NYears*12,"",IF($D250=1,$O250,$P249+$O250))</f>
        <v/>
      </c>
      <c r="Q250" s="35">
        <f>IF($A250&gt;NYears*12,"",IF($D250=12,MIN(WdrPct*IF(WdrBase="Post-tax profit",$K250-$P250,$K250),WdrCap),0))</f>
        <v/>
      </c>
      <c r="R250" s="35">
        <f>IF($A250&gt;NYears*12,"",$F250+$J250-$O250-$Q250)</f>
        <v/>
      </c>
      <c r="S250" s="33">
        <f>IF($A250&gt;NYears*12,"",INT($R250/$E250))</f>
        <v/>
      </c>
    </row>
    <row r="251">
      <c r="A251" s="33">
        <f>247</f>
        <v/>
      </c>
      <c r="B251" s="34">
        <f>IF($A251&gt;NYears*12,"",EDATE(StartMonth,$A251-1))</f>
        <v/>
      </c>
      <c r="C251" s="33">
        <f>IF($A251&gt;NYears*12,"",INT(($A251-1)/12)+1)</f>
        <v/>
      </c>
      <c r="D251" s="33">
        <f>IF($A251&gt;NYears*12,"",MOD($A251-1,12)+1)</f>
        <v/>
      </c>
      <c r="E251" s="35">
        <f>IF($A251&gt;NYears*12,"",LotValue0*(1+LotGrowth)^($C251-1))</f>
        <v/>
      </c>
      <c r="F251" s="35">
        <f>IF($A251&gt;NYears*12,"",IF($A251=1,InitInvest,$R250))</f>
        <v/>
      </c>
      <c r="G251" s="33">
        <f>IF($A251&gt;NYears*12,"",INT($F251/$E251))</f>
        <v/>
      </c>
      <c r="H251" s="35">
        <f>IF($A251&gt;NYears*12,"",$G251*$E251)</f>
        <v/>
      </c>
      <c r="I251" s="35">
        <f>IF($A251&gt;NYears*12,"",$F251-$H251)</f>
        <v/>
      </c>
      <c r="J251" s="35">
        <f>IF($A251&gt;NYears*12,"",$H251*RateC)</f>
        <v/>
      </c>
      <c r="K251" s="35">
        <f>IF($A251&gt;NYears*12,"",IF($D251=1,$J251,$K250+$J251))</f>
        <v/>
      </c>
      <c r="L251" s="35">
        <f>IF($A251&gt;NYears*12,"",IF(MOD($D251,3)=0,SUM($J249:$J251),0))</f>
        <v/>
      </c>
      <c r="M251" s="35">
        <f>IF($A251&gt;NYears*12,"",IF(TaxFreq="Quarterly",$K251*12/$D251,$K251))</f>
        <v/>
      </c>
      <c r="N251" s="36">
        <f>IF($A251&gt;NYears*12,"",LOOKUP($M251,TaxLower,TaxRate))</f>
        <v/>
      </c>
      <c r="O251" s="35">
        <f>IF($A251&gt;NYears*12,"",IF(TaxFreq="Quarterly",IF(MOD($D251,3)=0,$L251*$N251,0),IF($D251=12,$K251*$N251,0)))</f>
        <v/>
      </c>
      <c r="P251" s="35">
        <f>IF($A251&gt;NYears*12,"",IF($D251=1,$O251,$P250+$O251))</f>
        <v/>
      </c>
      <c r="Q251" s="35">
        <f>IF($A251&gt;NYears*12,"",IF($D251=12,MIN(WdrPct*IF(WdrBase="Post-tax profit",$K251-$P251,$K251),WdrCap),0))</f>
        <v/>
      </c>
      <c r="R251" s="35">
        <f>IF($A251&gt;NYears*12,"",$F251+$J251-$O251-$Q251)</f>
        <v/>
      </c>
      <c r="S251" s="33">
        <f>IF($A251&gt;NYears*12,"",INT($R251/$E251))</f>
        <v/>
      </c>
    </row>
    <row r="252">
      <c r="A252" s="33">
        <f>248</f>
        <v/>
      </c>
      <c r="B252" s="34">
        <f>IF($A252&gt;NYears*12,"",EDATE(StartMonth,$A252-1))</f>
        <v/>
      </c>
      <c r="C252" s="33">
        <f>IF($A252&gt;NYears*12,"",INT(($A252-1)/12)+1)</f>
        <v/>
      </c>
      <c r="D252" s="33">
        <f>IF($A252&gt;NYears*12,"",MOD($A252-1,12)+1)</f>
        <v/>
      </c>
      <c r="E252" s="35">
        <f>IF($A252&gt;NYears*12,"",LotValue0*(1+LotGrowth)^($C252-1))</f>
        <v/>
      </c>
      <c r="F252" s="35">
        <f>IF($A252&gt;NYears*12,"",IF($A252=1,InitInvest,$R251))</f>
        <v/>
      </c>
      <c r="G252" s="33">
        <f>IF($A252&gt;NYears*12,"",INT($F252/$E252))</f>
        <v/>
      </c>
      <c r="H252" s="35">
        <f>IF($A252&gt;NYears*12,"",$G252*$E252)</f>
        <v/>
      </c>
      <c r="I252" s="35">
        <f>IF($A252&gt;NYears*12,"",$F252-$H252)</f>
        <v/>
      </c>
      <c r="J252" s="35">
        <f>IF($A252&gt;NYears*12,"",$H252*RateC)</f>
        <v/>
      </c>
      <c r="K252" s="35">
        <f>IF($A252&gt;NYears*12,"",IF($D252=1,$J252,$K251+$J252))</f>
        <v/>
      </c>
      <c r="L252" s="35">
        <f>IF($A252&gt;NYears*12,"",IF(MOD($D252,3)=0,SUM($J250:$J252),0))</f>
        <v/>
      </c>
      <c r="M252" s="35">
        <f>IF($A252&gt;NYears*12,"",IF(TaxFreq="Quarterly",$K252*12/$D252,$K252))</f>
        <v/>
      </c>
      <c r="N252" s="36">
        <f>IF($A252&gt;NYears*12,"",LOOKUP($M252,TaxLower,TaxRate))</f>
        <v/>
      </c>
      <c r="O252" s="35">
        <f>IF($A252&gt;NYears*12,"",IF(TaxFreq="Quarterly",IF(MOD($D252,3)=0,$L252*$N252,0),IF($D252=12,$K252*$N252,0)))</f>
        <v/>
      </c>
      <c r="P252" s="35">
        <f>IF($A252&gt;NYears*12,"",IF($D252=1,$O252,$P251+$O252))</f>
        <v/>
      </c>
      <c r="Q252" s="35">
        <f>IF($A252&gt;NYears*12,"",IF($D252=12,MIN(WdrPct*IF(WdrBase="Post-tax profit",$K252-$P252,$K252),WdrCap),0))</f>
        <v/>
      </c>
      <c r="R252" s="35">
        <f>IF($A252&gt;NYears*12,"",$F252+$J252-$O252-$Q252)</f>
        <v/>
      </c>
      <c r="S252" s="33">
        <f>IF($A252&gt;NYears*12,"",INT($R252/$E252))</f>
        <v/>
      </c>
    </row>
    <row r="253">
      <c r="A253" s="33">
        <f>249</f>
        <v/>
      </c>
      <c r="B253" s="34">
        <f>IF($A253&gt;NYears*12,"",EDATE(StartMonth,$A253-1))</f>
        <v/>
      </c>
      <c r="C253" s="33">
        <f>IF($A253&gt;NYears*12,"",INT(($A253-1)/12)+1)</f>
        <v/>
      </c>
      <c r="D253" s="33">
        <f>IF($A253&gt;NYears*12,"",MOD($A253-1,12)+1)</f>
        <v/>
      </c>
      <c r="E253" s="35">
        <f>IF($A253&gt;NYears*12,"",LotValue0*(1+LotGrowth)^($C253-1))</f>
        <v/>
      </c>
      <c r="F253" s="35">
        <f>IF($A253&gt;NYears*12,"",IF($A253=1,InitInvest,$R252))</f>
        <v/>
      </c>
      <c r="G253" s="33">
        <f>IF($A253&gt;NYears*12,"",INT($F253/$E253))</f>
        <v/>
      </c>
      <c r="H253" s="35">
        <f>IF($A253&gt;NYears*12,"",$G253*$E253)</f>
        <v/>
      </c>
      <c r="I253" s="35">
        <f>IF($A253&gt;NYears*12,"",$F253-$H253)</f>
        <v/>
      </c>
      <c r="J253" s="35">
        <f>IF($A253&gt;NYears*12,"",$H253*RateC)</f>
        <v/>
      </c>
      <c r="K253" s="35">
        <f>IF($A253&gt;NYears*12,"",IF($D253=1,$J253,$K252+$J253))</f>
        <v/>
      </c>
      <c r="L253" s="35">
        <f>IF($A253&gt;NYears*12,"",IF(MOD($D253,3)=0,SUM($J251:$J253),0))</f>
        <v/>
      </c>
      <c r="M253" s="35">
        <f>IF($A253&gt;NYears*12,"",IF(TaxFreq="Quarterly",$K253*12/$D253,$K253))</f>
        <v/>
      </c>
      <c r="N253" s="36">
        <f>IF($A253&gt;NYears*12,"",LOOKUP($M253,TaxLower,TaxRate))</f>
        <v/>
      </c>
      <c r="O253" s="35">
        <f>IF($A253&gt;NYears*12,"",IF(TaxFreq="Quarterly",IF(MOD($D253,3)=0,$L253*$N253,0),IF($D253=12,$K253*$N253,0)))</f>
        <v/>
      </c>
      <c r="P253" s="35">
        <f>IF($A253&gt;NYears*12,"",IF($D253=1,$O253,$P252+$O253))</f>
        <v/>
      </c>
      <c r="Q253" s="35">
        <f>IF($A253&gt;NYears*12,"",IF($D253=12,MIN(WdrPct*IF(WdrBase="Post-tax profit",$K253-$P253,$K253),WdrCap),0))</f>
        <v/>
      </c>
      <c r="R253" s="35">
        <f>IF($A253&gt;NYears*12,"",$F253+$J253-$O253-$Q253)</f>
        <v/>
      </c>
      <c r="S253" s="33">
        <f>IF($A253&gt;NYears*12,"",INT($R253/$E253))</f>
        <v/>
      </c>
    </row>
    <row r="254">
      <c r="A254" s="33">
        <f>250</f>
        <v/>
      </c>
      <c r="B254" s="34">
        <f>IF($A254&gt;NYears*12,"",EDATE(StartMonth,$A254-1))</f>
        <v/>
      </c>
      <c r="C254" s="33">
        <f>IF($A254&gt;NYears*12,"",INT(($A254-1)/12)+1)</f>
        <v/>
      </c>
      <c r="D254" s="33">
        <f>IF($A254&gt;NYears*12,"",MOD($A254-1,12)+1)</f>
        <v/>
      </c>
      <c r="E254" s="35">
        <f>IF($A254&gt;NYears*12,"",LotValue0*(1+LotGrowth)^($C254-1))</f>
        <v/>
      </c>
      <c r="F254" s="35">
        <f>IF($A254&gt;NYears*12,"",IF($A254=1,InitInvest,$R253))</f>
        <v/>
      </c>
      <c r="G254" s="33">
        <f>IF($A254&gt;NYears*12,"",INT($F254/$E254))</f>
        <v/>
      </c>
      <c r="H254" s="35">
        <f>IF($A254&gt;NYears*12,"",$G254*$E254)</f>
        <v/>
      </c>
      <c r="I254" s="35">
        <f>IF($A254&gt;NYears*12,"",$F254-$H254)</f>
        <v/>
      </c>
      <c r="J254" s="35">
        <f>IF($A254&gt;NYears*12,"",$H254*RateC)</f>
        <v/>
      </c>
      <c r="K254" s="35">
        <f>IF($A254&gt;NYears*12,"",IF($D254=1,$J254,$K253+$J254))</f>
        <v/>
      </c>
      <c r="L254" s="35">
        <f>IF($A254&gt;NYears*12,"",IF(MOD($D254,3)=0,SUM($J252:$J254),0))</f>
        <v/>
      </c>
      <c r="M254" s="35">
        <f>IF($A254&gt;NYears*12,"",IF(TaxFreq="Quarterly",$K254*12/$D254,$K254))</f>
        <v/>
      </c>
      <c r="N254" s="36">
        <f>IF($A254&gt;NYears*12,"",LOOKUP($M254,TaxLower,TaxRate))</f>
        <v/>
      </c>
      <c r="O254" s="35">
        <f>IF($A254&gt;NYears*12,"",IF(TaxFreq="Quarterly",IF(MOD($D254,3)=0,$L254*$N254,0),IF($D254=12,$K254*$N254,0)))</f>
        <v/>
      </c>
      <c r="P254" s="35">
        <f>IF($A254&gt;NYears*12,"",IF($D254=1,$O254,$P253+$O254))</f>
        <v/>
      </c>
      <c r="Q254" s="35">
        <f>IF($A254&gt;NYears*12,"",IF($D254=12,MIN(WdrPct*IF(WdrBase="Post-tax profit",$K254-$P254,$K254),WdrCap),0))</f>
        <v/>
      </c>
      <c r="R254" s="35">
        <f>IF($A254&gt;NYears*12,"",$F254+$J254-$O254-$Q254)</f>
        <v/>
      </c>
      <c r="S254" s="33">
        <f>IF($A254&gt;NYears*12,"",INT($R254/$E254))</f>
        <v/>
      </c>
    </row>
    <row r="255">
      <c r="A255" s="33">
        <f>251</f>
        <v/>
      </c>
      <c r="B255" s="34">
        <f>IF($A255&gt;NYears*12,"",EDATE(StartMonth,$A255-1))</f>
        <v/>
      </c>
      <c r="C255" s="33">
        <f>IF($A255&gt;NYears*12,"",INT(($A255-1)/12)+1)</f>
        <v/>
      </c>
      <c r="D255" s="33">
        <f>IF($A255&gt;NYears*12,"",MOD($A255-1,12)+1)</f>
        <v/>
      </c>
      <c r="E255" s="35">
        <f>IF($A255&gt;NYears*12,"",LotValue0*(1+LotGrowth)^($C255-1))</f>
        <v/>
      </c>
      <c r="F255" s="35">
        <f>IF($A255&gt;NYears*12,"",IF($A255=1,InitInvest,$R254))</f>
        <v/>
      </c>
      <c r="G255" s="33">
        <f>IF($A255&gt;NYears*12,"",INT($F255/$E255))</f>
        <v/>
      </c>
      <c r="H255" s="35">
        <f>IF($A255&gt;NYears*12,"",$G255*$E255)</f>
        <v/>
      </c>
      <c r="I255" s="35">
        <f>IF($A255&gt;NYears*12,"",$F255-$H255)</f>
        <v/>
      </c>
      <c r="J255" s="35">
        <f>IF($A255&gt;NYears*12,"",$H255*RateC)</f>
        <v/>
      </c>
      <c r="K255" s="35">
        <f>IF($A255&gt;NYears*12,"",IF($D255=1,$J255,$K254+$J255))</f>
        <v/>
      </c>
      <c r="L255" s="35">
        <f>IF($A255&gt;NYears*12,"",IF(MOD($D255,3)=0,SUM($J253:$J255),0))</f>
        <v/>
      </c>
      <c r="M255" s="35">
        <f>IF($A255&gt;NYears*12,"",IF(TaxFreq="Quarterly",$K255*12/$D255,$K255))</f>
        <v/>
      </c>
      <c r="N255" s="36">
        <f>IF($A255&gt;NYears*12,"",LOOKUP($M255,TaxLower,TaxRate))</f>
        <v/>
      </c>
      <c r="O255" s="35">
        <f>IF($A255&gt;NYears*12,"",IF(TaxFreq="Quarterly",IF(MOD($D255,3)=0,$L255*$N255,0),IF($D255=12,$K255*$N255,0)))</f>
        <v/>
      </c>
      <c r="P255" s="35">
        <f>IF($A255&gt;NYears*12,"",IF($D255=1,$O255,$P254+$O255))</f>
        <v/>
      </c>
      <c r="Q255" s="35">
        <f>IF($A255&gt;NYears*12,"",IF($D255=12,MIN(WdrPct*IF(WdrBase="Post-tax profit",$K255-$P255,$K255),WdrCap),0))</f>
        <v/>
      </c>
      <c r="R255" s="35">
        <f>IF($A255&gt;NYears*12,"",$F255+$J255-$O255-$Q255)</f>
        <v/>
      </c>
      <c r="S255" s="33">
        <f>IF($A255&gt;NYears*12,"",INT($R255/$E255))</f>
        <v/>
      </c>
    </row>
    <row r="256">
      <c r="A256" s="37">
        <f>252</f>
        <v/>
      </c>
      <c r="B256" s="38">
        <f>IF($A256&gt;NYears*12,"",EDATE(StartMonth,$A256-1))</f>
        <v/>
      </c>
      <c r="C256" s="37">
        <f>IF($A256&gt;NYears*12,"",INT(($A256-1)/12)+1)</f>
        <v/>
      </c>
      <c r="D256" s="37">
        <f>IF($A256&gt;NYears*12,"",MOD($A256-1,12)+1)</f>
        <v/>
      </c>
      <c r="E256" s="39">
        <f>IF($A256&gt;NYears*12,"",LotValue0*(1+LotGrowth)^($C256-1))</f>
        <v/>
      </c>
      <c r="F256" s="39">
        <f>IF($A256&gt;NYears*12,"",IF($A256=1,InitInvest,$R255))</f>
        <v/>
      </c>
      <c r="G256" s="37">
        <f>IF($A256&gt;NYears*12,"",INT($F256/$E256))</f>
        <v/>
      </c>
      <c r="H256" s="39">
        <f>IF($A256&gt;NYears*12,"",$G256*$E256)</f>
        <v/>
      </c>
      <c r="I256" s="39">
        <f>IF($A256&gt;NYears*12,"",$F256-$H256)</f>
        <v/>
      </c>
      <c r="J256" s="39">
        <f>IF($A256&gt;NYears*12,"",$H256*RateC)</f>
        <v/>
      </c>
      <c r="K256" s="39">
        <f>IF($A256&gt;NYears*12,"",IF($D256=1,$J256,$K255+$J256))</f>
        <v/>
      </c>
      <c r="L256" s="39">
        <f>IF($A256&gt;NYears*12,"",IF(MOD($D256,3)=0,SUM($J254:$J256),0))</f>
        <v/>
      </c>
      <c r="M256" s="39">
        <f>IF($A256&gt;NYears*12,"",IF(TaxFreq="Quarterly",$K256*12/$D256,$K256))</f>
        <v/>
      </c>
      <c r="N256" s="40">
        <f>IF($A256&gt;NYears*12,"",LOOKUP($M256,TaxLower,TaxRate))</f>
        <v/>
      </c>
      <c r="O256" s="39">
        <f>IF($A256&gt;NYears*12,"",IF(TaxFreq="Quarterly",IF(MOD($D256,3)=0,$L256*$N256,0),IF($D256=12,$K256*$N256,0)))</f>
        <v/>
      </c>
      <c r="P256" s="39">
        <f>IF($A256&gt;NYears*12,"",IF($D256=1,$O256,$P255+$O256))</f>
        <v/>
      </c>
      <c r="Q256" s="39">
        <f>IF($A256&gt;NYears*12,"",IF($D256=12,MIN(WdrPct*IF(WdrBase="Post-tax profit",$K256-$P256,$K256),WdrCap),0))</f>
        <v/>
      </c>
      <c r="R256" s="39">
        <f>IF($A256&gt;NYears*12,"",$F256+$J256-$O256-$Q256)</f>
        <v/>
      </c>
      <c r="S256" s="37">
        <f>IF($A256&gt;NYears*12,"",INT($R256/$E256))</f>
        <v/>
      </c>
    </row>
    <row r="257">
      <c r="A257" s="33">
        <f>253</f>
        <v/>
      </c>
      <c r="B257" s="34">
        <f>IF($A257&gt;NYears*12,"",EDATE(StartMonth,$A257-1))</f>
        <v/>
      </c>
      <c r="C257" s="33">
        <f>IF($A257&gt;NYears*12,"",INT(($A257-1)/12)+1)</f>
        <v/>
      </c>
      <c r="D257" s="33">
        <f>IF($A257&gt;NYears*12,"",MOD($A257-1,12)+1)</f>
        <v/>
      </c>
      <c r="E257" s="35">
        <f>IF($A257&gt;NYears*12,"",LotValue0*(1+LotGrowth)^($C257-1))</f>
        <v/>
      </c>
      <c r="F257" s="35">
        <f>IF($A257&gt;NYears*12,"",IF($A257=1,InitInvest,$R256))</f>
        <v/>
      </c>
      <c r="G257" s="33">
        <f>IF($A257&gt;NYears*12,"",INT($F257/$E257))</f>
        <v/>
      </c>
      <c r="H257" s="35">
        <f>IF($A257&gt;NYears*12,"",$G257*$E257)</f>
        <v/>
      </c>
      <c r="I257" s="35">
        <f>IF($A257&gt;NYears*12,"",$F257-$H257)</f>
        <v/>
      </c>
      <c r="J257" s="35">
        <f>IF($A257&gt;NYears*12,"",$H257*RateC)</f>
        <v/>
      </c>
      <c r="K257" s="35">
        <f>IF($A257&gt;NYears*12,"",IF($D257=1,$J257,$K256+$J257))</f>
        <v/>
      </c>
      <c r="L257" s="35">
        <f>IF($A257&gt;NYears*12,"",IF(MOD($D257,3)=0,SUM($J255:$J257),0))</f>
        <v/>
      </c>
      <c r="M257" s="35">
        <f>IF($A257&gt;NYears*12,"",IF(TaxFreq="Quarterly",$K257*12/$D257,$K257))</f>
        <v/>
      </c>
      <c r="N257" s="36">
        <f>IF($A257&gt;NYears*12,"",LOOKUP($M257,TaxLower,TaxRate))</f>
        <v/>
      </c>
      <c r="O257" s="35">
        <f>IF($A257&gt;NYears*12,"",IF(TaxFreq="Quarterly",IF(MOD($D257,3)=0,$L257*$N257,0),IF($D257=12,$K257*$N257,0)))</f>
        <v/>
      </c>
      <c r="P257" s="35">
        <f>IF($A257&gt;NYears*12,"",IF($D257=1,$O257,$P256+$O257))</f>
        <v/>
      </c>
      <c r="Q257" s="35">
        <f>IF($A257&gt;NYears*12,"",IF($D257=12,MIN(WdrPct*IF(WdrBase="Post-tax profit",$K257-$P257,$K257),WdrCap),0))</f>
        <v/>
      </c>
      <c r="R257" s="35">
        <f>IF($A257&gt;NYears*12,"",$F257+$J257-$O257-$Q257)</f>
        <v/>
      </c>
      <c r="S257" s="33">
        <f>IF($A257&gt;NYears*12,"",INT($R257/$E257))</f>
        <v/>
      </c>
    </row>
    <row r="258">
      <c r="A258" s="33">
        <f>254</f>
        <v/>
      </c>
      <c r="B258" s="34">
        <f>IF($A258&gt;NYears*12,"",EDATE(StartMonth,$A258-1))</f>
        <v/>
      </c>
      <c r="C258" s="33">
        <f>IF($A258&gt;NYears*12,"",INT(($A258-1)/12)+1)</f>
        <v/>
      </c>
      <c r="D258" s="33">
        <f>IF($A258&gt;NYears*12,"",MOD($A258-1,12)+1)</f>
        <v/>
      </c>
      <c r="E258" s="35">
        <f>IF($A258&gt;NYears*12,"",LotValue0*(1+LotGrowth)^($C258-1))</f>
        <v/>
      </c>
      <c r="F258" s="35">
        <f>IF($A258&gt;NYears*12,"",IF($A258=1,InitInvest,$R257))</f>
        <v/>
      </c>
      <c r="G258" s="33">
        <f>IF($A258&gt;NYears*12,"",INT($F258/$E258))</f>
        <v/>
      </c>
      <c r="H258" s="35">
        <f>IF($A258&gt;NYears*12,"",$G258*$E258)</f>
        <v/>
      </c>
      <c r="I258" s="35">
        <f>IF($A258&gt;NYears*12,"",$F258-$H258)</f>
        <v/>
      </c>
      <c r="J258" s="35">
        <f>IF($A258&gt;NYears*12,"",$H258*RateC)</f>
        <v/>
      </c>
      <c r="K258" s="35">
        <f>IF($A258&gt;NYears*12,"",IF($D258=1,$J258,$K257+$J258))</f>
        <v/>
      </c>
      <c r="L258" s="35">
        <f>IF($A258&gt;NYears*12,"",IF(MOD($D258,3)=0,SUM($J256:$J258),0))</f>
        <v/>
      </c>
      <c r="M258" s="35">
        <f>IF($A258&gt;NYears*12,"",IF(TaxFreq="Quarterly",$K258*12/$D258,$K258))</f>
        <v/>
      </c>
      <c r="N258" s="36">
        <f>IF($A258&gt;NYears*12,"",LOOKUP($M258,TaxLower,TaxRate))</f>
        <v/>
      </c>
      <c r="O258" s="35">
        <f>IF($A258&gt;NYears*12,"",IF(TaxFreq="Quarterly",IF(MOD($D258,3)=0,$L258*$N258,0),IF($D258=12,$K258*$N258,0)))</f>
        <v/>
      </c>
      <c r="P258" s="35">
        <f>IF($A258&gt;NYears*12,"",IF($D258=1,$O258,$P257+$O258))</f>
        <v/>
      </c>
      <c r="Q258" s="35">
        <f>IF($A258&gt;NYears*12,"",IF($D258=12,MIN(WdrPct*IF(WdrBase="Post-tax profit",$K258-$P258,$K258),WdrCap),0))</f>
        <v/>
      </c>
      <c r="R258" s="35">
        <f>IF($A258&gt;NYears*12,"",$F258+$J258-$O258-$Q258)</f>
        <v/>
      </c>
      <c r="S258" s="33">
        <f>IF($A258&gt;NYears*12,"",INT($R258/$E258))</f>
        <v/>
      </c>
    </row>
    <row r="259">
      <c r="A259" s="33">
        <f>255</f>
        <v/>
      </c>
      <c r="B259" s="34">
        <f>IF($A259&gt;NYears*12,"",EDATE(StartMonth,$A259-1))</f>
        <v/>
      </c>
      <c r="C259" s="33">
        <f>IF($A259&gt;NYears*12,"",INT(($A259-1)/12)+1)</f>
        <v/>
      </c>
      <c r="D259" s="33">
        <f>IF($A259&gt;NYears*12,"",MOD($A259-1,12)+1)</f>
        <v/>
      </c>
      <c r="E259" s="35">
        <f>IF($A259&gt;NYears*12,"",LotValue0*(1+LotGrowth)^($C259-1))</f>
        <v/>
      </c>
      <c r="F259" s="35">
        <f>IF($A259&gt;NYears*12,"",IF($A259=1,InitInvest,$R258))</f>
        <v/>
      </c>
      <c r="G259" s="33">
        <f>IF($A259&gt;NYears*12,"",INT($F259/$E259))</f>
        <v/>
      </c>
      <c r="H259" s="35">
        <f>IF($A259&gt;NYears*12,"",$G259*$E259)</f>
        <v/>
      </c>
      <c r="I259" s="35">
        <f>IF($A259&gt;NYears*12,"",$F259-$H259)</f>
        <v/>
      </c>
      <c r="J259" s="35">
        <f>IF($A259&gt;NYears*12,"",$H259*RateC)</f>
        <v/>
      </c>
      <c r="K259" s="35">
        <f>IF($A259&gt;NYears*12,"",IF($D259=1,$J259,$K258+$J259))</f>
        <v/>
      </c>
      <c r="L259" s="35">
        <f>IF($A259&gt;NYears*12,"",IF(MOD($D259,3)=0,SUM($J257:$J259),0))</f>
        <v/>
      </c>
      <c r="M259" s="35">
        <f>IF($A259&gt;NYears*12,"",IF(TaxFreq="Quarterly",$K259*12/$D259,$K259))</f>
        <v/>
      </c>
      <c r="N259" s="36">
        <f>IF($A259&gt;NYears*12,"",LOOKUP($M259,TaxLower,TaxRate))</f>
        <v/>
      </c>
      <c r="O259" s="35">
        <f>IF($A259&gt;NYears*12,"",IF(TaxFreq="Quarterly",IF(MOD($D259,3)=0,$L259*$N259,0),IF($D259=12,$K259*$N259,0)))</f>
        <v/>
      </c>
      <c r="P259" s="35">
        <f>IF($A259&gt;NYears*12,"",IF($D259=1,$O259,$P258+$O259))</f>
        <v/>
      </c>
      <c r="Q259" s="35">
        <f>IF($A259&gt;NYears*12,"",IF($D259=12,MIN(WdrPct*IF(WdrBase="Post-tax profit",$K259-$P259,$K259),WdrCap),0))</f>
        <v/>
      </c>
      <c r="R259" s="35">
        <f>IF($A259&gt;NYears*12,"",$F259+$J259-$O259-$Q259)</f>
        <v/>
      </c>
      <c r="S259" s="33">
        <f>IF($A259&gt;NYears*12,"",INT($R259/$E259))</f>
        <v/>
      </c>
    </row>
    <row r="260">
      <c r="A260" s="33">
        <f>256</f>
        <v/>
      </c>
      <c r="B260" s="34">
        <f>IF($A260&gt;NYears*12,"",EDATE(StartMonth,$A260-1))</f>
        <v/>
      </c>
      <c r="C260" s="33">
        <f>IF($A260&gt;NYears*12,"",INT(($A260-1)/12)+1)</f>
        <v/>
      </c>
      <c r="D260" s="33">
        <f>IF($A260&gt;NYears*12,"",MOD($A260-1,12)+1)</f>
        <v/>
      </c>
      <c r="E260" s="35">
        <f>IF($A260&gt;NYears*12,"",LotValue0*(1+LotGrowth)^($C260-1))</f>
        <v/>
      </c>
      <c r="F260" s="35">
        <f>IF($A260&gt;NYears*12,"",IF($A260=1,InitInvest,$R259))</f>
        <v/>
      </c>
      <c r="G260" s="33">
        <f>IF($A260&gt;NYears*12,"",INT($F260/$E260))</f>
        <v/>
      </c>
      <c r="H260" s="35">
        <f>IF($A260&gt;NYears*12,"",$G260*$E260)</f>
        <v/>
      </c>
      <c r="I260" s="35">
        <f>IF($A260&gt;NYears*12,"",$F260-$H260)</f>
        <v/>
      </c>
      <c r="J260" s="35">
        <f>IF($A260&gt;NYears*12,"",$H260*RateC)</f>
        <v/>
      </c>
      <c r="K260" s="35">
        <f>IF($A260&gt;NYears*12,"",IF($D260=1,$J260,$K259+$J260))</f>
        <v/>
      </c>
      <c r="L260" s="35">
        <f>IF($A260&gt;NYears*12,"",IF(MOD($D260,3)=0,SUM($J258:$J260),0))</f>
        <v/>
      </c>
      <c r="M260" s="35">
        <f>IF($A260&gt;NYears*12,"",IF(TaxFreq="Quarterly",$K260*12/$D260,$K260))</f>
        <v/>
      </c>
      <c r="N260" s="36">
        <f>IF($A260&gt;NYears*12,"",LOOKUP($M260,TaxLower,TaxRate))</f>
        <v/>
      </c>
      <c r="O260" s="35">
        <f>IF($A260&gt;NYears*12,"",IF(TaxFreq="Quarterly",IF(MOD($D260,3)=0,$L260*$N260,0),IF($D260=12,$K260*$N260,0)))</f>
        <v/>
      </c>
      <c r="P260" s="35">
        <f>IF($A260&gt;NYears*12,"",IF($D260=1,$O260,$P259+$O260))</f>
        <v/>
      </c>
      <c r="Q260" s="35">
        <f>IF($A260&gt;NYears*12,"",IF($D260=12,MIN(WdrPct*IF(WdrBase="Post-tax profit",$K260-$P260,$K260),WdrCap),0))</f>
        <v/>
      </c>
      <c r="R260" s="35">
        <f>IF($A260&gt;NYears*12,"",$F260+$J260-$O260-$Q260)</f>
        <v/>
      </c>
      <c r="S260" s="33">
        <f>IF($A260&gt;NYears*12,"",INT($R260/$E260))</f>
        <v/>
      </c>
    </row>
    <row r="261">
      <c r="A261" s="33">
        <f>257</f>
        <v/>
      </c>
      <c r="B261" s="34">
        <f>IF($A261&gt;NYears*12,"",EDATE(StartMonth,$A261-1))</f>
        <v/>
      </c>
      <c r="C261" s="33">
        <f>IF($A261&gt;NYears*12,"",INT(($A261-1)/12)+1)</f>
        <v/>
      </c>
      <c r="D261" s="33">
        <f>IF($A261&gt;NYears*12,"",MOD($A261-1,12)+1)</f>
        <v/>
      </c>
      <c r="E261" s="35">
        <f>IF($A261&gt;NYears*12,"",LotValue0*(1+LotGrowth)^($C261-1))</f>
        <v/>
      </c>
      <c r="F261" s="35">
        <f>IF($A261&gt;NYears*12,"",IF($A261=1,InitInvest,$R260))</f>
        <v/>
      </c>
      <c r="G261" s="33">
        <f>IF($A261&gt;NYears*12,"",INT($F261/$E261))</f>
        <v/>
      </c>
      <c r="H261" s="35">
        <f>IF($A261&gt;NYears*12,"",$G261*$E261)</f>
        <v/>
      </c>
      <c r="I261" s="35">
        <f>IF($A261&gt;NYears*12,"",$F261-$H261)</f>
        <v/>
      </c>
      <c r="J261" s="35">
        <f>IF($A261&gt;NYears*12,"",$H261*RateC)</f>
        <v/>
      </c>
      <c r="K261" s="35">
        <f>IF($A261&gt;NYears*12,"",IF($D261=1,$J261,$K260+$J261))</f>
        <v/>
      </c>
      <c r="L261" s="35">
        <f>IF($A261&gt;NYears*12,"",IF(MOD($D261,3)=0,SUM($J259:$J261),0))</f>
        <v/>
      </c>
      <c r="M261" s="35">
        <f>IF($A261&gt;NYears*12,"",IF(TaxFreq="Quarterly",$K261*12/$D261,$K261))</f>
        <v/>
      </c>
      <c r="N261" s="36">
        <f>IF($A261&gt;NYears*12,"",LOOKUP($M261,TaxLower,TaxRate))</f>
        <v/>
      </c>
      <c r="O261" s="35">
        <f>IF($A261&gt;NYears*12,"",IF(TaxFreq="Quarterly",IF(MOD($D261,3)=0,$L261*$N261,0),IF($D261=12,$K261*$N261,0)))</f>
        <v/>
      </c>
      <c r="P261" s="35">
        <f>IF($A261&gt;NYears*12,"",IF($D261=1,$O261,$P260+$O261))</f>
        <v/>
      </c>
      <c r="Q261" s="35">
        <f>IF($A261&gt;NYears*12,"",IF($D261=12,MIN(WdrPct*IF(WdrBase="Post-tax profit",$K261-$P261,$K261),WdrCap),0))</f>
        <v/>
      </c>
      <c r="R261" s="35">
        <f>IF($A261&gt;NYears*12,"",$F261+$J261-$O261-$Q261)</f>
        <v/>
      </c>
      <c r="S261" s="33">
        <f>IF($A261&gt;NYears*12,"",INT($R261/$E261))</f>
        <v/>
      </c>
    </row>
    <row r="262">
      <c r="A262" s="33">
        <f>258</f>
        <v/>
      </c>
      <c r="B262" s="34">
        <f>IF($A262&gt;NYears*12,"",EDATE(StartMonth,$A262-1))</f>
        <v/>
      </c>
      <c r="C262" s="33">
        <f>IF($A262&gt;NYears*12,"",INT(($A262-1)/12)+1)</f>
        <v/>
      </c>
      <c r="D262" s="33">
        <f>IF($A262&gt;NYears*12,"",MOD($A262-1,12)+1)</f>
        <v/>
      </c>
      <c r="E262" s="35">
        <f>IF($A262&gt;NYears*12,"",LotValue0*(1+LotGrowth)^($C262-1))</f>
        <v/>
      </c>
      <c r="F262" s="35">
        <f>IF($A262&gt;NYears*12,"",IF($A262=1,InitInvest,$R261))</f>
        <v/>
      </c>
      <c r="G262" s="33">
        <f>IF($A262&gt;NYears*12,"",INT($F262/$E262))</f>
        <v/>
      </c>
      <c r="H262" s="35">
        <f>IF($A262&gt;NYears*12,"",$G262*$E262)</f>
        <v/>
      </c>
      <c r="I262" s="35">
        <f>IF($A262&gt;NYears*12,"",$F262-$H262)</f>
        <v/>
      </c>
      <c r="J262" s="35">
        <f>IF($A262&gt;NYears*12,"",$H262*RateC)</f>
        <v/>
      </c>
      <c r="K262" s="35">
        <f>IF($A262&gt;NYears*12,"",IF($D262=1,$J262,$K261+$J262))</f>
        <v/>
      </c>
      <c r="L262" s="35">
        <f>IF($A262&gt;NYears*12,"",IF(MOD($D262,3)=0,SUM($J260:$J262),0))</f>
        <v/>
      </c>
      <c r="M262" s="35">
        <f>IF($A262&gt;NYears*12,"",IF(TaxFreq="Quarterly",$K262*12/$D262,$K262))</f>
        <v/>
      </c>
      <c r="N262" s="36">
        <f>IF($A262&gt;NYears*12,"",LOOKUP($M262,TaxLower,TaxRate))</f>
        <v/>
      </c>
      <c r="O262" s="35">
        <f>IF($A262&gt;NYears*12,"",IF(TaxFreq="Quarterly",IF(MOD($D262,3)=0,$L262*$N262,0),IF($D262=12,$K262*$N262,0)))</f>
        <v/>
      </c>
      <c r="P262" s="35">
        <f>IF($A262&gt;NYears*12,"",IF($D262=1,$O262,$P261+$O262))</f>
        <v/>
      </c>
      <c r="Q262" s="35">
        <f>IF($A262&gt;NYears*12,"",IF($D262=12,MIN(WdrPct*IF(WdrBase="Post-tax profit",$K262-$P262,$K262),WdrCap),0))</f>
        <v/>
      </c>
      <c r="R262" s="35">
        <f>IF($A262&gt;NYears*12,"",$F262+$J262-$O262-$Q262)</f>
        <v/>
      </c>
      <c r="S262" s="33">
        <f>IF($A262&gt;NYears*12,"",INT($R262/$E262))</f>
        <v/>
      </c>
    </row>
    <row r="263">
      <c r="A263" s="33">
        <f>259</f>
        <v/>
      </c>
      <c r="B263" s="34">
        <f>IF($A263&gt;NYears*12,"",EDATE(StartMonth,$A263-1))</f>
        <v/>
      </c>
      <c r="C263" s="33">
        <f>IF($A263&gt;NYears*12,"",INT(($A263-1)/12)+1)</f>
        <v/>
      </c>
      <c r="D263" s="33">
        <f>IF($A263&gt;NYears*12,"",MOD($A263-1,12)+1)</f>
        <v/>
      </c>
      <c r="E263" s="35">
        <f>IF($A263&gt;NYears*12,"",LotValue0*(1+LotGrowth)^($C263-1))</f>
        <v/>
      </c>
      <c r="F263" s="35">
        <f>IF($A263&gt;NYears*12,"",IF($A263=1,InitInvest,$R262))</f>
        <v/>
      </c>
      <c r="G263" s="33">
        <f>IF($A263&gt;NYears*12,"",INT($F263/$E263))</f>
        <v/>
      </c>
      <c r="H263" s="35">
        <f>IF($A263&gt;NYears*12,"",$G263*$E263)</f>
        <v/>
      </c>
      <c r="I263" s="35">
        <f>IF($A263&gt;NYears*12,"",$F263-$H263)</f>
        <v/>
      </c>
      <c r="J263" s="35">
        <f>IF($A263&gt;NYears*12,"",$H263*RateC)</f>
        <v/>
      </c>
      <c r="K263" s="35">
        <f>IF($A263&gt;NYears*12,"",IF($D263=1,$J263,$K262+$J263))</f>
        <v/>
      </c>
      <c r="L263" s="35">
        <f>IF($A263&gt;NYears*12,"",IF(MOD($D263,3)=0,SUM($J261:$J263),0))</f>
        <v/>
      </c>
      <c r="M263" s="35">
        <f>IF($A263&gt;NYears*12,"",IF(TaxFreq="Quarterly",$K263*12/$D263,$K263))</f>
        <v/>
      </c>
      <c r="N263" s="36">
        <f>IF($A263&gt;NYears*12,"",LOOKUP($M263,TaxLower,TaxRate))</f>
        <v/>
      </c>
      <c r="O263" s="35">
        <f>IF($A263&gt;NYears*12,"",IF(TaxFreq="Quarterly",IF(MOD($D263,3)=0,$L263*$N263,0),IF($D263=12,$K263*$N263,0)))</f>
        <v/>
      </c>
      <c r="P263" s="35">
        <f>IF($A263&gt;NYears*12,"",IF($D263=1,$O263,$P262+$O263))</f>
        <v/>
      </c>
      <c r="Q263" s="35">
        <f>IF($A263&gt;NYears*12,"",IF($D263=12,MIN(WdrPct*IF(WdrBase="Post-tax profit",$K263-$P263,$K263),WdrCap),0))</f>
        <v/>
      </c>
      <c r="R263" s="35">
        <f>IF($A263&gt;NYears*12,"",$F263+$J263-$O263-$Q263)</f>
        <v/>
      </c>
      <c r="S263" s="33">
        <f>IF($A263&gt;NYears*12,"",INT($R263/$E263))</f>
        <v/>
      </c>
    </row>
    <row r="264">
      <c r="A264" s="33">
        <f>260</f>
        <v/>
      </c>
      <c r="B264" s="34">
        <f>IF($A264&gt;NYears*12,"",EDATE(StartMonth,$A264-1))</f>
        <v/>
      </c>
      <c r="C264" s="33">
        <f>IF($A264&gt;NYears*12,"",INT(($A264-1)/12)+1)</f>
        <v/>
      </c>
      <c r="D264" s="33">
        <f>IF($A264&gt;NYears*12,"",MOD($A264-1,12)+1)</f>
        <v/>
      </c>
      <c r="E264" s="35">
        <f>IF($A264&gt;NYears*12,"",LotValue0*(1+LotGrowth)^($C264-1))</f>
        <v/>
      </c>
      <c r="F264" s="35">
        <f>IF($A264&gt;NYears*12,"",IF($A264=1,InitInvest,$R263))</f>
        <v/>
      </c>
      <c r="G264" s="33">
        <f>IF($A264&gt;NYears*12,"",INT($F264/$E264))</f>
        <v/>
      </c>
      <c r="H264" s="35">
        <f>IF($A264&gt;NYears*12,"",$G264*$E264)</f>
        <v/>
      </c>
      <c r="I264" s="35">
        <f>IF($A264&gt;NYears*12,"",$F264-$H264)</f>
        <v/>
      </c>
      <c r="J264" s="35">
        <f>IF($A264&gt;NYears*12,"",$H264*RateC)</f>
        <v/>
      </c>
      <c r="K264" s="35">
        <f>IF($A264&gt;NYears*12,"",IF($D264=1,$J264,$K263+$J264))</f>
        <v/>
      </c>
      <c r="L264" s="35">
        <f>IF($A264&gt;NYears*12,"",IF(MOD($D264,3)=0,SUM($J262:$J264),0))</f>
        <v/>
      </c>
      <c r="M264" s="35">
        <f>IF($A264&gt;NYears*12,"",IF(TaxFreq="Quarterly",$K264*12/$D264,$K264))</f>
        <v/>
      </c>
      <c r="N264" s="36">
        <f>IF($A264&gt;NYears*12,"",LOOKUP($M264,TaxLower,TaxRate))</f>
        <v/>
      </c>
      <c r="O264" s="35">
        <f>IF($A264&gt;NYears*12,"",IF(TaxFreq="Quarterly",IF(MOD($D264,3)=0,$L264*$N264,0),IF($D264=12,$K264*$N264,0)))</f>
        <v/>
      </c>
      <c r="P264" s="35">
        <f>IF($A264&gt;NYears*12,"",IF($D264=1,$O264,$P263+$O264))</f>
        <v/>
      </c>
      <c r="Q264" s="35">
        <f>IF($A264&gt;NYears*12,"",IF($D264=12,MIN(WdrPct*IF(WdrBase="Post-tax profit",$K264-$P264,$K264),WdrCap),0))</f>
        <v/>
      </c>
      <c r="R264" s="35">
        <f>IF($A264&gt;NYears*12,"",$F264+$J264-$O264-$Q264)</f>
        <v/>
      </c>
      <c r="S264" s="33">
        <f>IF($A264&gt;NYears*12,"",INT($R264/$E264))</f>
        <v/>
      </c>
    </row>
    <row r="265">
      <c r="A265" s="33">
        <f>261</f>
        <v/>
      </c>
      <c r="B265" s="34">
        <f>IF($A265&gt;NYears*12,"",EDATE(StartMonth,$A265-1))</f>
        <v/>
      </c>
      <c r="C265" s="33">
        <f>IF($A265&gt;NYears*12,"",INT(($A265-1)/12)+1)</f>
        <v/>
      </c>
      <c r="D265" s="33">
        <f>IF($A265&gt;NYears*12,"",MOD($A265-1,12)+1)</f>
        <v/>
      </c>
      <c r="E265" s="35">
        <f>IF($A265&gt;NYears*12,"",LotValue0*(1+LotGrowth)^($C265-1))</f>
        <v/>
      </c>
      <c r="F265" s="35">
        <f>IF($A265&gt;NYears*12,"",IF($A265=1,InitInvest,$R264))</f>
        <v/>
      </c>
      <c r="G265" s="33">
        <f>IF($A265&gt;NYears*12,"",INT($F265/$E265))</f>
        <v/>
      </c>
      <c r="H265" s="35">
        <f>IF($A265&gt;NYears*12,"",$G265*$E265)</f>
        <v/>
      </c>
      <c r="I265" s="35">
        <f>IF($A265&gt;NYears*12,"",$F265-$H265)</f>
        <v/>
      </c>
      <c r="J265" s="35">
        <f>IF($A265&gt;NYears*12,"",$H265*RateC)</f>
        <v/>
      </c>
      <c r="K265" s="35">
        <f>IF($A265&gt;NYears*12,"",IF($D265=1,$J265,$K264+$J265))</f>
        <v/>
      </c>
      <c r="L265" s="35">
        <f>IF($A265&gt;NYears*12,"",IF(MOD($D265,3)=0,SUM($J263:$J265),0))</f>
        <v/>
      </c>
      <c r="M265" s="35">
        <f>IF($A265&gt;NYears*12,"",IF(TaxFreq="Quarterly",$K265*12/$D265,$K265))</f>
        <v/>
      </c>
      <c r="N265" s="36">
        <f>IF($A265&gt;NYears*12,"",LOOKUP($M265,TaxLower,TaxRate))</f>
        <v/>
      </c>
      <c r="O265" s="35">
        <f>IF($A265&gt;NYears*12,"",IF(TaxFreq="Quarterly",IF(MOD($D265,3)=0,$L265*$N265,0),IF($D265=12,$K265*$N265,0)))</f>
        <v/>
      </c>
      <c r="P265" s="35">
        <f>IF($A265&gt;NYears*12,"",IF($D265=1,$O265,$P264+$O265))</f>
        <v/>
      </c>
      <c r="Q265" s="35">
        <f>IF($A265&gt;NYears*12,"",IF($D265=12,MIN(WdrPct*IF(WdrBase="Post-tax profit",$K265-$P265,$K265),WdrCap),0))</f>
        <v/>
      </c>
      <c r="R265" s="35">
        <f>IF($A265&gt;NYears*12,"",$F265+$J265-$O265-$Q265)</f>
        <v/>
      </c>
      <c r="S265" s="33">
        <f>IF($A265&gt;NYears*12,"",INT($R265/$E265))</f>
        <v/>
      </c>
    </row>
    <row r="266">
      <c r="A266" s="33">
        <f>262</f>
        <v/>
      </c>
      <c r="B266" s="34">
        <f>IF($A266&gt;NYears*12,"",EDATE(StartMonth,$A266-1))</f>
        <v/>
      </c>
      <c r="C266" s="33">
        <f>IF($A266&gt;NYears*12,"",INT(($A266-1)/12)+1)</f>
        <v/>
      </c>
      <c r="D266" s="33">
        <f>IF($A266&gt;NYears*12,"",MOD($A266-1,12)+1)</f>
        <v/>
      </c>
      <c r="E266" s="35">
        <f>IF($A266&gt;NYears*12,"",LotValue0*(1+LotGrowth)^($C266-1))</f>
        <v/>
      </c>
      <c r="F266" s="35">
        <f>IF($A266&gt;NYears*12,"",IF($A266=1,InitInvest,$R265))</f>
        <v/>
      </c>
      <c r="G266" s="33">
        <f>IF($A266&gt;NYears*12,"",INT($F266/$E266))</f>
        <v/>
      </c>
      <c r="H266" s="35">
        <f>IF($A266&gt;NYears*12,"",$G266*$E266)</f>
        <v/>
      </c>
      <c r="I266" s="35">
        <f>IF($A266&gt;NYears*12,"",$F266-$H266)</f>
        <v/>
      </c>
      <c r="J266" s="35">
        <f>IF($A266&gt;NYears*12,"",$H266*RateC)</f>
        <v/>
      </c>
      <c r="K266" s="35">
        <f>IF($A266&gt;NYears*12,"",IF($D266=1,$J266,$K265+$J266))</f>
        <v/>
      </c>
      <c r="L266" s="35">
        <f>IF($A266&gt;NYears*12,"",IF(MOD($D266,3)=0,SUM($J264:$J266),0))</f>
        <v/>
      </c>
      <c r="M266" s="35">
        <f>IF($A266&gt;NYears*12,"",IF(TaxFreq="Quarterly",$K266*12/$D266,$K266))</f>
        <v/>
      </c>
      <c r="N266" s="36">
        <f>IF($A266&gt;NYears*12,"",LOOKUP($M266,TaxLower,TaxRate))</f>
        <v/>
      </c>
      <c r="O266" s="35">
        <f>IF($A266&gt;NYears*12,"",IF(TaxFreq="Quarterly",IF(MOD($D266,3)=0,$L266*$N266,0),IF($D266=12,$K266*$N266,0)))</f>
        <v/>
      </c>
      <c r="P266" s="35">
        <f>IF($A266&gt;NYears*12,"",IF($D266=1,$O266,$P265+$O266))</f>
        <v/>
      </c>
      <c r="Q266" s="35">
        <f>IF($A266&gt;NYears*12,"",IF($D266=12,MIN(WdrPct*IF(WdrBase="Post-tax profit",$K266-$P266,$K266),WdrCap),0))</f>
        <v/>
      </c>
      <c r="R266" s="35">
        <f>IF($A266&gt;NYears*12,"",$F266+$J266-$O266-$Q266)</f>
        <v/>
      </c>
      <c r="S266" s="33">
        <f>IF($A266&gt;NYears*12,"",INT($R266/$E266))</f>
        <v/>
      </c>
    </row>
    <row r="267">
      <c r="A267" s="33">
        <f>263</f>
        <v/>
      </c>
      <c r="B267" s="34">
        <f>IF($A267&gt;NYears*12,"",EDATE(StartMonth,$A267-1))</f>
        <v/>
      </c>
      <c r="C267" s="33">
        <f>IF($A267&gt;NYears*12,"",INT(($A267-1)/12)+1)</f>
        <v/>
      </c>
      <c r="D267" s="33">
        <f>IF($A267&gt;NYears*12,"",MOD($A267-1,12)+1)</f>
        <v/>
      </c>
      <c r="E267" s="35">
        <f>IF($A267&gt;NYears*12,"",LotValue0*(1+LotGrowth)^($C267-1))</f>
        <v/>
      </c>
      <c r="F267" s="35">
        <f>IF($A267&gt;NYears*12,"",IF($A267=1,InitInvest,$R266))</f>
        <v/>
      </c>
      <c r="G267" s="33">
        <f>IF($A267&gt;NYears*12,"",INT($F267/$E267))</f>
        <v/>
      </c>
      <c r="H267" s="35">
        <f>IF($A267&gt;NYears*12,"",$G267*$E267)</f>
        <v/>
      </c>
      <c r="I267" s="35">
        <f>IF($A267&gt;NYears*12,"",$F267-$H267)</f>
        <v/>
      </c>
      <c r="J267" s="35">
        <f>IF($A267&gt;NYears*12,"",$H267*RateC)</f>
        <v/>
      </c>
      <c r="K267" s="35">
        <f>IF($A267&gt;NYears*12,"",IF($D267=1,$J267,$K266+$J267))</f>
        <v/>
      </c>
      <c r="L267" s="35">
        <f>IF($A267&gt;NYears*12,"",IF(MOD($D267,3)=0,SUM($J265:$J267),0))</f>
        <v/>
      </c>
      <c r="M267" s="35">
        <f>IF($A267&gt;NYears*12,"",IF(TaxFreq="Quarterly",$K267*12/$D267,$K267))</f>
        <v/>
      </c>
      <c r="N267" s="36">
        <f>IF($A267&gt;NYears*12,"",LOOKUP($M267,TaxLower,TaxRate))</f>
        <v/>
      </c>
      <c r="O267" s="35">
        <f>IF($A267&gt;NYears*12,"",IF(TaxFreq="Quarterly",IF(MOD($D267,3)=0,$L267*$N267,0),IF($D267=12,$K267*$N267,0)))</f>
        <v/>
      </c>
      <c r="P267" s="35">
        <f>IF($A267&gt;NYears*12,"",IF($D267=1,$O267,$P266+$O267))</f>
        <v/>
      </c>
      <c r="Q267" s="35">
        <f>IF($A267&gt;NYears*12,"",IF($D267=12,MIN(WdrPct*IF(WdrBase="Post-tax profit",$K267-$P267,$K267),WdrCap),0))</f>
        <v/>
      </c>
      <c r="R267" s="35">
        <f>IF($A267&gt;NYears*12,"",$F267+$J267-$O267-$Q267)</f>
        <v/>
      </c>
      <c r="S267" s="33">
        <f>IF($A267&gt;NYears*12,"",INT($R267/$E267))</f>
        <v/>
      </c>
    </row>
    <row r="268">
      <c r="A268" s="37">
        <f>264</f>
        <v/>
      </c>
      <c r="B268" s="38">
        <f>IF($A268&gt;NYears*12,"",EDATE(StartMonth,$A268-1))</f>
        <v/>
      </c>
      <c r="C268" s="37">
        <f>IF($A268&gt;NYears*12,"",INT(($A268-1)/12)+1)</f>
        <v/>
      </c>
      <c r="D268" s="37">
        <f>IF($A268&gt;NYears*12,"",MOD($A268-1,12)+1)</f>
        <v/>
      </c>
      <c r="E268" s="39">
        <f>IF($A268&gt;NYears*12,"",LotValue0*(1+LotGrowth)^($C268-1))</f>
        <v/>
      </c>
      <c r="F268" s="39">
        <f>IF($A268&gt;NYears*12,"",IF($A268=1,InitInvest,$R267))</f>
        <v/>
      </c>
      <c r="G268" s="37">
        <f>IF($A268&gt;NYears*12,"",INT($F268/$E268))</f>
        <v/>
      </c>
      <c r="H268" s="39">
        <f>IF($A268&gt;NYears*12,"",$G268*$E268)</f>
        <v/>
      </c>
      <c r="I268" s="39">
        <f>IF($A268&gt;NYears*12,"",$F268-$H268)</f>
        <v/>
      </c>
      <c r="J268" s="39">
        <f>IF($A268&gt;NYears*12,"",$H268*RateC)</f>
        <v/>
      </c>
      <c r="K268" s="39">
        <f>IF($A268&gt;NYears*12,"",IF($D268=1,$J268,$K267+$J268))</f>
        <v/>
      </c>
      <c r="L268" s="39">
        <f>IF($A268&gt;NYears*12,"",IF(MOD($D268,3)=0,SUM($J266:$J268),0))</f>
        <v/>
      </c>
      <c r="M268" s="39">
        <f>IF($A268&gt;NYears*12,"",IF(TaxFreq="Quarterly",$K268*12/$D268,$K268))</f>
        <v/>
      </c>
      <c r="N268" s="40">
        <f>IF($A268&gt;NYears*12,"",LOOKUP($M268,TaxLower,TaxRate))</f>
        <v/>
      </c>
      <c r="O268" s="39">
        <f>IF($A268&gt;NYears*12,"",IF(TaxFreq="Quarterly",IF(MOD($D268,3)=0,$L268*$N268,0),IF($D268=12,$K268*$N268,0)))</f>
        <v/>
      </c>
      <c r="P268" s="39">
        <f>IF($A268&gt;NYears*12,"",IF($D268=1,$O268,$P267+$O268))</f>
        <v/>
      </c>
      <c r="Q268" s="39">
        <f>IF($A268&gt;NYears*12,"",IF($D268=12,MIN(WdrPct*IF(WdrBase="Post-tax profit",$K268-$P268,$K268),WdrCap),0))</f>
        <v/>
      </c>
      <c r="R268" s="39">
        <f>IF($A268&gt;NYears*12,"",$F268+$J268-$O268-$Q268)</f>
        <v/>
      </c>
      <c r="S268" s="37">
        <f>IF($A268&gt;NYears*12,"",INT($R268/$E268))</f>
        <v/>
      </c>
    </row>
    <row r="269">
      <c r="A269" s="33">
        <f>265</f>
        <v/>
      </c>
      <c r="B269" s="34">
        <f>IF($A269&gt;NYears*12,"",EDATE(StartMonth,$A269-1))</f>
        <v/>
      </c>
      <c r="C269" s="33">
        <f>IF($A269&gt;NYears*12,"",INT(($A269-1)/12)+1)</f>
        <v/>
      </c>
      <c r="D269" s="33">
        <f>IF($A269&gt;NYears*12,"",MOD($A269-1,12)+1)</f>
        <v/>
      </c>
      <c r="E269" s="35">
        <f>IF($A269&gt;NYears*12,"",LotValue0*(1+LotGrowth)^($C269-1))</f>
        <v/>
      </c>
      <c r="F269" s="35">
        <f>IF($A269&gt;NYears*12,"",IF($A269=1,InitInvest,$R268))</f>
        <v/>
      </c>
      <c r="G269" s="33">
        <f>IF($A269&gt;NYears*12,"",INT($F269/$E269))</f>
        <v/>
      </c>
      <c r="H269" s="35">
        <f>IF($A269&gt;NYears*12,"",$G269*$E269)</f>
        <v/>
      </c>
      <c r="I269" s="35">
        <f>IF($A269&gt;NYears*12,"",$F269-$H269)</f>
        <v/>
      </c>
      <c r="J269" s="35">
        <f>IF($A269&gt;NYears*12,"",$H269*RateC)</f>
        <v/>
      </c>
      <c r="K269" s="35">
        <f>IF($A269&gt;NYears*12,"",IF($D269=1,$J269,$K268+$J269))</f>
        <v/>
      </c>
      <c r="L269" s="35">
        <f>IF($A269&gt;NYears*12,"",IF(MOD($D269,3)=0,SUM($J267:$J269),0))</f>
        <v/>
      </c>
      <c r="M269" s="35">
        <f>IF($A269&gt;NYears*12,"",IF(TaxFreq="Quarterly",$K269*12/$D269,$K269))</f>
        <v/>
      </c>
      <c r="N269" s="36">
        <f>IF($A269&gt;NYears*12,"",LOOKUP($M269,TaxLower,TaxRate))</f>
        <v/>
      </c>
      <c r="O269" s="35">
        <f>IF($A269&gt;NYears*12,"",IF(TaxFreq="Quarterly",IF(MOD($D269,3)=0,$L269*$N269,0),IF($D269=12,$K269*$N269,0)))</f>
        <v/>
      </c>
      <c r="P269" s="35">
        <f>IF($A269&gt;NYears*12,"",IF($D269=1,$O269,$P268+$O269))</f>
        <v/>
      </c>
      <c r="Q269" s="35">
        <f>IF($A269&gt;NYears*12,"",IF($D269=12,MIN(WdrPct*IF(WdrBase="Post-tax profit",$K269-$P269,$K269),WdrCap),0))</f>
        <v/>
      </c>
      <c r="R269" s="35">
        <f>IF($A269&gt;NYears*12,"",$F269+$J269-$O269-$Q269)</f>
        <v/>
      </c>
      <c r="S269" s="33">
        <f>IF($A269&gt;NYears*12,"",INT($R269/$E269))</f>
        <v/>
      </c>
    </row>
    <row r="270">
      <c r="A270" s="33">
        <f>266</f>
        <v/>
      </c>
      <c r="B270" s="34">
        <f>IF($A270&gt;NYears*12,"",EDATE(StartMonth,$A270-1))</f>
        <v/>
      </c>
      <c r="C270" s="33">
        <f>IF($A270&gt;NYears*12,"",INT(($A270-1)/12)+1)</f>
        <v/>
      </c>
      <c r="D270" s="33">
        <f>IF($A270&gt;NYears*12,"",MOD($A270-1,12)+1)</f>
        <v/>
      </c>
      <c r="E270" s="35">
        <f>IF($A270&gt;NYears*12,"",LotValue0*(1+LotGrowth)^($C270-1))</f>
        <v/>
      </c>
      <c r="F270" s="35">
        <f>IF($A270&gt;NYears*12,"",IF($A270=1,InitInvest,$R269))</f>
        <v/>
      </c>
      <c r="G270" s="33">
        <f>IF($A270&gt;NYears*12,"",INT($F270/$E270))</f>
        <v/>
      </c>
      <c r="H270" s="35">
        <f>IF($A270&gt;NYears*12,"",$G270*$E270)</f>
        <v/>
      </c>
      <c r="I270" s="35">
        <f>IF($A270&gt;NYears*12,"",$F270-$H270)</f>
        <v/>
      </c>
      <c r="J270" s="35">
        <f>IF($A270&gt;NYears*12,"",$H270*RateC)</f>
        <v/>
      </c>
      <c r="K270" s="35">
        <f>IF($A270&gt;NYears*12,"",IF($D270=1,$J270,$K269+$J270))</f>
        <v/>
      </c>
      <c r="L270" s="35">
        <f>IF($A270&gt;NYears*12,"",IF(MOD($D270,3)=0,SUM($J268:$J270),0))</f>
        <v/>
      </c>
      <c r="M270" s="35">
        <f>IF($A270&gt;NYears*12,"",IF(TaxFreq="Quarterly",$K270*12/$D270,$K270))</f>
        <v/>
      </c>
      <c r="N270" s="36">
        <f>IF($A270&gt;NYears*12,"",LOOKUP($M270,TaxLower,TaxRate))</f>
        <v/>
      </c>
      <c r="O270" s="35">
        <f>IF($A270&gt;NYears*12,"",IF(TaxFreq="Quarterly",IF(MOD($D270,3)=0,$L270*$N270,0),IF($D270=12,$K270*$N270,0)))</f>
        <v/>
      </c>
      <c r="P270" s="35">
        <f>IF($A270&gt;NYears*12,"",IF($D270=1,$O270,$P269+$O270))</f>
        <v/>
      </c>
      <c r="Q270" s="35">
        <f>IF($A270&gt;NYears*12,"",IF($D270=12,MIN(WdrPct*IF(WdrBase="Post-tax profit",$K270-$P270,$K270),WdrCap),0))</f>
        <v/>
      </c>
      <c r="R270" s="35">
        <f>IF($A270&gt;NYears*12,"",$F270+$J270-$O270-$Q270)</f>
        <v/>
      </c>
      <c r="S270" s="33">
        <f>IF($A270&gt;NYears*12,"",INT($R270/$E270))</f>
        <v/>
      </c>
    </row>
    <row r="271">
      <c r="A271" s="33">
        <f>267</f>
        <v/>
      </c>
      <c r="B271" s="34">
        <f>IF($A271&gt;NYears*12,"",EDATE(StartMonth,$A271-1))</f>
        <v/>
      </c>
      <c r="C271" s="33">
        <f>IF($A271&gt;NYears*12,"",INT(($A271-1)/12)+1)</f>
        <v/>
      </c>
      <c r="D271" s="33">
        <f>IF($A271&gt;NYears*12,"",MOD($A271-1,12)+1)</f>
        <v/>
      </c>
      <c r="E271" s="35">
        <f>IF($A271&gt;NYears*12,"",LotValue0*(1+LotGrowth)^($C271-1))</f>
        <v/>
      </c>
      <c r="F271" s="35">
        <f>IF($A271&gt;NYears*12,"",IF($A271=1,InitInvest,$R270))</f>
        <v/>
      </c>
      <c r="G271" s="33">
        <f>IF($A271&gt;NYears*12,"",INT($F271/$E271))</f>
        <v/>
      </c>
      <c r="H271" s="35">
        <f>IF($A271&gt;NYears*12,"",$G271*$E271)</f>
        <v/>
      </c>
      <c r="I271" s="35">
        <f>IF($A271&gt;NYears*12,"",$F271-$H271)</f>
        <v/>
      </c>
      <c r="J271" s="35">
        <f>IF($A271&gt;NYears*12,"",$H271*RateC)</f>
        <v/>
      </c>
      <c r="K271" s="35">
        <f>IF($A271&gt;NYears*12,"",IF($D271=1,$J271,$K270+$J271))</f>
        <v/>
      </c>
      <c r="L271" s="35">
        <f>IF($A271&gt;NYears*12,"",IF(MOD($D271,3)=0,SUM($J269:$J271),0))</f>
        <v/>
      </c>
      <c r="M271" s="35">
        <f>IF($A271&gt;NYears*12,"",IF(TaxFreq="Quarterly",$K271*12/$D271,$K271))</f>
        <v/>
      </c>
      <c r="N271" s="36">
        <f>IF($A271&gt;NYears*12,"",LOOKUP($M271,TaxLower,TaxRate))</f>
        <v/>
      </c>
      <c r="O271" s="35">
        <f>IF($A271&gt;NYears*12,"",IF(TaxFreq="Quarterly",IF(MOD($D271,3)=0,$L271*$N271,0),IF($D271=12,$K271*$N271,0)))</f>
        <v/>
      </c>
      <c r="P271" s="35">
        <f>IF($A271&gt;NYears*12,"",IF($D271=1,$O271,$P270+$O271))</f>
        <v/>
      </c>
      <c r="Q271" s="35">
        <f>IF($A271&gt;NYears*12,"",IF($D271=12,MIN(WdrPct*IF(WdrBase="Post-tax profit",$K271-$P271,$K271),WdrCap),0))</f>
        <v/>
      </c>
      <c r="R271" s="35">
        <f>IF($A271&gt;NYears*12,"",$F271+$J271-$O271-$Q271)</f>
        <v/>
      </c>
      <c r="S271" s="33">
        <f>IF($A271&gt;NYears*12,"",INT($R271/$E271))</f>
        <v/>
      </c>
    </row>
    <row r="272">
      <c r="A272" s="33">
        <f>268</f>
        <v/>
      </c>
      <c r="B272" s="34">
        <f>IF($A272&gt;NYears*12,"",EDATE(StartMonth,$A272-1))</f>
        <v/>
      </c>
      <c r="C272" s="33">
        <f>IF($A272&gt;NYears*12,"",INT(($A272-1)/12)+1)</f>
        <v/>
      </c>
      <c r="D272" s="33">
        <f>IF($A272&gt;NYears*12,"",MOD($A272-1,12)+1)</f>
        <v/>
      </c>
      <c r="E272" s="35">
        <f>IF($A272&gt;NYears*12,"",LotValue0*(1+LotGrowth)^($C272-1))</f>
        <v/>
      </c>
      <c r="F272" s="35">
        <f>IF($A272&gt;NYears*12,"",IF($A272=1,InitInvest,$R271))</f>
        <v/>
      </c>
      <c r="G272" s="33">
        <f>IF($A272&gt;NYears*12,"",INT($F272/$E272))</f>
        <v/>
      </c>
      <c r="H272" s="35">
        <f>IF($A272&gt;NYears*12,"",$G272*$E272)</f>
        <v/>
      </c>
      <c r="I272" s="35">
        <f>IF($A272&gt;NYears*12,"",$F272-$H272)</f>
        <v/>
      </c>
      <c r="J272" s="35">
        <f>IF($A272&gt;NYears*12,"",$H272*RateC)</f>
        <v/>
      </c>
      <c r="K272" s="35">
        <f>IF($A272&gt;NYears*12,"",IF($D272=1,$J272,$K271+$J272))</f>
        <v/>
      </c>
      <c r="L272" s="35">
        <f>IF($A272&gt;NYears*12,"",IF(MOD($D272,3)=0,SUM($J270:$J272),0))</f>
        <v/>
      </c>
      <c r="M272" s="35">
        <f>IF($A272&gt;NYears*12,"",IF(TaxFreq="Quarterly",$K272*12/$D272,$K272))</f>
        <v/>
      </c>
      <c r="N272" s="36">
        <f>IF($A272&gt;NYears*12,"",LOOKUP($M272,TaxLower,TaxRate))</f>
        <v/>
      </c>
      <c r="O272" s="35">
        <f>IF($A272&gt;NYears*12,"",IF(TaxFreq="Quarterly",IF(MOD($D272,3)=0,$L272*$N272,0),IF($D272=12,$K272*$N272,0)))</f>
        <v/>
      </c>
      <c r="P272" s="35">
        <f>IF($A272&gt;NYears*12,"",IF($D272=1,$O272,$P271+$O272))</f>
        <v/>
      </c>
      <c r="Q272" s="35">
        <f>IF($A272&gt;NYears*12,"",IF($D272=12,MIN(WdrPct*IF(WdrBase="Post-tax profit",$K272-$P272,$K272),WdrCap),0))</f>
        <v/>
      </c>
      <c r="R272" s="35">
        <f>IF($A272&gt;NYears*12,"",$F272+$J272-$O272-$Q272)</f>
        <v/>
      </c>
      <c r="S272" s="33">
        <f>IF($A272&gt;NYears*12,"",INT($R272/$E272))</f>
        <v/>
      </c>
    </row>
    <row r="273">
      <c r="A273" s="33">
        <f>269</f>
        <v/>
      </c>
      <c r="B273" s="34">
        <f>IF($A273&gt;NYears*12,"",EDATE(StartMonth,$A273-1))</f>
        <v/>
      </c>
      <c r="C273" s="33">
        <f>IF($A273&gt;NYears*12,"",INT(($A273-1)/12)+1)</f>
        <v/>
      </c>
      <c r="D273" s="33">
        <f>IF($A273&gt;NYears*12,"",MOD($A273-1,12)+1)</f>
        <v/>
      </c>
      <c r="E273" s="35">
        <f>IF($A273&gt;NYears*12,"",LotValue0*(1+LotGrowth)^($C273-1))</f>
        <v/>
      </c>
      <c r="F273" s="35">
        <f>IF($A273&gt;NYears*12,"",IF($A273=1,InitInvest,$R272))</f>
        <v/>
      </c>
      <c r="G273" s="33">
        <f>IF($A273&gt;NYears*12,"",INT($F273/$E273))</f>
        <v/>
      </c>
      <c r="H273" s="35">
        <f>IF($A273&gt;NYears*12,"",$G273*$E273)</f>
        <v/>
      </c>
      <c r="I273" s="35">
        <f>IF($A273&gt;NYears*12,"",$F273-$H273)</f>
        <v/>
      </c>
      <c r="J273" s="35">
        <f>IF($A273&gt;NYears*12,"",$H273*RateC)</f>
        <v/>
      </c>
      <c r="K273" s="35">
        <f>IF($A273&gt;NYears*12,"",IF($D273=1,$J273,$K272+$J273))</f>
        <v/>
      </c>
      <c r="L273" s="35">
        <f>IF($A273&gt;NYears*12,"",IF(MOD($D273,3)=0,SUM($J271:$J273),0))</f>
        <v/>
      </c>
      <c r="M273" s="35">
        <f>IF($A273&gt;NYears*12,"",IF(TaxFreq="Quarterly",$K273*12/$D273,$K273))</f>
        <v/>
      </c>
      <c r="N273" s="36">
        <f>IF($A273&gt;NYears*12,"",LOOKUP($M273,TaxLower,TaxRate))</f>
        <v/>
      </c>
      <c r="O273" s="35">
        <f>IF($A273&gt;NYears*12,"",IF(TaxFreq="Quarterly",IF(MOD($D273,3)=0,$L273*$N273,0),IF($D273=12,$K273*$N273,0)))</f>
        <v/>
      </c>
      <c r="P273" s="35">
        <f>IF($A273&gt;NYears*12,"",IF($D273=1,$O273,$P272+$O273))</f>
        <v/>
      </c>
      <c r="Q273" s="35">
        <f>IF($A273&gt;NYears*12,"",IF($D273=12,MIN(WdrPct*IF(WdrBase="Post-tax profit",$K273-$P273,$K273),WdrCap),0))</f>
        <v/>
      </c>
      <c r="R273" s="35">
        <f>IF($A273&gt;NYears*12,"",$F273+$J273-$O273-$Q273)</f>
        <v/>
      </c>
      <c r="S273" s="33">
        <f>IF($A273&gt;NYears*12,"",INT($R273/$E273))</f>
        <v/>
      </c>
    </row>
    <row r="274">
      <c r="A274" s="33">
        <f>270</f>
        <v/>
      </c>
      <c r="B274" s="34">
        <f>IF($A274&gt;NYears*12,"",EDATE(StartMonth,$A274-1))</f>
        <v/>
      </c>
      <c r="C274" s="33">
        <f>IF($A274&gt;NYears*12,"",INT(($A274-1)/12)+1)</f>
        <v/>
      </c>
      <c r="D274" s="33">
        <f>IF($A274&gt;NYears*12,"",MOD($A274-1,12)+1)</f>
        <v/>
      </c>
      <c r="E274" s="35">
        <f>IF($A274&gt;NYears*12,"",LotValue0*(1+LotGrowth)^($C274-1))</f>
        <v/>
      </c>
      <c r="F274" s="35">
        <f>IF($A274&gt;NYears*12,"",IF($A274=1,InitInvest,$R273))</f>
        <v/>
      </c>
      <c r="G274" s="33">
        <f>IF($A274&gt;NYears*12,"",INT($F274/$E274))</f>
        <v/>
      </c>
      <c r="H274" s="35">
        <f>IF($A274&gt;NYears*12,"",$G274*$E274)</f>
        <v/>
      </c>
      <c r="I274" s="35">
        <f>IF($A274&gt;NYears*12,"",$F274-$H274)</f>
        <v/>
      </c>
      <c r="J274" s="35">
        <f>IF($A274&gt;NYears*12,"",$H274*RateC)</f>
        <v/>
      </c>
      <c r="K274" s="35">
        <f>IF($A274&gt;NYears*12,"",IF($D274=1,$J274,$K273+$J274))</f>
        <v/>
      </c>
      <c r="L274" s="35">
        <f>IF($A274&gt;NYears*12,"",IF(MOD($D274,3)=0,SUM($J272:$J274),0))</f>
        <v/>
      </c>
      <c r="M274" s="35">
        <f>IF($A274&gt;NYears*12,"",IF(TaxFreq="Quarterly",$K274*12/$D274,$K274))</f>
        <v/>
      </c>
      <c r="N274" s="36">
        <f>IF($A274&gt;NYears*12,"",LOOKUP($M274,TaxLower,TaxRate))</f>
        <v/>
      </c>
      <c r="O274" s="35">
        <f>IF($A274&gt;NYears*12,"",IF(TaxFreq="Quarterly",IF(MOD($D274,3)=0,$L274*$N274,0),IF($D274=12,$K274*$N274,0)))</f>
        <v/>
      </c>
      <c r="P274" s="35">
        <f>IF($A274&gt;NYears*12,"",IF($D274=1,$O274,$P273+$O274))</f>
        <v/>
      </c>
      <c r="Q274" s="35">
        <f>IF($A274&gt;NYears*12,"",IF($D274=12,MIN(WdrPct*IF(WdrBase="Post-tax profit",$K274-$P274,$K274),WdrCap),0))</f>
        <v/>
      </c>
      <c r="R274" s="35">
        <f>IF($A274&gt;NYears*12,"",$F274+$J274-$O274-$Q274)</f>
        <v/>
      </c>
      <c r="S274" s="33">
        <f>IF($A274&gt;NYears*12,"",INT($R274/$E274))</f>
        <v/>
      </c>
    </row>
    <row r="275">
      <c r="A275" s="33">
        <f>271</f>
        <v/>
      </c>
      <c r="B275" s="34">
        <f>IF($A275&gt;NYears*12,"",EDATE(StartMonth,$A275-1))</f>
        <v/>
      </c>
      <c r="C275" s="33">
        <f>IF($A275&gt;NYears*12,"",INT(($A275-1)/12)+1)</f>
        <v/>
      </c>
      <c r="D275" s="33">
        <f>IF($A275&gt;NYears*12,"",MOD($A275-1,12)+1)</f>
        <v/>
      </c>
      <c r="E275" s="35">
        <f>IF($A275&gt;NYears*12,"",LotValue0*(1+LotGrowth)^($C275-1))</f>
        <v/>
      </c>
      <c r="F275" s="35">
        <f>IF($A275&gt;NYears*12,"",IF($A275=1,InitInvest,$R274))</f>
        <v/>
      </c>
      <c r="G275" s="33">
        <f>IF($A275&gt;NYears*12,"",INT($F275/$E275))</f>
        <v/>
      </c>
      <c r="H275" s="35">
        <f>IF($A275&gt;NYears*12,"",$G275*$E275)</f>
        <v/>
      </c>
      <c r="I275" s="35">
        <f>IF($A275&gt;NYears*12,"",$F275-$H275)</f>
        <v/>
      </c>
      <c r="J275" s="35">
        <f>IF($A275&gt;NYears*12,"",$H275*RateC)</f>
        <v/>
      </c>
      <c r="K275" s="35">
        <f>IF($A275&gt;NYears*12,"",IF($D275=1,$J275,$K274+$J275))</f>
        <v/>
      </c>
      <c r="L275" s="35">
        <f>IF($A275&gt;NYears*12,"",IF(MOD($D275,3)=0,SUM($J273:$J275),0))</f>
        <v/>
      </c>
      <c r="M275" s="35">
        <f>IF($A275&gt;NYears*12,"",IF(TaxFreq="Quarterly",$K275*12/$D275,$K275))</f>
        <v/>
      </c>
      <c r="N275" s="36">
        <f>IF($A275&gt;NYears*12,"",LOOKUP($M275,TaxLower,TaxRate))</f>
        <v/>
      </c>
      <c r="O275" s="35">
        <f>IF($A275&gt;NYears*12,"",IF(TaxFreq="Quarterly",IF(MOD($D275,3)=0,$L275*$N275,0),IF($D275=12,$K275*$N275,0)))</f>
        <v/>
      </c>
      <c r="P275" s="35">
        <f>IF($A275&gt;NYears*12,"",IF($D275=1,$O275,$P274+$O275))</f>
        <v/>
      </c>
      <c r="Q275" s="35">
        <f>IF($A275&gt;NYears*12,"",IF($D275=12,MIN(WdrPct*IF(WdrBase="Post-tax profit",$K275-$P275,$K275),WdrCap),0))</f>
        <v/>
      </c>
      <c r="R275" s="35">
        <f>IF($A275&gt;NYears*12,"",$F275+$J275-$O275-$Q275)</f>
        <v/>
      </c>
      <c r="S275" s="33">
        <f>IF($A275&gt;NYears*12,"",INT($R275/$E275))</f>
        <v/>
      </c>
    </row>
    <row r="276">
      <c r="A276" s="33">
        <f>272</f>
        <v/>
      </c>
      <c r="B276" s="34">
        <f>IF($A276&gt;NYears*12,"",EDATE(StartMonth,$A276-1))</f>
        <v/>
      </c>
      <c r="C276" s="33">
        <f>IF($A276&gt;NYears*12,"",INT(($A276-1)/12)+1)</f>
        <v/>
      </c>
      <c r="D276" s="33">
        <f>IF($A276&gt;NYears*12,"",MOD($A276-1,12)+1)</f>
        <v/>
      </c>
      <c r="E276" s="35">
        <f>IF($A276&gt;NYears*12,"",LotValue0*(1+LotGrowth)^($C276-1))</f>
        <v/>
      </c>
      <c r="F276" s="35">
        <f>IF($A276&gt;NYears*12,"",IF($A276=1,InitInvest,$R275))</f>
        <v/>
      </c>
      <c r="G276" s="33">
        <f>IF($A276&gt;NYears*12,"",INT($F276/$E276))</f>
        <v/>
      </c>
      <c r="H276" s="35">
        <f>IF($A276&gt;NYears*12,"",$G276*$E276)</f>
        <v/>
      </c>
      <c r="I276" s="35">
        <f>IF($A276&gt;NYears*12,"",$F276-$H276)</f>
        <v/>
      </c>
      <c r="J276" s="35">
        <f>IF($A276&gt;NYears*12,"",$H276*RateC)</f>
        <v/>
      </c>
      <c r="K276" s="35">
        <f>IF($A276&gt;NYears*12,"",IF($D276=1,$J276,$K275+$J276))</f>
        <v/>
      </c>
      <c r="L276" s="35">
        <f>IF($A276&gt;NYears*12,"",IF(MOD($D276,3)=0,SUM($J274:$J276),0))</f>
        <v/>
      </c>
      <c r="M276" s="35">
        <f>IF($A276&gt;NYears*12,"",IF(TaxFreq="Quarterly",$K276*12/$D276,$K276))</f>
        <v/>
      </c>
      <c r="N276" s="36">
        <f>IF($A276&gt;NYears*12,"",LOOKUP($M276,TaxLower,TaxRate))</f>
        <v/>
      </c>
      <c r="O276" s="35">
        <f>IF($A276&gt;NYears*12,"",IF(TaxFreq="Quarterly",IF(MOD($D276,3)=0,$L276*$N276,0),IF($D276=12,$K276*$N276,0)))</f>
        <v/>
      </c>
      <c r="P276" s="35">
        <f>IF($A276&gt;NYears*12,"",IF($D276=1,$O276,$P275+$O276))</f>
        <v/>
      </c>
      <c r="Q276" s="35">
        <f>IF($A276&gt;NYears*12,"",IF($D276=12,MIN(WdrPct*IF(WdrBase="Post-tax profit",$K276-$P276,$K276),WdrCap),0))</f>
        <v/>
      </c>
      <c r="R276" s="35">
        <f>IF($A276&gt;NYears*12,"",$F276+$J276-$O276-$Q276)</f>
        <v/>
      </c>
      <c r="S276" s="33">
        <f>IF($A276&gt;NYears*12,"",INT($R276/$E276))</f>
        <v/>
      </c>
    </row>
    <row r="277">
      <c r="A277" s="33">
        <f>273</f>
        <v/>
      </c>
      <c r="B277" s="34">
        <f>IF($A277&gt;NYears*12,"",EDATE(StartMonth,$A277-1))</f>
        <v/>
      </c>
      <c r="C277" s="33">
        <f>IF($A277&gt;NYears*12,"",INT(($A277-1)/12)+1)</f>
        <v/>
      </c>
      <c r="D277" s="33">
        <f>IF($A277&gt;NYears*12,"",MOD($A277-1,12)+1)</f>
        <v/>
      </c>
      <c r="E277" s="35">
        <f>IF($A277&gt;NYears*12,"",LotValue0*(1+LotGrowth)^($C277-1))</f>
        <v/>
      </c>
      <c r="F277" s="35">
        <f>IF($A277&gt;NYears*12,"",IF($A277=1,InitInvest,$R276))</f>
        <v/>
      </c>
      <c r="G277" s="33">
        <f>IF($A277&gt;NYears*12,"",INT($F277/$E277))</f>
        <v/>
      </c>
      <c r="H277" s="35">
        <f>IF($A277&gt;NYears*12,"",$G277*$E277)</f>
        <v/>
      </c>
      <c r="I277" s="35">
        <f>IF($A277&gt;NYears*12,"",$F277-$H277)</f>
        <v/>
      </c>
      <c r="J277" s="35">
        <f>IF($A277&gt;NYears*12,"",$H277*RateC)</f>
        <v/>
      </c>
      <c r="K277" s="35">
        <f>IF($A277&gt;NYears*12,"",IF($D277=1,$J277,$K276+$J277))</f>
        <v/>
      </c>
      <c r="L277" s="35">
        <f>IF($A277&gt;NYears*12,"",IF(MOD($D277,3)=0,SUM($J275:$J277),0))</f>
        <v/>
      </c>
      <c r="M277" s="35">
        <f>IF($A277&gt;NYears*12,"",IF(TaxFreq="Quarterly",$K277*12/$D277,$K277))</f>
        <v/>
      </c>
      <c r="N277" s="36">
        <f>IF($A277&gt;NYears*12,"",LOOKUP($M277,TaxLower,TaxRate))</f>
        <v/>
      </c>
      <c r="O277" s="35">
        <f>IF($A277&gt;NYears*12,"",IF(TaxFreq="Quarterly",IF(MOD($D277,3)=0,$L277*$N277,0),IF($D277=12,$K277*$N277,0)))</f>
        <v/>
      </c>
      <c r="P277" s="35">
        <f>IF($A277&gt;NYears*12,"",IF($D277=1,$O277,$P276+$O277))</f>
        <v/>
      </c>
      <c r="Q277" s="35">
        <f>IF($A277&gt;NYears*12,"",IF($D277=12,MIN(WdrPct*IF(WdrBase="Post-tax profit",$K277-$P277,$K277),WdrCap),0))</f>
        <v/>
      </c>
      <c r="R277" s="35">
        <f>IF($A277&gt;NYears*12,"",$F277+$J277-$O277-$Q277)</f>
        <v/>
      </c>
      <c r="S277" s="33">
        <f>IF($A277&gt;NYears*12,"",INT($R277/$E277))</f>
        <v/>
      </c>
    </row>
    <row r="278">
      <c r="A278" s="33">
        <f>274</f>
        <v/>
      </c>
      <c r="B278" s="34">
        <f>IF($A278&gt;NYears*12,"",EDATE(StartMonth,$A278-1))</f>
        <v/>
      </c>
      <c r="C278" s="33">
        <f>IF($A278&gt;NYears*12,"",INT(($A278-1)/12)+1)</f>
        <v/>
      </c>
      <c r="D278" s="33">
        <f>IF($A278&gt;NYears*12,"",MOD($A278-1,12)+1)</f>
        <v/>
      </c>
      <c r="E278" s="35">
        <f>IF($A278&gt;NYears*12,"",LotValue0*(1+LotGrowth)^($C278-1))</f>
        <v/>
      </c>
      <c r="F278" s="35">
        <f>IF($A278&gt;NYears*12,"",IF($A278=1,InitInvest,$R277))</f>
        <v/>
      </c>
      <c r="G278" s="33">
        <f>IF($A278&gt;NYears*12,"",INT($F278/$E278))</f>
        <v/>
      </c>
      <c r="H278" s="35">
        <f>IF($A278&gt;NYears*12,"",$G278*$E278)</f>
        <v/>
      </c>
      <c r="I278" s="35">
        <f>IF($A278&gt;NYears*12,"",$F278-$H278)</f>
        <v/>
      </c>
      <c r="J278" s="35">
        <f>IF($A278&gt;NYears*12,"",$H278*RateC)</f>
        <v/>
      </c>
      <c r="K278" s="35">
        <f>IF($A278&gt;NYears*12,"",IF($D278=1,$J278,$K277+$J278))</f>
        <v/>
      </c>
      <c r="L278" s="35">
        <f>IF($A278&gt;NYears*12,"",IF(MOD($D278,3)=0,SUM($J276:$J278),0))</f>
        <v/>
      </c>
      <c r="M278" s="35">
        <f>IF($A278&gt;NYears*12,"",IF(TaxFreq="Quarterly",$K278*12/$D278,$K278))</f>
        <v/>
      </c>
      <c r="N278" s="36">
        <f>IF($A278&gt;NYears*12,"",LOOKUP($M278,TaxLower,TaxRate))</f>
        <v/>
      </c>
      <c r="O278" s="35">
        <f>IF($A278&gt;NYears*12,"",IF(TaxFreq="Quarterly",IF(MOD($D278,3)=0,$L278*$N278,0),IF($D278=12,$K278*$N278,0)))</f>
        <v/>
      </c>
      <c r="P278" s="35">
        <f>IF($A278&gt;NYears*12,"",IF($D278=1,$O278,$P277+$O278))</f>
        <v/>
      </c>
      <c r="Q278" s="35">
        <f>IF($A278&gt;NYears*12,"",IF($D278=12,MIN(WdrPct*IF(WdrBase="Post-tax profit",$K278-$P278,$K278),WdrCap),0))</f>
        <v/>
      </c>
      <c r="R278" s="35">
        <f>IF($A278&gt;NYears*12,"",$F278+$J278-$O278-$Q278)</f>
        <v/>
      </c>
      <c r="S278" s="33">
        <f>IF($A278&gt;NYears*12,"",INT($R278/$E278))</f>
        <v/>
      </c>
    </row>
    <row r="279">
      <c r="A279" s="33">
        <f>275</f>
        <v/>
      </c>
      <c r="B279" s="34">
        <f>IF($A279&gt;NYears*12,"",EDATE(StartMonth,$A279-1))</f>
        <v/>
      </c>
      <c r="C279" s="33">
        <f>IF($A279&gt;NYears*12,"",INT(($A279-1)/12)+1)</f>
        <v/>
      </c>
      <c r="D279" s="33">
        <f>IF($A279&gt;NYears*12,"",MOD($A279-1,12)+1)</f>
        <v/>
      </c>
      <c r="E279" s="35">
        <f>IF($A279&gt;NYears*12,"",LotValue0*(1+LotGrowth)^($C279-1))</f>
        <v/>
      </c>
      <c r="F279" s="35">
        <f>IF($A279&gt;NYears*12,"",IF($A279=1,InitInvest,$R278))</f>
        <v/>
      </c>
      <c r="G279" s="33">
        <f>IF($A279&gt;NYears*12,"",INT($F279/$E279))</f>
        <v/>
      </c>
      <c r="H279" s="35">
        <f>IF($A279&gt;NYears*12,"",$G279*$E279)</f>
        <v/>
      </c>
      <c r="I279" s="35">
        <f>IF($A279&gt;NYears*12,"",$F279-$H279)</f>
        <v/>
      </c>
      <c r="J279" s="35">
        <f>IF($A279&gt;NYears*12,"",$H279*RateC)</f>
        <v/>
      </c>
      <c r="K279" s="35">
        <f>IF($A279&gt;NYears*12,"",IF($D279=1,$J279,$K278+$J279))</f>
        <v/>
      </c>
      <c r="L279" s="35">
        <f>IF($A279&gt;NYears*12,"",IF(MOD($D279,3)=0,SUM($J277:$J279),0))</f>
        <v/>
      </c>
      <c r="M279" s="35">
        <f>IF($A279&gt;NYears*12,"",IF(TaxFreq="Quarterly",$K279*12/$D279,$K279))</f>
        <v/>
      </c>
      <c r="N279" s="36">
        <f>IF($A279&gt;NYears*12,"",LOOKUP($M279,TaxLower,TaxRate))</f>
        <v/>
      </c>
      <c r="O279" s="35">
        <f>IF($A279&gt;NYears*12,"",IF(TaxFreq="Quarterly",IF(MOD($D279,3)=0,$L279*$N279,0),IF($D279=12,$K279*$N279,0)))</f>
        <v/>
      </c>
      <c r="P279" s="35">
        <f>IF($A279&gt;NYears*12,"",IF($D279=1,$O279,$P278+$O279))</f>
        <v/>
      </c>
      <c r="Q279" s="35">
        <f>IF($A279&gt;NYears*12,"",IF($D279=12,MIN(WdrPct*IF(WdrBase="Post-tax profit",$K279-$P279,$K279),WdrCap),0))</f>
        <v/>
      </c>
      <c r="R279" s="35">
        <f>IF($A279&gt;NYears*12,"",$F279+$J279-$O279-$Q279)</f>
        <v/>
      </c>
      <c r="S279" s="33">
        <f>IF($A279&gt;NYears*12,"",INT($R279/$E279))</f>
        <v/>
      </c>
    </row>
    <row r="280">
      <c r="A280" s="37">
        <f>276</f>
        <v/>
      </c>
      <c r="B280" s="38">
        <f>IF($A280&gt;NYears*12,"",EDATE(StartMonth,$A280-1))</f>
        <v/>
      </c>
      <c r="C280" s="37">
        <f>IF($A280&gt;NYears*12,"",INT(($A280-1)/12)+1)</f>
        <v/>
      </c>
      <c r="D280" s="37">
        <f>IF($A280&gt;NYears*12,"",MOD($A280-1,12)+1)</f>
        <v/>
      </c>
      <c r="E280" s="39">
        <f>IF($A280&gt;NYears*12,"",LotValue0*(1+LotGrowth)^($C280-1))</f>
        <v/>
      </c>
      <c r="F280" s="39">
        <f>IF($A280&gt;NYears*12,"",IF($A280=1,InitInvest,$R279))</f>
        <v/>
      </c>
      <c r="G280" s="37">
        <f>IF($A280&gt;NYears*12,"",INT($F280/$E280))</f>
        <v/>
      </c>
      <c r="H280" s="39">
        <f>IF($A280&gt;NYears*12,"",$G280*$E280)</f>
        <v/>
      </c>
      <c r="I280" s="39">
        <f>IF($A280&gt;NYears*12,"",$F280-$H280)</f>
        <v/>
      </c>
      <c r="J280" s="39">
        <f>IF($A280&gt;NYears*12,"",$H280*RateC)</f>
        <v/>
      </c>
      <c r="K280" s="39">
        <f>IF($A280&gt;NYears*12,"",IF($D280=1,$J280,$K279+$J280))</f>
        <v/>
      </c>
      <c r="L280" s="39">
        <f>IF($A280&gt;NYears*12,"",IF(MOD($D280,3)=0,SUM($J278:$J280),0))</f>
        <v/>
      </c>
      <c r="M280" s="39">
        <f>IF($A280&gt;NYears*12,"",IF(TaxFreq="Quarterly",$K280*12/$D280,$K280))</f>
        <v/>
      </c>
      <c r="N280" s="40">
        <f>IF($A280&gt;NYears*12,"",LOOKUP($M280,TaxLower,TaxRate))</f>
        <v/>
      </c>
      <c r="O280" s="39">
        <f>IF($A280&gt;NYears*12,"",IF(TaxFreq="Quarterly",IF(MOD($D280,3)=0,$L280*$N280,0),IF($D280=12,$K280*$N280,0)))</f>
        <v/>
      </c>
      <c r="P280" s="39">
        <f>IF($A280&gt;NYears*12,"",IF($D280=1,$O280,$P279+$O280))</f>
        <v/>
      </c>
      <c r="Q280" s="39">
        <f>IF($A280&gt;NYears*12,"",IF($D280=12,MIN(WdrPct*IF(WdrBase="Post-tax profit",$K280-$P280,$K280),WdrCap),0))</f>
        <v/>
      </c>
      <c r="R280" s="39">
        <f>IF($A280&gt;NYears*12,"",$F280+$J280-$O280-$Q280)</f>
        <v/>
      </c>
      <c r="S280" s="37">
        <f>IF($A280&gt;NYears*12,"",INT($R280/$E280))</f>
        <v/>
      </c>
    </row>
    <row r="281">
      <c r="A281" s="33">
        <f>277</f>
        <v/>
      </c>
      <c r="B281" s="34">
        <f>IF($A281&gt;NYears*12,"",EDATE(StartMonth,$A281-1))</f>
        <v/>
      </c>
      <c r="C281" s="33">
        <f>IF($A281&gt;NYears*12,"",INT(($A281-1)/12)+1)</f>
        <v/>
      </c>
      <c r="D281" s="33">
        <f>IF($A281&gt;NYears*12,"",MOD($A281-1,12)+1)</f>
        <v/>
      </c>
      <c r="E281" s="35">
        <f>IF($A281&gt;NYears*12,"",LotValue0*(1+LotGrowth)^($C281-1))</f>
        <v/>
      </c>
      <c r="F281" s="35">
        <f>IF($A281&gt;NYears*12,"",IF($A281=1,InitInvest,$R280))</f>
        <v/>
      </c>
      <c r="G281" s="33">
        <f>IF($A281&gt;NYears*12,"",INT($F281/$E281))</f>
        <v/>
      </c>
      <c r="H281" s="35">
        <f>IF($A281&gt;NYears*12,"",$G281*$E281)</f>
        <v/>
      </c>
      <c r="I281" s="35">
        <f>IF($A281&gt;NYears*12,"",$F281-$H281)</f>
        <v/>
      </c>
      <c r="J281" s="35">
        <f>IF($A281&gt;NYears*12,"",$H281*RateC)</f>
        <v/>
      </c>
      <c r="K281" s="35">
        <f>IF($A281&gt;NYears*12,"",IF($D281=1,$J281,$K280+$J281))</f>
        <v/>
      </c>
      <c r="L281" s="35">
        <f>IF($A281&gt;NYears*12,"",IF(MOD($D281,3)=0,SUM($J279:$J281),0))</f>
        <v/>
      </c>
      <c r="M281" s="35">
        <f>IF($A281&gt;NYears*12,"",IF(TaxFreq="Quarterly",$K281*12/$D281,$K281))</f>
        <v/>
      </c>
      <c r="N281" s="36">
        <f>IF($A281&gt;NYears*12,"",LOOKUP($M281,TaxLower,TaxRate))</f>
        <v/>
      </c>
      <c r="O281" s="35">
        <f>IF($A281&gt;NYears*12,"",IF(TaxFreq="Quarterly",IF(MOD($D281,3)=0,$L281*$N281,0),IF($D281=12,$K281*$N281,0)))</f>
        <v/>
      </c>
      <c r="P281" s="35">
        <f>IF($A281&gt;NYears*12,"",IF($D281=1,$O281,$P280+$O281))</f>
        <v/>
      </c>
      <c r="Q281" s="35">
        <f>IF($A281&gt;NYears*12,"",IF($D281=12,MIN(WdrPct*IF(WdrBase="Post-tax profit",$K281-$P281,$K281),WdrCap),0))</f>
        <v/>
      </c>
      <c r="R281" s="35">
        <f>IF($A281&gt;NYears*12,"",$F281+$J281-$O281-$Q281)</f>
        <v/>
      </c>
      <c r="S281" s="33">
        <f>IF($A281&gt;NYears*12,"",INT($R281/$E281))</f>
        <v/>
      </c>
    </row>
    <row r="282">
      <c r="A282" s="33">
        <f>278</f>
        <v/>
      </c>
      <c r="B282" s="34">
        <f>IF($A282&gt;NYears*12,"",EDATE(StartMonth,$A282-1))</f>
        <v/>
      </c>
      <c r="C282" s="33">
        <f>IF($A282&gt;NYears*12,"",INT(($A282-1)/12)+1)</f>
        <v/>
      </c>
      <c r="D282" s="33">
        <f>IF($A282&gt;NYears*12,"",MOD($A282-1,12)+1)</f>
        <v/>
      </c>
      <c r="E282" s="35">
        <f>IF($A282&gt;NYears*12,"",LotValue0*(1+LotGrowth)^($C282-1))</f>
        <v/>
      </c>
      <c r="F282" s="35">
        <f>IF($A282&gt;NYears*12,"",IF($A282=1,InitInvest,$R281))</f>
        <v/>
      </c>
      <c r="G282" s="33">
        <f>IF($A282&gt;NYears*12,"",INT($F282/$E282))</f>
        <v/>
      </c>
      <c r="H282" s="35">
        <f>IF($A282&gt;NYears*12,"",$G282*$E282)</f>
        <v/>
      </c>
      <c r="I282" s="35">
        <f>IF($A282&gt;NYears*12,"",$F282-$H282)</f>
        <v/>
      </c>
      <c r="J282" s="35">
        <f>IF($A282&gt;NYears*12,"",$H282*RateC)</f>
        <v/>
      </c>
      <c r="K282" s="35">
        <f>IF($A282&gt;NYears*12,"",IF($D282=1,$J282,$K281+$J282))</f>
        <v/>
      </c>
      <c r="L282" s="35">
        <f>IF($A282&gt;NYears*12,"",IF(MOD($D282,3)=0,SUM($J280:$J282),0))</f>
        <v/>
      </c>
      <c r="M282" s="35">
        <f>IF($A282&gt;NYears*12,"",IF(TaxFreq="Quarterly",$K282*12/$D282,$K282))</f>
        <v/>
      </c>
      <c r="N282" s="36">
        <f>IF($A282&gt;NYears*12,"",LOOKUP($M282,TaxLower,TaxRate))</f>
        <v/>
      </c>
      <c r="O282" s="35">
        <f>IF($A282&gt;NYears*12,"",IF(TaxFreq="Quarterly",IF(MOD($D282,3)=0,$L282*$N282,0),IF($D282=12,$K282*$N282,0)))</f>
        <v/>
      </c>
      <c r="P282" s="35">
        <f>IF($A282&gt;NYears*12,"",IF($D282=1,$O282,$P281+$O282))</f>
        <v/>
      </c>
      <c r="Q282" s="35">
        <f>IF($A282&gt;NYears*12,"",IF($D282=12,MIN(WdrPct*IF(WdrBase="Post-tax profit",$K282-$P282,$K282),WdrCap),0))</f>
        <v/>
      </c>
      <c r="R282" s="35">
        <f>IF($A282&gt;NYears*12,"",$F282+$J282-$O282-$Q282)</f>
        <v/>
      </c>
      <c r="S282" s="33">
        <f>IF($A282&gt;NYears*12,"",INT($R282/$E282))</f>
        <v/>
      </c>
    </row>
    <row r="283">
      <c r="A283" s="33">
        <f>279</f>
        <v/>
      </c>
      <c r="B283" s="34">
        <f>IF($A283&gt;NYears*12,"",EDATE(StartMonth,$A283-1))</f>
        <v/>
      </c>
      <c r="C283" s="33">
        <f>IF($A283&gt;NYears*12,"",INT(($A283-1)/12)+1)</f>
        <v/>
      </c>
      <c r="D283" s="33">
        <f>IF($A283&gt;NYears*12,"",MOD($A283-1,12)+1)</f>
        <v/>
      </c>
      <c r="E283" s="35">
        <f>IF($A283&gt;NYears*12,"",LotValue0*(1+LotGrowth)^($C283-1))</f>
        <v/>
      </c>
      <c r="F283" s="35">
        <f>IF($A283&gt;NYears*12,"",IF($A283=1,InitInvest,$R282))</f>
        <v/>
      </c>
      <c r="G283" s="33">
        <f>IF($A283&gt;NYears*12,"",INT($F283/$E283))</f>
        <v/>
      </c>
      <c r="H283" s="35">
        <f>IF($A283&gt;NYears*12,"",$G283*$E283)</f>
        <v/>
      </c>
      <c r="I283" s="35">
        <f>IF($A283&gt;NYears*12,"",$F283-$H283)</f>
        <v/>
      </c>
      <c r="J283" s="35">
        <f>IF($A283&gt;NYears*12,"",$H283*RateC)</f>
        <v/>
      </c>
      <c r="K283" s="35">
        <f>IF($A283&gt;NYears*12,"",IF($D283=1,$J283,$K282+$J283))</f>
        <v/>
      </c>
      <c r="L283" s="35">
        <f>IF($A283&gt;NYears*12,"",IF(MOD($D283,3)=0,SUM($J281:$J283),0))</f>
        <v/>
      </c>
      <c r="M283" s="35">
        <f>IF($A283&gt;NYears*12,"",IF(TaxFreq="Quarterly",$K283*12/$D283,$K283))</f>
        <v/>
      </c>
      <c r="N283" s="36">
        <f>IF($A283&gt;NYears*12,"",LOOKUP($M283,TaxLower,TaxRate))</f>
        <v/>
      </c>
      <c r="O283" s="35">
        <f>IF($A283&gt;NYears*12,"",IF(TaxFreq="Quarterly",IF(MOD($D283,3)=0,$L283*$N283,0),IF($D283=12,$K283*$N283,0)))</f>
        <v/>
      </c>
      <c r="P283" s="35">
        <f>IF($A283&gt;NYears*12,"",IF($D283=1,$O283,$P282+$O283))</f>
        <v/>
      </c>
      <c r="Q283" s="35">
        <f>IF($A283&gt;NYears*12,"",IF($D283=12,MIN(WdrPct*IF(WdrBase="Post-tax profit",$K283-$P283,$K283),WdrCap),0))</f>
        <v/>
      </c>
      <c r="R283" s="35">
        <f>IF($A283&gt;NYears*12,"",$F283+$J283-$O283-$Q283)</f>
        <v/>
      </c>
      <c r="S283" s="33">
        <f>IF($A283&gt;NYears*12,"",INT($R283/$E283))</f>
        <v/>
      </c>
    </row>
    <row r="284">
      <c r="A284" s="33">
        <f>280</f>
        <v/>
      </c>
      <c r="B284" s="34">
        <f>IF($A284&gt;NYears*12,"",EDATE(StartMonth,$A284-1))</f>
        <v/>
      </c>
      <c r="C284" s="33">
        <f>IF($A284&gt;NYears*12,"",INT(($A284-1)/12)+1)</f>
        <v/>
      </c>
      <c r="D284" s="33">
        <f>IF($A284&gt;NYears*12,"",MOD($A284-1,12)+1)</f>
        <v/>
      </c>
      <c r="E284" s="35">
        <f>IF($A284&gt;NYears*12,"",LotValue0*(1+LotGrowth)^($C284-1))</f>
        <v/>
      </c>
      <c r="F284" s="35">
        <f>IF($A284&gt;NYears*12,"",IF($A284=1,InitInvest,$R283))</f>
        <v/>
      </c>
      <c r="G284" s="33">
        <f>IF($A284&gt;NYears*12,"",INT($F284/$E284))</f>
        <v/>
      </c>
      <c r="H284" s="35">
        <f>IF($A284&gt;NYears*12,"",$G284*$E284)</f>
        <v/>
      </c>
      <c r="I284" s="35">
        <f>IF($A284&gt;NYears*12,"",$F284-$H284)</f>
        <v/>
      </c>
      <c r="J284" s="35">
        <f>IF($A284&gt;NYears*12,"",$H284*RateC)</f>
        <v/>
      </c>
      <c r="K284" s="35">
        <f>IF($A284&gt;NYears*12,"",IF($D284=1,$J284,$K283+$J284))</f>
        <v/>
      </c>
      <c r="L284" s="35">
        <f>IF($A284&gt;NYears*12,"",IF(MOD($D284,3)=0,SUM($J282:$J284),0))</f>
        <v/>
      </c>
      <c r="M284" s="35">
        <f>IF($A284&gt;NYears*12,"",IF(TaxFreq="Quarterly",$K284*12/$D284,$K284))</f>
        <v/>
      </c>
      <c r="N284" s="36">
        <f>IF($A284&gt;NYears*12,"",LOOKUP($M284,TaxLower,TaxRate))</f>
        <v/>
      </c>
      <c r="O284" s="35">
        <f>IF($A284&gt;NYears*12,"",IF(TaxFreq="Quarterly",IF(MOD($D284,3)=0,$L284*$N284,0),IF($D284=12,$K284*$N284,0)))</f>
        <v/>
      </c>
      <c r="P284" s="35">
        <f>IF($A284&gt;NYears*12,"",IF($D284=1,$O284,$P283+$O284))</f>
        <v/>
      </c>
      <c r="Q284" s="35">
        <f>IF($A284&gt;NYears*12,"",IF($D284=12,MIN(WdrPct*IF(WdrBase="Post-tax profit",$K284-$P284,$K284),WdrCap),0))</f>
        <v/>
      </c>
      <c r="R284" s="35">
        <f>IF($A284&gt;NYears*12,"",$F284+$J284-$O284-$Q284)</f>
        <v/>
      </c>
      <c r="S284" s="33">
        <f>IF($A284&gt;NYears*12,"",INT($R284/$E284))</f>
        <v/>
      </c>
    </row>
    <row r="285">
      <c r="A285" s="33">
        <f>281</f>
        <v/>
      </c>
      <c r="B285" s="34">
        <f>IF($A285&gt;NYears*12,"",EDATE(StartMonth,$A285-1))</f>
        <v/>
      </c>
      <c r="C285" s="33">
        <f>IF($A285&gt;NYears*12,"",INT(($A285-1)/12)+1)</f>
        <v/>
      </c>
      <c r="D285" s="33">
        <f>IF($A285&gt;NYears*12,"",MOD($A285-1,12)+1)</f>
        <v/>
      </c>
      <c r="E285" s="35">
        <f>IF($A285&gt;NYears*12,"",LotValue0*(1+LotGrowth)^($C285-1))</f>
        <v/>
      </c>
      <c r="F285" s="35">
        <f>IF($A285&gt;NYears*12,"",IF($A285=1,InitInvest,$R284))</f>
        <v/>
      </c>
      <c r="G285" s="33">
        <f>IF($A285&gt;NYears*12,"",INT($F285/$E285))</f>
        <v/>
      </c>
      <c r="H285" s="35">
        <f>IF($A285&gt;NYears*12,"",$G285*$E285)</f>
        <v/>
      </c>
      <c r="I285" s="35">
        <f>IF($A285&gt;NYears*12,"",$F285-$H285)</f>
        <v/>
      </c>
      <c r="J285" s="35">
        <f>IF($A285&gt;NYears*12,"",$H285*RateC)</f>
        <v/>
      </c>
      <c r="K285" s="35">
        <f>IF($A285&gt;NYears*12,"",IF($D285=1,$J285,$K284+$J285))</f>
        <v/>
      </c>
      <c r="L285" s="35">
        <f>IF($A285&gt;NYears*12,"",IF(MOD($D285,3)=0,SUM($J283:$J285),0))</f>
        <v/>
      </c>
      <c r="M285" s="35">
        <f>IF($A285&gt;NYears*12,"",IF(TaxFreq="Quarterly",$K285*12/$D285,$K285))</f>
        <v/>
      </c>
      <c r="N285" s="36">
        <f>IF($A285&gt;NYears*12,"",LOOKUP($M285,TaxLower,TaxRate))</f>
        <v/>
      </c>
      <c r="O285" s="35">
        <f>IF($A285&gt;NYears*12,"",IF(TaxFreq="Quarterly",IF(MOD($D285,3)=0,$L285*$N285,0),IF($D285=12,$K285*$N285,0)))</f>
        <v/>
      </c>
      <c r="P285" s="35">
        <f>IF($A285&gt;NYears*12,"",IF($D285=1,$O285,$P284+$O285))</f>
        <v/>
      </c>
      <c r="Q285" s="35">
        <f>IF($A285&gt;NYears*12,"",IF($D285=12,MIN(WdrPct*IF(WdrBase="Post-tax profit",$K285-$P285,$K285),WdrCap),0))</f>
        <v/>
      </c>
      <c r="R285" s="35">
        <f>IF($A285&gt;NYears*12,"",$F285+$J285-$O285-$Q285)</f>
        <v/>
      </c>
      <c r="S285" s="33">
        <f>IF($A285&gt;NYears*12,"",INT($R285/$E285))</f>
        <v/>
      </c>
    </row>
    <row r="286">
      <c r="A286" s="33">
        <f>282</f>
        <v/>
      </c>
      <c r="B286" s="34">
        <f>IF($A286&gt;NYears*12,"",EDATE(StartMonth,$A286-1))</f>
        <v/>
      </c>
      <c r="C286" s="33">
        <f>IF($A286&gt;NYears*12,"",INT(($A286-1)/12)+1)</f>
        <v/>
      </c>
      <c r="D286" s="33">
        <f>IF($A286&gt;NYears*12,"",MOD($A286-1,12)+1)</f>
        <v/>
      </c>
      <c r="E286" s="35">
        <f>IF($A286&gt;NYears*12,"",LotValue0*(1+LotGrowth)^($C286-1))</f>
        <v/>
      </c>
      <c r="F286" s="35">
        <f>IF($A286&gt;NYears*12,"",IF($A286=1,InitInvest,$R285))</f>
        <v/>
      </c>
      <c r="G286" s="33">
        <f>IF($A286&gt;NYears*12,"",INT($F286/$E286))</f>
        <v/>
      </c>
      <c r="H286" s="35">
        <f>IF($A286&gt;NYears*12,"",$G286*$E286)</f>
        <v/>
      </c>
      <c r="I286" s="35">
        <f>IF($A286&gt;NYears*12,"",$F286-$H286)</f>
        <v/>
      </c>
      <c r="J286" s="35">
        <f>IF($A286&gt;NYears*12,"",$H286*RateC)</f>
        <v/>
      </c>
      <c r="K286" s="35">
        <f>IF($A286&gt;NYears*12,"",IF($D286=1,$J286,$K285+$J286))</f>
        <v/>
      </c>
      <c r="L286" s="35">
        <f>IF($A286&gt;NYears*12,"",IF(MOD($D286,3)=0,SUM($J284:$J286),0))</f>
        <v/>
      </c>
      <c r="M286" s="35">
        <f>IF($A286&gt;NYears*12,"",IF(TaxFreq="Quarterly",$K286*12/$D286,$K286))</f>
        <v/>
      </c>
      <c r="N286" s="36">
        <f>IF($A286&gt;NYears*12,"",LOOKUP($M286,TaxLower,TaxRate))</f>
        <v/>
      </c>
      <c r="O286" s="35">
        <f>IF($A286&gt;NYears*12,"",IF(TaxFreq="Quarterly",IF(MOD($D286,3)=0,$L286*$N286,0),IF($D286=12,$K286*$N286,0)))</f>
        <v/>
      </c>
      <c r="P286" s="35">
        <f>IF($A286&gt;NYears*12,"",IF($D286=1,$O286,$P285+$O286))</f>
        <v/>
      </c>
      <c r="Q286" s="35">
        <f>IF($A286&gt;NYears*12,"",IF($D286=12,MIN(WdrPct*IF(WdrBase="Post-tax profit",$K286-$P286,$K286),WdrCap),0))</f>
        <v/>
      </c>
      <c r="R286" s="35">
        <f>IF($A286&gt;NYears*12,"",$F286+$J286-$O286-$Q286)</f>
        <v/>
      </c>
      <c r="S286" s="33">
        <f>IF($A286&gt;NYears*12,"",INT($R286/$E286))</f>
        <v/>
      </c>
    </row>
    <row r="287">
      <c r="A287" s="33">
        <f>283</f>
        <v/>
      </c>
      <c r="B287" s="34">
        <f>IF($A287&gt;NYears*12,"",EDATE(StartMonth,$A287-1))</f>
        <v/>
      </c>
      <c r="C287" s="33">
        <f>IF($A287&gt;NYears*12,"",INT(($A287-1)/12)+1)</f>
        <v/>
      </c>
      <c r="D287" s="33">
        <f>IF($A287&gt;NYears*12,"",MOD($A287-1,12)+1)</f>
        <v/>
      </c>
      <c r="E287" s="35">
        <f>IF($A287&gt;NYears*12,"",LotValue0*(1+LotGrowth)^($C287-1))</f>
        <v/>
      </c>
      <c r="F287" s="35">
        <f>IF($A287&gt;NYears*12,"",IF($A287=1,InitInvest,$R286))</f>
        <v/>
      </c>
      <c r="G287" s="33">
        <f>IF($A287&gt;NYears*12,"",INT($F287/$E287))</f>
        <v/>
      </c>
      <c r="H287" s="35">
        <f>IF($A287&gt;NYears*12,"",$G287*$E287)</f>
        <v/>
      </c>
      <c r="I287" s="35">
        <f>IF($A287&gt;NYears*12,"",$F287-$H287)</f>
        <v/>
      </c>
      <c r="J287" s="35">
        <f>IF($A287&gt;NYears*12,"",$H287*RateC)</f>
        <v/>
      </c>
      <c r="K287" s="35">
        <f>IF($A287&gt;NYears*12,"",IF($D287=1,$J287,$K286+$J287))</f>
        <v/>
      </c>
      <c r="L287" s="35">
        <f>IF($A287&gt;NYears*12,"",IF(MOD($D287,3)=0,SUM($J285:$J287),0))</f>
        <v/>
      </c>
      <c r="M287" s="35">
        <f>IF($A287&gt;NYears*12,"",IF(TaxFreq="Quarterly",$K287*12/$D287,$K287))</f>
        <v/>
      </c>
      <c r="N287" s="36">
        <f>IF($A287&gt;NYears*12,"",LOOKUP($M287,TaxLower,TaxRate))</f>
        <v/>
      </c>
      <c r="O287" s="35">
        <f>IF($A287&gt;NYears*12,"",IF(TaxFreq="Quarterly",IF(MOD($D287,3)=0,$L287*$N287,0),IF($D287=12,$K287*$N287,0)))</f>
        <v/>
      </c>
      <c r="P287" s="35">
        <f>IF($A287&gt;NYears*12,"",IF($D287=1,$O287,$P286+$O287))</f>
        <v/>
      </c>
      <c r="Q287" s="35">
        <f>IF($A287&gt;NYears*12,"",IF($D287=12,MIN(WdrPct*IF(WdrBase="Post-tax profit",$K287-$P287,$K287),WdrCap),0))</f>
        <v/>
      </c>
      <c r="R287" s="35">
        <f>IF($A287&gt;NYears*12,"",$F287+$J287-$O287-$Q287)</f>
        <v/>
      </c>
      <c r="S287" s="33">
        <f>IF($A287&gt;NYears*12,"",INT($R287/$E287))</f>
        <v/>
      </c>
    </row>
    <row r="288">
      <c r="A288" s="33">
        <f>284</f>
        <v/>
      </c>
      <c r="B288" s="34">
        <f>IF($A288&gt;NYears*12,"",EDATE(StartMonth,$A288-1))</f>
        <v/>
      </c>
      <c r="C288" s="33">
        <f>IF($A288&gt;NYears*12,"",INT(($A288-1)/12)+1)</f>
        <v/>
      </c>
      <c r="D288" s="33">
        <f>IF($A288&gt;NYears*12,"",MOD($A288-1,12)+1)</f>
        <v/>
      </c>
      <c r="E288" s="35">
        <f>IF($A288&gt;NYears*12,"",LotValue0*(1+LotGrowth)^($C288-1))</f>
        <v/>
      </c>
      <c r="F288" s="35">
        <f>IF($A288&gt;NYears*12,"",IF($A288=1,InitInvest,$R287))</f>
        <v/>
      </c>
      <c r="G288" s="33">
        <f>IF($A288&gt;NYears*12,"",INT($F288/$E288))</f>
        <v/>
      </c>
      <c r="H288" s="35">
        <f>IF($A288&gt;NYears*12,"",$G288*$E288)</f>
        <v/>
      </c>
      <c r="I288" s="35">
        <f>IF($A288&gt;NYears*12,"",$F288-$H288)</f>
        <v/>
      </c>
      <c r="J288" s="35">
        <f>IF($A288&gt;NYears*12,"",$H288*RateC)</f>
        <v/>
      </c>
      <c r="K288" s="35">
        <f>IF($A288&gt;NYears*12,"",IF($D288=1,$J288,$K287+$J288))</f>
        <v/>
      </c>
      <c r="L288" s="35">
        <f>IF($A288&gt;NYears*12,"",IF(MOD($D288,3)=0,SUM($J286:$J288),0))</f>
        <v/>
      </c>
      <c r="M288" s="35">
        <f>IF($A288&gt;NYears*12,"",IF(TaxFreq="Quarterly",$K288*12/$D288,$K288))</f>
        <v/>
      </c>
      <c r="N288" s="36">
        <f>IF($A288&gt;NYears*12,"",LOOKUP($M288,TaxLower,TaxRate))</f>
        <v/>
      </c>
      <c r="O288" s="35">
        <f>IF($A288&gt;NYears*12,"",IF(TaxFreq="Quarterly",IF(MOD($D288,3)=0,$L288*$N288,0),IF($D288=12,$K288*$N288,0)))</f>
        <v/>
      </c>
      <c r="P288" s="35">
        <f>IF($A288&gt;NYears*12,"",IF($D288=1,$O288,$P287+$O288))</f>
        <v/>
      </c>
      <c r="Q288" s="35">
        <f>IF($A288&gt;NYears*12,"",IF($D288=12,MIN(WdrPct*IF(WdrBase="Post-tax profit",$K288-$P288,$K288),WdrCap),0))</f>
        <v/>
      </c>
      <c r="R288" s="35">
        <f>IF($A288&gt;NYears*12,"",$F288+$J288-$O288-$Q288)</f>
        <v/>
      </c>
      <c r="S288" s="33">
        <f>IF($A288&gt;NYears*12,"",INT($R288/$E288))</f>
        <v/>
      </c>
    </row>
    <row r="289">
      <c r="A289" s="33">
        <f>285</f>
        <v/>
      </c>
      <c r="B289" s="34">
        <f>IF($A289&gt;NYears*12,"",EDATE(StartMonth,$A289-1))</f>
        <v/>
      </c>
      <c r="C289" s="33">
        <f>IF($A289&gt;NYears*12,"",INT(($A289-1)/12)+1)</f>
        <v/>
      </c>
      <c r="D289" s="33">
        <f>IF($A289&gt;NYears*12,"",MOD($A289-1,12)+1)</f>
        <v/>
      </c>
      <c r="E289" s="35">
        <f>IF($A289&gt;NYears*12,"",LotValue0*(1+LotGrowth)^($C289-1))</f>
        <v/>
      </c>
      <c r="F289" s="35">
        <f>IF($A289&gt;NYears*12,"",IF($A289=1,InitInvest,$R288))</f>
        <v/>
      </c>
      <c r="G289" s="33">
        <f>IF($A289&gt;NYears*12,"",INT($F289/$E289))</f>
        <v/>
      </c>
      <c r="H289" s="35">
        <f>IF($A289&gt;NYears*12,"",$G289*$E289)</f>
        <v/>
      </c>
      <c r="I289" s="35">
        <f>IF($A289&gt;NYears*12,"",$F289-$H289)</f>
        <v/>
      </c>
      <c r="J289" s="35">
        <f>IF($A289&gt;NYears*12,"",$H289*RateC)</f>
        <v/>
      </c>
      <c r="K289" s="35">
        <f>IF($A289&gt;NYears*12,"",IF($D289=1,$J289,$K288+$J289))</f>
        <v/>
      </c>
      <c r="L289" s="35">
        <f>IF($A289&gt;NYears*12,"",IF(MOD($D289,3)=0,SUM($J287:$J289),0))</f>
        <v/>
      </c>
      <c r="M289" s="35">
        <f>IF($A289&gt;NYears*12,"",IF(TaxFreq="Quarterly",$K289*12/$D289,$K289))</f>
        <v/>
      </c>
      <c r="N289" s="36">
        <f>IF($A289&gt;NYears*12,"",LOOKUP($M289,TaxLower,TaxRate))</f>
        <v/>
      </c>
      <c r="O289" s="35">
        <f>IF($A289&gt;NYears*12,"",IF(TaxFreq="Quarterly",IF(MOD($D289,3)=0,$L289*$N289,0),IF($D289=12,$K289*$N289,0)))</f>
        <v/>
      </c>
      <c r="P289" s="35">
        <f>IF($A289&gt;NYears*12,"",IF($D289=1,$O289,$P288+$O289))</f>
        <v/>
      </c>
      <c r="Q289" s="35">
        <f>IF($A289&gt;NYears*12,"",IF($D289=12,MIN(WdrPct*IF(WdrBase="Post-tax profit",$K289-$P289,$K289),WdrCap),0))</f>
        <v/>
      </c>
      <c r="R289" s="35">
        <f>IF($A289&gt;NYears*12,"",$F289+$J289-$O289-$Q289)</f>
        <v/>
      </c>
      <c r="S289" s="33">
        <f>IF($A289&gt;NYears*12,"",INT($R289/$E289))</f>
        <v/>
      </c>
    </row>
    <row r="290">
      <c r="A290" s="33">
        <f>286</f>
        <v/>
      </c>
      <c r="B290" s="34">
        <f>IF($A290&gt;NYears*12,"",EDATE(StartMonth,$A290-1))</f>
        <v/>
      </c>
      <c r="C290" s="33">
        <f>IF($A290&gt;NYears*12,"",INT(($A290-1)/12)+1)</f>
        <v/>
      </c>
      <c r="D290" s="33">
        <f>IF($A290&gt;NYears*12,"",MOD($A290-1,12)+1)</f>
        <v/>
      </c>
      <c r="E290" s="35">
        <f>IF($A290&gt;NYears*12,"",LotValue0*(1+LotGrowth)^($C290-1))</f>
        <v/>
      </c>
      <c r="F290" s="35">
        <f>IF($A290&gt;NYears*12,"",IF($A290=1,InitInvest,$R289))</f>
        <v/>
      </c>
      <c r="G290" s="33">
        <f>IF($A290&gt;NYears*12,"",INT($F290/$E290))</f>
        <v/>
      </c>
      <c r="H290" s="35">
        <f>IF($A290&gt;NYears*12,"",$G290*$E290)</f>
        <v/>
      </c>
      <c r="I290" s="35">
        <f>IF($A290&gt;NYears*12,"",$F290-$H290)</f>
        <v/>
      </c>
      <c r="J290" s="35">
        <f>IF($A290&gt;NYears*12,"",$H290*RateC)</f>
        <v/>
      </c>
      <c r="K290" s="35">
        <f>IF($A290&gt;NYears*12,"",IF($D290=1,$J290,$K289+$J290))</f>
        <v/>
      </c>
      <c r="L290" s="35">
        <f>IF($A290&gt;NYears*12,"",IF(MOD($D290,3)=0,SUM($J288:$J290),0))</f>
        <v/>
      </c>
      <c r="M290" s="35">
        <f>IF($A290&gt;NYears*12,"",IF(TaxFreq="Quarterly",$K290*12/$D290,$K290))</f>
        <v/>
      </c>
      <c r="N290" s="36">
        <f>IF($A290&gt;NYears*12,"",LOOKUP($M290,TaxLower,TaxRate))</f>
        <v/>
      </c>
      <c r="O290" s="35">
        <f>IF($A290&gt;NYears*12,"",IF(TaxFreq="Quarterly",IF(MOD($D290,3)=0,$L290*$N290,0),IF($D290=12,$K290*$N290,0)))</f>
        <v/>
      </c>
      <c r="P290" s="35">
        <f>IF($A290&gt;NYears*12,"",IF($D290=1,$O290,$P289+$O290))</f>
        <v/>
      </c>
      <c r="Q290" s="35">
        <f>IF($A290&gt;NYears*12,"",IF($D290=12,MIN(WdrPct*IF(WdrBase="Post-tax profit",$K290-$P290,$K290),WdrCap),0))</f>
        <v/>
      </c>
      <c r="R290" s="35">
        <f>IF($A290&gt;NYears*12,"",$F290+$J290-$O290-$Q290)</f>
        <v/>
      </c>
      <c r="S290" s="33">
        <f>IF($A290&gt;NYears*12,"",INT($R290/$E290))</f>
        <v/>
      </c>
    </row>
    <row r="291">
      <c r="A291" s="33">
        <f>287</f>
        <v/>
      </c>
      <c r="B291" s="34">
        <f>IF($A291&gt;NYears*12,"",EDATE(StartMonth,$A291-1))</f>
        <v/>
      </c>
      <c r="C291" s="33">
        <f>IF($A291&gt;NYears*12,"",INT(($A291-1)/12)+1)</f>
        <v/>
      </c>
      <c r="D291" s="33">
        <f>IF($A291&gt;NYears*12,"",MOD($A291-1,12)+1)</f>
        <v/>
      </c>
      <c r="E291" s="35">
        <f>IF($A291&gt;NYears*12,"",LotValue0*(1+LotGrowth)^($C291-1))</f>
        <v/>
      </c>
      <c r="F291" s="35">
        <f>IF($A291&gt;NYears*12,"",IF($A291=1,InitInvest,$R290))</f>
        <v/>
      </c>
      <c r="G291" s="33">
        <f>IF($A291&gt;NYears*12,"",INT($F291/$E291))</f>
        <v/>
      </c>
      <c r="H291" s="35">
        <f>IF($A291&gt;NYears*12,"",$G291*$E291)</f>
        <v/>
      </c>
      <c r="I291" s="35">
        <f>IF($A291&gt;NYears*12,"",$F291-$H291)</f>
        <v/>
      </c>
      <c r="J291" s="35">
        <f>IF($A291&gt;NYears*12,"",$H291*RateC)</f>
        <v/>
      </c>
      <c r="K291" s="35">
        <f>IF($A291&gt;NYears*12,"",IF($D291=1,$J291,$K290+$J291))</f>
        <v/>
      </c>
      <c r="L291" s="35">
        <f>IF($A291&gt;NYears*12,"",IF(MOD($D291,3)=0,SUM($J289:$J291),0))</f>
        <v/>
      </c>
      <c r="M291" s="35">
        <f>IF($A291&gt;NYears*12,"",IF(TaxFreq="Quarterly",$K291*12/$D291,$K291))</f>
        <v/>
      </c>
      <c r="N291" s="36">
        <f>IF($A291&gt;NYears*12,"",LOOKUP($M291,TaxLower,TaxRate))</f>
        <v/>
      </c>
      <c r="O291" s="35">
        <f>IF($A291&gt;NYears*12,"",IF(TaxFreq="Quarterly",IF(MOD($D291,3)=0,$L291*$N291,0),IF($D291=12,$K291*$N291,0)))</f>
        <v/>
      </c>
      <c r="P291" s="35">
        <f>IF($A291&gt;NYears*12,"",IF($D291=1,$O291,$P290+$O291))</f>
        <v/>
      </c>
      <c r="Q291" s="35">
        <f>IF($A291&gt;NYears*12,"",IF($D291=12,MIN(WdrPct*IF(WdrBase="Post-tax profit",$K291-$P291,$K291),WdrCap),0))</f>
        <v/>
      </c>
      <c r="R291" s="35">
        <f>IF($A291&gt;NYears*12,"",$F291+$J291-$O291-$Q291)</f>
        <v/>
      </c>
      <c r="S291" s="33">
        <f>IF($A291&gt;NYears*12,"",INT($R291/$E291))</f>
        <v/>
      </c>
    </row>
    <row r="292">
      <c r="A292" s="37">
        <f>288</f>
        <v/>
      </c>
      <c r="B292" s="38">
        <f>IF($A292&gt;NYears*12,"",EDATE(StartMonth,$A292-1))</f>
        <v/>
      </c>
      <c r="C292" s="37">
        <f>IF($A292&gt;NYears*12,"",INT(($A292-1)/12)+1)</f>
        <v/>
      </c>
      <c r="D292" s="37">
        <f>IF($A292&gt;NYears*12,"",MOD($A292-1,12)+1)</f>
        <v/>
      </c>
      <c r="E292" s="39">
        <f>IF($A292&gt;NYears*12,"",LotValue0*(1+LotGrowth)^($C292-1))</f>
        <v/>
      </c>
      <c r="F292" s="39">
        <f>IF($A292&gt;NYears*12,"",IF($A292=1,InitInvest,$R291))</f>
        <v/>
      </c>
      <c r="G292" s="37">
        <f>IF($A292&gt;NYears*12,"",INT($F292/$E292))</f>
        <v/>
      </c>
      <c r="H292" s="39">
        <f>IF($A292&gt;NYears*12,"",$G292*$E292)</f>
        <v/>
      </c>
      <c r="I292" s="39">
        <f>IF($A292&gt;NYears*12,"",$F292-$H292)</f>
        <v/>
      </c>
      <c r="J292" s="39">
        <f>IF($A292&gt;NYears*12,"",$H292*RateC)</f>
        <v/>
      </c>
      <c r="K292" s="39">
        <f>IF($A292&gt;NYears*12,"",IF($D292=1,$J292,$K291+$J292))</f>
        <v/>
      </c>
      <c r="L292" s="39">
        <f>IF($A292&gt;NYears*12,"",IF(MOD($D292,3)=0,SUM($J290:$J292),0))</f>
        <v/>
      </c>
      <c r="M292" s="39">
        <f>IF($A292&gt;NYears*12,"",IF(TaxFreq="Quarterly",$K292*12/$D292,$K292))</f>
        <v/>
      </c>
      <c r="N292" s="40">
        <f>IF($A292&gt;NYears*12,"",LOOKUP($M292,TaxLower,TaxRate))</f>
        <v/>
      </c>
      <c r="O292" s="39">
        <f>IF($A292&gt;NYears*12,"",IF(TaxFreq="Quarterly",IF(MOD($D292,3)=0,$L292*$N292,0),IF($D292=12,$K292*$N292,0)))</f>
        <v/>
      </c>
      <c r="P292" s="39">
        <f>IF($A292&gt;NYears*12,"",IF($D292=1,$O292,$P291+$O292))</f>
        <v/>
      </c>
      <c r="Q292" s="39">
        <f>IF($A292&gt;NYears*12,"",IF($D292=12,MIN(WdrPct*IF(WdrBase="Post-tax profit",$K292-$P292,$K292),WdrCap),0))</f>
        <v/>
      </c>
      <c r="R292" s="39">
        <f>IF($A292&gt;NYears*12,"",$F292+$J292-$O292-$Q292)</f>
        <v/>
      </c>
      <c r="S292" s="37">
        <f>IF($A292&gt;NYears*12,"",INT($R292/$E292))</f>
        <v/>
      </c>
    </row>
    <row r="293">
      <c r="A293" s="33">
        <f>289</f>
        <v/>
      </c>
      <c r="B293" s="34">
        <f>IF($A293&gt;NYears*12,"",EDATE(StartMonth,$A293-1))</f>
        <v/>
      </c>
      <c r="C293" s="33">
        <f>IF($A293&gt;NYears*12,"",INT(($A293-1)/12)+1)</f>
        <v/>
      </c>
      <c r="D293" s="33">
        <f>IF($A293&gt;NYears*12,"",MOD($A293-1,12)+1)</f>
        <v/>
      </c>
      <c r="E293" s="35">
        <f>IF($A293&gt;NYears*12,"",LotValue0*(1+LotGrowth)^($C293-1))</f>
        <v/>
      </c>
      <c r="F293" s="35">
        <f>IF($A293&gt;NYears*12,"",IF($A293=1,InitInvest,$R292))</f>
        <v/>
      </c>
      <c r="G293" s="33">
        <f>IF($A293&gt;NYears*12,"",INT($F293/$E293))</f>
        <v/>
      </c>
      <c r="H293" s="35">
        <f>IF($A293&gt;NYears*12,"",$G293*$E293)</f>
        <v/>
      </c>
      <c r="I293" s="35">
        <f>IF($A293&gt;NYears*12,"",$F293-$H293)</f>
        <v/>
      </c>
      <c r="J293" s="35">
        <f>IF($A293&gt;NYears*12,"",$H293*RateC)</f>
        <v/>
      </c>
      <c r="K293" s="35">
        <f>IF($A293&gt;NYears*12,"",IF($D293=1,$J293,$K292+$J293))</f>
        <v/>
      </c>
      <c r="L293" s="35">
        <f>IF($A293&gt;NYears*12,"",IF(MOD($D293,3)=0,SUM($J291:$J293),0))</f>
        <v/>
      </c>
      <c r="M293" s="35">
        <f>IF($A293&gt;NYears*12,"",IF(TaxFreq="Quarterly",$K293*12/$D293,$K293))</f>
        <v/>
      </c>
      <c r="N293" s="36">
        <f>IF($A293&gt;NYears*12,"",LOOKUP($M293,TaxLower,TaxRate))</f>
        <v/>
      </c>
      <c r="O293" s="35">
        <f>IF($A293&gt;NYears*12,"",IF(TaxFreq="Quarterly",IF(MOD($D293,3)=0,$L293*$N293,0),IF($D293=12,$K293*$N293,0)))</f>
        <v/>
      </c>
      <c r="P293" s="35">
        <f>IF($A293&gt;NYears*12,"",IF($D293=1,$O293,$P292+$O293))</f>
        <v/>
      </c>
      <c r="Q293" s="35">
        <f>IF($A293&gt;NYears*12,"",IF($D293=12,MIN(WdrPct*IF(WdrBase="Post-tax profit",$K293-$P293,$K293),WdrCap),0))</f>
        <v/>
      </c>
      <c r="R293" s="35">
        <f>IF($A293&gt;NYears*12,"",$F293+$J293-$O293-$Q293)</f>
        <v/>
      </c>
      <c r="S293" s="33">
        <f>IF($A293&gt;NYears*12,"",INT($R293/$E293))</f>
        <v/>
      </c>
    </row>
    <row r="294">
      <c r="A294" s="33">
        <f>290</f>
        <v/>
      </c>
      <c r="B294" s="34">
        <f>IF($A294&gt;NYears*12,"",EDATE(StartMonth,$A294-1))</f>
        <v/>
      </c>
      <c r="C294" s="33">
        <f>IF($A294&gt;NYears*12,"",INT(($A294-1)/12)+1)</f>
        <v/>
      </c>
      <c r="D294" s="33">
        <f>IF($A294&gt;NYears*12,"",MOD($A294-1,12)+1)</f>
        <v/>
      </c>
      <c r="E294" s="35">
        <f>IF($A294&gt;NYears*12,"",LotValue0*(1+LotGrowth)^($C294-1))</f>
        <v/>
      </c>
      <c r="F294" s="35">
        <f>IF($A294&gt;NYears*12,"",IF($A294=1,InitInvest,$R293))</f>
        <v/>
      </c>
      <c r="G294" s="33">
        <f>IF($A294&gt;NYears*12,"",INT($F294/$E294))</f>
        <v/>
      </c>
      <c r="H294" s="35">
        <f>IF($A294&gt;NYears*12,"",$G294*$E294)</f>
        <v/>
      </c>
      <c r="I294" s="35">
        <f>IF($A294&gt;NYears*12,"",$F294-$H294)</f>
        <v/>
      </c>
      <c r="J294" s="35">
        <f>IF($A294&gt;NYears*12,"",$H294*RateC)</f>
        <v/>
      </c>
      <c r="K294" s="35">
        <f>IF($A294&gt;NYears*12,"",IF($D294=1,$J294,$K293+$J294))</f>
        <v/>
      </c>
      <c r="L294" s="35">
        <f>IF($A294&gt;NYears*12,"",IF(MOD($D294,3)=0,SUM($J292:$J294),0))</f>
        <v/>
      </c>
      <c r="M294" s="35">
        <f>IF($A294&gt;NYears*12,"",IF(TaxFreq="Quarterly",$K294*12/$D294,$K294))</f>
        <v/>
      </c>
      <c r="N294" s="36">
        <f>IF($A294&gt;NYears*12,"",LOOKUP($M294,TaxLower,TaxRate))</f>
        <v/>
      </c>
      <c r="O294" s="35">
        <f>IF($A294&gt;NYears*12,"",IF(TaxFreq="Quarterly",IF(MOD($D294,3)=0,$L294*$N294,0),IF($D294=12,$K294*$N294,0)))</f>
        <v/>
      </c>
      <c r="P294" s="35">
        <f>IF($A294&gt;NYears*12,"",IF($D294=1,$O294,$P293+$O294))</f>
        <v/>
      </c>
      <c r="Q294" s="35">
        <f>IF($A294&gt;NYears*12,"",IF($D294=12,MIN(WdrPct*IF(WdrBase="Post-tax profit",$K294-$P294,$K294),WdrCap),0))</f>
        <v/>
      </c>
      <c r="R294" s="35">
        <f>IF($A294&gt;NYears*12,"",$F294+$J294-$O294-$Q294)</f>
        <v/>
      </c>
      <c r="S294" s="33">
        <f>IF($A294&gt;NYears*12,"",INT($R294/$E294))</f>
        <v/>
      </c>
    </row>
    <row r="295">
      <c r="A295" s="33">
        <f>291</f>
        <v/>
      </c>
      <c r="B295" s="34">
        <f>IF($A295&gt;NYears*12,"",EDATE(StartMonth,$A295-1))</f>
        <v/>
      </c>
      <c r="C295" s="33">
        <f>IF($A295&gt;NYears*12,"",INT(($A295-1)/12)+1)</f>
        <v/>
      </c>
      <c r="D295" s="33">
        <f>IF($A295&gt;NYears*12,"",MOD($A295-1,12)+1)</f>
        <v/>
      </c>
      <c r="E295" s="35">
        <f>IF($A295&gt;NYears*12,"",LotValue0*(1+LotGrowth)^($C295-1))</f>
        <v/>
      </c>
      <c r="F295" s="35">
        <f>IF($A295&gt;NYears*12,"",IF($A295=1,InitInvest,$R294))</f>
        <v/>
      </c>
      <c r="G295" s="33">
        <f>IF($A295&gt;NYears*12,"",INT($F295/$E295))</f>
        <v/>
      </c>
      <c r="H295" s="35">
        <f>IF($A295&gt;NYears*12,"",$G295*$E295)</f>
        <v/>
      </c>
      <c r="I295" s="35">
        <f>IF($A295&gt;NYears*12,"",$F295-$H295)</f>
        <v/>
      </c>
      <c r="J295" s="35">
        <f>IF($A295&gt;NYears*12,"",$H295*RateC)</f>
        <v/>
      </c>
      <c r="K295" s="35">
        <f>IF($A295&gt;NYears*12,"",IF($D295=1,$J295,$K294+$J295))</f>
        <v/>
      </c>
      <c r="L295" s="35">
        <f>IF($A295&gt;NYears*12,"",IF(MOD($D295,3)=0,SUM($J293:$J295),0))</f>
        <v/>
      </c>
      <c r="M295" s="35">
        <f>IF($A295&gt;NYears*12,"",IF(TaxFreq="Quarterly",$K295*12/$D295,$K295))</f>
        <v/>
      </c>
      <c r="N295" s="36">
        <f>IF($A295&gt;NYears*12,"",LOOKUP($M295,TaxLower,TaxRate))</f>
        <v/>
      </c>
      <c r="O295" s="35">
        <f>IF($A295&gt;NYears*12,"",IF(TaxFreq="Quarterly",IF(MOD($D295,3)=0,$L295*$N295,0),IF($D295=12,$K295*$N295,0)))</f>
        <v/>
      </c>
      <c r="P295" s="35">
        <f>IF($A295&gt;NYears*12,"",IF($D295=1,$O295,$P294+$O295))</f>
        <v/>
      </c>
      <c r="Q295" s="35">
        <f>IF($A295&gt;NYears*12,"",IF($D295=12,MIN(WdrPct*IF(WdrBase="Post-tax profit",$K295-$P295,$K295),WdrCap),0))</f>
        <v/>
      </c>
      <c r="R295" s="35">
        <f>IF($A295&gt;NYears*12,"",$F295+$J295-$O295-$Q295)</f>
        <v/>
      </c>
      <c r="S295" s="33">
        <f>IF($A295&gt;NYears*12,"",INT($R295/$E295))</f>
        <v/>
      </c>
    </row>
    <row r="296">
      <c r="A296" s="33">
        <f>292</f>
        <v/>
      </c>
      <c r="B296" s="34">
        <f>IF($A296&gt;NYears*12,"",EDATE(StartMonth,$A296-1))</f>
        <v/>
      </c>
      <c r="C296" s="33">
        <f>IF($A296&gt;NYears*12,"",INT(($A296-1)/12)+1)</f>
        <v/>
      </c>
      <c r="D296" s="33">
        <f>IF($A296&gt;NYears*12,"",MOD($A296-1,12)+1)</f>
        <v/>
      </c>
      <c r="E296" s="35">
        <f>IF($A296&gt;NYears*12,"",LotValue0*(1+LotGrowth)^($C296-1))</f>
        <v/>
      </c>
      <c r="F296" s="35">
        <f>IF($A296&gt;NYears*12,"",IF($A296=1,InitInvest,$R295))</f>
        <v/>
      </c>
      <c r="G296" s="33">
        <f>IF($A296&gt;NYears*12,"",INT($F296/$E296))</f>
        <v/>
      </c>
      <c r="H296" s="35">
        <f>IF($A296&gt;NYears*12,"",$G296*$E296)</f>
        <v/>
      </c>
      <c r="I296" s="35">
        <f>IF($A296&gt;NYears*12,"",$F296-$H296)</f>
        <v/>
      </c>
      <c r="J296" s="35">
        <f>IF($A296&gt;NYears*12,"",$H296*RateC)</f>
        <v/>
      </c>
      <c r="K296" s="35">
        <f>IF($A296&gt;NYears*12,"",IF($D296=1,$J296,$K295+$J296))</f>
        <v/>
      </c>
      <c r="L296" s="35">
        <f>IF($A296&gt;NYears*12,"",IF(MOD($D296,3)=0,SUM($J294:$J296),0))</f>
        <v/>
      </c>
      <c r="M296" s="35">
        <f>IF($A296&gt;NYears*12,"",IF(TaxFreq="Quarterly",$K296*12/$D296,$K296))</f>
        <v/>
      </c>
      <c r="N296" s="36">
        <f>IF($A296&gt;NYears*12,"",LOOKUP($M296,TaxLower,TaxRate))</f>
        <v/>
      </c>
      <c r="O296" s="35">
        <f>IF($A296&gt;NYears*12,"",IF(TaxFreq="Quarterly",IF(MOD($D296,3)=0,$L296*$N296,0),IF($D296=12,$K296*$N296,0)))</f>
        <v/>
      </c>
      <c r="P296" s="35">
        <f>IF($A296&gt;NYears*12,"",IF($D296=1,$O296,$P295+$O296))</f>
        <v/>
      </c>
      <c r="Q296" s="35">
        <f>IF($A296&gt;NYears*12,"",IF($D296=12,MIN(WdrPct*IF(WdrBase="Post-tax profit",$K296-$P296,$K296),WdrCap),0))</f>
        <v/>
      </c>
      <c r="R296" s="35">
        <f>IF($A296&gt;NYears*12,"",$F296+$J296-$O296-$Q296)</f>
        <v/>
      </c>
      <c r="S296" s="33">
        <f>IF($A296&gt;NYears*12,"",INT($R296/$E296))</f>
        <v/>
      </c>
    </row>
    <row r="297">
      <c r="A297" s="33">
        <f>293</f>
        <v/>
      </c>
      <c r="B297" s="34">
        <f>IF($A297&gt;NYears*12,"",EDATE(StartMonth,$A297-1))</f>
        <v/>
      </c>
      <c r="C297" s="33">
        <f>IF($A297&gt;NYears*12,"",INT(($A297-1)/12)+1)</f>
        <v/>
      </c>
      <c r="D297" s="33">
        <f>IF($A297&gt;NYears*12,"",MOD($A297-1,12)+1)</f>
        <v/>
      </c>
      <c r="E297" s="35">
        <f>IF($A297&gt;NYears*12,"",LotValue0*(1+LotGrowth)^($C297-1))</f>
        <v/>
      </c>
      <c r="F297" s="35">
        <f>IF($A297&gt;NYears*12,"",IF($A297=1,InitInvest,$R296))</f>
        <v/>
      </c>
      <c r="G297" s="33">
        <f>IF($A297&gt;NYears*12,"",INT($F297/$E297))</f>
        <v/>
      </c>
      <c r="H297" s="35">
        <f>IF($A297&gt;NYears*12,"",$G297*$E297)</f>
        <v/>
      </c>
      <c r="I297" s="35">
        <f>IF($A297&gt;NYears*12,"",$F297-$H297)</f>
        <v/>
      </c>
      <c r="J297" s="35">
        <f>IF($A297&gt;NYears*12,"",$H297*RateC)</f>
        <v/>
      </c>
      <c r="K297" s="35">
        <f>IF($A297&gt;NYears*12,"",IF($D297=1,$J297,$K296+$J297))</f>
        <v/>
      </c>
      <c r="L297" s="35">
        <f>IF($A297&gt;NYears*12,"",IF(MOD($D297,3)=0,SUM($J295:$J297),0))</f>
        <v/>
      </c>
      <c r="M297" s="35">
        <f>IF($A297&gt;NYears*12,"",IF(TaxFreq="Quarterly",$K297*12/$D297,$K297))</f>
        <v/>
      </c>
      <c r="N297" s="36">
        <f>IF($A297&gt;NYears*12,"",LOOKUP($M297,TaxLower,TaxRate))</f>
        <v/>
      </c>
      <c r="O297" s="35">
        <f>IF($A297&gt;NYears*12,"",IF(TaxFreq="Quarterly",IF(MOD($D297,3)=0,$L297*$N297,0),IF($D297=12,$K297*$N297,0)))</f>
        <v/>
      </c>
      <c r="P297" s="35">
        <f>IF($A297&gt;NYears*12,"",IF($D297=1,$O297,$P296+$O297))</f>
        <v/>
      </c>
      <c r="Q297" s="35">
        <f>IF($A297&gt;NYears*12,"",IF($D297=12,MIN(WdrPct*IF(WdrBase="Post-tax profit",$K297-$P297,$K297),WdrCap),0))</f>
        <v/>
      </c>
      <c r="R297" s="35">
        <f>IF($A297&gt;NYears*12,"",$F297+$J297-$O297-$Q297)</f>
        <v/>
      </c>
      <c r="S297" s="33">
        <f>IF($A297&gt;NYears*12,"",INT($R297/$E297))</f>
        <v/>
      </c>
    </row>
    <row r="298">
      <c r="A298" s="33">
        <f>294</f>
        <v/>
      </c>
      <c r="B298" s="34">
        <f>IF($A298&gt;NYears*12,"",EDATE(StartMonth,$A298-1))</f>
        <v/>
      </c>
      <c r="C298" s="33">
        <f>IF($A298&gt;NYears*12,"",INT(($A298-1)/12)+1)</f>
        <v/>
      </c>
      <c r="D298" s="33">
        <f>IF($A298&gt;NYears*12,"",MOD($A298-1,12)+1)</f>
        <v/>
      </c>
      <c r="E298" s="35">
        <f>IF($A298&gt;NYears*12,"",LotValue0*(1+LotGrowth)^($C298-1))</f>
        <v/>
      </c>
      <c r="F298" s="35">
        <f>IF($A298&gt;NYears*12,"",IF($A298=1,InitInvest,$R297))</f>
        <v/>
      </c>
      <c r="G298" s="33">
        <f>IF($A298&gt;NYears*12,"",INT($F298/$E298))</f>
        <v/>
      </c>
      <c r="H298" s="35">
        <f>IF($A298&gt;NYears*12,"",$G298*$E298)</f>
        <v/>
      </c>
      <c r="I298" s="35">
        <f>IF($A298&gt;NYears*12,"",$F298-$H298)</f>
        <v/>
      </c>
      <c r="J298" s="35">
        <f>IF($A298&gt;NYears*12,"",$H298*RateC)</f>
        <v/>
      </c>
      <c r="K298" s="35">
        <f>IF($A298&gt;NYears*12,"",IF($D298=1,$J298,$K297+$J298))</f>
        <v/>
      </c>
      <c r="L298" s="35">
        <f>IF($A298&gt;NYears*12,"",IF(MOD($D298,3)=0,SUM($J296:$J298),0))</f>
        <v/>
      </c>
      <c r="M298" s="35">
        <f>IF($A298&gt;NYears*12,"",IF(TaxFreq="Quarterly",$K298*12/$D298,$K298))</f>
        <v/>
      </c>
      <c r="N298" s="36">
        <f>IF($A298&gt;NYears*12,"",LOOKUP($M298,TaxLower,TaxRate))</f>
        <v/>
      </c>
      <c r="O298" s="35">
        <f>IF($A298&gt;NYears*12,"",IF(TaxFreq="Quarterly",IF(MOD($D298,3)=0,$L298*$N298,0),IF($D298=12,$K298*$N298,0)))</f>
        <v/>
      </c>
      <c r="P298" s="35">
        <f>IF($A298&gt;NYears*12,"",IF($D298=1,$O298,$P297+$O298))</f>
        <v/>
      </c>
      <c r="Q298" s="35">
        <f>IF($A298&gt;NYears*12,"",IF($D298=12,MIN(WdrPct*IF(WdrBase="Post-tax profit",$K298-$P298,$K298),WdrCap),0))</f>
        <v/>
      </c>
      <c r="R298" s="35">
        <f>IF($A298&gt;NYears*12,"",$F298+$J298-$O298-$Q298)</f>
        <v/>
      </c>
      <c r="S298" s="33">
        <f>IF($A298&gt;NYears*12,"",INT($R298/$E298))</f>
        <v/>
      </c>
    </row>
    <row r="299">
      <c r="A299" s="33">
        <f>295</f>
        <v/>
      </c>
      <c r="B299" s="34">
        <f>IF($A299&gt;NYears*12,"",EDATE(StartMonth,$A299-1))</f>
        <v/>
      </c>
      <c r="C299" s="33">
        <f>IF($A299&gt;NYears*12,"",INT(($A299-1)/12)+1)</f>
        <v/>
      </c>
      <c r="D299" s="33">
        <f>IF($A299&gt;NYears*12,"",MOD($A299-1,12)+1)</f>
        <v/>
      </c>
      <c r="E299" s="35">
        <f>IF($A299&gt;NYears*12,"",LotValue0*(1+LotGrowth)^($C299-1))</f>
        <v/>
      </c>
      <c r="F299" s="35">
        <f>IF($A299&gt;NYears*12,"",IF($A299=1,InitInvest,$R298))</f>
        <v/>
      </c>
      <c r="G299" s="33">
        <f>IF($A299&gt;NYears*12,"",INT($F299/$E299))</f>
        <v/>
      </c>
      <c r="H299" s="35">
        <f>IF($A299&gt;NYears*12,"",$G299*$E299)</f>
        <v/>
      </c>
      <c r="I299" s="35">
        <f>IF($A299&gt;NYears*12,"",$F299-$H299)</f>
        <v/>
      </c>
      <c r="J299" s="35">
        <f>IF($A299&gt;NYears*12,"",$H299*RateC)</f>
        <v/>
      </c>
      <c r="K299" s="35">
        <f>IF($A299&gt;NYears*12,"",IF($D299=1,$J299,$K298+$J299))</f>
        <v/>
      </c>
      <c r="L299" s="35">
        <f>IF($A299&gt;NYears*12,"",IF(MOD($D299,3)=0,SUM($J297:$J299),0))</f>
        <v/>
      </c>
      <c r="M299" s="35">
        <f>IF($A299&gt;NYears*12,"",IF(TaxFreq="Quarterly",$K299*12/$D299,$K299))</f>
        <v/>
      </c>
      <c r="N299" s="36">
        <f>IF($A299&gt;NYears*12,"",LOOKUP($M299,TaxLower,TaxRate))</f>
        <v/>
      </c>
      <c r="O299" s="35">
        <f>IF($A299&gt;NYears*12,"",IF(TaxFreq="Quarterly",IF(MOD($D299,3)=0,$L299*$N299,0),IF($D299=12,$K299*$N299,0)))</f>
        <v/>
      </c>
      <c r="P299" s="35">
        <f>IF($A299&gt;NYears*12,"",IF($D299=1,$O299,$P298+$O299))</f>
        <v/>
      </c>
      <c r="Q299" s="35">
        <f>IF($A299&gt;NYears*12,"",IF($D299=12,MIN(WdrPct*IF(WdrBase="Post-tax profit",$K299-$P299,$K299),WdrCap),0))</f>
        <v/>
      </c>
      <c r="R299" s="35">
        <f>IF($A299&gt;NYears*12,"",$F299+$J299-$O299-$Q299)</f>
        <v/>
      </c>
      <c r="S299" s="33">
        <f>IF($A299&gt;NYears*12,"",INT($R299/$E299))</f>
        <v/>
      </c>
    </row>
    <row r="300">
      <c r="A300" s="33">
        <f>296</f>
        <v/>
      </c>
      <c r="B300" s="34">
        <f>IF($A300&gt;NYears*12,"",EDATE(StartMonth,$A300-1))</f>
        <v/>
      </c>
      <c r="C300" s="33">
        <f>IF($A300&gt;NYears*12,"",INT(($A300-1)/12)+1)</f>
        <v/>
      </c>
      <c r="D300" s="33">
        <f>IF($A300&gt;NYears*12,"",MOD($A300-1,12)+1)</f>
        <v/>
      </c>
      <c r="E300" s="35">
        <f>IF($A300&gt;NYears*12,"",LotValue0*(1+LotGrowth)^($C300-1))</f>
        <v/>
      </c>
      <c r="F300" s="35">
        <f>IF($A300&gt;NYears*12,"",IF($A300=1,InitInvest,$R299))</f>
        <v/>
      </c>
      <c r="G300" s="33">
        <f>IF($A300&gt;NYears*12,"",INT($F300/$E300))</f>
        <v/>
      </c>
      <c r="H300" s="35">
        <f>IF($A300&gt;NYears*12,"",$G300*$E300)</f>
        <v/>
      </c>
      <c r="I300" s="35">
        <f>IF($A300&gt;NYears*12,"",$F300-$H300)</f>
        <v/>
      </c>
      <c r="J300" s="35">
        <f>IF($A300&gt;NYears*12,"",$H300*RateC)</f>
        <v/>
      </c>
      <c r="K300" s="35">
        <f>IF($A300&gt;NYears*12,"",IF($D300=1,$J300,$K299+$J300))</f>
        <v/>
      </c>
      <c r="L300" s="35">
        <f>IF($A300&gt;NYears*12,"",IF(MOD($D300,3)=0,SUM($J298:$J300),0))</f>
        <v/>
      </c>
      <c r="M300" s="35">
        <f>IF($A300&gt;NYears*12,"",IF(TaxFreq="Quarterly",$K300*12/$D300,$K300))</f>
        <v/>
      </c>
      <c r="N300" s="36">
        <f>IF($A300&gt;NYears*12,"",LOOKUP($M300,TaxLower,TaxRate))</f>
        <v/>
      </c>
      <c r="O300" s="35">
        <f>IF($A300&gt;NYears*12,"",IF(TaxFreq="Quarterly",IF(MOD($D300,3)=0,$L300*$N300,0),IF($D300=12,$K300*$N300,0)))</f>
        <v/>
      </c>
      <c r="P300" s="35">
        <f>IF($A300&gt;NYears*12,"",IF($D300=1,$O300,$P299+$O300))</f>
        <v/>
      </c>
      <c r="Q300" s="35">
        <f>IF($A300&gt;NYears*12,"",IF($D300=12,MIN(WdrPct*IF(WdrBase="Post-tax profit",$K300-$P300,$K300),WdrCap),0))</f>
        <v/>
      </c>
      <c r="R300" s="35">
        <f>IF($A300&gt;NYears*12,"",$F300+$J300-$O300-$Q300)</f>
        <v/>
      </c>
      <c r="S300" s="33">
        <f>IF($A300&gt;NYears*12,"",INT($R300/$E300))</f>
        <v/>
      </c>
    </row>
    <row r="301">
      <c r="A301" s="33">
        <f>297</f>
        <v/>
      </c>
      <c r="B301" s="34">
        <f>IF($A301&gt;NYears*12,"",EDATE(StartMonth,$A301-1))</f>
        <v/>
      </c>
      <c r="C301" s="33">
        <f>IF($A301&gt;NYears*12,"",INT(($A301-1)/12)+1)</f>
        <v/>
      </c>
      <c r="D301" s="33">
        <f>IF($A301&gt;NYears*12,"",MOD($A301-1,12)+1)</f>
        <v/>
      </c>
      <c r="E301" s="35">
        <f>IF($A301&gt;NYears*12,"",LotValue0*(1+LotGrowth)^($C301-1))</f>
        <v/>
      </c>
      <c r="F301" s="35">
        <f>IF($A301&gt;NYears*12,"",IF($A301=1,InitInvest,$R300))</f>
        <v/>
      </c>
      <c r="G301" s="33">
        <f>IF($A301&gt;NYears*12,"",INT($F301/$E301))</f>
        <v/>
      </c>
      <c r="H301" s="35">
        <f>IF($A301&gt;NYears*12,"",$G301*$E301)</f>
        <v/>
      </c>
      <c r="I301" s="35">
        <f>IF($A301&gt;NYears*12,"",$F301-$H301)</f>
        <v/>
      </c>
      <c r="J301" s="35">
        <f>IF($A301&gt;NYears*12,"",$H301*RateC)</f>
        <v/>
      </c>
      <c r="K301" s="35">
        <f>IF($A301&gt;NYears*12,"",IF($D301=1,$J301,$K300+$J301))</f>
        <v/>
      </c>
      <c r="L301" s="35">
        <f>IF($A301&gt;NYears*12,"",IF(MOD($D301,3)=0,SUM($J299:$J301),0))</f>
        <v/>
      </c>
      <c r="M301" s="35">
        <f>IF($A301&gt;NYears*12,"",IF(TaxFreq="Quarterly",$K301*12/$D301,$K301))</f>
        <v/>
      </c>
      <c r="N301" s="36">
        <f>IF($A301&gt;NYears*12,"",LOOKUP($M301,TaxLower,TaxRate))</f>
        <v/>
      </c>
      <c r="O301" s="35">
        <f>IF($A301&gt;NYears*12,"",IF(TaxFreq="Quarterly",IF(MOD($D301,3)=0,$L301*$N301,0),IF($D301=12,$K301*$N301,0)))</f>
        <v/>
      </c>
      <c r="P301" s="35">
        <f>IF($A301&gt;NYears*12,"",IF($D301=1,$O301,$P300+$O301))</f>
        <v/>
      </c>
      <c r="Q301" s="35">
        <f>IF($A301&gt;NYears*12,"",IF($D301=12,MIN(WdrPct*IF(WdrBase="Post-tax profit",$K301-$P301,$K301),WdrCap),0))</f>
        <v/>
      </c>
      <c r="R301" s="35">
        <f>IF($A301&gt;NYears*12,"",$F301+$J301-$O301-$Q301)</f>
        <v/>
      </c>
      <c r="S301" s="33">
        <f>IF($A301&gt;NYears*12,"",INT($R301/$E301))</f>
        <v/>
      </c>
    </row>
    <row r="302">
      <c r="A302" s="33">
        <f>298</f>
        <v/>
      </c>
      <c r="B302" s="34">
        <f>IF($A302&gt;NYears*12,"",EDATE(StartMonth,$A302-1))</f>
        <v/>
      </c>
      <c r="C302" s="33">
        <f>IF($A302&gt;NYears*12,"",INT(($A302-1)/12)+1)</f>
        <v/>
      </c>
      <c r="D302" s="33">
        <f>IF($A302&gt;NYears*12,"",MOD($A302-1,12)+1)</f>
        <v/>
      </c>
      <c r="E302" s="35">
        <f>IF($A302&gt;NYears*12,"",LotValue0*(1+LotGrowth)^($C302-1))</f>
        <v/>
      </c>
      <c r="F302" s="35">
        <f>IF($A302&gt;NYears*12,"",IF($A302=1,InitInvest,$R301))</f>
        <v/>
      </c>
      <c r="G302" s="33">
        <f>IF($A302&gt;NYears*12,"",INT($F302/$E302))</f>
        <v/>
      </c>
      <c r="H302" s="35">
        <f>IF($A302&gt;NYears*12,"",$G302*$E302)</f>
        <v/>
      </c>
      <c r="I302" s="35">
        <f>IF($A302&gt;NYears*12,"",$F302-$H302)</f>
        <v/>
      </c>
      <c r="J302" s="35">
        <f>IF($A302&gt;NYears*12,"",$H302*RateC)</f>
        <v/>
      </c>
      <c r="K302" s="35">
        <f>IF($A302&gt;NYears*12,"",IF($D302=1,$J302,$K301+$J302))</f>
        <v/>
      </c>
      <c r="L302" s="35">
        <f>IF($A302&gt;NYears*12,"",IF(MOD($D302,3)=0,SUM($J300:$J302),0))</f>
        <v/>
      </c>
      <c r="M302" s="35">
        <f>IF($A302&gt;NYears*12,"",IF(TaxFreq="Quarterly",$K302*12/$D302,$K302))</f>
        <v/>
      </c>
      <c r="N302" s="36">
        <f>IF($A302&gt;NYears*12,"",LOOKUP($M302,TaxLower,TaxRate))</f>
        <v/>
      </c>
      <c r="O302" s="35">
        <f>IF($A302&gt;NYears*12,"",IF(TaxFreq="Quarterly",IF(MOD($D302,3)=0,$L302*$N302,0),IF($D302=12,$K302*$N302,0)))</f>
        <v/>
      </c>
      <c r="P302" s="35">
        <f>IF($A302&gt;NYears*12,"",IF($D302=1,$O302,$P301+$O302))</f>
        <v/>
      </c>
      <c r="Q302" s="35">
        <f>IF($A302&gt;NYears*12,"",IF($D302=12,MIN(WdrPct*IF(WdrBase="Post-tax profit",$K302-$P302,$K302),WdrCap),0))</f>
        <v/>
      </c>
      <c r="R302" s="35">
        <f>IF($A302&gt;NYears*12,"",$F302+$J302-$O302-$Q302)</f>
        <v/>
      </c>
      <c r="S302" s="33">
        <f>IF($A302&gt;NYears*12,"",INT($R302/$E302))</f>
        <v/>
      </c>
    </row>
    <row r="303">
      <c r="A303" s="33">
        <f>299</f>
        <v/>
      </c>
      <c r="B303" s="34">
        <f>IF($A303&gt;NYears*12,"",EDATE(StartMonth,$A303-1))</f>
        <v/>
      </c>
      <c r="C303" s="33">
        <f>IF($A303&gt;NYears*12,"",INT(($A303-1)/12)+1)</f>
        <v/>
      </c>
      <c r="D303" s="33">
        <f>IF($A303&gt;NYears*12,"",MOD($A303-1,12)+1)</f>
        <v/>
      </c>
      <c r="E303" s="35">
        <f>IF($A303&gt;NYears*12,"",LotValue0*(1+LotGrowth)^($C303-1))</f>
        <v/>
      </c>
      <c r="F303" s="35">
        <f>IF($A303&gt;NYears*12,"",IF($A303=1,InitInvest,$R302))</f>
        <v/>
      </c>
      <c r="G303" s="33">
        <f>IF($A303&gt;NYears*12,"",INT($F303/$E303))</f>
        <v/>
      </c>
      <c r="H303" s="35">
        <f>IF($A303&gt;NYears*12,"",$G303*$E303)</f>
        <v/>
      </c>
      <c r="I303" s="35">
        <f>IF($A303&gt;NYears*12,"",$F303-$H303)</f>
        <v/>
      </c>
      <c r="J303" s="35">
        <f>IF($A303&gt;NYears*12,"",$H303*RateC)</f>
        <v/>
      </c>
      <c r="K303" s="35">
        <f>IF($A303&gt;NYears*12,"",IF($D303=1,$J303,$K302+$J303))</f>
        <v/>
      </c>
      <c r="L303" s="35">
        <f>IF($A303&gt;NYears*12,"",IF(MOD($D303,3)=0,SUM($J301:$J303),0))</f>
        <v/>
      </c>
      <c r="M303" s="35">
        <f>IF($A303&gt;NYears*12,"",IF(TaxFreq="Quarterly",$K303*12/$D303,$K303))</f>
        <v/>
      </c>
      <c r="N303" s="36">
        <f>IF($A303&gt;NYears*12,"",LOOKUP($M303,TaxLower,TaxRate))</f>
        <v/>
      </c>
      <c r="O303" s="35">
        <f>IF($A303&gt;NYears*12,"",IF(TaxFreq="Quarterly",IF(MOD($D303,3)=0,$L303*$N303,0),IF($D303=12,$K303*$N303,0)))</f>
        <v/>
      </c>
      <c r="P303" s="35">
        <f>IF($A303&gt;NYears*12,"",IF($D303=1,$O303,$P302+$O303))</f>
        <v/>
      </c>
      <c r="Q303" s="35">
        <f>IF($A303&gt;NYears*12,"",IF($D303=12,MIN(WdrPct*IF(WdrBase="Post-tax profit",$K303-$P303,$K303),WdrCap),0))</f>
        <v/>
      </c>
      <c r="R303" s="35">
        <f>IF($A303&gt;NYears*12,"",$F303+$J303-$O303-$Q303)</f>
        <v/>
      </c>
      <c r="S303" s="33">
        <f>IF($A303&gt;NYears*12,"",INT($R303/$E303))</f>
        <v/>
      </c>
    </row>
    <row r="304">
      <c r="A304" s="37">
        <f>300</f>
        <v/>
      </c>
      <c r="B304" s="38">
        <f>IF($A304&gt;NYears*12,"",EDATE(StartMonth,$A304-1))</f>
        <v/>
      </c>
      <c r="C304" s="37">
        <f>IF($A304&gt;NYears*12,"",INT(($A304-1)/12)+1)</f>
        <v/>
      </c>
      <c r="D304" s="37">
        <f>IF($A304&gt;NYears*12,"",MOD($A304-1,12)+1)</f>
        <v/>
      </c>
      <c r="E304" s="39">
        <f>IF($A304&gt;NYears*12,"",LotValue0*(1+LotGrowth)^($C304-1))</f>
        <v/>
      </c>
      <c r="F304" s="39">
        <f>IF($A304&gt;NYears*12,"",IF($A304=1,InitInvest,$R303))</f>
        <v/>
      </c>
      <c r="G304" s="37">
        <f>IF($A304&gt;NYears*12,"",INT($F304/$E304))</f>
        <v/>
      </c>
      <c r="H304" s="39">
        <f>IF($A304&gt;NYears*12,"",$G304*$E304)</f>
        <v/>
      </c>
      <c r="I304" s="39">
        <f>IF($A304&gt;NYears*12,"",$F304-$H304)</f>
        <v/>
      </c>
      <c r="J304" s="39">
        <f>IF($A304&gt;NYears*12,"",$H304*RateC)</f>
        <v/>
      </c>
      <c r="K304" s="39">
        <f>IF($A304&gt;NYears*12,"",IF($D304=1,$J304,$K303+$J304))</f>
        <v/>
      </c>
      <c r="L304" s="39">
        <f>IF($A304&gt;NYears*12,"",IF(MOD($D304,3)=0,SUM($J302:$J304),0))</f>
        <v/>
      </c>
      <c r="M304" s="39">
        <f>IF($A304&gt;NYears*12,"",IF(TaxFreq="Quarterly",$K304*12/$D304,$K304))</f>
        <v/>
      </c>
      <c r="N304" s="40">
        <f>IF($A304&gt;NYears*12,"",LOOKUP($M304,TaxLower,TaxRate))</f>
        <v/>
      </c>
      <c r="O304" s="39">
        <f>IF($A304&gt;NYears*12,"",IF(TaxFreq="Quarterly",IF(MOD($D304,3)=0,$L304*$N304,0),IF($D304=12,$K304*$N304,0)))</f>
        <v/>
      </c>
      <c r="P304" s="39">
        <f>IF($A304&gt;NYears*12,"",IF($D304=1,$O304,$P303+$O304))</f>
        <v/>
      </c>
      <c r="Q304" s="39">
        <f>IF($A304&gt;NYears*12,"",IF($D304=12,MIN(WdrPct*IF(WdrBase="Post-tax profit",$K304-$P304,$K304),WdrCap),0))</f>
        <v/>
      </c>
      <c r="R304" s="39">
        <f>IF($A304&gt;NYears*12,"",$F304+$J304-$O304-$Q304)</f>
        <v/>
      </c>
      <c r="S304" s="37">
        <f>IF($A304&gt;NYears*12,"",INT($R304/$E304))</f>
        <v/>
      </c>
    </row>
    <row r="305">
      <c r="A305" s="33">
        <f>301</f>
        <v/>
      </c>
      <c r="B305" s="34">
        <f>IF($A305&gt;NYears*12,"",EDATE(StartMonth,$A305-1))</f>
        <v/>
      </c>
      <c r="C305" s="33">
        <f>IF($A305&gt;NYears*12,"",INT(($A305-1)/12)+1)</f>
        <v/>
      </c>
      <c r="D305" s="33">
        <f>IF($A305&gt;NYears*12,"",MOD($A305-1,12)+1)</f>
        <v/>
      </c>
      <c r="E305" s="35">
        <f>IF($A305&gt;NYears*12,"",LotValue0*(1+LotGrowth)^($C305-1))</f>
        <v/>
      </c>
      <c r="F305" s="35">
        <f>IF($A305&gt;NYears*12,"",IF($A305=1,InitInvest,$R304))</f>
        <v/>
      </c>
      <c r="G305" s="33">
        <f>IF($A305&gt;NYears*12,"",INT($F305/$E305))</f>
        <v/>
      </c>
      <c r="H305" s="35">
        <f>IF($A305&gt;NYears*12,"",$G305*$E305)</f>
        <v/>
      </c>
      <c r="I305" s="35">
        <f>IF($A305&gt;NYears*12,"",$F305-$H305)</f>
        <v/>
      </c>
      <c r="J305" s="35">
        <f>IF($A305&gt;NYears*12,"",$H305*RateC)</f>
        <v/>
      </c>
      <c r="K305" s="35">
        <f>IF($A305&gt;NYears*12,"",IF($D305=1,$J305,$K304+$J305))</f>
        <v/>
      </c>
      <c r="L305" s="35">
        <f>IF($A305&gt;NYears*12,"",IF(MOD($D305,3)=0,SUM($J303:$J305),0))</f>
        <v/>
      </c>
      <c r="M305" s="35">
        <f>IF($A305&gt;NYears*12,"",IF(TaxFreq="Quarterly",$K305*12/$D305,$K305))</f>
        <v/>
      </c>
      <c r="N305" s="36">
        <f>IF($A305&gt;NYears*12,"",LOOKUP($M305,TaxLower,TaxRate))</f>
        <v/>
      </c>
      <c r="O305" s="35">
        <f>IF($A305&gt;NYears*12,"",IF(TaxFreq="Quarterly",IF(MOD($D305,3)=0,$L305*$N305,0),IF($D305=12,$K305*$N305,0)))</f>
        <v/>
      </c>
      <c r="P305" s="35">
        <f>IF($A305&gt;NYears*12,"",IF($D305=1,$O305,$P304+$O305))</f>
        <v/>
      </c>
      <c r="Q305" s="35">
        <f>IF($A305&gt;NYears*12,"",IF($D305=12,MIN(WdrPct*IF(WdrBase="Post-tax profit",$K305-$P305,$K305),WdrCap),0))</f>
        <v/>
      </c>
      <c r="R305" s="35">
        <f>IF($A305&gt;NYears*12,"",$F305+$J305-$O305-$Q305)</f>
        <v/>
      </c>
      <c r="S305" s="33">
        <f>IF($A305&gt;NYears*12,"",INT($R305/$E305))</f>
        <v/>
      </c>
    </row>
    <row r="306">
      <c r="A306" s="33">
        <f>302</f>
        <v/>
      </c>
      <c r="B306" s="34">
        <f>IF($A306&gt;NYears*12,"",EDATE(StartMonth,$A306-1))</f>
        <v/>
      </c>
      <c r="C306" s="33">
        <f>IF($A306&gt;NYears*12,"",INT(($A306-1)/12)+1)</f>
        <v/>
      </c>
      <c r="D306" s="33">
        <f>IF($A306&gt;NYears*12,"",MOD($A306-1,12)+1)</f>
        <v/>
      </c>
      <c r="E306" s="35">
        <f>IF($A306&gt;NYears*12,"",LotValue0*(1+LotGrowth)^($C306-1))</f>
        <v/>
      </c>
      <c r="F306" s="35">
        <f>IF($A306&gt;NYears*12,"",IF($A306=1,InitInvest,$R305))</f>
        <v/>
      </c>
      <c r="G306" s="33">
        <f>IF($A306&gt;NYears*12,"",INT($F306/$E306))</f>
        <v/>
      </c>
      <c r="H306" s="35">
        <f>IF($A306&gt;NYears*12,"",$G306*$E306)</f>
        <v/>
      </c>
      <c r="I306" s="35">
        <f>IF($A306&gt;NYears*12,"",$F306-$H306)</f>
        <v/>
      </c>
      <c r="J306" s="35">
        <f>IF($A306&gt;NYears*12,"",$H306*RateC)</f>
        <v/>
      </c>
      <c r="K306" s="35">
        <f>IF($A306&gt;NYears*12,"",IF($D306=1,$J306,$K305+$J306))</f>
        <v/>
      </c>
      <c r="L306" s="35">
        <f>IF($A306&gt;NYears*12,"",IF(MOD($D306,3)=0,SUM($J304:$J306),0))</f>
        <v/>
      </c>
      <c r="M306" s="35">
        <f>IF($A306&gt;NYears*12,"",IF(TaxFreq="Quarterly",$K306*12/$D306,$K306))</f>
        <v/>
      </c>
      <c r="N306" s="36">
        <f>IF($A306&gt;NYears*12,"",LOOKUP($M306,TaxLower,TaxRate))</f>
        <v/>
      </c>
      <c r="O306" s="35">
        <f>IF($A306&gt;NYears*12,"",IF(TaxFreq="Quarterly",IF(MOD($D306,3)=0,$L306*$N306,0),IF($D306=12,$K306*$N306,0)))</f>
        <v/>
      </c>
      <c r="P306" s="35">
        <f>IF($A306&gt;NYears*12,"",IF($D306=1,$O306,$P305+$O306))</f>
        <v/>
      </c>
      <c r="Q306" s="35">
        <f>IF($A306&gt;NYears*12,"",IF($D306=12,MIN(WdrPct*IF(WdrBase="Post-tax profit",$K306-$P306,$K306),WdrCap),0))</f>
        <v/>
      </c>
      <c r="R306" s="35">
        <f>IF($A306&gt;NYears*12,"",$F306+$J306-$O306-$Q306)</f>
        <v/>
      </c>
      <c r="S306" s="33">
        <f>IF($A306&gt;NYears*12,"",INT($R306/$E306))</f>
        <v/>
      </c>
    </row>
    <row r="307">
      <c r="A307" s="33">
        <f>303</f>
        <v/>
      </c>
      <c r="B307" s="34">
        <f>IF($A307&gt;NYears*12,"",EDATE(StartMonth,$A307-1))</f>
        <v/>
      </c>
      <c r="C307" s="33">
        <f>IF($A307&gt;NYears*12,"",INT(($A307-1)/12)+1)</f>
        <v/>
      </c>
      <c r="D307" s="33">
        <f>IF($A307&gt;NYears*12,"",MOD($A307-1,12)+1)</f>
        <v/>
      </c>
      <c r="E307" s="35">
        <f>IF($A307&gt;NYears*12,"",LotValue0*(1+LotGrowth)^($C307-1))</f>
        <v/>
      </c>
      <c r="F307" s="35">
        <f>IF($A307&gt;NYears*12,"",IF($A307=1,InitInvest,$R306))</f>
        <v/>
      </c>
      <c r="G307" s="33">
        <f>IF($A307&gt;NYears*12,"",INT($F307/$E307))</f>
        <v/>
      </c>
      <c r="H307" s="35">
        <f>IF($A307&gt;NYears*12,"",$G307*$E307)</f>
        <v/>
      </c>
      <c r="I307" s="35">
        <f>IF($A307&gt;NYears*12,"",$F307-$H307)</f>
        <v/>
      </c>
      <c r="J307" s="35">
        <f>IF($A307&gt;NYears*12,"",$H307*RateC)</f>
        <v/>
      </c>
      <c r="K307" s="35">
        <f>IF($A307&gt;NYears*12,"",IF($D307=1,$J307,$K306+$J307))</f>
        <v/>
      </c>
      <c r="L307" s="35">
        <f>IF($A307&gt;NYears*12,"",IF(MOD($D307,3)=0,SUM($J305:$J307),0))</f>
        <v/>
      </c>
      <c r="M307" s="35">
        <f>IF($A307&gt;NYears*12,"",IF(TaxFreq="Quarterly",$K307*12/$D307,$K307))</f>
        <v/>
      </c>
      <c r="N307" s="36">
        <f>IF($A307&gt;NYears*12,"",LOOKUP($M307,TaxLower,TaxRate))</f>
        <v/>
      </c>
      <c r="O307" s="35">
        <f>IF($A307&gt;NYears*12,"",IF(TaxFreq="Quarterly",IF(MOD($D307,3)=0,$L307*$N307,0),IF($D307=12,$K307*$N307,0)))</f>
        <v/>
      </c>
      <c r="P307" s="35">
        <f>IF($A307&gt;NYears*12,"",IF($D307=1,$O307,$P306+$O307))</f>
        <v/>
      </c>
      <c r="Q307" s="35">
        <f>IF($A307&gt;NYears*12,"",IF($D307=12,MIN(WdrPct*IF(WdrBase="Post-tax profit",$K307-$P307,$K307),WdrCap),0))</f>
        <v/>
      </c>
      <c r="R307" s="35">
        <f>IF($A307&gt;NYears*12,"",$F307+$J307-$O307-$Q307)</f>
        <v/>
      </c>
      <c r="S307" s="33">
        <f>IF($A307&gt;NYears*12,"",INT($R307/$E307))</f>
        <v/>
      </c>
    </row>
    <row r="308">
      <c r="A308" s="33">
        <f>304</f>
        <v/>
      </c>
      <c r="B308" s="34">
        <f>IF($A308&gt;NYears*12,"",EDATE(StartMonth,$A308-1))</f>
        <v/>
      </c>
      <c r="C308" s="33">
        <f>IF($A308&gt;NYears*12,"",INT(($A308-1)/12)+1)</f>
        <v/>
      </c>
      <c r="D308" s="33">
        <f>IF($A308&gt;NYears*12,"",MOD($A308-1,12)+1)</f>
        <v/>
      </c>
      <c r="E308" s="35">
        <f>IF($A308&gt;NYears*12,"",LotValue0*(1+LotGrowth)^($C308-1))</f>
        <v/>
      </c>
      <c r="F308" s="35">
        <f>IF($A308&gt;NYears*12,"",IF($A308=1,InitInvest,$R307))</f>
        <v/>
      </c>
      <c r="G308" s="33">
        <f>IF($A308&gt;NYears*12,"",INT($F308/$E308))</f>
        <v/>
      </c>
      <c r="H308" s="35">
        <f>IF($A308&gt;NYears*12,"",$G308*$E308)</f>
        <v/>
      </c>
      <c r="I308" s="35">
        <f>IF($A308&gt;NYears*12,"",$F308-$H308)</f>
        <v/>
      </c>
      <c r="J308" s="35">
        <f>IF($A308&gt;NYears*12,"",$H308*RateC)</f>
        <v/>
      </c>
      <c r="K308" s="35">
        <f>IF($A308&gt;NYears*12,"",IF($D308=1,$J308,$K307+$J308))</f>
        <v/>
      </c>
      <c r="L308" s="35">
        <f>IF($A308&gt;NYears*12,"",IF(MOD($D308,3)=0,SUM($J306:$J308),0))</f>
        <v/>
      </c>
      <c r="M308" s="35">
        <f>IF($A308&gt;NYears*12,"",IF(TaxFreq="Quarterly",$K308*12/$D308,$K308))</f>
        <v/>
      </c>
      <c r="N308" s="36">
        <f>IF($A308&gt;NYears*12,"",LOOKUP($M308,TaxLower,TaxRate))</f>
        <v/>
      </c>
      <c r="O308" s="35">
        <f>IF($A308&gt;NYears*12,"",IF(TaxFreq="Quarterly",IF(MOD($D308,3)=0,$L308*$N308,0),IF($D308=12,$K308*$N308,0)))</f>
        <v/>
      </c>
      <c r="P308" s="35">
        <f>IF($A308&gt;NYears*12,"",IF($D308=1,$O308,$P307+$O308))</f>
        <v/>
      </c>
      <c r="Q308" s="35">
        <f>IF($A308&gt;NYears*12,"",IF($D308=12,MIN(WdrPct*IF(WdrBase="Post-tax profit",$K308-$P308,$K308),WdrCap),0))</f>
        <v/>
      </c>
      <c r="R308" s="35">
        <f>IF($A308&gt;NYears*12,"",$F308+$J308-$O308-$Q308)</f>
        <v/>
      </c>
      <c r="S308" s="33">
        <f>IF($A308&gt;NYears*12,"",INT($R308/$E308))</f>
        <v/>
      </c>
    </row>
    <row r="309">
      <c r="A309" s="33">
        <f>305</f>
        <v/>
      </c>
      <c r="B309" s="34">
        <f>IF($A309&gt;NYears*12,"",EDATE(StartMonth,$A309-1))</f>
        <v/>
      </c>
      <c r="C309" s="33">
        <f>IF($A309&gt;NYears*12,"",INT(($A309-1)/12)+1)</f>
        <v/>
      </c>
      <c r="D309" s="33">
        <f>IF($A309&gt;NYears*12,"",MOD($A309-1,12)+1)</f>
        <v/>
      </c>
      <c r="E309" s="35">
        <f>IF($A309&gt;NYears*12,"",LotValue0*(1+LotGrowth)^($C309-1))</f>
        <v/>
      </c>
      <c r="F309" s="35">
        <f>IF($A309&gt;NYears*12,"",IF($A309=1,InitInvest,$R308))</f>
        <v/>
      </c>
      <c r="G309" s="33">
        <f>IF($A309&gt;NYears*12,"",INT($F309/$E309))</f>
        <v/>
      </c>
      <c r="H309" s="35">
        <f>IF($A309&gt;NYears*12,"",$G309*$E309)</f>
        <v/>
      </c>
      <c r="I309" s="35">
        <f>IF($A309&gt;NYears*12,"",$F309-$H309)</f>
        <v/>
      </c>
      <c r="J309" s="35">
        <f>IF($A309&gt;NYears*12,"",$H309*RateC)</f>
        <v/>
      </c>
      <c r="K309" s="35">
        <f>IF($A309&gt;NYears*12,"",IF($D309=1,$J309,$K308+$J309))</f>
        <v/>
      </c>
      <c r="L309" s="35">
        <f>IF($A309&gt;NYears*12,"",IF(MOD($D309,3)=0,SUM($J307:$J309),0))</f>
        <v/>
      </c>
      <c r="M309" s="35">
        <f>IF($A309&gt;NYears*12,"",IF(TaxFreq="Quarterly",$K309*12/$D309,$K309))</f>
        <v/>
      </c>
      <c r="N309" s="36">
        <f>IF($A309&gt;NYears*12,"",LOOKUP($M309,TaxLower,TaxRate))</f>
        <v/>
      </c>
      <c r="O309" s="35">
        <f>IF($A309&gt;NYears*12,"",IF(TaxFreq="Quarterly",IF(MOD($D309,3)=0,$L309*$N309,0),IF($D309=12,$K309*$N309,0)))</f>
        <v/>
      </c>
      <c r="P309" s="35">
        <f>IF($A309&gt;NYears*12,"",IF($D309=1,$O309,$P308+$O309))</f>
        <v/>
      </c>
      <c r="Q309" s="35">
        <f>IF($A309&gt;NYears*12,"",IF($D309=12,MIN(WdrPct*IF(WdrBase="Post-tax profit",$K309-$P309,$K309),WdrCap),0))</f>
        <v/>
      </c>
      <c r="R309" s="35">
        <f>IF($A309&gt;NYears*12,"",$F309+$J309-$O309-$Q309)</f>
        <v/>
      </c>
      <c r="S309" s="33">
        <f>IF($A309&gt;NYears*12,"",INT($R309/$E309))</f>
        <v/>
      </c>
    </row>
    <row r="310">
      <c r="A310" s="33">
        <f>306</f>
        <v/>
      </c>
      <c r="B310" s="34">
        <f>IF($A310&gt;NYears*12,"",EDATE(StartMonth,$A310-1))</f>
        <v/>
      </c>
      <c r="C310" s="33">
        <f>IF($A310&gt;NYears*12,"",INT(($A310-1)/12)+1)</f>
        <v/>
      </c>
      <c r="D310" s="33">
        <f>IF($A310&gt;NYears*12,"",MOD($A310-1,12)+1)</f>
        <v/>
      </c>
      <c r="E310" s="35">
        <f>IF($A310&gt;NYears*12,"",LotValue0*(1+LotGrowth)^($C310-1))</f>
        <v/>
      </c>
      <c r="F310" s="35">
        <f>IF($A310&gt;NYears*12,"",IF($A310=1,InitInvest,$R309))</f>
        <v/>
      </c>
      <c r="G310" s="33">
        <f>IF($A310&gt;NYears*12,"",INT($F310/$E310))</f>
        <v/>
      </c>
      <c r="H310" s="35">
        <f>IF($A310&gt;NYears*12,"",$G310*$E310)</f>
        <v/>
      </c>
      <c r="I310" s="35">
        <f>IF($A310&gt;NYears*12,"",$F310-$H310)</f>
        <v/>
      </c>
      <c r="J310" s="35">
        <f>IF($A310&gt;NYears*12,"",$H310*RateC)</f>
        <v/>
      </c>
      <c r="K310" s="35">
        <f>IF($A310&gt;NYears*12,"",IF($D310=1,$J310,$K309+$J310))</f>
        <v/>
      </c>
      <c r="L310" s="35">
        <f>IF($A310&gt;NYears*12,"",IF(MOD($D310,3)=0,SUM($J308:$J310),0))</f>
        <v/>
      </c>
      <c r="M310" s="35">
        <f>IF($A310&gt;NYears*12,"",IF(TaxFreq="Quarterly",$K310*12/$D310,$K310))</f>
        <v/>
      </c>
      <c r="N310" s="36">
        <f>IF($A310&gt;NYears*12,"",LOOKUP($M310,TaxLower,TaxRate))</f>
        <v/>
      </c>
      <c r="O310" s="35">
        <f>IF($A310&gt;NYears*12,"",IF(TaxFreq="Quarterly",IF(MOD($D310,3)=0,$L310*$N310,0),IF($D310=12,$K310*$N310,0)))</f>
        <v/>
      </c>
      <c r="P310" s="35">
        <f>IF($A310&gt;NYears*12,"",IF($D310=1,$O310,$P309+$O310))</f>
        <v/>
      </c>
      <c r="Q310" s="35">
        <f>IF($A310&gt;NYears*12,"",IF($D310=12,MIN(WdrPct*IF(WdrBase="Post-tax profit",$K310-$P310,$K310),WdrCap),0))</f>
        <v/>
      </c>
      <c r="R310" s="35">
        <f>IF($A310&gt;NYears*12,"",$F310+$J310-$O310-$Q310)</f>
        <v/>
      </c>
      <c r="S310" s="33">
        <f>IF($A310&gt;NYears*12,"",INT($R310/$E310))</f>
        <v/>
      </c>
    </row>
    <row r="311">
      <c r="A311" s="33">
        <f>307</f>
        <v/>
      </c>
      <c r="B311" s="34">
        <f>IF($A311&gt;NYears*12,"",EDATE(StartMonth,$A311-1))</f>
        <v/>
      </c>
      <c r="C311" s="33">
        <f>IF($A311&gt;NYears*12,"",INT(($A311-1)/12)+1)</f>
        <v/>
      </c>
      <c r="D311" s="33">
        <f>IF($A311&gt;NYears*12,"",MOD($A311-1,12)+1)</f>
        <v/>
      </c>
      <c r="E311" s="35">
        <f>IF($A311&gt;NYears*12,"",LotValue0*(1+LotGrowth)^($C311-1))</f>
        <v/>
      </c>
      <c r="F311" s="35">
        <f>IF($A311&gt;NYears*12,"",IF($A311=1,InitInvest,$R310))</f>
        <v/>
      </c>
      <c r="G311" s="33">
        <f>IF($A311&gt;NYears*12,"",INT($F311/$E311))</f>
        <v/>
      </c>
      <c r="H311" s="35">
        <f>IF($A311&gt;NYears*12,"",$G311*$E311)</f>
        <v/>
      </c>
      <c r="I311" s="35">
        <f>IF($A311&gt;NYears*12,"",$F311-$H311)</f>
        <v/>
      </c>
      <c r="J311" s="35">
        <f>IF($A311&gt;NYears*12,"",$H311*RateC)</f>
        <v/>
      </c>
      <c r="K311" s="35">
        <f>IF($A311&gt;NYears*12,"",IF($D311=1,$J311,$K310+$J311))</f>
        <v/>
      </c>
      <c r="L311" s="35">
        <f>IF($A311&gt;NYears*12,"",IF(MOD($D311,3)=0,SUM($J309:$J311),0))</f>
        <v/>
      </c>
      <c r="M311" s="35">
        <f>IF($A311&gt;NYears*12,"",IF(TaxFreq="Quarterly",$K311*12/$D311,$K311))</f>
        <v/>
      </c>
      <c r="N311" s="36">
        <f>IF($A311&gt;NYears*12,"",LOOKUP($M311,TaxLower,TaxRate))</f>
        <v/>
      </c>
      <c r="O311" s="35">
        <f>IF($A311&gt;NYears*12,"",IF(TaxFreq="Quarterly",IF(MOD($D311,3)=0,$L311*$N311,0),IF($D311=12,$K311*$N311,0)))</f>
        <v/>
      </c>
      <c r="P311" s="35">
        <f>IF($A311&gt;NYears*12,"",IF($D311=1,$O311,$P310+$O311))</f>
        <v/>
      </c>
      <c r="Q311" s="35">
        <f>IF($A311&gt;NYears*12,"",IF($D311=12,MIN(WdrPct*IF(WdrBase="Post-tax profit",$K311-$P311,$K311),WdrCap),0))</f>
        <v/>
      </c>
      <c r="R311" s="35">
        <f>IF($A311&gt;NYears*12,"",$F311+$J311-$O311-$Q311)</f>
        <v/>
      </c>
      <c r="S311" s="33">
        <f>IF($A311&gt;NYears*12,"",INT($R311/$E311))</f>
        <v/>
      </c>
    </row>
    <row r="312">
      <c r="A312" s="33">
        <f>308</f>
        <v/>
      </c>
      <c r="B312" s="34">
        <f>IF($A312&gt;NYears*12,"",EDATE(StartMonth,$A312-1))</f>
        <v/>
      </c>
      <c r="C312" s="33">
        <f>IF($A312&gt;NYears*12,"",INT(($A312-1)/12)+1)</f>
        <v/>
      </c>
      <c r="D312" s="33">
        <f>IF($A312&gt;NYears*12,"",MOD($A312-1,12)+1)</f>
        <v/>
      </c>
      <c r="E312" s="35">
        <f>IF($A312&gt;NYears*12,"",LotValue0*(1+LotGrowth)^($C312-1))</f>
        <v/>
      </c>
      <c r="F312" s="35">
        <f>IF($A312&gt;NYears*12,"",IF($A312=1,InitInvest,$R311))</f>
        <v/>
      </c>
      <c r="G312" s="33">
        <f>IF($A312&gt;NYears*12,"",INT($F312/$E312))</f>
        <v/>
      </c>
      <c r="H312" s="35">
        <f>IF($A312&gt;NYears*12,"",$G312*$E312)</f>
        <v/>
      </c>
      <c r="I312" s="35">
        <f>IF($A312&gt;NYears*12,"",$F312-$H312)</f>
        <v/>
      </c>
      <c r="J312" s="35">
        <f>IF($A312&gt;NYears*12,"",$H312*RateC)</f>
        <v/>
      </c>
      <c r="K312" s="35">
        <f>IF($A312&gt;NYears*12,"",IF($D312=1,$J312,$K311+$J312))</f>
        <v/>
      </c>
      <c r="L312" s="35">
        <f>IF($A312&gt;NYears*12,"",IF(MOD($D312,3)=0,SUM($J310:$J312),0))</f>
        <v/>
      </c>
      <c r="M312" s="35">
        <f>IF($A312&gt;NYears*12,"",IF(TaxFreq="Quarterly",$K312*12/$D312,$K312))</f>
        <v/>
      </c>
      <c r="N312" s="36">
        <f>IF($A312&gt;NYears*12,"",LOOKUP($M312,TaxLower,TaxRate))</f>
        <v/>
      </c>
      <c r="O312" s="35">
        <f>IF($A312&gt;NYears*12,"",IF(TaxFreq="Quarterly",IF(MOD($D312,3)=0,$L312*$N312,0),IF($D312=12,$K312*$N312,0)))</f>
        <v/>
      </c>
      <c r="P312" s="35">
        <f>IF($A312&gt;NYears*12,"",IF($D312=1,$O312,$P311+$O312))</f>
        <v/>
      </c>
      <c r="Q312" s="35">
        <f>IF($A312&gt;NYears*12,"",IF($D312=12,MIN(WdrPct*IF(WdrBase="Post-tax profit",$K312-$P312,$K312),WdrCap),0))</f>
        <v/>
      </c>
      <c r="R312" s="35">
        <f>IF($A312&gt;NYears*12,"",$F312+$J312-$O312-$Q312)</f>
        <v/>
      </c>
      <c r="S312" s="33">
        <f>IF($A312&gt;NYears*12,"",INT($R312/$E312))</f>
        <v/>
      </c>
    </row>
    <row r="313">
      <c r="A313" s="33">
        <f>309</f>
        <v/>
      </c>
      <c r="B313" s="34">
        <f>IF($A313&gt;NYears*12,"",EDATE(StartMonth,$A313-1))</f>
        <v/>
      </c>
      <c r="C313" s="33">
        <f>IF($A313&gt;NYears*12,"",INT(($A313-1)/12)+1)</f>
        <v/>
      </c>
      <c r="D313" s="33">
        <f>IF($A313&gt;NYears*12,"",MOD($A313-1,12)+1)</f>
        <v/>
      </c>
      <c r="E313" s="35">
        <f>IF($A313&gt;NYears*12,"",LotValue0*(1+LotGrowth)^($C313-1))</f>
        <v/>
      </c>
      <c r="F313" s="35">
        <f>IF($A313&gt;NYears*12,"",IF($A313=1,InitInvest,$R312))</f>
        <v/>
      </c>
      <c r="G313" s="33">
        <f>IF($A313&gt;NYears*12,"",INT($F313/$E313))</f>
        <v/>
      </c>
      <c r="H313" s="35">
        <f>IF($A313&gt;NYears*12,"",$G313*$E313)</f>
        <v/>
      </c>
      <c r="I313" s="35">
        <f>IF($A313&gt;NYears*12,"",$F313-$H313)</f>
        <v/>
      </c>
      <c r="J313" s="35">
        <f>IF($A313&gt;NYears*12,"",$H313*RateC)</f>
        <v/>
      </c>
      <c r="K313" s="35">
        <f>IF($A313&gt;NYears*12,"",IF($D313=1,$J313,$K312+$J313))</f>
        <v/>
      </c>
      <c r="L313" s="35">
        <f>IF($A313&gt;NYears*12,"",IF(MOD($D313,3)=0,SUM($J311:$J313),0))</f>
        <v/>
      </c>
      <c r="M313" s="35">
        <f>IF($A313&gt;NYears*12,"",IF(TaxFreq="Quarterly",$K313*12/$D313,$K313))</f>
        <v/>
      </c>
      <c r="N313" s="36">
        <f>IF($A313&gt;NYears*12,"",LOOKUP($M313,TaxLower,TaxRate))</f>
        <v/>
      </c>
      <c r="O313" s="35">
        <f>IF($A313&gt;NYears*12,"",IF(TaxFreq="Quarterly",IF(MOD($D313,3)=0,$L313*$N313,0),IF($D313=12,$K313*$N313,0)))</f>
        <v/>
      </c>
      <c r="P313" s="35">
        <f>IF($A313&gt;NYears*12,"",IF($D313=1,$O313,$P312+$O313))</f>
        <v/>
      </c>
      <c r="Q313" s="35">
        <f>IF($A313&gt;NYears*12,"",IF($D313=12,MIN(WdrPct*IF(WdrBase="Post-tax profit",$K313-$P313,$K313),WdrCap),0))</f>
        <v/>
      </c>
      <c r="R313" s="35">
        <f>IF($A313&gt;NYears*12,"",$F313+$J313-$O313-$Q313)</f>
        <v/>
      </c>
      <c r="S313" s="33">
        <f>IF($A313&gt;NYears*12,"",INT($R313/$E313))</f>
        <v/>
      </c>
    </row>
    <row r="314">
      <c r="A314" s="33">
        <f>310</f>
        <v/>
      </c>
      <c r="B314" s="34">
        <f>IF($A314&gt;NYears*12,"",EDATE(StartMonth,$A314-1))</f>
        <v/>
      </c>
      <c r="C314" s="33">
        <f>IF($A314&gt;NYears*12,"",INT(($A314-1)/12)+1)</f>
        <v/>
      </c>
      <c r="D314" s="33">
        <f>IF($A314&gt;NYears*12,"",MOD($A314-1,12)+1)</f>
        <v/>
      </c>
      <c r="E314" s="35">
        <f>IF($A314&gt;NYears*12,"",LotValue0*(1+LotGrowth)^($C314-1))</f>
        <v/>
      </c>
      <c r="F314" s="35">
        <f>IF($A314&gt;NYears*12,"",IF($A314=1,InitInvest,$R313))</f>
        <v/>
      </c>
      <c r="G314" s="33">
        <f>IF($A314&gt;NYears*12,"",INT($F314/$E314))</f>
        <v/>
      </c>
      <c r="H314" s="35">
        <f>IF($A314&gt;NYears*12,"",$G314*$E314)</f>
        <v/>
      </c>
      <c r="I314" s="35">
        <f>IF($A314&gt;NYears*12,"",$F314-$H314)</f>
        <v/>
      </c>
      <c r="J314" s="35">
        <f>IF($A314&gt;NYears*12,"",$H314*RateC)</f>
        <v/>
      </c>
      <c r="K314" s="35">
        <f>IF($A314&gt;NYears*12,"",IF($D314=1,$J314,$K313+$J314))</f>
        <v/>
      </c>
      <c r="L314" s="35">
        <f>IF($A314&gt;NYears*12,"",IF(MOD($D314,3)=0,SUM($J312:$J314),0))</f>
        <v/>
      </c>
      <c r="M314" s="35">
        <f>IF($A314&gt;NYears*12,"",IF(TaxFreq="Quarterly",$K314*12/$D314,$K314))</f>
        <v/>
      </c>
      <c r="N314" s="36">
        <f>IF($A314&gt;NYears*12,"",LOOKUP($M314,TaxLower,TaxRate))</f>
        <v/>
      </c>
      <c r="O314" s="35">
        <f>IF($A314&gt;NYears*12,"",IF(TaxFreq="Quarterly",IF(MOD($D314,3)=0,$L314*$N314,0),IF($D314=12,$K314*$N314,0)))</f>
        <v/>
      </c>
      <c r="P314" s="35">
        <f>IF($A314&gt;NYears*12,"",IF($D314=1,$O314,$P313+$O314))</f>
        <v/>
      </c>
      <c r="Q314" s="35">
        <f>IF($A314&gt;NYears*12,"",IF($D314=12,MIN(WdrPct*IF(WdrBase="Post-tax profit",$K314-$P314,$K314),WdrCap),0))</f>
        <v/>
      </c>
      <c r="R314" s="35">
        <f>IF($A314&gt;NYears*12,"",$F314+$J314-$O314-$Q314)</f>
        <v/>
      </c>
      <c r="S314" s="33">
        <f>IF($A314&gt;NYears*12,"",INT($R314/$E314))</f>
        <v/>
      </c>
    </row>
    <row r="315">
      <c r="A315" s="33">
        <f>311</f>
        <v/>
      </c>
      <c r="B315" s="34">
        <f>IF($A315&gt;NYears*12,"",EDATE(StartMonth,$A315-1))</f>
        <v/>
      </c>
      <c r="C315" s="33">
        <f>IF($A315&gt;NYears*12,"",INT(($A315-1)/12)+1)</f>
        <v/>
      </c>
      <c r="D315" s="33">
        <f>IF($A315&gt;NYears*12,"",MOD($A315-1,12)+1)</f>
        <v/>
      </c>
      <c r="E315" s="35">
        <f>IF($A315&gt;NYears*12,"",LotValue0*(1+LotGrowth)^($C315-1))</f>
        <v/>
      </c>
      <c r="F315" s="35">
        <f>IF($A315&gt;NYears*12,"",IF($A315=1,InitInvest,$R314))</f>
        <v/>
      </c>
      <c r="G315" s="33">
        <f>IF($A315&gt;NYears*12,"",INT($F315/$E315))</f>
        <v/>
      </c>
      <c r="H315" s="35">
        <f>IF($A315&gt;NYears*12,"",$G315*$E315)</f>
        <v/>
      </c>
      <c r="I315" s="35">
        <f>IF($A315&gt;NYears*12,"",$F315-$H315)</f>
        <v/>
      </c>
      <c r="J315" s="35">
        <f>IF($A315&gt;NYears*12,"",$H315*RateC)</f>
        <v/>
      </c>
      <c r="K315" s="35">
        <f>IF($A315&gt;NYears*12,"",IF($D315=1,$J315,$K314+$J315))</f>
        <v/>
      </c>
      <c r="L315" s="35">
        <f>IF($A315&gt;NYears*12,"",IF(MOD($D315,3)=0,SUM($J313:$J315),0))</f>
        <v/>
      </c>
      <c r="M315" s="35">
        <f>IF($A315&gt;NYears*12,"",IF(TaxFreq="Quarterly",$K315*12/$D315,$K315))</f>
        <v/>
      </c>
      <c r="N315" s="36">
        <f>IF($A315&gt;NYears*12,"",LOOKUP($M315,TaxLower,TaxRate))</f>
        <v/>
      </c>
      <c r="O315" s="35">
        <f>IF($A315&gt;NYears*12,"",IF(TaxFreq="Quarterly",IF(MOD($D315,3)=0,$L315*$N315,0),IF($D315=12,$K315*$N315,0)))</f>
        <v/>
      </c>
      <c r="P315" s="35">
        <f>IF($A315&gt;NYears*12,"",IF($D315=1,$O315,$P314+$O315))</f>
        <v/>
      </c>
      <c r="Q315" s="35">
        <f>IF($A315&gt;NYears*12,"",IF($D315=12,MIN(WdrPct*IF(WdrBase="Post-tax profit",$K315-$P315,$K315),WdrCap),0))</f>
        <v/>
      </c>
      <c r="R315" s="35">
        <f>IF($A315&gt;NYears*12,"",$F315+$J315-$O315-$Q315)</f>
        <v/>
      </c>
      <c r="S315" s="33">
        <f>IF($A315&gt;NYears*12,"",INT($R315/$E315))</f>
        <v/>
      </c>
    </row>
    <row r="316">
      <c r="A316" s="37">
        <f>312</f>
        <v/>
      </c>
      <c r="B316" s="38">
        <f>IF($A316&gt;NYears*12,"",EDATE(StartMonth,$A316-1))</f>
        <v/>
      </c>
      <c r="C316" s="37">
        <f>IF($A316&gt;NYears*12,"",INT(($A316-1)/12)+1)</f>
        <v/>
      </c>
      <c r="D316" s="37">
        <f>IF($A316&gt;NYears*12,"",MOD($A316-1,12)+1)</f>
        <v/>
      </c>
      <c r="E316" s="39">
        <f>IF($A316&gt;NYears*12,"",LotValue0*(1+LotGrowth)^($C316-1))</f>
        <v/>
      </c>
      <c r="F316" s="39">
        <f>IF($A316&gt;NYears*12,"",IF($A316=1,InitInvest,$R315))</f>
        <v/>
      </c>
      <c r="G316" s="37">
        <f>IF($A316&gt;NYears*12,"",INT($F316/$E316))</f>
        <v/>
      </c>
      <c r="H316" s="39">
        <f>IF($A316&gt;NYears*12,"",$G316*$E316)</f>
        <v/>
      </c>
      <c r="I316" s="39">
        <f>IF($A316&gt;NYears*12,"",$F316-$H316)</f>
        <v/>
      </c>
      <c r="J316" s="39">
        <f>IF($A316&gt;NYears*12,"",$H316*RateC)</f>
        <v/>
      </c>
      <c r="K316" s="39">
        <f>IF($A316&gt;NYears*12,"",IF($D316=1,$J316,$K315+$J316))</f>
        <v/>
      </c>
      <c r="L316" s="39">
        <f>IF($A316&gt;NYears*12,"",IF(MOD($D316,3)=0,SUM($J314:$J316),0))</f>
        <v/>
      </c>
      <c r="M316" s="39">
        <f>IF($A316&gt;NYears*12,"",IF(TaxFreq="Quarterly",$K316*12/$D316,$K316))</f>
        <v/>
      </c>
      <c r="N316" s="40">
        <f>IF($A316&gt;NYears*12,"",LOOKUP($M316,TaxLower,TaxRate))</f>
        <v/>
      </c>
      <c r="O316" s="39">
        <f>IF($A316&gt;NYears*12,"",IF(TaxFreq="Quarterly",IF(MOD($D316,3)=0,$L316*$N316,0),IF($D316=12,$K316*$N316,0)))</f>
        <v/>
      </c>
      <c r="P316" s="39">
        <f>IF($A316&gt;NYears*12,"",IF($D316=1,$O316,$P315+$O316))</f>
        <v/>
      </c>
      <c r="Q316" s="39">
        <f>IF($A316&gt;NYears*12,"",IF($D316=12,MIN(WdrPct*IF(WdrBase="Post-tax profit",$K316-$P316,$K316),WdrCap),0))</f>
        <v/>
      </c>
      <c r="R316" s="39">
        <f>IF($A316&gt;NYears*12,"",$F316+$J316-$O316-$Q316)</f>
        <v/>
      </c>
      <c r="S316" s="37">
        <f>IF($A316&gt;NYears*12,"",INT($R316/$E316))</f>
        <v/>
      </c>
    </row>
    <row r="317">
      <c r="A317" s="33">
        <f>313</f>
        <v/>
      </c>
      <c r="B317" s="34">
        <f>IF($A317&gt;NYears*12,"",EDATE(StartMonth,$A317-1))</f>
        <v/>
      </c>
      <c r="C317" s="33">
        <f>IF($A317&gt;NYears*12,"",INT(($A317-1)/12)+1)</f>
        <v/>
      </c>
      <c r="D317" s="33">
        <f>IF($A317&gt;NYears*12,"",MOD($A317-1,12)+1)</f>
        <v/>
      </c>
      <c r="E317" s="35">
        <f>IF($A317&gt;NYears*12,"",LotValue0*(1+LotGrowth)^($C317-1))</f>
        <v/>
      </c>
      <c r="F317" s="35">
        <f>IF($A317&gt;NYears*12,"",IF($A317=1,InitInvest,$R316))</f>
        <v/>
      </c>
      <c r="G317" s="33">
        <f>IF($A317&gt;NYears*12,"",INT($F317/$E317))</f>
        <v/>
      </c>
      <c r="H317" s="35">
        <f>IF($A317&gt;NYears*12,"",$G317*$E317)</f>
        <v/>
      </c>
      <c r="I317" s="35">
        <f>IF($A317&gt;NYears*12,"",$F317-$H317)</f>
        <v/>
      </c>
      <c r="J317" s="35">
        <f>IF($A317&gt;NYears*12,"",$H317*RateC)</f>
        <v/>
      </c>
      <c r="K317" s="35">
        <f>IF($A317&gt;NYears*12,"",IF($D317=1,$J317,$K316+$J317))</f>
        <v/>
      </c>
      <c r="L317" s="35">
        <f>IF($A317&gt;NYears*12,"",IF(MOD($D317,3)=0,SUM($J315:$J317),0))</f>
        <v/>
      </c>
      <c r="M317" s="35">
        <f>IF($A317&gt;NYears*12,"",IF(TaxFreq="Quarterly",$K317*12/$D317,$K317))</f>
        <v/>
      </c>
      <c r="N317" s="36">
        <f>IF($A317&gt;NYears*12,"",LOOKUP($M317,TaxLower,TaxRate))</f>
        <v/>
      </c>
      <c r="O317" s="35">
        <f>IF($A317&gt;NYears*12,"",IF(TaxFreq="Quarterly",IF(MOD($D317,3)=0,$L317*$N317,0),IF($D317=12,$K317*$N317,0)))</f>
        <v/>
      </c>
      <c r="P317" s="35">
        <f>IF($A317&gt;NYears*12,"",IF($D317=1,$O317,$P316+$O317))</f>
        <v/>
      </c>
      <c r="Q317" s="35">
        <f>IF($A317&gt;NYears*12,"",IF($D317=12,MIN(WdrPct*IF(WdrBase="Post-tax profit",$K317-$P317,$K317),WdrCap),0))</f>
        <v/>
      </c>
      <c r="R317" s="35">
        <f>IF($A317&gt;NYears*12,"",$F317+$J317-$O317-$Q317)</f>
        <v/>
      </c>
      <c r="S317" s="33">
        <f>IF($A317&gt;NYears*12,"",INT($R317/$E317))</f>
        <v/>
      </c>
    </row>
    <row r="318">
      <c r="A318" s="33">
        <f>314</f>
        <v/>
      </c>
      <c r="B318" s="34">
        <f>IF($A318&gt;NYears*12,"",EDATE(StartMonth,$A318-1))</f>
        <v/>
      </c>
      <c r="C318" s="33">
        <f>IF($A318&gt;NYears*12,"",INT(($A318-1)/12)+1)</f>
        <v/>
      </c>
      <c r="D318" s="33">
        <f>IF($A318&gt;NYears*12,"",MOD($A318-1,12)+1)</f>
        <v/>
      </c>
      <c r="E318" s="35">
        <f>IF($A318&gt;NYears*12,"",LotValue0*(1+LotGrowth)^($C318-1))</f>
        <v/>
      </c>
      <c r="F318" s="35">
        <f>IF($A318&gt;NYears*12,"",IF($A318=1,InitInvest,$R317))</f>
        <v/>
      </c>
      <c r="G318" s="33">
        <f>IF($A318&gt;NYears*12,"",INT($F318/$E318))</f>
        <v/>
      </c>
      <c r="H318" s="35">
        <f>IF($A318&gt;NYears*12,"",$G318*$E318)</f>
        <v/>
      </c>
      <c r="I318" s="35">
        <f>IF($A318&gt;NYears*12,"",$F318-$H318)</f>
        <v/>
      </c>
      <c r="J318" s="35">
        <f>IF($A318&gt;NYears*12,"",$H318*RateC)</f>
        <v/>
      </c>
      <c r="K318" s="35">
        <f>IF($A318&gt;NYears*12,"",IF($D318=1,$J318,$K317+$J318))</f>
        <v/>
      </c>
      <c r="L318" s="35">
        <f>IF($A318&gt;NYears*12,"",IF(MOD($D318,3)=0,SUM($J316:$J318),0))</f>
        <v/>
      </c>
      <c r="M318" s="35">
        <f>IF($A318&gt;NYears*12,"",IF(TaxFreq="Quarterly",$K318*12/$D318,$K318))</f>
        <v/>
      </c>
      <c r="N318" s="36">
        <f>IF($A318&gt;NYears*12,"",LOOKUP($M318,TaxLower,TaxRate))</f>
        <v/>
      </c>
      <c r="O318" s="35">
        <f>IF($A318&gt;NYears*12,"",IF(TaxFreq="Quarterly",IF(MOD($D318,3)=0,$L318*$N318,0),IF($D318=12,$K318*$N318,0)))</f>
        <v/>
      </c>
      <c r="P318" s="35">
        <f>IF($A318&gt;NYears*12,"",IF($D318=1,$O318,$P317+$O318))</f>
        <v/>
      </c>
      <c r="Q318" s="35">
        <f>IF($A318&gt;NYears*12,"",IF($D318=12,MIN(WdrPct*IF(WdrBase="Post-tax profit",$K318-$P318,$K318),WdrCap),0))</f>
        <v/>
      </c>
      <c r="R318" s="35">
        <f>IF($A318&gt;NYears*12,"",$F318+$J318-$O318-$Q318)</f>
        <v/>
      </c>
      <c r="S318" s="33">
        <f>IF($A318&gt;NYears*12,"",INT($R318/$E318))</f>
        <v/>
      </c>
    </row>
    <row r="319">
      <c r="A319" s="33">
        <f>315</f>
        <v/>
      </c>
      <c r="B319" s="34">
        <f>IF($A319&gt;NYears*12,"",EDATE(StartMonth,$A319-1))</f>
        <v/>
      </c>
      <c r="C319" s="33">
        <f>IF($A319&gt;NYears*12,"",INT(($A319-1)/12)+1)</f>
        <v/>
      </c>
      <c r="D319" s="33">
        <f>IF($A319&gt;NYears*12,"",MOD($A319-1,12)+1)</f>
        <v/>
      </c>
      <c r="E319" s="35">
        <f>IF($A319&gt;NYears*12,"",LotValue0*(1+LotGrowth)^($C319-1))</f>
        <v/>
      </c>
      <c r="F319" s="35">
        <f>IF($A319&gt;NYears*12,"",IF($A319=1,InitInvest,$R318))</f>
        <v/>
      </c>
      <c r="G319" s="33">
        <f>IF($A319&gt;NYears*12,"",INT($F319/$E319))</f>
        <v/>
      </c>
      <c r="H319" s="35">
        <f>IF($A319&gt;NYears*12,"",$G319*$E319)</f>
        <v/>
      </c>
      <c r="I319" s="35">
        <f>IF($A319&gt;NYears*12,"",$F319-$H319)</f>
        <v/>
      </c>
      <c r="J319" s="35">
        <f>IF($A319&gt;NYears*12,"",$H319*RateC)</f>
        <v/>
      </c>
      <c r="K319" s="35">
        <f>IF($A319&gt;NYears*12,"",IF($D319=1,$J319,$K318+$J319))</f>
        <v/>
      </c>
      <c r="L319" s="35">
        <f>IF($A319&gt;NYears*12,"",IF(MOD($D319,3)=0,SUM($J317:$J319),0))</f>
        <v/>
      </c>
      <c r="M319" s="35">
        <f>IF($A319&gt;NYears*12,"",IF(TaxFreq="Quarterly",$K319*12/$D319,$K319))</f>
        <v/>
      </c>
      <c r="N319" s="36">
        <f>IF($A319&gt;NYears*12,"",LOOKUP($M319,TaxLower,TaxRate))</f>
        <v/>
      </c>
      <c r="O319" s="35">
        <f>IF($A319&gt;NYears*12,"",IF(TaxFreq="Quarterly",IF(MOD($D319,3)=0,$L319*$N319,0),IF($D319=12,$K319*$N319,0)))</f>
        <v/>
      </c>
      <c r="P319" s="35">
        <f>IF($A319&gt;NYears*12,"",IF($D319=1,$O319,$P318+$O319))</f>
        <v/>
      </c>
      <c r="Q319" s="35">
        <f>IF($A319&gt;NYears*12,"",IF($D319=12,MIN(WdrPct*IF(WdrBase="Post-tax profit",$K319-$P319,$K319),WdrCap),0))</f>
        <v/>
      </c>
      <c r="R319" s="35">
        <f>IF($A319&gt;NYears*12,"",$F319+$J319-$O319-$Q319)</f>
        <v/>
      </c>
      <c r="S319" s="33">
        <f>IF($A319&gt;NYears*12,"",INT($R319/$E319))</f>
        <v/>
      </c>
    </row>
    <row r="320">
      <c r="A320" s="33">
        <f>316</f>
        <v/>
      </c>
      <c r="B320" s="34">
        <f>IF($A320&gt;NYears*12,"",EDATE(StartMonth,$A320-1))</f>
        <v/>
      </c>
      <c r="C320" s="33">
        <f>IF($A320&gt;NYears*12,"",INT(($A320-1)/12)+1)</f>
        <v/>
      </c>
      <c r="D320" s="33">
        <f>IF($A320&gt;NYears*12,"",MOD($A320-1,12)+1)</f>
        <v/>
      </c>
      <c r="E320" s="35">
        <f>IF($A320&gt;NYears*12,"",LotValue0*(1+LotGrowth)^($C320-1))</f>
        <v/>
      </c>
      <c r="F320" s="35">
        <f>IF($A320&gt;NYears*12,"",IF($A320=1,InitInvest,$R319))</f>
        <v/>
      </c>
      <c r="G320" s="33">
        <f>IF($A320&gt;NYears*12,"",INT($F320/$E320))</f>
        <v/>
      </c>
      <c r="H320" s="35">
        <f>IF($A320&gt;NYears*12,"",$G320*$E320)</f>
        <v/>
      </c>
      <c r="I320" s="35">
        <f>IF($A320&gt;NYears*12,"",$F320-$H320)</f>
        <v/>
      </c>
      <c r="J320" s="35">
        <f>IF($A320&gt;NYears*12,"",$H320*RateC)</f>
        <v/>
      </c>
      <c r="K320" s="35">
        <f>IF($A320&gt;NYears*12,"",IF($D320=1,$J320,$K319+$J320))</f>
        <v/>
      </c>
      <c r="L320" s="35">
        <f>IF($A320&gt;NYears*12,"",IF(MOD($D320,3)=0,SUM($J318:$J320),0))</f>
        <v/>
      </c>
      <c r="M320" s="35">
        <f>IF($A320&gt;NYears*12,"",IF(TaxFreq="Quarterly",$K320*12/$D320,$K320))</f>
        <v/>
      </c>
      <c r="N320" s="36">
        <f>IF($A320&gt;NYears*12,"",LOOKUP($M320,TaxLower,TaxRate))</f>
        <v/>
      </c>
      <c r="O320" s="35">
        <f>IF($A320&gt;NYears*12,"",IF(TaxFreq="Quarterly",IF(MOD($D320,3)=0,$L320*$N320,0),IF($D320=12,$K320*$N320,0)))</f>
        <v/>
      </c>
      <c r="P320" s="35">
        <f>IF($A320&gt;NYears*12,"",IF($D320=1,$O320,$P319+$O320))</f>
        <v/>
      </c>
      <c r="Q320" s="35">
        <f>IF($A320&gt;NYears*12,"",IF($D320=12,MIN(WdrPct*IF(WdrBase="Post-tax profit",$K320-$P320,$K320),WdrCap),0))</f>
        <v/>
      </c>
      <c r="R320" s="35">
        <f>IF($A320&gt;NYears*12,"",$F320+$J320-$O320-$Q320)</f>
        <v/>
      </c>
      <c r="S320" s="33">
        <f>IF($A320&gt;NYears*12,"",INT($R320/$E320))</f>
        <v/>
      </c>
    </row>
    <row r="321">
      <c r="A321" s="33">
        <f>317</f>
        <v/>
      </c>
      <c r="B321" s="34">
        <f>IF($A321&gt;NYears*12,"",EDATE(StartMonth,$A321-1))</f>
        <v/>
      </c>
      <c r="C321" s="33">
        <f>IF($A321&gt;NYears*12,"",INT(($A321-1)/12)+1)</f>
        <v/>
      </c>
      <c r="D321" s="33">
        <f>IF($A321&gt;NYears*12,"",MOD($A321-1,12)+1)</f>
        <v/>
      </c>
      <c r="E321" s="35">
        <f>IF($A321&gt;NYears*12,"",LotValue0*(1+LotGrowth)^($C321-1))</f>
        <v/>
      </c>
      <c r="F321" s="35">
        <f>IF($A321&gt;NYears*12,"",IF($A321=1,InitInvest,$R320))</f>
        <v/>
      </c>
      <c r="G321" s="33">
        <f>IF($A321&gt;NYears*12,"",INT($F321/$E321))</f>
        <v/>
      </c>
      <c r="H321" s="35">
        <f>IF($A321&gt;NYears*12,"",$G321*$E321)</f>
        <v/>
      </c>
      <c r="I321" s="35">
        <f>IF($A321&gt;NYears*12,"",$F321-$H321)</f>
        <v/>
      </c>
      <c r="J321" s="35">
        <f>IF($A321&gt;NYears*12,"",$H321*RateC)</f>
        <v/>
      </c>
      <c r="K321" s="35">
        <f>IF($A321&gt;NYears*12,"",IF($D321=1,$J321,$K320+$J321))</f>
        <v/>
      </c>
      <c r="L321" s="35">
        <f>IF($A321&gt;NYears*12,"",IF(MOD($D321,3)=0,SUM($J319:$J321),0))</f>
        <v/>
      </c>
      <c r="M321" s="35">
        <f>IF($A321&gt;NYears*12,"",IF(TaxFreq="Quarterly",$K321*12/$D321,$K321))</f>
        <v/>
      </c>
      <c r="N321" s="36">
        <f>IF($A321&gt;NYears*12,"",LOOKUP($M321,TaxLower,TaxRate))</f>
        <v/>
      </c>
      <c r="O321" s="35">
        <f>IF($A321&gt;NYears*12,"",IF(TaxFreq="Quarterly",IF(MOD($D321,3)=0,$L321*$N321,0),IF($D321=12,$K321*$N321,0)))</f>
        <v/>
      </c>
      <c r="P321" s="35">
        <f>IF($A321&gt;NYears*12,"",IF($D321=1,$O321,$P320+$O321))</f>
        <v/>
      </c>
      <c r="Q321" s="35">
        <f>IF($A321&gt;NYears*12,"",IF($D321=12,MIN(WdrPct*IF(WdrBase="Post-tax profit",$K321-$P321,$K321),WdrCap),0))</f>
        <v/>
      </c>
      <c r="R321" s="35">
        <f>IF($A321&gt;NYears*12,"",$F321+$J321-$O321-$Q321)</f>
        <v/>
      </c>
      <c r="S321" s="33">
        <f>IF($A321&gt;NYears*12,"",INT($R321/$E321))</f>
        <v/>
      </c>
    </row>
    <row r="322">
      <c r="A322" s="33">
        <f>318</f>
        <v/>
      </c>
      <c r="B322" s="34">
        <f>IF($A322&gt;NYears*12,"",EDATE(StartMonth,$A322-1))</f>
        <v/>
      </c>
      <c r="C322" s="33">
        <f>IF($A322&gt;NYears*12,"",INT(($A322-1)/12)+1)</f>
        <v/>
      </c>
      <c r="D322" s="33">
        <f>IF($A322&gt;NYears*12,"",MOD($A322-1,12)+1)</f>
        <v/>
      </c>
      <c r="E322" s="35">
        <f>IF($A322&gt;NYears*12,"",LotValue0*(1+LotGrowth)^($C322-1))</f>
        <v/>
      </c>
      <c r="F322" s="35">
        <f>IF($A322&gt;NYears*12,"",IF($A322=1,InitInvest,$R321))</f>
        <v/>
      </c>
      <c r="G322" s="33">
        <f>IF($A322&gt;NYears*12,"",INT($F322/$E322))</f>
        <v/>
      </c>
      <c r="H322" s="35">
        <f>IF($A322&gt;NYears*12,"",$G322*$E322)</f>
        <v/>
      </c>
      <c r="I322" s="35">
        <f>IF($A322&gt;NYears*12,"",$F322-$H322)</f>
        <v/>
      </c>
      <c r="J322" s="35">
        <f>IF($A322&gt;NYears*12,"",$H322*RateC)</f>
        <v/>
      </c>
      <c r="K322" s="35">
        <f>IF($A322&gt;NYears*12,"",IF($D322=1,$J322,$K321+$J322))</f>
        <v/>
      </c>
      <c r="L322" s="35">
        <f>IF($A322&gt;NYears*12,"",IF(MOD($D322,3)=0,SUM($J320:$J322),0))</f>
        <v/>
      </c>
      <c r="M322" s="35">
        <f>IF($A322&gt;NYears*12,"",IF(TaxFreq="Quarterly",$K322*12/$D322,$K322))</f>
        <v/>
      </c>
      <c r="N322" s="36">
        <f>IF($A322&gt;NYears*12,"",LOOKUP($M322,TaxLower,TaxRate))</f>
        <v/>
      </c>
      <c r="O322" s="35">
        <f>IF($A322&gt;NYears*12,"",IF(TaxFreq="Quarterly",IF(MOD($D322,3)=0,$L322*$N322,0),IF($D322=12,$K322*$N322,0)))</f>
        <v/>
      </c>
      <c r="P322" s="35">
        <f>IF($A322&gt;NYears*12,"",IF($D322=1,$O322,$P321+$O322))</f>
        <v/>
      </c>
      <c r="Q322" s="35">
        <f>IF($A322&gt;NYears*12,"",IF($D322=12,MIN(WdrPct*IF(WdrBase="Post-tax profit",$K322-$P322,$K322),WdrCap),0))</f>
        <v/>
      </c>
      <c r="R322" s="35">
        <f>IF($A322&gt;NYears*12,"",$F322+$J322-$O322-$Q322)</f>
        <v/>
      </c>
      <c r="S322" s="33">
        <f>IF($A322&gt;NYears*12,"",INT($R322/$E322))</f>
        <v/>
      </c>
    </row>
    <row r="323">
      <c r="A323" s="33">
        <f>319</f>
        <v/>
      </c>
      <c r="B323" s="34">
        <f>IF($A323&gt;NYears*12,"",EDATE(StartMonth,$A323-1))</f>
        <v/>
      </c>
      <c r="C323" s="33">
        <f>IF($A323&gt;NYears*12,"",INT(($A323-1)/12)+1)</f>
        <v/>
      </c>
      <c r="D323" s="33">
        <f>IF($A323&gt;NYears*12,"",MOD($A323-1,12)+1)</f>
        <v/>
      </c>
      <c r="E323" s="35">
        <f>IF($A323&gt;NYears*12,"",LotValue0*(1+LotGrowth)^($C323-1))</f>
        <v/>
      </c>
      <c r="F323" s="35">
        <f>IF($A323&gt;NYears*12,"",IF($A323=1,InitInvest,$R322))</f>
        <v/>
      </c>
      <c r="G323" s="33">
        <f>IF($A323&gt;NYears*12,"",INT($F323/$E323))</f>
        <v/>
      </c>
      <c r="H323" s="35">
        <f>IF($A323&gt;NYears*12,"",$G323*$E323)</f>
        <v/>
      </c>
      <c r="I323" s="35">
        <f>IF($A323&gt;NYears*12,"",$F323-$H323)</f>
        <v/>
      </c>
      <c r="J323" s="35">
        <f>IF($A323&gt;NYears*12,"",$H323*RateC)</f>
        <v/>
      </c>
      <c r="K323" s="35">
        <f>IF($A323&gt;NYears*12,"",IF($D323=1,$J323,$K322+$J323))</f>
        <v/>
      </c>
      <c r="L323" s="35">
        <f>IF($A323&gt;NYears*12,"",IF(MOD($D323,3)=0,SUM($J321:$J323),0))</f>
        <v/>
      </c>
      <c r="M323" s="35">
        <f>IF($A323&gt;NYears*12,"",IF(TaxFreq="Quarterly",$K323*12/$D323,$K323))</f>
        <v/>
      </c>
      <c r="N323" s="36">
        <f>IF($A323&gt;NYears*12,"",LOOKUP($M323,TaxLower,TaxRate))</f>
        <v/>
      </c>
      <c r="O323" s="35">
        <f>IF($A323&gt;NYears*12,"",IF(TaxFreq="Quarterly",IF(MOD($D323,3)=0,$L323*$N323,0),IF($D323=12,$K323*$N323,0)))</f>
        <v/>
      </c>
      <c r="P323" s="35">
        <f>IF($A323&gt;NYears*12,"",IF($D323=1,$O323,$P322+$O323))</f>
        <v/>
      </c>
      <c r="Q323" s="35">
        <f>IF($A323&gt;NYears*12,"",IF($D323=12,MIN(WdrPct*IF(WdrBase="Post-tax profit",$K323-$P323,$K323),WdrCap),0))</f>
        <v/>
      </c>
      <c r="R323" s="35">
        <f>IF($A323&gt;NYears*12,"",$F323+$J323-$O323-$Q323)</f>
        <v/>
      </c>
      <c r="S323" s="33">
        <f>IF($A323&gt;NYears*12,"",INT($R323/$E323))</f>
        <v/>
      </c>
    </row>
    <row r="324">
      <c r="A324" s="33">
        <f>320</f>
        <v/>
      </c>
      <c r="B324" s="34">
        <f>IF($A324&gt;NYears*12,"",EDATE(StartMonth,$A324-1))</f>
        <v/>
      </c>
      <c r="C324" s="33">
        <f>IF($A324&gt;NYears*12,"",INT(($A324-1)/12)+1)</f>
        <v/>
      </c>
      <c r="D324" s="33">
        <f>IF($A324&gt;NYears*12,"",MOD($A324-1,12)+1)</f>
        <v/>
      </c>
      <c r="E324" s="35">
        <f>IF($A324&gt;NYears*12,"",LotValue0*(1+LotGrowth)^($C324-1))</f>
        <v/>
      </c>
      <c r="F324" s="35">
        <f>IF($A324&gt;NYears*12,"",IF($A324=1,InitInvest,$R323))</f>
        <v/>
      </c>
      <c r="G324" s="33">
        <f>IF($A324&gt;NYears*12,"",INT($F324/$E324))</f>
        <v/>
      </c>
      <c r="H324" s="35">
        <f>IF($A324&gt;NYears*12,"",$G324*$E324)</f>
        <v/>
      </c>
      <c r="I324" s="35">
        <f>IF($A324&gt;NYears*12,"",$F324-$H324)</f>
        <v/>
      </c>
      <c r="J324" s="35">
        <f>IF($A324&gt;NYears*12,"",$H324*RateC)</f>
        <v/>
      </c>
      <c r="K324" s="35">
        <f>IF($A324&gt;NYears*12,"",IF($D324=1,$J324,$K323+$J324))</f>
        <v/>
      </c>
      <c r="L324" s="35">
        <f>IF($A324&gt;NYears*12,"",IF(MOD($D324,3)=0,SUM($J322:$J324),0))</f>
        <v/>
      </c>
      <c r="M324" s="35">
        <f>IF($A324&gt;NYears*12,"",IF(TaxFreq="Quarterly",$K324*12/$D324,$K324))</f>
        <v/>
      </c>
      <c r="N324" s="36">
        <f>IF($A324&gt;NYears*12,"",LOOKUP($M324,TaxLower,TaxRate))</f>
        <v/>
      </c>
      <c r="O324" s="35">
        <f>IF($A324&gt;NYears*12,"",IF(TaxFreq="Quarterly",IF(MOD($D324,3)=0,$L324*$N324,0),IF($D324=12,$K324*$N324,0)))</f>
        <v/>
      </c>
      <c r="P324" s="35">
        <f>IF($A324&gt;NYears*12,"",IF($D324=1,$O324,$P323+$O324))</f>
        <v/>
      </c>
      <c r="Q324" s="35">
        <f>IF($A324&gt;NYears*12,"",IF($D324=12,MIN(WdrPct*IF(WdrBase="Post-tax profit",$K324-$P324,$K324),WdrCap),0))</f>
        <v/>
      </c>
      <c r="R324" s="35">
        <f>IF($A324&gt;NYears*12,"",$F324+$J324-$O324-$Q324)</f>
        <v/>
      </c>
      <c r="S324" s="33">
        <f>IF($A324&gt;NYears*12,"",INT($R324/$E324))</f>
        <v/>
      </c>
    </row>
    <row r="325">
      <c r="A325" s="33">
        <f>321</f>
        <v/>
      </c>
      <c r="B325" s="34">
        <f>IF($A325&gt;NYears*12,"",EDATE(StartMonth,$A325-1))</f>
        <v/>
      </c>
      <c r="C325" s="33">
        <f>IF($A325&gt;NYears*12,"",INT(($A325-1)/12)+1)</f>
        <v/>
      </c>
      <c r="D325" s="33">
        <f>IF($A325&gt;NYears*12,"",MOD($A325-1,12)+1)</f>
        <v/>
      </c>
      <c r="E325" s="35">
        <f>IF($A325&gt;NYears*12,"",LotValue0*(1+LotGrowth)^($C325-1))</f>
        <v/>
      </c>
      <c r="F325" s="35">
        <f>IF($A325&gt;NYears*12,"",IF($A325=1,InitInvest,$R324))</f>
        <v/>
      </c>
      <c r="G325" s="33">
        <f>IF($A325&gt;NYears*12,"",INT($F325/$E325))</f>
        <v/>
      </c>
      <c r="H325" s="35">
        <f>IF($A325&gt;NYears*12,"",$G325*$E325)</f>
        <v/>
      </c>
      <c r="I325" s="35">
        <f>IF($A325&gt;NYears*12,"",$F325-$H325)</f>
        <v/>
      </c>
      <c r="J325" s="35">
        <f>IF($A325&gt;NYears*12,"",$H325*RateC)</f>
        <v/>
      </c>
      <c r="K325" s="35">
        <f>IF($A325&gt;NYears*12,"",IF($D325=1,$J325,$K324+$J325))</f>
        <v/>
      </c>
      <c r="L325" s="35">
        <f>IF($A325&gt;NYears*12,"",IF(MOD($D325,3)=0,SUM($J323:$J325),0))</f>
        <v/>
      </c>
      <c r="M325" s="35">
        <f>IF($A325&gt;NYears*12,"",IF(TaxFreq="Quarterly",$K325*12/$D325,$K325))</f>
        <v/>
      </c>
      <c r="N325" s="36">
        <f>IF($A325&gt;NYears*12,"",LOOKUP($M325,TaxLower,TaxRate))</f>
        <v/>
      </c>
      <c r="O325" s="35">
        <f>IF($A325&gt;NYears*12,"",IF(TaxFreq="Quarterly",IF(MOD($D325,3)=0,$L325*$N325,0),IF($D325=12,$K325*$N325,0)))</f>
        <v/>
      </c>
      <c r="P325" s="35">
        <f>IF($A325&gt;NYears*12,"",IF($D325=1,$O325,$P324+$O325))</f>
        <v/>
      </c>
      <c r="Q325" s="35">
        <f>IF($A325&gt;NYears*12,"",IF($D325=12,MIN(WdrPct*IF(WdrBase="Post-tax profit",$K325-$P325,$K325),WdrCap),0))</f>
        <v/>
      </c>
      <c r="R325" s="35">
        <f>IF($A325&gt;NYears*12,"",$F325+$J325-$O325-$Q325)</f>
        <v/>
      </c>
      <c r="S325" s="33">
        <f>IF($A325&gt;NYears*12,"",INT($R325/$E325))</f>
        <v/>
      </c>
    </row>
    <row r="326">
      <c r="A326" s="33">
        <f>322</f>
        <v/>
      </c>
      <c r="B326" s="34">
        <f>IF($A326&gt;NYears*12,"",EDATE(StartMonth,$A326-1))</f>
        <v/>
      </c>
      <c r="C326" s="33">
        <f>IF($A326&gt;NYears*12,"",INT(($A326-1)/12)+1)</f>
        <v/>
      </c>
      <c r="D326" s="33">
        <f>IF($A326&gt;NYears*12,"",MOD($A326-1,12)+1)</f>
        <v/>
      </c>
      <c r="E326" s="35">
        <f>IF($A326&gt;NYears*12,"",LotValue0*(1+LotGrowth)^($C326-1))</f>
        <v/>
      </c>
      <c r="F326" s="35">
        <f>IF($A326&gt;NYears*12,"",IF($A326=1,InitInvest,$R325))</f>
        <v/>
      </c>
      <c r="G326" s="33">
        <f>IF($A326&gt;NYears*12,"",INT($F326/$E326))</f>
        <v/>
      </c>
      <c r="H326" s="35">
        <f>IF($A326&gt;NYears*12,"",$G326*$E326)</f>
        <v/>
      </c>
      <c r="I326" s="35">
        <f>IF($A326&gt;NYears*12,"",$F326-$H326)</f>
        <v/>
      </c>
      <c r="J326" s="35">
        <f>IF($A326&gt;NYears*12,"",$H326*RateC)</f>
        <v/>
      </c>
      <c r="K326" s="35">
        <f>IF($A326&gt;NYears*12,"",IF($D326=1,$J326,$K325+$J326))</f>
        <v/>
      </c>
      <c r="L326" s="35">
        <f>IF($A326&gt;NYears*12,"",IF(MOD($D326,3)=0,SUM($J324:$J326),0))</f>
        <v/>
      </c>
      <c r="M326" s="35">
        <f>IF($A326&gt;NYears*12,"",IF(TaxFreq="Quarterly",$K326*12/$D326,$K326))</f>
        <v/>
      </c>
      <c r="N326" s="36">
        <f>IF($A326&gt;NYears*12,"",LOOKUP($M326,TaxLower,TaxRate))</f>
        <v/>
      </c>
      <c r="O326" s="35">
        <f>IF($A326&gt;NYears*12,"",IF(TaxFreq="Quarterly",IF(MOD($D326,3)=0,$L326*$N326,0),IF($D326=12,$K326*$N326,0)))</f>
        <v/>
      </c>
      <c r="P326" s="35">
        <f>IF($A326&gt;NYears*12,"",IF($D326=1,$O326,$P325+$O326))</f>
        <v/>
      </c>
      <c r="Q326" s="35">
        <f>IF($A326&gt;NYears*12,"",IF($D326=12,MIN(WdrPct*IF(WdrBase="Post-tax profit",$K326-$P326,$K326),WdrCap),0))</f>
        <v/>
      </c>
      <c r="R326" s="35">
        <f>IF($A326&gt;NYears*12,"",$F326+$J326-$O326-$Q326)</f>
        <v/>
      </c>
      <c r="S326" s="33">
        <f>IF($A326&gt;NYears*12,"",INT($R326/$E326))</f>
        <v/>
      </c>
    </row>
    <row r="327">
      <c r="A327" s="33">
        <f>323</f>
        <v/>
      </c>
      <c r="B327" s="34">
        <f>IF($A327&gt;NYears*12,"",EDATE(StartMonth,$A327-1))</f>
        <v/>
      </c>
      <c r="C327" s="33">
        <f>IF($A327&gt;NYears*12,"",INT(($A327-1)/12)+1)</f>
        <v/>
      </c>
      <c r="D327" s="33">
        <f>IF($A327&gt;NYears*12,"",MOD($A327-1,12)+1)</f>
        <v/>
      </c>
      <c r="E327" s="35">
        <f>IF($A327&gt;NYears*12,"",LotValue0*(1+LotGrowth)^($C327-1))</f>
        <v/>
      </c>
      <c r="F327" s="35">
        <f>IF($A327&gt;NYears*12,"",IF($A327=1,InitInvest,$R326))</f>
        <v/>
      </c>
      <c r="G327" s="33">
        <f>IF($A327&gt;NYears*12,"",INT($F327/$E327))</f>
        <v/>
      </c>
      <c r="H327" s="35">
        <f>IF($A327&gt;NYears*12,"",$G327*$E327)</f>
        <v/>
      </c>
      <c r="I327" s="35">
        <f>IF($A327&gt;NYears*12,"",$F327-$H327)</f>
        <v/>
      </c>
      <c r="J327" s="35">
        <f>IF($A327&gt;NYears*12,"",$H327*RateC)</f>
        <v/>
      </c>
      <c r="K327" s="35">
        <f>IF($A327&gt;NYears*12,"",IF($D327=1,$J327,$K326+$J327))</f>
        <v/>
      </c>
      <c r="L327" s="35">
        <f>IF($A327&gt;NYears*12,"",IF(MOD($D327,3)=0,SUM($J325:$J327),0))</f>
        <v/>
      </c>
      <c r="M327" s="35">
        <f>IF($A327&gt;NYears*12,"",IF(TaxFreq="Quarterly",$K327*12/$D327,$K327))</f>
        <v/>
      </c>
      <c r="N327" s="36">
        <f>IF($A327&gt;NYears*12,"",LOOKUP($M327,TaxLower,TaxRate))</f>
        <v/>
      </c>
      <c r="O327" s="35">
        <f>IF($A327&gt;NYears*12,"",IF(TaxFreq="Quarterly",IF(MOD($D327,3)=0,$L327*$N327,0),IF($D327=12,$K327*$N327,0)))</f>
        <v/>
      </c>
      <c r="P327" s="35">
        <f>IF($A327&gt;NYears*12,"",IF($D327=1,$O327,$P326+$O327))</f>
        <v/>
      </c>
      <c r="Q327" s="35">
        <f>IF($A327&gt;NYears*12,"",IF($D327=12,MIN(WdrPct*IF(WdrBase="Post-tax profit",$K327-$P327,$K327),WdrCap),0))</f>
        <v/>
      </c>
      <c r="R327" s="35">
        <f>IF($A327&gt;NYears*12,"",$F327+$J327-$O327-$Q327)</f>
        <v/>
      </c>
      <c r="S327" s="33">
        <f>IF($A327&gt;NYears*12,"",INT($R327/$E327))</f>
        <v/>
      </c>
    </row>
    <row r="328">
      <c r="A328" s="37">
        <f>324</f>
        <v/>
      </c>
      <c r="B328" s="38">
        <f>IF($A328&gt;NYears*12,"",EDATE(StartMonth,$A328-1))</f>
        <v/>
      </c>
      <c r="C328" s="37">
        <f>IF($A328&gt;NYears*12,"",INT(($A328-1)/12)+1)</f>
        <v/>
      </c>
      <c r="D328" s="37">
        <f>IF($A328&gt;NYears*12,"",MOD($A328-1,12)+1)</f>
        <v/>
      </c>
      <c r="E328" s="39">
        <f>IF($A328&gt;NYears*12,"",LotValue0*(1+LotGrowth)^($C328-1))</f>
        <v/>
      </c>
      <c r="F328" s="39">
        <f>IF($A328&gt;NYears*12,"",IF($A328=1,InitInvest,$R327))</f>
        <v/>
      </c>
      <c r="G328" s="37">
        <f>IF($A328&gt;NYears*12,"",INT($F328/$E328))</f>
        <v/>
      </c>
      <c r="H328" s="39">
        <f>IF($A328&gt;NYears*12,"",$G328*$E328)</f>
        <v/>
      </c>
      <c r="I328" s="39">
        <f>IF($A328&gt;NYears*12,"",$F328-$H328)</f>
        <v/>
      </c>
      <c r="J328" s="39">
        <f>IF($A328&gt;NYears*12,"",$H328*RateC)</f>
        <v/>
      </c>
      <c r="K328" s="39">
        <f>IF($A328&gt;NYears*12,"",IF($D328=1,$J328,$K327+$J328))</f>
        <v/>
      </c>
      <c r="L328" s="39">
        <f>IF($A328&gt;NYears*12,"",IF(MOD($D328,3)=0,SUM($J326:$J328),0))</f>
        <v/>
      </c>
      <c r="M328" s="39">
        <f>IF($A328&gt;NYears*12,"",IF(TaxFreq="Quarterly",$K328*12/$D328,$K328))</f>
        <v/>
      </c>
      <c r="N328" s="40">
        <f>IF($A328&gt;NYears*12,"",LOOKUP($M328,TaxLower,TaxRate))</f>
        <v/>
      </c>
      <c r="O328" s="39">
        <f>IF($A328&gt;NYears*12,"",IF(TaxFreq="Quarterly",IF(MOD($D328,3)=0,$L328*$N328,0),IF($D328=12,$K328*$N328,0)))</f>
        <v/>
      </c>
      <c r="P328" s="39">
        <f>IF($A328&gt;NYears*12,"",IF($D328=1,$O328,$P327+$O328))</f>
        <v/>
      </c>
      <c r="Q328" s="39">
        <f>IF($A328&gt;NYears*12,"",IF($D328=12,MIN(WdrPct*IF(WdrBase="Post-tax profit",$K328-$P328,$K328),WdrCap),0))</f>
        <v/>
      </c>
      <c r="R328" s="39">
        <f>IF($A328&gt;NYears*12,"",$F328+$J328-$O328-$Q328)</f>
        <v/>
      </c>
      <c r="S328" s="37">
        <f>IF($A328&gt;NYears*12,"",INT($R328/$E328))</f>
        <v/>
      </c>
    </row>
    <row r="329">
      <c r="A329" s="33">
        <f>325</f>
        <v/>
      </c>
      <c r="B329" s="34">
        <f>IF($A329&gt;NYears*12,"",EDATE(StartMonth,$A329-1))</f>
        <v/>
      </c>
      <c r="C329" s="33">
        <f>IF($A329&gt;NYears*12,"",INT(($A329-1)/12)+1)</f>
        <v/>
      </c>
      <c r="D329" s="33">
        <f>IF($A329&gt;NYears*12,"",MOD($A329-1,12)+1)</f>
        <v/>
      </c>
      <c r="E329" s="35">
        <f>IF($A329&gt;NYears*12,"",LotValue0*(1+LotGrowth)^($C329-1))</f>
        <v/>
      </c>
      <c r="F329" s="35">
        <f>IF($A329&gt;NYears*12,"",IF($A329=1,InitInvest,$R328))</f>
        <v/>
      </c>
      <c r="G329" s="33">
        <f>IF($A329&gt;NYears*12,"",INT($F329/$E329))</f>
        <v/>
      </c>
      <c r="H329" s="35">
        <f>IF($A329&gt;NYears*12,"",$G329*$E329)</f>
        <v/>
      </c>
      <c r="I329" s="35">
        <f>IF($A329&gt;NYears*12,"",$F329-$H329)</f>
        <v/>
      </c>
      <c r="J329" s="35">
        <f>IF($A329&gt;NYears*12,"",$H329*RateC)</f>
        <v/>
      </c>
      <c r="K329" s="35">
        <f>IF($A329&gt;NYears*12,"",IF($D329=1,$J329,$K328+$J329))</f>
        <v/>
      </c>
      <c r="L329" s="35">
        <f>IF($A329&gt;NYears*12,"",IF(MOD($D329,3)=0,SUM($J327:$J329),0))</f>
        <v/>
      </c>
      <c r="M329" s="35">
        <f>IF($A329&gt;NYears*12,"",IF(TaxFreq="Quarterly",$K329*12/$D329,$K329))</f>
        <v/>
      </c>
      <c r="N329" s="36">
        <f>IF($A329&gt;NYears*12,"",LOOKUP($M329,TaxLower,TaxRate))</f>
        <v/>
      </c>
      <c r="O329" s="35">
        <f>IF($A329&gt;NYears*12,"",IF(TaxFreq="Quarterly",IF(MOD($D329,3)=0,$L329*$N329,0),IF($D329=12,$K329*$N329,0)))</f>
        <v/>
      </c>
      <c r="P329" s="35">
        <f>IF($A329&gt;NYears*12,"",IF($D329=1,$O329,$P328+$O329))</f>
        <v/>
      </c>
      <c r="Q329" s="35">
        <f>IF($A329&gt;NYears*12,"",IF($D329=12,MIN(WdrPct*IF(WdrBase="Post-tax profit",$K329-$P329,$K329),WdrCap),0))</f>
        <v/>
      </c>
      <c r="R329" s="35">
        <f>IF($A329&gt;NYears*12,"",$F329+$J329-$O329-$Q329)</f>
        <v/>
      </c>
      <c r="S329" s="33">
        <f>IF($A329&gt;NYears*12,"",INT($R329/$E329))</f>
        <v/>
      </c>
    </row>
    <row r="330">
      <c r="A330" s="33">
        <f>326</f>
        <v/>
      </c>
      <c r="B330" s="34">
        <f>IF($A330&gt;NYears*12,"",EDATE(StartMonth,$A330-1))</f>
        <v/>
      </c>
      <c r="C330" s="33">
        <f>IF($A330&gt;NYears*12,"",INT(($A330-1)/12)+1)</f>
        <v/>
      </c>
      <c r="D330" s="33">
        <f>IF($A330&gt;NYears*12,"",MOD($A330-1,12)+1)</f>
        <v/>
      </c>
      <c r="E330" s="35">
        <f>IF($A330&gt;NYears*12,"",LotValue0*(1+LotGrowth)^($C330-1))</f>
        <v/>
      </c>
      <c r="F330" s="35">
        <f>IF($A330&gt;NYears*12,"",IF($A330=1,InitInvest,$R329))</f>
        <v/>
      </c>
      <c r="G330" s="33">
        <f>IF($A330&gt;NYears*12,"",INT($F330/$E330))</f>
        <v/>
      </c>
      <c r="H330" s="35">
        <f>IF($A330&gt;NYears*12,"",$G330*$E330)</f>
        <v/>
      </c>
      <c r="I330" s="35">
        <f>IF($A330&gt;NYears*12,"",$F330-$H330)</f>
        <v/>
      </c>
      <c r="J330" s="35">
        <f>IF($A330&gt;NYears*12,"",$H330*RateC)</f>
        <v/>
      </c>
      <c r="K330" s="35">
        <f>IF($A330&gt;NYears*12,"",IF($D330=1,$J330,$K329+$J330))</f>
        <v/>
      </c>
      <c r="L330" s="35">
        <f>IF($A330&gt;NYears*12,"",IF(MOD($D330,3)=0,SUM($J328:$J330),0))</f>
        <v/>
      </c>
      <c r="M330" s="35">
        <f>IF($A330&gt;NYears*12,"",IF(TaxFreq="Quarterly",$K330*12/$D330,$K330))</f>
        <v/>
      </c>
      <c r="N330" s="36">
        <f>IF($A330&gt;NYears*12,"",LOOKUP($M330,TaxLower,TaxRate))</f>
        <v/>
      </c>
      <c r="O330" s="35">
        <f>IF($A330&gt;NYears*12,"",IF(TaxFreq="Quarterly",IF(MOD($D330,3)=0,$L330*$N330,0),IF($D330=12,$K330*$N330,0)))</f>
        <v/>
      </c>
      <c r="P330" s="35">
        <f>IF($A330&gt;NYears*12,"",IF($D330=1,$O330,$P329+$O330))</f>
        <v/>
      </c>
      <c r="Q330" s="35">
        <f>IF($A330&gt;NYears*12,"",IF($D330=12,MIN(WdrPct*IF(WdrBase="Post-tax profit",$K330-$P330,$K330),WdrCap),0))</f>
        <v/>
      </c>
      <c r="R330" s="35">
        <f>IF($A330&gt;NYears*12,"",$F330+$J330-$O330-$Q330)</f>
        <v/>
      </c>
      <c r="S330" s="33">
        <f>IF($A330&gt;NYears*12,"",INT($R330/$E330))</f>
        <v/>
      </c>
    </row>
    <row r="331">
      <c r="A331" s="33">
        <f>327</f>
        <v/>
      </c>
      <c r="B331" s="34">
        <f>IF($A331&gt;NYears*12,"",EDATE(StartMonth,$A331-1))</f>
        <v/>
      </c>
      <c r="C331" s="33">
        <f>IF($A331&gt;NYears*12,"",INT(($A331-1)/12)+1)</f>
        <v/>
      </c>
      <c r="D331" s="33">
        <f>IF($A331&gt;NYears*12,"",MOD($A331-1,12)+1)</f>
        <v/>
      </c>
      <c r="E331" s="35">
        <f>IF($A331&gt;NYears*12,"",LotValue0*(1+LotGrowth)^($C331-1))</f>
        <v/>
      </c>
      <c r="F331" s="35">
        <f>IF($A331&gt;NYears*12,"",IF($A331=1,InitInvest,$R330))</f>
        <v/>
      </c>
      <c r="G331" s="33">
        <f>IF($A331&gt;NYears*12,"",INT($F331/$E331))</f>
        <v/>
      </c>
      <c r="H331" s="35">
        <f>IF($A331&gt;NYears*12,"",$G331*$E331)</f>
        <v/>
      </c>
      <c r="I331" s="35">
        <f>IF($A331&gt;NYears*12,"",$F331-$H331)</f>
        <v/>
      </c>
      <c r="J331" s="35">
        <f>IF($A331&gt;NYears*12,"",$H331*RateC)</f>
        <v/>
      </c>
      <c r="K331" s="35">
        <f>IF($A331&gt;NYears*12,"",IF($D331=1,$J331,$K330+$J331))</f>
        <v/>
      </c>
      <c r="L331" s="35">
        <f>IF($A331&gt;NYears*12,"",IF(MOD($D331,3)=0,SUM($J329:$J331),0))</f>
        <v/>
      </c>
      <c r="M331" s="35">
        <f>IF($A331&gt;NYears*12,"",IF(TaxFreq="Quarterly",$K331*12/$D331,$K331))</f>
        <v/>
      </c>
      <c r="N331" s="36">
        <f>IF($A331&gt;NYears*12,"",LOOKUP($M331,TaxLower,TaxRate))</f>
        <v/>
      </c>
      <c r="O331" s="35">
        <f>IF($A331&gt;NYears*12,"",IF(TaxFreq="Quarterly",IF(MOD($D331,3)=0,$L331*$N331,0),IF($D331=12,$K331*$N331,0)))</f>
        <v/>
      </c>
      <c r="P331" s="35">
        <f>IF($A331&gt;NYears*12,"",IF($D331=1,$O331,$P330+$O331))</f>
        <v/>
      </c>
      <c r="Q331" s="35">
        <f>IF($A331&gt;NYears*12,"",IF($D331=12,MIN(WdrPct*IF(WdrBase="Post-tax profit",$K331-$P331,$K331),WdrCap),0))</f>
        <v/>
      </c>
      <c r="R331" s="35">
        <f>IF($A331&gt;NYears*12,"",$F331+$J331-$O331-$Q331)</f>
        <v/>
      </c>
      <c r="S331" s="33">
        <f>IF($A331&gt;NYears*12,"",INT($R331/$E331))</f>
        <v/>
      </c>
    </row>
    <row r="332">
      <c r="A332" s="33">
        <f>328</f>
        <v/>
      </c>
      <c r="B332" s="34">
        <f>IF($A332&gt;NYears*12,"",EDATE(StartMonth,$A332-1))</f>
        <v/>
      </c>
      <c r="C332" s="33">
        <f>IF($A332&gt;NYears*12,"",INT(($A332-1)/12)+1)</f>
        <v/>
      </c>
      <c r="D332" s="33">
        <f>IF($A332&gt;NYears*12,"",MOD($A332-1,12)+1)</f>
        <v/>
      </c>
      <c r="E332" s="35">
        <f>IF($A332&gt;NYears*12,"",LotValue0*(1+LotGrowth)^($C332-1))</f>
        <v/>
      </c>
      <c r="F332" s="35">
        <f>IF($A332&gt;NYears*12,"",IF($A332=1,InitInvest,$R331))</f>
        <v/>
      </c>
      <c r="G332" s="33">
        <f>IF($A332&gt;NYears*12,"",INT($F332/$E332))</f>
        <v/>
      </c>
      <c r="H332" s="35">
        <f>IF($A332&gt;NYears*12,"",$G332*$E332)</f>
        <v/>
      </c>
      <c r="I332" s="35">
        <f>IF($A332&gt;NYears*12,"",$F332-$H332)</f>
        <v/>
      </c>
      <c r="J332" s="35">
        <f>IF($A332&gt;NYears*12,"",$H332*RateC)</f>
        <v/>
      </c>
      <c r="K332" s="35">
        <f>IF($A332&gt;NYears*12,"",IF($D332=1,$J332,$K331+$J332))</f>
        <v/>
      </c>
      <c r="L332" s="35">
        <f>IF($A332&gt;NYears*12,"",IF(MOD($D332,3)=0,SUM($J330:$J332),0))</f>
        <v/>
      </c>
      <c r="M332" s="35">
        <f>IF($A332&gt;NYears*12,"",IF(TaxFreq="Quarterly",$K332*12/$D332,$K332))</f>
        <v/>
      </c>
      <c r="N332" s="36">
        <f>IF($A332&gt;NYears*12,"",LOOKUP($M332,TaxLower,TaxRate))</f>
        <v/>
      </c>
      <c r="O332" s="35">
        <f>IF($A332&gt;NYears*12,"",IF(TaxFreq="Quarterly",IF(MOD($D332,3)=0,$L332*$N332,0),IF($D332=12,$K332*$N332,0)))</f>
        <v/>
      </c>
      <c r="P332" s="35">
        <f>IF($A332&gt;NYears*12,"",IF($D332=1,$O332,$P331+$O332))</f>
        <v/>
      </c>
      <c r="Q332" s="35">
        <f>IF($A332&gt;NYears*12,"",IF($D332=12,MIN(WdrPct*IF(WdrBase="Post-tax profit",$K332-$P332,$K332),WdrCap),0))</f>
        <v/>
      </c>
      <c r="R332" s="35">
        <f>IF($A332&gt;NYears*12,"",$F332+$J332-$O332-$Q332)</f>
        <v/>
      </c>
      <c r="S332" s="33">
        <f>IF($A332&gt;NYears*12,"",INT($R332/$E332))</f>
        <v/>
      </c>
    </row>
    <row r="333">
      <c r="A333" s="33">
        <f>329</f>
        <v/>
      </c>
      <c r="B333" s="34">
        <f>IF($A333&gt;NYears*12,"",EDATE(StartMonth,$A333-1))</f>
        <v/>
      </c>
      <c r="C333" s="33">
        <f>IF($A333&gt;NYears*12,"",INT(($A333-1)/12)+1)</f>
        <v/>
      </c>
      <c r="D333" s="33">
        <f>IF($A333&gt;NYears*12,"",MOD($A333-1,12)+1)</f>
        <v/>
      </c>
      <c r="E333" s="35">
        <f>IF($A333&gt;NYears*12,"",LotValue0*(1+LotGrowth)^($C333-1))</f>
        <v/>
      </c>
      <c r="F333" s="35">
        <f>IF($A333&gt;NYears*12,"",IF($A333=1,InitInvest,$R332))</f>
        <v/>
      </c>
      <c r="G333" s="33">
        <f>IF($A333&gt;NYears*12,"",INT($F333/$E333))</f>
        <v/>
      </c>
      <c r="H333" s="35">
        <f>IF($A333&gt;NYears*12,"",$G333*$E333)</f>
        <v/>
      </c>
      <c r="I333" s="35">
        <f>IF($A333&gt;NYears*12,"",$F333-$H333)</f>
        <v/>
      </c>
      <c r="J333" s="35">
        <f>IF($A333&gt;NYears*12,"",$H333*RateC)</f>
        <v/>
      </c>
      <c r="K333" s="35">
        <f>IF($A333&gt;NYears*12,"",IF($D333=1,$J333,$K332+$J333))</f>
        <v/>
      </c>
      <c r="L333" s="35">
        <f>IF($A333&gt;NYears*12,"",IF(MOD($D333,3)=0,SUM($J331:$J333),0))</f>
        <v/>
      </c>
      <c r="M333" s="35">
        <f>IF($A333&gt;NYears*12,"",IF(TaxFreq="Quarterly",$K333*12/$D333,$K333))</f>
        <v/>
      </c>
      <c r="N333" s="36">
        <f>IF($A333&gt;NYears*12,"",LOOKUP($M333,TaxLower,TaxRate))</f>
        <v/>
      </c>
      <c r="O333" s="35">
        <f>IF($A333&gt;NYears*12,"",IF(TaxFreq="Quarterly",IF(MOD($D333,3)=0,$L333*$N333,0),IF($D333=12,$K333*$N333,0)))</f>
        <v/>
      </c>
      <c r="P333" s="35">
        <f>IF($A333&gt;NYears*12,"",IF($D333=1,$O333,$P332+$O333))</f>
        <v/>
      </c>
      <c r="Q333" s="35">
        <f>IF($A333&gt;NYears*12,"",IF($D333=12,MIN(WdrPct*IF(WdrBase="Post-tax profit",$K333-$P333,$K333),WdrCap),0))</f>
        <v/>
      </c>
      <c r="R333" s="35">
        <f>IF($A333&gt;NYears*12,"",$F333+$J333-$O333-$Q333)</f>
        <v/>
      </c>
      <c r="S333" s="33">
        <f>IF($A333&gt;NYears*12,"",INT($R333/$E333))</f>
        <v/>
      </c>
    </row>
    <row r="334">
      <c r="A334" s="33">
        <f>330</f>
        <v/>
      </c>
      <c r="B334" s="34">
        <f>IF($A334&gt;NYears*12,"",EDATE(StartMonth,$A334-1))</f>
        <v/>
      </c>
      <c r="C334" s="33">
        <f>IF($A334&gt;NYears*12,"",INT(($A334-1)/12)+1)</f>
        <v/>
      </c>
      <c r="D334" s="33">
        <f>IF($A334&gt;NYears*12,"",MOD($A334-1,12)+1)</f>
        <v/>
      </c>
      <c r="E334" s="35">
        <f>IF($A334&gt;NYears*12,"",LotValue0*(1+LotGrowth)^($C334-1))</f>
        <v/>
      </c>
      <c r="F334" s="35">
        <f>IF($A334&gt;NYears*12,"",IF($A334=1,InitInvest,$R333))</f>
        <v/>
      </c>
      <c r="G334" s="33">
        <f>IF($A334&gt;NYears*12,"",INT($F334/$E334))</f>
        <v/>
      </c>
      <c r="H334" s="35">
        <f>IF($A334&gt;NYears*12,"",$G334*$E334)</f>
        <v/>
      </c>
      <c r="I334" s="35">
        <f>IF($A334&gt;NYears*12,"",$F334-$H334)</f>
        <v/>
      </c>
      <c r="J334" s="35">
        <f>IF($A334&gt;NYears*12,"",$H334*RateC)</f>
        <v/>
      </c>
      <c r="K334" s="35">
        <f>IF($A334&gt;NYears*12,"",IF($D334=1,$J334,$K333+$J334))</f>
        <v/>
      </c>
      <c r="L334" s="35">
        <f>IF($A334&gt;NYears*12,"",IF(MOD($D334,3)=0,SUM($J332:$J334),0))</f>
        <v/>
      </c>
      <c r="M334" s="35">
        <f>IF($A334&gt;NYears*12,"",IF(TaxFreq="Quarterly",$K334*12/$D334,$K334))</f>
        <v/>
      </c>
      <c r="N334" s="36">
        <f>IF($A334&gt;NYears*12,"",LOOKUP($M334,TaxLower,TaxRate))</f>
        <v/>
      </c>
      <c r="O334" s="35">
        <f>IF($A334&gt;NYears*12,"",IF(TaxFreq="Quarterly",IF(MOD($D334,3)=0,$L334*$N334,0),IF($D334=12,$K334*$N334,0)))</f>
        <v/>
      </c>
      <c r="P334" s="35">
        <f>IF($A334&gt;NYears*12,"",IF($D334=1,$O334,$P333+$O334))</f>
        <v/>
      </c>
      <c r="Q334" s="35">
        <f>IF($A334&gt;NYears*12,"",IF($D334=12,MIN(WdrPct*IF(WdrBase="Post-tax profit",$K334-$P334,$K334),WdrCap),0))</f>
        <v/>
      </c>
      <c r="R334" s="35">
        <f>IF($A334&gt;NYears*12,"",$F334+$J334-$O334-$Q334)</f>
        <v/>
      </c>
      <c r="S334" s="33">
        <f>IF($A334&gt;NYears*12,"",INT($R334/$E334))</f>
        <v/>
      </c>
    </row>
    <row r="335">
      <c r="A335" s="33">
        <f>331</f>
        <v/>
      </c>
      <c r="B335" s="34">
        <f>IF($A335&gt;NYears*12,"",EDATE(StartMonth,$A335-1))</f>
        <v/>
      </c>
      <c r="C335" s="33">
        <f>IF($A335&gt;NYears*12,"",INT(($A335-1)/12)+1)</f>
        <v/>
      </c>
      <c r="D335" s="33">
        <f>IF($A335&gt;NYears*12,"",MOD($A335-1,12)+1)</f>
        <v/>
      </c>
      <c r="E335" s="35">
        <f>IF($A335&gt;NYears*12,"",LotValue0*(1+LotGrowth)^($C335-1))</f>
        <v/>
      </c>
      <c r="F335" s="35">
        <f>IF($A335&gt;NYears*12,"",IF($A335=1,InitInvest,$R334))</f>
        <v/>
      </c>
      <c r="G335" s="33">
        <f>IF($A335&gt;NYears*12,"",INT($F335/$E335))</f>
        <v/>
      </c>
      <c r="H335" s="35">
        <f>IF($A335&gt;NYears*12,"",$G335*$E335)</f>
        <v/>
      </c>
      <c r="I335" s="35">
        <f>IF($A335&gt;NYears*12,"",$F335-$H335)</f>
        <v/>
      </c>
      <c r="J335" s="35">
        <f>IF($A335&gt;NYears*12,"",$H335*RateC)</f>
        <v/>
      </c>
      <c r="K335" s="35">
        <f>IF($A335&gt;NYears*12,"",IF($D335=1,$J335,$K334+$J335))</f>
        <v/>
      </c>
      <c r="L335" s="35">
        <f>IF($A335&gt;NYears*12,"",IF(MOD($D335,3)=0,SUM($J333:$J335),0))</f>
        <v/>
      </c>
      <c r="M335" s="35">
        <f>IF($A335&gt;NYears*12,"",IF(TaxFreq="Quarterly",$K335*12/$D335,$K335))</f>
        <v/>
      </c>
      <c r="N335" s="36">
        <f>IF($A335&gt;NYears*12,"",LOOKUP($M335,TaxLower,TaxRate))</f>
        <v/>
      </c>
      <c r="O335" s="35">
        <f>IF($A335&gt;NYears*12,"",IF(TaxFreq="Quarterly",IF(MOD($D335,3)=0,$L335*$N335,0),IF($D335=12,$K335*$N335,0)))</f>
        <v/>
      </c>
      <c r="P335" s="35">
        <f>IF($A335&gt;NYears*12,"",IF($D335=1,$O335,$P334+$O335))</f>
        <v/>
      </c>
      <c r="Q335" s="35">
        <f>IF($A335&gt;NYears*12,"",IF($D335=12,MIN(WdrPct*IF(WdrBase="Post-tax profit",$K335-$P335,$K335),WdrCap),0))</f>
        <v/>
      </c>
      <c r="R335" s="35">
        <f>IF($A335&gt;NYears*12,"",$F335+$J335-$O335-$Q335)</f>
        <v/>
      </c>
      <c r="S335" s="33">
        <f>IF($A335&gt;NYears*12,"",INT($R335/$E335))</f>
        <v/>
      </c>
    </row>
    <row r="336">
      <c r="A336" s="33">
        <f>332</f>
        <v/>
      </c>
      <c r="B336" s="34">
        <f>IF($A336&gt;NYears*12,"",EDATE(StartMonth,$A336-1))</f>
        <v/>
      </c>
      <c r="C336" s="33">
        <f>IF($A336&gt;NYears*12,"",INT(($A336-1)/12)+1)</f>
        <v/>
      </c>
      <c r="D336" s="33">
        <f>IF($A336&gt;NYears*12,"",MOD($A336-1,12)+1)</f>
        <v/>
      </c>
      <c r="E336" s="35">
        <f>IF($A336&gt;NYears*12,"",LotValue0*(1+LotGrowth)^($C336-1))</f>
        <v/>
      </c>
      <c r="F336" s="35">
        <f>IF($A336&gt;NYears*12,"",IF($A336=1,InitInvest,$R335))</f>
        <v/>
      </c>
      <c r="G336" s="33">
        <f>IF($A336&gt;NYears*12,"",INT($F336/$E336))</f>
        <v/>
      </c>
      <c r="H336" s="35">
        <f>IF($A336&gt;NYears*12,"",$G336*$E336)</f>
        <v/>
      </c>
      <c r="I336" s="35">
        <f>IF($A336&gt;NYears*12,"",$F336-$H336)</f>
        <v/>
      </c>
      <c r="J336" s="35">
        <f>IF($A336&gt;NYears*12,"",$H336*RateC)</f>
        <v/>
      </c>
      <c r="K336" s="35">
        <f>IF($A336&gt;NYears*12,"",IF($D336=1,$J336,$K335+$J336))</f>
        <v/>
      </c>
      <c r="L336" s="35">
        <f>IF($A336&gt;NYears*12,"",IF(MOD($D336,3)=0,SUM($J334:$J336),0))</f>
        <v/>
      </c>
      <c r="M336" s="35">
        <f>IF($A336&gt;NYears*12,"",IF(TaxFreq="Quarterly",$K336*12/$D336,$K336))</f>
        <v/>
      </c>
      <c r="N336" s="36">
        <f>IF($A336&gt;NYears*12,"",LOOKUP($M336,TaxLower,TaxRate))</f>
        <v/>
      </c>
      <c r="O336" s="35">
        <f>IF($A336&gt;NYears*12,"",IF(TaxFreq="Quarterly",IF(MOD($D336,3)=0,$L336*$N336,0),IF($D336=12,$K336*$N336,0)))</f>
        <v/>
      </c>
      <c r="P336" s="35">
        <f>IF($A336&gt;NYears*12,"",IF($D336=1,$O336,$P335+$O336))</f>
        <v/>
      </c>
      <c r="Q336" s="35">
        <f>IF($A336&gt;NYears*12,"",IF($D336=12,MIN(WdrPct*IF(WdrBase="Post-tax profit",$K336-$P336,$K336),WdrCap),0))</f>
        <v/>
      </c>
      <c r="R336" s="35">
        <f>IF($A336&gt;NYears*12,"",$F336+$J336-$O336-$Q336)</f>
        <v/>
      </c>
      <c r="S336" s="33">
        <f>IF($A336&gt;NYears*12,"",INT($R336/$E336))</f>
        <v/>
      </c>
    </row>
    <row r="337">
      <c r="A337" s="33">
        <f>333</f>
        <v/>
      </c>
      <c r="B337" s="34">
        <f>IF($A337&gt;NYears*12,"",EDATE(StartMonth,$A337-1))</f>
        <v/>
      </c>
      <c r="C337" s="33">
        <f>IF($A337&gt;NYears*12,"",INT(($A337-1)/12)+1)</f>
        <v/>
      </c>
      <c r="D337" s="33">
        <f>IF($A337&gt;NYears*12,"",MOD($A337-1,12)+1)</f>
        <v/>
      </c>
      <c r="E337" s="35">
        <f>IF($A337&gt;NYears*12,"",LotValue0*(1+LotGrowth)^($C337-1))</f>
        <v/>
      </c>
      <c r="F337" s="35">
        <f>IF($A337&gt;NYears*12,"",IF($A337=1,InitInvest,$R336))</f>
        <v/>
      </c>
      <c r="G337" s="33">
        <f>IF($A337&gt;NYears*12,"",INT($F337/$E337))</f>
        <v/>
      </c>
      <c r="H337" s="35">
        <f>IF($A337&gt;NYears*12,"",$G337*$E337)</f>
        <v/>
      </c>
      <c r="I337" s="35">
        <f>IF($A337&gt;NYears*12,"",$F337-$H337)</f>
        <v/>
      </c>
      <c r="J337" s="35">
        <f>IF($A337&gt;NYears*12,"",$H337*RateC)</f>
        <v/>
      </c>
      <c r="K337" s="35">
        <f>IF($A337&gt;NYears*12,"",IF($D337=1,$J337,$K336+$J337))</f>
        <v/>
      </c>
      <c r="L337" s="35">
        <f>IF($A337&gt;NYears*12,"",IF(MOD($D337,3)=0,SUM($J335:$J337),0))</f>
        <v/>
      </c>
      <c r="M337" s="35">
        <f>IF($A337&gt;NYears*12,"",IF(TaxFreq="Quarterly",$K337*12/$D337,$K337))</f>
        <v/>
      </c>
      <c r="N337" s="36">
        <f>IF($A337&gt;NYears*12,"",LOOKUP($M337,TaxLower,TaxRate))</f>
        <v/>
      </c>
      <c r="O337" s="35">
        <f>IF($A337&gt;NYears*12,"",IF(TaxFreq="Quarterly",IF(MOD($D337,3)=0,$L337*$N337,0),IF($D337=12,$K337*$N337,0)))</f>
        <v/>
      </c>
      <c r="P337" s="35">
        <f>IF($A337&gt;NYears*12,"",IF($D337=1,$O337,$P336+$O337))</f>
        <v/>
      </c>
      <c r="Q337" s="35">
        <f>IF($A337&gt;NYears*12,"",IF($D337=12,MIN(WdrPct*IF(WdrBase="Post-tax profit",$K337-$P337,$K337),WdrCap),0))</f>
        <v/>
      </c>
      <c r="R337" s="35">
        <f>IF($A337&gt;NYears*12,"",$F337+$J337-$O337-$Q337)</f>
        <v/>
      </c>
      <c r="S337" s="33">
        <f>IF($A337&gt;NYears*12,"",INT($R337/$E337))</f>
        <v/>
      </c>
    </row>
    <row r="338">
      <c r="A338" s="33">
        <f>334</f>
        <v/>
      </c>
      <c r="B338" s="34">
        <f>IF($A338&gt;NYears*12,"",EDATE(StartMonth,$A338-1))</f>
        <v/>
      </c>
      <c r="C338" s="33">
        <f>IF($A338&gt;NYears*12,"",INT(($A338-1)/12)+1)</f>
        <v/>
      </c>
      <c r="D338" s="33">
        <f>IF($A338&gt;NYears*12,"",MOD($A338-1,12)+1)</f>
        <v/>
      </c>
      <c r="E338" s="35">
        <f>IF($A338&gt;NYears*12,"",LotValue0*(1+LotGrowth)^($C338-1))</f>
        <v/>
      </c>
      <c r="F338" s="35">
        <f>IF($A338&gt;NYears*12,"",IF($A338=1,InitInvest,$R337))</f>
        <v/>
      </c>
      <c r="G338" s="33">
        <f>IF($A338&gt;NYears*12,"",INT($F338/$E338))</f>
        <v/>
      </c>
      <c r="H338" s="35">
        <f>IF($A338&gt;NYears*12,"",$G338*$E338)</f>
        <v/>
      </c>
      <c r="I338" s="35">
        <f>IF($A338&gt;NYears*12,"",$F338-$H338)</f>
        <v/>
      </c>
      <c r="J338" s="35">
        <f>IF($A338&gt;NYears*12,"",$H338*RateC)</f>
        <v/>
      </c>
      <c r="K338" s="35">
        <f>IF($A338&gt;NYears*12,"",IF($D338=1,$J338,$K337+$J338))</f>
        <v/>
      </c>
      <c r="L338" s="35">
        <f>IF($A338&gt;NYears*12,"",IF(MOD($D338,3)=0,SUM($J336:$J338),0))</f>
        <v/>
      </c>
      <c r="M338" s="35">
        <f>IF($A338&gt;NYears*12,"",IF(TaxFreq="Quarterly",$K338*12/$D338,$K338))</f>
        <v/>
      </c>
      <c r="N338" s="36">
        <f>IF($A338&gt;NYears*12,"",LOOKUP($M338,TaxLower,TaxRate))</f>
        <v/>
      </c>
      <c r="O338" s="35">
        <f>IF($A338&gt;NYears*12,"",IF(TaxFreq="Quarterly",IF(MOD($D338,3)=0,$L338*$N338,0),IF($D338=12,$K338*$N338,0)))</f>
        <v/>
      </c>
      <c r="P338" s="35">
        <f>IF($A338&gt;NYears*12,"",IF($D338=1,$O338,$P337+$O338))</f>
        <v/>
      </c>
      <c r="Q338" s="35">
        <f>IF($A338&gt;NYears*12,"",IF($D338=12,MIN(WdrPct*IF(WdrBase="Post-tax profit",$K338-$P338,$K338),WdrCap),0))</f>
        <v/>
      </c>
      <c r="R338" s="35">
        <f>IF($A338&gt;NYears*12,"",$F338+$J338-$O338-$Q338)</f>
        <v/>
      </c>
      <c r="S338" s="33">
        <f>IF($A338&gt;NYears*12,"",INT($R338/$E338))</f>
        <v/>
      </c>
    </row>
    <row r="339">
      <c r="A339" s="33">
        <f>335</f>
        <v/>
      </c>
      <c r="B339" s="34">
        <f>IF($A339&gt;NYears*12,"",EDATE(StartMonth,$A339-1))</f>
        <v/>
      </c>
      <c r="C339" s="33">
        <f>IF($A339&gt;NYears*12,"",INT(($A339-1)/12)+1)</f>
        <v/>
      </c>
      <c r="D339" s="33">
        <f>IF($A339&gt;NYears*12,"",MOD($A339-1,12)+1)</f>
        <v/>
      </c>
      <c r="E339" s="35">
        <f>IF($A339&gt;NYears*12,"",LotValue0*(1+LotGrowth)^($C339-1))</f>
        <v/>
      </c>
      <c r="F339" s="35">
        <f>IF($A339&gt;NYears*12,"",IF($A339=1,InitInvest,$R338))</f>
        <v/>
      </c>
      <c r="G339" s="33">
        <f>IF($A339&gt;NYears*12,"",INT($F339/$E339))</f>
        <v/>
      </c>
      <c r="H339" s="35">
        <f>IF($A339&gt;NYears*12,"",$G339*$E339)</f>
        <v/>
      </c>
      <c r="I339" s="35">
        <f>IF($A339&gt;NYears*12,"",$F339-$H339)</f>
        <v/>
      </c>
      <c r="J339" s="35">
        <f>IF($A339&gt;NYears*12,"",$H339*RateC)</f>
        <v/>
      </c>
      <c r="K339" s="35">
        <f>IF($A339&gt;NYears*12,"",IF($D339=1,$J339,$K338+$J339))</f>
        <v/>
      </c>
      <c r="L339" s="35">
        <f>IF($A339&gt;NYears*12,"",IF(MOD($D339,3)=0,SUM($J337:$J339),0))</f>
        <v/>
      </c>
      <c r="M339" s="35">
        <f>IF($A339&gt;NYears*12,"",IF(TaxFreq="Quarterly",$K339*12/$D339,$K339))</f>
        <v/>
      </c>
      <c r="N339" s="36">
        <f>IF($A339&gt;NYears*12,"",LOOKUP($M339,TaxLower,TaxRate))</f>
        <v/>
      </c>
      <c r="O339" s="35">
        <f>IF($A339&gt;NYears*12,"",IF(TaxFreq="Quarterly",IF(MOD($D339,3)=0,$L339*$N339,0),IF($D339=12,$K339*$N339,0)))</f>
        <v/>
      </c>
      <c r="P339" s="35">
        <f>IF($A339&gt;NYears*12,"",IF($D339=1,$O339,$P338+$O339))</f>
        <v/>
      </c>
      <c r="Q339" s="35">
        <f>IF($A339&gt;NYears*12,"",IF($D339=12,MIN(WdrPct*IF(WdrBase="Post-tax profit",$K339-$P339,$K339),WdrCap),0))</f>
        <v/>
      </c>
      <c r="R339" s="35">
        <f>IF($A339&gt;NYears*12,"",$F339+$J339-$O339-$Q339)</f>
        <v/>
      </c>
      <c r="S339" s="33">
        <f>IF($A339&gt;NYears*12,"",INT($R339/$E339))</f>
        <v/>
      </c>
    </row>
    <row r="340">
      <c r="A340" s="37">
        <f>336</f>
        <v/>
      </c>
      <c r="B340" s="38">
        <f>IF($A340&gt;NYears*12,"",EDATE(StartMonth,$A340-1))</f>
        <v/>
      </c>
      <c r="C340" s="37">
        <f>IF($A340&gt;NYears*12,"",INT(($A340-1)/12)+1)</f>
        <v/>
      </c>
      <c r="D340" s="37">
        <f>IF($A340&gt;NYears*12,"",MOD($A340-1,12)+1)</f>
        <v/>
      </c>
      <c r="E340" s="39">
        <f>IF($A340&gt;NYears*12,"",LotValue0*(1+LotGrowth)^($C340-1))</f>
        <v/>
      </c>
      <c r="F340" s="39">
        <f>IF($A340&gt;NYears*12,"",IF($A340=1,InitInvest,$R339))</f>
        <v/>
      </c>
      <c r="G340" s="37">
        <f>IF($A340&gt;NYears*12,"",INT($F340/$E340))</f>
        <v/>
      </c>
      <c r="H340" s="39">
        <f>IF($A340&gt;NYears*12,"",$G340*$E340)</f>
        <v/>
      </c>
      <c r="I340" s="39">
        <f>IF($A340&gt;NYears*12,"",$F340-$H340)</f>
        <v/>
      </c>
      <c r="J340" s="39">
        <f>IF($A340&gt;NYears*12,"",$H340*RateC)</f>
        <v/>
      </c>
      <c r="K340" s="39">
        <f>IF($A340&gt;NYears*12,"",IF($D340=1,$J340,$K339+$J340))</f>
        <v/>
      </c>
      <c r="L340" s="39">
        <f>IF($A340&gt;NYears*12,"",IF(MOD($D340,3)=0,SUM($J338:$J340),0))</f>
        <v/>
      </c>
      <c r="M340" s="39">
        <f>IF($A340&gt;NYears*12,"",IF(TaxFreq="Quarterly",$K340*12/$D340,$K340))</f>
        <v/>
      </c>
      <c r="N340" s="40">
        <f>IF($A340&gt;NYears*12,"",LOOKUP($M340,TaxLower,TaxRate))</f>
        <v/>
      </c>
      <c r="O340" s="39">
        <f>IF($A340&gt;NYears*12,"",IF(TaxFreq="Quarterly",IF(MOD($D340,3)=0,$L340*$N340,0),IF($D340=12,$K340*$N340,0)))</f>
        <v/>
      </c>
      <c r="P340" s="39">
        <f>IF($A340&gt;NYears*12,"",IF($D340=1,$O340,$P339+$O340))</f>
        <v/>
      </c>
      <c r="Q340" s="39">
        <f>IF($A340&gt;NYears*12,"",IF($D340=12,MIN(WdrPct*IF(WdrBase="Post-tax profit",$K340-$P340,$K340),WdrCap),0))</f>
        <v/>
      </c>
      <c r="R340" s="39">
        <f>IF($A340&gt;NYears*12,"",$F340+$J340-$O340-$Q340)</f>
        <v/>
      </c>
      <c r="S340" s="37">
        <f>IF($A340&gt;NYears*12,"",INT($R340/$E340))</f>
        <v/>
      </c>
    </row>
    <row r="341">
      <c r="A341" s="33">
        <f>337</f>
        <v/>
      </c>
      <c r="B341" s="34">
        <f>IF($A341&gt;NYears*12,"",EDATE(StartMonth,$A341-1))</f>
        <v/>
      </c>
      <c r="C341" s="33">
        <f>IF($A341&gt;NYears*12,"",INT(($A341-1)/12)+1)</f>
        <v/>
      </c>
      <c r="D341" s="33">
        <f>IF($A341&gt;NYears*12,"",MOD($A341-1,12)+1)</f>
        <v/>
      </c>
      <c r="E341" s="35">
        <f>IF($A341&gt;NYears*12,"",LotValue0*(1+LotGrowth)^($C341-1))</f>
        <v/>
      </c>
      <c r="F341" s="35">
        <f>IF($A341&gt;NYears*12,"",IF($A341=1,InitInvest,$R340))</f>
        <v/>
      </c>
      <c r="G341" s="33">
        <f>IF($A341&gt;NYears*12,"",INT($F341/$E341))</f>
        <v/>
      </c>
      <c r="H341" s="35">
        <f>IF($A341&gt;NYears*12,"",$G341*$E341)</f>
        <v/>
      </c>
      <c r="I341" s="35">
        <f>IF($A341&gt;NYears*12,"",$F341-$H341)</f>
        <v/>
      </c>
      <c r="J341" s="35">
        <f>IF($A341&gt;NYears*12,"",$H341*RateC)</f>
        <v/>
      </c>
      <c r="K341" s="35">
        <f>IF($A341&gt;NYears*12,"",IF($D341=1,$J341,$K340+$J341))</f>
        <v/>
      </c>
      <c r="L341" s="35">
        <f>IF($A341&gt;NYears*12,"",IF(MOD($D341,3)=0,SUM($J339:$J341),0))</f>
        <v/>
      </c>
      <c r="M341" s="35">
        <f>IF($A341&gt;NYears*12,"",IF(TaxFreq="Quarterly",$K341*12/$D341,$K341))</f>
        <v/>
      </c>
      <c r="N341" s="36">
        <f>IF($A341&gt;NYears*12,"",LOOKUP($M341,TaxLower,TaxRate))</f>
        <v/>
      </c>
      <c r="O341" s="35">
        <f>IF($A341&gt;NYears*12,"",IF(TaxFreq="Quarterly",IF(MOD($D341,3)=0,$L341*$N341,0),IF($D341=12,$K341*$N341,0)))</f>
        <v/>
      </c>
      <c r="P341" s="35">
        <f>IF($A341&gt;NYears*12,"",IF($D341=1,$O341,$P340+$O341))</f>
        <v/>
      </c>
      <c r="Q341" s="35">
        <f>IF($A341&gt;NYears*12,"",IF($D341=12,MIN(WdrPct*IF(WdrBase="Post-tax profit",$K341-$P341,$K341),WdrCap),0))</f>
        <v/>
      </c>
      <c r="R341" s="35">
        <f>IF($A341&gt;NYears*12,"",$F341+$J341-$O341-$Q341)</f>
        <v/>
      </c>
      <c r="S341" s="33">
        <f>IF($A341&gt;NYears*12,"",INT($R341/$E341))</f>
        <v/>
      </c>
    </row>
    <row r="342">
      <c r="A342" s="33">
        <f>338</f>
        <v/>
      </c>
      <c r="B342" s="34">
        <f>IF($A342&gt;NYears*12,"",EDATE(StartMonth,$A342-1))</f>
        <v/>
      </c>
      <c r="C342" s="33">
        <f>IF($A342&gt;NYears*12,"",INT(($A342-1)/12)+1)</f>
        <v/>
      </c>
      <c r="D342" s="33">
        <f>IF($A342&gt;NYears*12,"",MOD($A342-1,12)+1)</f>
        <v/>
      </c>
      <c r="E342" s="35">
        <f>IF($A342&gt;NYears*12,"",LotValue0*(1+LotGrowth)^($C342-1))</f>
        <v/>
      </c>
      <c r="F342" s="35">
        <f>IF($A342&gt;NYears*12,"",IF($A342=1,InitInvest,$R341))</f>
        <v/>
      </c>
      <c r="G342" s="33">
        <f>IF($A342&gt;NYears*12,"",INT($F342/$E342))</f>
        <v/>
      </c>
      <c r="H342" s="35">
        <f>IF($A342&gt;NYears*12,"",$G342*$E342)</f>
        <v/>
      </c>
      <c r="I342" s="35">
        <f>IF($A342&gt;NYears*12,"",$F342-$H342)</f>
        <v/>
      </c>
      <c r="J342" s="35">
        <f>IF($A342&gt;NYears*12,"",$H342*RateC)</f>
        <v/>
      </c>
      <c r="K342" s="35">
        <f>IF($A342&gt;NYears*12,"",IF($D342=1,$J342,$K341+$J342))</f>
        <v/>
      </c>
      <c r="L342" s="35">
        <f>IF($A342&gt;NYears*12,"",IF(MOD($D342,3)=0,SUM($J340:$J342),0))</f>
        <v/>
      </c>
      <c r="M342" s="35">
        <f>IF($A342&gt;NYears*12,"",IF(TaxFreq="Quarterly",$K342*12/$D342,$K342))</f>
        <v/>
      </c>
      <c r="N342" s="36">
        <f>IF($A342&gt;NYears*12,"",LOOKUP($M342,TaxLower,TaxRate))</f>
        <v/>
      </c>
      <c r="O342" s="35">
        <f>IF($A342&gt;NYears*12,"",IF(TaxFreq="Quarterly",IF(MOD($D342,3)=0,$L342*$N342,0),IF($D342=12,$K342*$N342,0)))</f>
        <v/>
      </c>
      <c r="P342" s="35">
        <f>IF($A342&gt;NYears*12,"",IF($D342=1,$O342,$P341+$O342))</f>
        <v/>
      </c>
      <c r="Q342" s="35">
        <f>IF($A342&gt;NYears*12,"",IF($D342=12,MIN(WdrPct*IF(WdrBase="Post-tax profit",$K342-$P342,$K342),WdrCap),0))</f>
        <v/>
      </c>
      <c r="R342" s="35">
        <f>IF($A342&gt;NYears*12,"",$F342+$J342-$O342-$Q342)</f>
        <v/>
      </c>
      <c r="S342" s="33">
        <f>IF($A342&gt;NYears*12,"",INT($R342/$E342))</f>
        <v/>
      </c>
    </row>
    <row r="343">
      <c r="A343" s="33">
        <f>339</f>
        <v/>
      </c>
      <c r="B343" s="34">
        <f>IF($A343&gt;NYears*12,"",EDATE(StartMonth,$A343-1))</f>
        <v/>
      </c>
      <c r="C343" s="33">
        <f>IF($A343&gt;NYears*12,"",INT(($A343-1)/12)+1)</f>
        <v/>
      </c>
      <c r="D343" s="33">
        <f>IF($A343&gt;NYears*12,"",MOD($A343-1,12)+1)</f>
        <v/>
      </c>
      <c r="E343" s="35">
        <f>IF($A343&gt;NYears*12,"",LotValue0*(1+LotGrowth)^($C343-1))</f>
        <v/>
      </c>
      <c r="F343" s="35">
        <f>IF($A343&gt;NYears*12,"",IF($A343=1,InitInvest,$R342))</f>
        <v/>
      </c>
      <c r="G343" s="33">
        <f>IF($A343&gt;NYears*12,"",INT($F343/$E343))</f>
        <v/>
      </c>
      <c r="H343" s="35">
        <f>IF($A343&gt;NYears*12,"",$G343*$E343)</f>
        <v/>
      </c>
      <c r="I343" s="35">
        <f>IF($A343&gt;NYears*12,"",$F343-$H343)</f>
        <v/>
      </c>
      <c r="J343" s="35">
        <f>IF($A343&gt;NYears*12,"",$H343*RateC)</f>
        <v/>
      </c>
      <c r="K343" s="35">
        <f>IF($A343&gt;NYears*12,"",IF($D343=1,$J343,$K342+$J343))</f>
        <v/>
      </c>
      <c r="L343" s="35">
        <f>IF($A343&gt;NYears*12,"",IF(MOD($D343,3)=0,SUM($J341:$J343),0))</f>
        <v/>
      </c>
      <c r="M343" s="35">
        <f>IF($A343&gt;NYears*12,"",IF(TaxFreq="Quarterly",$K343*12/$D343,$K343))</f>
        <v/>
      </c>
      <c r="N343" s="36">
        <f>IF($A343&gt;NYears*12,"",LOOKUP($M343,TaxLower,TaxRate))</f>
        <v/>
      </c>
      <c r="O343" s="35">
        <f>IF($A343&gt;NYears*12,"",IF(TaxFreq="Quarterly",IF(MOD($D343,3)=0,$L343*$N343,0),IF($D343=12,$K343*$N343,0)))</f>
        <v/>
      </c>
      <c r="P343" s="35">
        <f>IF($A343&gt;NYears*12,"",IF($D343=1,$O343,$P342+$O343))</f>
        <v/>
      </c>
      <c r="Q343" s="35">
        <f>IF($A343&gt;NYears*12,"",IF($D343=12,MIN(WdrPct*IF(WdrBase="Post-tax profit",$K343-$P343,$K343),WdrCap),0))</f>
        <v/>
      </c>
      <c r="R343" s="35">
        <f>IF($A343&gt;NYears*12,"",$F343+$J343-$O343-$Q343)</f>
        <v/>
      </c>
      <c r="S343" s="33">
        <f>IF($A343&gt;NYears*12,"",INT($R343/$E343))</f>
        <v/>
      </c>
    </row>
    <row r="344">
      <c r="A344" s="33">
        <f>340</f>
        <v/>
      </c>
      <c r="B344" s="34">
        <f>IF($A344&gt;NYears*12,"",EDATE(StartMonth,$A344-1))</f>
        <v/>
      </c>
      <c r="C344" s="33">
        <f>IF($A344&gt;NYears*12,"",INT(($A344-1)/12)+1)</f>
        <v/>
      </c>
      <c r="D344" s="33">
        <f>IF($A344&gt;NYears*12,"",MOD($A344-1,12)+1)</f>
        <v/>
      </c>
      <c r="E344" s="35">
        <f>IF($A344&gt;NYears*12,"",LotValue0*(1+LotGrowth)^($C344-1))</f>
        <v/>
      </c>
      <c r="F344" s="35">
        <f>IF($A344&gt;NYears*12,"",IF($A344=1,InitInvest,$R343))</f>
        <v/>
      </c>
      <c r="G344" s="33">
        <f>IF($A344&gt;NYears*12,"",INT($F344/$E344))</f>
        <v/>
      </c>
      <c r="H344" s="35">
        <f>IF($A344&gt;NYears*12,"",$G344*$E344)</f>
        <v/>
      </c>
      <c r="I344" s="35">
        <f>IF($A344&gt;NYears*12,"",$F344-$H344)</f>
        <v/>
      </c>
      <c r="J344" s="35">
        <f>IF($A344&gt;NYears*12,"",$H344*RateC)</f>
        <v/>
      </c>
      <c r="K344" s="35">
        <f>IF($A344&gt;NYears*12,"",IF($D344=1,$J344,$K343+$J344))</f>
        <v/>
      </c>
      <c r="L344" s="35">
        <f>IF($A344&gt;NYears*12,"",IF(MOD($D344,3)=0,SUM($J342:$J344),0))</f>
        <v/>
      </c>
      <c r="M344" s="35">
        <f>IF($A344&gt;NYears*12,"",IF(TaxFreq="Quarterly",$K344*12/$D344,$K344))</f>
        <v/>
      </c>
      <c r="N344" s="36">
        <f>IF($A344&gt;NYears*12,"",LOOKUP($M344,TaxLower,TaxRate))</f>
        <v/>
      </c>
      <c r="O344" s="35">
        <f>IF($A344&gt;NYears*12,"",IF(TaxFreq="Quarterly",IF(MOD($D344,3)=0,$L344*$N344,0),IF($D344=12,$K344*$N344,0)))</f>
        <v/>
      </c>
      <c r="P344" s="35">
        <f>IF($A344&gt;NYears*12,"",IF($D344=1,$O344,$P343+$O344))</f>
        <v/>
      </c>
      <c r="Q344" s="35">
        <f>IF($A344&gt;NYears*12,"",IF($D344=12,MIN(WdrPct*IF(WdrBase="Post-tax profit",$K344-$P344,$K344),WdrCap),0))</f>
        <v/>
      </c>
      <c r="R344" s="35">
        <f>IF($A344&gt;NYears*12,"",$F344+$J344-$O344-$Q344)</f>
        <v/>
      </c>
      <c r="S344" s="33">
        <f>IF($A344&gt;NYears*12,"",INT($R344/$E344))</f>
        <v/>
      </c>
    </row>
    <row r="345">
      <c r="A345" s="33">
        <f>341</f>
        <v/>
      </c>
      <c r="B345" s="34">
        <f>IF($A345&gt;NYears*12,"",EDATE(StartMonth,$A345-1))</f>
        <v/>
      </c>
      <c r="C345" s="33">
        <f>IF($A345&gt;NYears*12,"",INT(($A345-1)/12)+1)</f>
        <v/>
      </c>
      <c r="D345" s="33">
        <f>IF($A345&gt;NYears*12,"",MOD($A345-1,12)+1)</f>
        <v/>
      </c>
      <c r="E345" s="35">
        <f>IF($A345&gt;NYears*12,"",LotValue0*(1+LotGrowth)^($C345-1))</f>
        <v/>
      </c>
      <c r="F345" s="35">
        <f>IF($A345&gt;NYears*12,"",IF($A345=1,InitInvest,$R344))</f>
        <v/>
      </c>
      <c r="G345" s="33">
        <f>IF($A345&gt;NYears*12,"",INT($F345/$E345))</f>
        <v/>
      </c>
      <c r="H345" s="35">
        <f>IF($A345&gt;NYears*12,"",$G345*$E345)</f>
        <v/>
      </c>
      <c r="I345" s="35">
        <f>IF($A345&gt;NYears*12,"",$F345-$H345)</f>
        <v/>
      </c>
      <c r="J345" s="35">
        <f>IF($A345&gt;NYears*12,"",$H345*RateC)</f>
        <v/>
      </c>
      <c r="K345" s="35">
        <f>IF($A345&gt;NYears*12,"",IF($D345=1,$J345,$K344+$J345))</f>
        <v/>
      </c>
      <c r="L345" s="35">
        <f>IF($A345&gt;NYears*12,"",IF(MOD($D345,3)=0,SUM($J343:$J345),0))</f>
        <v/>
      </c>
      <c r="M345" s="35">
        <f>IF($A345&gt;NYears*12,"",IF(TaxFreq="Quarterly",$K345*12/$D345,$K345))</f>
        <v/>
      </c>
      <c r="N345" s="36">
        <f>IF($A345&gt;NYears*12,"",LOOKUP($M345,TaxLower,TaxRate))</f>
        <v/>
      </c>
      <c r="O345" s="35">
        <f>IF($A345&gt;NYears*12,"",IF(TaxFreq="Quarterly",IF(MOD($D345,3)=0,$L345*$N345,0),IF($D345=12,$K345*$N345,0)))</f>
        <v/>
      </c>
      <c r="P345" s="35">
        <f>IF($A345&gt;NYears*12,"",IF($D345=1,$O345,$P344+$O345))</f>
        <v/>
      </c>
      <c r="Q345" s="35">
        <f>IF($A345&gt;NYears*12,"",IF($D345=12,MIN(WdrPct*IF(WdrBase="Post-tax profit",$K345-$P345,$K345),WdrCap),0))</f>
        <v/>
      </c>
      <c r="R345" s="35">
        <f>IF($A345&gt;NYears*12,"",$F345+$J345-$O345-$Q345)</f>
        <v/>
      </c>
      <c r="S345" s="33">
        <f>IF($A345&gt;NYears*12,"",INT($R345/$E345))</f>
        <v/>
      </c>
    </row>
    <row r="346">
      <c r="A346" s="33">
        <f>342</f>
        <v/>
      </c>
      <c r="B346" s="34">
        <f>IF($A346&gt;NYears*12,"",EDATE(StartMonth,$A346-1))</f>
        <v/>
      </c>
      <c r="C346" s="33">
        <f>IF($A346&gt;NYears*12,"",INT(($A346-1)/12)+1)</f>
        <v/>
      </c>
      <c r="D346" s="33">
        <f>IF($A346&gt;NYears*12,"",MOD($A346-1,12)+1)</f>
        <v/>
      </c>
      <c r="E346" s="35">
        <f>IF($A346&gt;NYears*12,"",LotValue0*(1+LotGrowth)^($C346-1))</f>
        <v/>
      </c>
      <c r="F346" s="35">
        <f>IF($A346&gt;NYears*12,"",IF($A346=1,InitInvest,$R345))</f>
        <v/>
      </c>
      <c r="G346" s="33">
        <f>IF($A346&gt;NYears*12,"",INT($F346/$E346))</f>
        <v/>
      </c>
      <c r="H346" s="35">
        <f>IF($A346&gt;NYears*12,"",$G346*$E346)</f>
        <v/>
      </c>
      <c r="I346" s="35">
        <f>IF($A346&gt;NYears*12,"",$F346-$H346)</f>
        <v/>
      </c>
      <c r="J346" s="35">
        <f>IF($A346&gt;NYears*12,"",$H346*RateC)</f>
        <v/>
      </c>
      <c r="K346" s="35">
        <f>IF($A346&gt;NYears*12,"",IF($D346=1,$J346,$K345+$J346))</f>
        <v/>
      </c>
      <c r="L346" s="35">
        <f>IF($A346&gt;NYears*12,"",IF(MOD($D346,3)=0,SUM($J344:$J346),0))</f>
        <v/>
      </c>
      <c r="M346" s="35">
        <f>IF($A346&gt;NYears*12,"",IF(TaxFreq="Quarterly",$K346*12/$D346,$K346))</f>
        <v/>
      </c>
      <c r="N346" s="36">
        <f>IF($A346&gt;NYears*12,"",LOOKUP($M346,TaxLower,TaxRate))</f>
        <v/>
      </c>
      <c r="O346" s="35">
        <f>IF($A346&gt;NYears*12,"",IF(TaxFreq="Quarterly",IF(MOD($D346,3)=0,$L346*$N346,0),IF($D346=12,$K346*$N346,0)))</f>
        <v/>
      </c>
      <c r="P346" s="35">
        <f>IF($A346&gt;NYears*12,"",IF($D346=1,$O346,$P345+$O346))</f>
        <v/>
      </c>
      <c r="Q346" s="35">
        <f>IF($A346&gt;NYears*12,"",IF($D346=12,MIN(WdrPct*IF(WdrBase="Post-tax profit",$K346-$P346,$K346),WdrCap),0))</f>
        <v/>
      </c>
      <c r="R346" s="35">
        <f>IF($A346&gt;NYears*12,"",$F346+$J346-$O346-$Q346)</f>
        <v/>
      </c>
      <c r="S346" s="33">
        <f>IF($A346&gt;NYears*12,"",INT($R346/$E346))</f>
        <v/>
      </c>
    </row>
    <row r="347">
      <c r="A347" s="33">
        <f>343</f>
        <v/>
      </c>
      <c r="B347" s="34">
        <f>IF($A347&gt;NYears*12,"",EDATE(StartMonth,$A347-1))</f>
        <v/>
      </c>
      <c r="C347" s="33">
        <f>IF($A347&gt;NYears*12,"",INT(($A347-1)/12)+1)</f>
        <v/>
      </c>
      <c r="D347" s="33">
        <f>IF($A347&gt;NYears*12,"",MOD($A347-1,12)+1)</f>
        <v/>
      </c>
      <c r="E347" s="35">
        <f>IF($A347&gt;NYears*12,"",LotValue0*(1+LotGrowth)^($C347-1))</f>
        <v/>
      </c>
      <c r="F347" s="35">
        <f>IF($A347&gt;NYears*12,"",IF($A347=1,InitInvest,$R346))</f>
        <v/>
      </c>
      <c r="G347" s="33">
        <f>IF($A347&gt;NYears*12,"",INT($F347/$E347))</f>
        <v/>
      </c>
      <c r="H347" s="35">
        <f>IF($A347&gt;NYears*12,"",$G347*$E347)</f>
        <v/>
      </c>
      <c r="I347" s="35">
        <f>IF($A347&gt;NYears*12,"",$F347-$H347)</f>
        <v/>
      </c>
      <c r="J347" s="35">
        <f>IF($A347&gt;NYears*12,"",$H347*RateC)</f>
        <v/>
      </c>
      <c r="K347" s="35">
        <f>IF($A347&gt;NYears*12,"",IF($D347=1,$J347,$K346+$J347))</f>
        <v/>
      </c>
      <c r="L347" s="35">
        <f>IF($A347&gt;NYears*12,"",IF(MOD($D347,3)=0,SUM($J345:$J347),0))</f>
        <v/>
      </c>
      <c r="M347" s="35">
        <f>IF($A347&gt;NYears*12,"",IF(TaxFreq="Quarterly",$K347*12/$D347,$K347))</f>
        <v/>
      </c>
      <c r="N347" s="36">
        <f>IF($A347&gt;NYears*12,"",LOOKUP($M347,TaxLower,TaxRate))</f>
        <v/>
      </c>
      <c r="O347" s="35">
        <f>IF($A347&gt;NYears*12,"",IF(TaxFreq="Quarterly",IF(MOD($D347,3)=0,$L347*$N347,0),IF($D347=12,$K347*$N347,0)))</f>
        <v/>
      </c>
      <c r="P347" s="35">
        <f>IF($A347&gt;NYears*12,"",IF($D347=1,$O347,$P346+$O347))</f>
        <v/>
      </c>
      <c r="Q347" s="35">
        <f>IF($A347&gt;NYears*12,"",IF($D347=12,MIN(WdrPct*IF(WdrBase="Post-tax profit",$K347-$P347,$K347),WdrCap),0))</f>
        <v/>
      </c>
      <c r="R347" s="35">
        <f>IF($A347&gt;NYears*12,"",$F347+$J347-$O347-$Q347)</f>
        <v/>
      </c>
      <c r="S347" s="33">
        <f>IF($A347&gt;NYears*12,"",INT($R347/$E347))</f>
        <v/>
      </c>
    </row>
    <row r="348">
      <c r="A348" s="33">
        <f>344</f>
        <v/>
      </c>
      <c r="B348" s="34">
        <f>IF($A348&gt;NYears*12,"",EDATE(StartMonth,$A348-1))</f>
        <v/>
      </c>
      <c r="C348" s="33">
        <f>IF($A348&gt;NYears*12,"",INT(($A348-1)/12)+1)</f>
        <v/>
      </c>
      <c r="D348" s="33">
        <f>IF($A348&gt;NYears*12,"",MOD($A348-1,12)+1)</f>
        <v/>
      </c>
      <c r="E348" s="35">
        <f>IF($A348&gt;NYears*12,"",LotValue0*(1+LotGrowth)^($C348-1))</f>
        <v/>
      </c>
      <c r="F348" s="35">
        <f>IF($A348&gt;NYears*12,"",IF($A348=1,InitInvest,$R347))</f>
        <v/>
      </c>
      <c r="G348" s="33">
        <f>IF($A348&gt;NYears*12,"",INT($F348/$E348))</f>
        <v/>
      </c>
      <c r="H348" s="35">
        <f>IF($A348&gt;NYears*12,"",$G348*$E348)</f>
        <v/>
      </c>
      <c r="I348" s="35">
        <f>IF($A348&gt;NYears*12,"",$F348-$H348)</f>
        <v/>
      </c>
      <c r="J348" s="35">
        <f>IF($A348&gt;NYears*12,"",$H348*RateC)</f>
        <v/>
      </c>
      <c r="K348" s="35">
        <f>IF($A348&gt;NYears*12,"",IF($D348=1,$J348,$K347+$J348))</f>
        <v/>
      </c>
      <c r="L348" s="35">
        <f>IF($A348&gt;NYears*12,"",IF(MOD($D348,3)=0,SUM($J346:$J348),0))</f>
        <v/>
      </c>
      <c r="M348" s="35">
        <f>IF($A348&gt;NYears*12,"",IF(TaxFreq="Quarterly",$K348*12/$D348,$K348))</f>
        <v/>
      </c>
      <c r="N348" s="36">
        <f>IF($A348&gt;NYears*12,"",LOOKUP($M348,TaxLower,TaxRate))</f>
        <v/>
      </c>
      <c r="O348" s="35">
        <f>IF($A348&gt;NYears*12,"",IF(TaxFreq="Quarterly",IF(MOD($D348,3)=0,$L348*$N348,0),IF($D348=12,$K348*$N348,0)))</f>
        <v/>
      </c>
      <c r="P348" s="35">
        <f>IF($A348&gt;NYears*12,"",IF($D348=1,$O348,$P347+$O348))</f>
        <v/>
      </c>
      <c r="Q348" s="35">
        <f>IF($A348&gt;NYears*12,"",IF($D348=12,MIN(WdrPct*IF(WdrBase="Post-tax profit",$K348-$P348,$K348),WdrCap),0))</f>
        <v/>
      </c>
      <c r="R348" s="35">
        <f>IF($A348&gt;NYears*12,"",$F348+$J348-$O348-$Q348)</f>
        <v/>
      </c>
      <c r="S348" s="33">
        <f>IF($A348&gt;NYears*12,"",INT($R348/$E348))</f>
        <v/>
      </c>
    </row>
    <row r="349">
      <c r="A349" s="33">
        <f>345</f>
        <v/>
      </c>
      <c r="B349" s="34">
        <f>IF($A349&gt;NYears*12,"",EDATE(StartMonth,$A349-1))</f>
        <v/>
      </c>
      <c r="C349" s="33">
        <f>IF($A349&gt;NYears*12,"",INT(($A349-1)/12)+1)</f>
        <v/>
      </c>
      <c r="D349" s="33">
        <f>IF($A349&gt;NYears*12,"",MOD($A349-1,12)+1)</f>
        <v/>
      </c>
      <c r="E349" s="35">
        <f>IF($A349&gt;NYears*12,"",LotValue0*(1+LotGrowth)^($C349-1))</f>
        <v/>
      </c>
      <c r="F349" s="35">
        <f>IF($A349&gt;NYears*12,"",IF($A349=1,InitInvest,$R348))</f>
        <v/>
      </c>
      <c r="G349" s="33">
        <f>IF($A349&gt;NYears*12,"",INT($F349/$E349))</f>
        <v/>
      </c>
      <c r="H349" s="35">
        <f>IF($A349&gt;NYears*12,"",$G349*$E349)</f>
        <v/>
      </c>
      <c r="I349" s="35">
        <f>IF($A349&gt;NYears*12,"",$F349-$H349)</f>
        <v/>
      </c>
      <c r="J349" s="35">
        <f>IF($A349&gt;NYears*12,"",$H349*RateC)</f>
        <v/>
      </c>
      <c r="K349" s="35">
        <f>IF($A349&gt;NYears*12,"",IF($D349=1,$J349,$K348+$J349))</f>
        <v/>
      </c>
      <c r="L349" s="35">
        <f>IF($A349&gt;NYears*12,"",IF(MOD($D349,3)=0,SUM($J347:$J349),0))</f>
        <v/>
      </c>
      <c r="M349" s="35">
        <f>IF($A349&gt;NYears*12,"",IF(TaxFreq="Quarterly",$K349*12/$D349,$K349))</f>
        <v/>
      </c>
      <c r="N349" s="36">
        <f>IF($A349&gt;NYears*12,"",LOOKUP($M349,TaxLower,TaxRate))</f>
        <v/>
      </c>
      <c r="O349" s="35">
        <f>IF($A349&gt;NYears*12,"",IF(TaxFreq="Quarterly",IF(MOD($D349,3)=0,$L349*$N349,0),IF($D349=12,$K349*$N349,0)))</f>
        <v/>
      </c>
      <c r="P349" s="35">
        <f>IF($A349&gt;NYears*12,"",IF($D349=1,$O349,$P348+$O349))</f>
        <v/>
      </c>
      <c r="Q349" s="35">
        <f>IF($A349&gt;NYears*12,"",IF($D349=12,MIN(WdrPct*IF(WdrBase="Post-tax profit",$K349-$P349,$K349),WdrCap),0))</f>
        <v/>
      </c>
      <c r="R349" s="35">
        <f>IF($A349&gt;NYears*12,"",$F349+$J349-$O349-$Q349)</f>
        <v/>
      </c>
      <c r="S349" s="33">
        <f>IF($A349&gt;NYears*12,"",INT($R349/$E349))</f>
        <v/>
      </c>
    </row>
    <row r="350">
      <c r="A350" s="33">
        <f>346</f>
        <v/>
      </c>
      <c r="B350" s="34">
        <f>IF($A350&gt;NYears*12,"",EDATE(StartMonth,$A350-1))</f>
        <v/>
      </c>
      <c r="C350" s="33">
        <f>IF($A350&gt;NYears*12,"",INT(($A350-1)/12)+1)</f>
        <v/>
      </c>
      <c r="D350" s="33">
        <f>IF($A350&gt;NYears*12,"",MOD($A350-1,12)+1)</f>
        <v/>
      </c>
      <c r="E350" s="35">
        <f>IF($A350&gt;NYears*12,"",LotValue0*(1+LotGrowth)^($C350-1))</f>
        <v/>
      </c>
      <c r="F350" s="35">
        <f>IF($A350&gt;NYears*12,"",IF($A350=1,InitInvest,$R349))</f>
        <v/>
      </c>
      <c r="G350" s="33">
        <f>IF($A350&gt;NYears*12,"",INT($F350/$E350))</f>
        <v/>
      </c>
      <c r="H350" s="35">
        <f>IF($A350&gt;NYears*12,"",$G350*$E350)</f>
        <v/>
      </c>
      <c r="I350" s="35">
        <f>IF($A350&gt;NYears*12,"",$F350-$H350)</f>
        <v/>
      </c>
      <c r="J350" s="35">
        <f>IF($A350&gt;NYears*12,"",$H350*RateC)</f>
        <v/>
      </c>
      <c r="K350" s="35">
        <f>IF($A350&gt;NYears*12,"",IF($D350=1,$J350,$K349+$J350))</f>
        <v/>
      </c>
      <c r="L350" s="35">
        <f>IF($A350&gt;NYears*12,"",IF(MOD($D350,3)=0,SUM($J348:$J350),0))</f>
        <v/>
      </c>
      <c r="M350" s="35">
        <f>IF($A350&gt;NYears*12,"",IF(TaxFreq="Quarterly",$K350*12/$D350,$K350))</f>
        <v/>
      </c>
      <c r="N350" s="36">
        <f>IF($A350&gt;NYears*12,"",LOOKUP($M350,TaxLower,TaxRate))</f>
        <v/>
      </c>
      <c r="O350" s="35">
        <f>IF($A350&gt;NYears*12,"",IF(TaxFreq="Quarterly",IF(MOD($D350,3)=0,$L350*$N350,0),IF($D350=12,$K350*$N350,0)))</f>
        <v/>
      </c>
      <c r="P350" s="35">
        <f>IF($A350&gt;NYears*12,"",IF($D350=1,$O350,$P349+$O350))</f>
        <v/>
      </c>
      <c r="Q350" s="35">
        <f>IF($A350&gt;NYears*12,"",IF($D350=12,MIN(WdrPct*IF(WdrBase="Post-tax profit",$K350-$P350,$K350),WdrCap),0))</f>
        <v/>
      </c>
      <c r="R350" s="35">
        <f>IF($A350&gt;NYears*12,"",$F350+$J350-$O350-$Q350)</f>
        <v/>
      </c>
      <c r="S350" s="33">
        <f>IF($A350&gt;NYears*12,"",INT($R350/$E350))</f>
        <v/>
      </c>
    </row>
    <row r="351">
      <c r="A351" s="33">
        <f>347</f>
        <v/>
      </c>
      <c r="B351" s="34">
        <f>IF($A351&gt;NYears*12,"",EDATE(StartMonth,$A351-1))</f>
        <v/>
      </c>
      <c r="C351" s="33">
        <f>IF($A351&gt;NYears*12,"",INT(($A351-1)/12)+1)</f>
        <v/>
      </c>
      <c r="D351" s="33">
        <f>IF($A351&gt;NYears*12,"",MOD($A351-1,12)+1)</f>
        <v/>
      </c>
      <c r="E351" s="35">
        <f>IF($A351&gt;NYears*12,"",LotValue0*(1+LotGrowth)^($C351-1))</f>
        <v/>
      </c>
      <c r="F351" s="35">
        <f>IF($A351&gt;NYears*12,"",IF($A351=1,InitInvest,$R350))</f>
        <v/>
      </c>
      <c r="G351" s="33">
        <f>IF($A351&gt;NYears*12,"",INT($F351/$E351))</f>
        <v/>
      </c>
      <c r="H351" s="35">
        <f>IF($A351&gt;NYears*12,"",$G351*$E351)</f>
        <v/>
      </c>
      <c r="I351" s="35">
        <f>IF($A351&gt;NYears*12,"",$F351-$H351)</f>
        <v/>
      </c>
      <c r="J351" s="35">
        <f>IF($A351&gt;NYears*12,"",$H351*RateC)</f>
        <v/>
      </c>
      <c r="K351" s="35">
        <f>IF($A351&gt;NYears*12,"",IF($D351=1,$J351,$K350+$J351))</f>
        <v/>
      </c>
      <c r="L351" s="35">
        <f>IF($A351&gt;NYears*12,"",IF(MOD($D351,3)=0,SUM($J349:$J351),0))</f>
        <v/>
      </c>
      <c r="M351" s="35">
        <f>IF($A351&gt;NYears*12,"",IF(TaxFreq="Quarterly",$K351*12/$D351,$K351))</f>
        <v/>
      </c>
      <c r="N351" s="36">
        <f>IF($A351&gt;NYears*12,"",LOOKUP($M351,TaxLower,TaxRate))</f>
        <v/>
      </c>
      <c r="O351" s="35">
        <f>IF($A351&gt;NYears*12,"",IF(TaxFreq="Quarterly",IF(MOD($D351,3)=0,$L351*$N351,0),IF($D351=12,$K351*$N351,0)))</f>
        <v/>
      </c>
      <c r="P351" s="35">
        <f>IF($A351&gt;NYears*12,"",IF($D351=1,$O351,$P350+$O351))</f>
        <v/>
      </c>
      <c r="Q351" s="35">
        <f>IF($A351&gt;NYears*12,"",IF($D351=12,MIN(WdrPct*IF(WdrBase="Post-tax profit",$K351-$P351,$K351),WdrCap),0))</f>
        <v/>
      </c>
      <c r="R351" s="35">
        <f>IF($A351&gt;NYears*12,"",$F351+$J351-$O351-$Q351)</f>
        <v/>
      </c>
      <c r="S351" s="33">
        <f>IF($A351&gt;NYears*12,"",INT($R351/$E351))</f>
        <v/>
      </c>
    </row>
    <row r="352">
      <c r="A352" s="37">
        <f>348</f>
        <v/>
      </c>
      <c r="B352" s="38">
        <f>IF($A352&gt;NYears*12,"",EDATE(StartMonth,$A352-1))</f>
        <v/>
      </c>
      <c r="C352" s="37">
        <f>IF($A352&gt;NYears*12,"",INT(($A352-1)/12)+1)</f>
        <v/>
      </c>
      <c r="D352" s="37">
        <f>IF($A352&gt;NYears*12,"",MOD($A352-1,12)+1)</f>
        <v/>
      </c>
      <c r="E352" s="39">
        <f>IF($A352&gt;NYears*12,"",LotValue0*(1+LotGrowth)^($C352-1))</f>
        <v/>
      </c>
      <c r="F352" s="39">
        <f>IF($A352&gt;NYears*12,"",IF($A352=1,InitInvest,$R351))</f>
        <v/>
      </c>
      <c r="G352" s="37">
        <f>IF($A352&gt;NYears*12,"",INT($F352/$E352))</f>
        <v/>
      </c>
      <c r="H352" s="39">
        <f>IF($A352&gt;NYears*12,"",$G352*$E352)</f>
        <v/>
      </c>
      <c r="I352" s="39">
        <f>IF($A352&gt;NYears*12,"",$F352-$H352)</f>
        <v/>
      </c>
      <c r="J352" s="39">
        <f>IF($A352&gt;NYears*12,"",$H352*RateC)</f>
        <v/>
      </c>
      <c r="K352" s="39">
        <f>IF($A352&gt;NYears*12,"",IF($D352=1,$J352,$K351+$J352))</f>
        <v/>
      </c>
      <c r="L352" s="39">
        <f>IF($A352&gt;NYears*12,"",IF(MOD($D352,3)=0,SUM($J350:$J352),0))</f>
        <v/>
      </c>
      <c r="M352" s="39">
        <f>IF($A352&gt;NYears*12,"",IF(TaxFreq="Quarterly",$K352*12/$D352,$K352))</f>
        <v/>
      </c>
      <c r="N352" s="40">
        <f>IF($A352&gt;NYears*12,"",LOOKUP($M352,TaxLower,TaxRate))</f>
        <v/>
      </c>
      <c r="O352" s="39">
        <f>IF($A352&gt;NYears*12,"",IF(TaxFreq="Quarterly",IF(MOD($D352,3)=0,$L352*$N352,0),IF($D352=12,$K352*$N352,0)))</f>
        <v/>
      </c>
      <c r="P352" s="39">
        <f>IF($A352&gt;NYears*12,"",IF($D352=1,$O352,$P351+$O352))</f>
        <v/>
      </c>
      <c r="Q352" s="39">
        <f>IF($A352&gt;NYears*12,"",IF($D352=12,MIN(WdrPct*IF(WdrBase="Post-tax profit",$K352-$P352,$K352),WdrCap),0))</f>
        <v/>
      </c>
      <c r="R352" s="39">
        <f>IF($A352&gt;NYears*12,"",$F352+$J352-$O352-$Q352)</f>
        <v/>
      </c>
      <c r="S352" s="37">
        <f>IF($A352&gt;NYears*12,"",INT($R352/$E352))</f>
        <v/>
      </c>
    </row>
    <row r="353">
      <c r="A353" s="33">
        <f>349</f>
        <v/>
      </c>
      <c r="B353" s="34">
        <f>IF($A353&gt;NYears*12,"",EDATE(StartMonth,$A353-1))</f>
        <v/>
      </c>
      <c r="C353" s="33">
        <f>IF($A353&gt;NYears*12,"",INT(($A353-1)/12)+1)</f>
        <v/>
      </c>
      <c r="D353" s="33">
        <f>IF($A353&gt;NYears*12,"",MOD($A353-1,12)+1)</f>
        <v/>
      </c>
      <c r="E353" s="35">
        <f>IF($A353&gt;NYears*12,"",LotValue0*(1+LotGrowth)^($C353-1))</f>
        <v/>
      </c>
      <c r="F353" s="35">
        <f>IF($A353&gt;NYears*12,"",IF($A353=1,InitInvest,$R352))</f>
        <v/>
      </c>
      <c r="G353" s="33">
        <f>IF($A353&gt;NYears*12,"",INT($F353/$E353))</f>
        <v/>
      </c>
      <c r="H353" s="35">
        <f>IF($A353&gt;NYears*12,"",$G353*$E353)</f>
        <v/>
      </c>
      <c r="I353" s="35">
        <f>IF($A353&gt;NYears*12,"",$F353-$H353)</f>
        <v/>
      </c>
      <c r="J353" s="35">
        <f>IF($A353&gt;NYears*12,"",$H353*RateC)</f>
        <v/>
      </c>
      <c r="K353" s="35">
        <f>IF($A353&gt;NYears*12,"",IF($D353=1,$J353,$K352+$J353))</f>
        <v/>
      </c>
      <c r="L353" s="35">
        <f>IF($A353&gt;NYears*12,"",IF(MOD($D353,3)=0,SUM($J351:$J353),0))</f>
        <v/>
      </c>
      <c r="M353" s="35">
        <f>IF($A353&gt;NYears*12,"",IF(TaxFreq="Quarterly",$K353*12/$D353,$K353))</f>
        <v/>
      </c>
      <c r="N353" s="36">
        <f>IF($A353&gt;NYears*12,"",LOOKUP($M353,TaxLower,TaxRate))</f>
        <v/>
      </c>
      <c r="O353" s="35">
        <f>IF($A353&gt;NYears*12,"",IF(TaxFreq="Quarterly",IF(MOD($D353,3)=0,$L353*$N353,0),IF($D353=12,$K353*$N353,0)))</f>
        <v/>
      </c>
      <c r="P353" s="35">
        <f>IF($A353&gt;NYears*12,"",IF($D353=1,$O353,$P352+$O353))</f>
        <v/>
      </c>
      <c r="Q353" s="35">
        <f>IF($A353&gt;NYears*12,"",IF($D353=12,MIN(WdrPct*IF(WdrBase="Post-tax profit",$K353-$P353,$K353),WdrCap),0))</f>
        <v/>
      </c>
      <c r="R353" s="35">
        <f>IF($A353&gt;NYears*12,"",$F353+$J353-$O353-$Q353)</f>
        <v/>
      </c>
      <c r="S353" s="33">
        <f>IF($A353&gt;NYears*12,"",INT($R353/$E353))</f>
        <v/>
      </c>
    </row>
    <row r="354">
      <c r="A354" s="33">
        <f>350</f>
        <v/>
      </c>
      <c r="B354" s="34">
        <f>IF($A354&gt;NYears*12,"",EDATE(StartMonth,$A354-1))</f>
        <v/>
      </c>
      <c r="C354" s="33">
        <f>IF($A354&gt;NYears*12,"",INT(($A354-1)/12)+1)</f>
        <v/>
      </c>
      <c r="D354" s="33">
        <f>IF($A354&gt;NYears*12,"",MOD($A354-1,12)+1)</f>
        <v/>
      </c>
      <c r="E354" s="35">
        <f>IF($A354&gt;NYears*12,"",LotValue0*(1+LotGrowth)^($C354-1))</f>
        <v/>
      </c>
      <c r="F354" s="35">
        <f>IF($A354&gt;NYears*12,"",IF($A354=1,InitInvest,$R353))</f>
        <v/>
      </c>
      <c r="G354" s="33">
        <f>IF($A354&gt;NYears*12,"",INT($F354/$E354))</f>
        <v/>
      </c>
      <c r="H354" s="35">
        <f>IF($A354&gt;NYears*12,"",$G354*$E354)</f>
        <v/>
      </c>
      <c r="I354" s="35">
        <f>IF($A354&gt;NYears*12,"",$F354-$H354)</f>
        <v/>
      </c>
      <c r="J354" s="35">
        <f>IF($A354&gt;NYears*12,"",$H354*RateC)</f>
        <v/>
      </c>
      <c r="K354" s="35">
        <f>IF($A354&gt;NYears*12,"",IF($D354=1,$J354,$K353+$J354))</f>
        <v/>
      </c>
      <c r="L354" s="35">
        <f>IF($A354&gt;NYears*12,"",IF(MOD($D354,3)=0,SUM($J352:$J354),0))</f>
        <v/>
      </c>
      <c r="M354" s="35">
        <f>IF($A354&gt;NYears*12,"",IF(TaxFreq="Quarterly",$K354*12/$D354,$K354))</f>
        <v/>
      </c>
      <c r="N354" s="36">
        <f>IF($A354&gt;NYears*12,"",LOOKUP($M354,TaxLower,TaxRate))</f>
        <v/>
      </c>
      <c r="O354" s="35">
        <f>IF($A354&gt;NYears*12,"",IF(TaxFreq="Quarterly",IF(MOD($D354,3)=0,$L354*$N354,0),IF($D354=12,$K354*$N354,0)))</f>
        <v/>
      </c>
      <c r="P354" s="35">
        <f>IF($A354&gt;NYears*12,"",IF($D354=1,$O354,$P353+$O354))</f>
        <v/>
      </c>
      <c r="Q354" s="35">
        <f>IF($A354&gt;NYears*12,"",IF($D354=12,MIN(WdrPct*IF(WdrBase="Post-tax profit",$K354-$P354,$K354),WdrCap),0))</f>
        <v/>
      </c>
      <c r="R354" s="35">
        <f>IF($A354&gt;NYears*12,"",$F354+$J354-$O354-$Q354)</f>
        <v/>
      </c>
      <c r="S354" s="33">
        <f>IF($A354&gt;NYears*12,"",INT($R354/$E354))</f>
        <v/>
      </c>
    </row>
    <row r="355">
      <c r="A355" s="33">
        <f>351</f>
        <v/>
      </c>
      <c r="B355" s="34">
        <f>IF($A355&gt;NYears*12,"",EDATE(StartMonth,$A355-1))</f>
        <v/>
      </c>
      <c r="C355" s="33">
        <f>IF($A355&gt;NYears*12,"",INT(($A355-1)/12)+1)</f>
        <v/>
      </c>
      <c r="D355" s="33">
        <f>IF($A355&gt;NYears*12,"",MOD($A355-1,12)+1)</f>
        <v/>
      </c>
      <c r="E355" s="35">
        <f>IF($A355&gt;NYears*12,"",LotValue0*(1+LotGrowth)^($C355-1))</f>
        <v/>
      </c>
      <c r="F355" s="35">
        <f>IF($A355&gt;NYears*12,"",IF($A355=1,InitInvest,$R354))</f>
        <v/>
      </c>
      <c r="G355" s="33">
        <f>IF($A355&gt;NYears*12,"",INT($F355/$E355))</f>
        <v/>
      </c>
      <c r="H355" s="35">
        <f>IF($A355&gt;NYears*12,"",$G355*$E355)</f>
        <v/>
      </c>
      <c r="I355" s="35">
        <f>IF($A355&gt;NYears*12,"",$F355-$H355)</f>
        <v/>
      </c>
      <c r="J355" s="35">
        <f>IF($A355&gt;NYears*12,"",$H355*RateC)</f>
        <v/>
      </c>
      <c r="K355" s="35">
        <f>IF($A355&gt;NYears*12,"",IF($D355=1,$J355,$K354+$J355))</f>
        <v/>
      </c>
      <c r="L355" s="35">
        <f>IF($A355&gt;NYears*12,"",IF(MOD($D355,3)=0,SUM($J353:$J355),0))</f>
        <v/>
      </c>
      <c r="M355" s="35">
        <f>IF($A355&gt;NYears*12,"",IF(TaxFreq="Quarterly",$K355*12/$D355,$K355))</f>
        <v/>
      </c>
      <c r="N355" s="36">
        <f>IF($A355&gt;NYears*12,"",LOOKUP($M355,TaxLower,TaxRate))</f>
        <v/>
      </c>
      <c r="O355" s="35">
        <f>IF($A355&gt;NYears*12,"",IF(TaxFreq="Quarterly",IF(MOD($D355,3)=0,$L355*$N355,0),IF($D355=12,$K355*$N355,0)))</f>
        <v/>
      </c>
      <c r="P355" s="35">
        <f>IF($A355&gt;NYears*12,"",IF($D355=1,$O355,$P354+$O355))</f>
        <v/>
      </c>
      <c r="Q355" s="35">
        <f>IF($A355&gt;NYears*12,"",IF($D355=12,MIN(WdrPct*IF(WdrBase="Post-tax profit",$K355-$P355,$K355),WdrCap),0))</f>
        <v/>
      </c>
      <c r="R355" s="35">
        <f>IF($A355&gt;NYears*12,"",$F355+$J355-$O355-$Q355)</f>
        <v/>
      </c>
      <c r="S355" s="33">
        <f>IF($A355&gt;NYears*12,"",INT($R355/$E355))</f>
        <v/>
      </c>
    </row>
    <row r="356">
      <c r="A356" s="33">
        <f>352</f>
        <v/>
      </c>
      <c r="B356" s="34">
        <f>IF($A356&gt;NYears*12,"",EDATE(StartMonth,$A356-1))</f>
        <v/>
      </c>
      <c r="C356" s="33">
        <f>IF($A356&gt;NYears*12,"",INT(($A356-1)/12)+1)</f>
        <v/>
      </c>
      <c r="D356" s="33">
        <f>IF($A356&gt;NYears*12,"",MOD($A356-1,12)+1)</f>
        <v/>
      </c>
      <c r="E356" s="35">
        <f>IF($A356&gt;NYears*12,"",LotValue0*(1+LotGrowth)^($C356-1))</f>
        <v/>
      </c>
      <c r="F356" s="35">
        <f>IF($A356&gt;NYears*12,"",IF($A356=1,InitInvest,$R355))</f>
        <v/>
      </c>
      <c r="G356" s="33">
        <f>IF($A356&gt;NYears*12,"",INT($F356/$E356))</f>
        <v/>
      </c>
      <c r="H356" s="35">
        <f>IF($A356&gt;NYears*12,"",$G356*$E356)</f>
        <v/>
      </c>
      <c r="I356" s="35">
        <f>IF($A356&gt;NYears*12,"",$F356-$H356)</f>
        <v/>
      </c>
      <c r="J356" s="35">
        <f>IF($A356&gt;NYears*12,"",$H356*RateC)</f>
        <v/>
      </c>
      <c r="K356" s="35">
        <f>IF($A356&gt;NYears*12,"",IF($D356=1,$J356,$K355+$J356))</f>
        <v/>
      </c>
      <c r="L356" s="35">
        <f>IF($A356&gt;NYears*12,"",IF(MOD($D356,3)=0,SUM($J354:$J356),0))</f>
        <v/>
      </c>
      <c r="M356" s="35">
        <f>IF($A356&gt;NYears*12,"",IF(TaxFreq="Quarterly",$K356*12/$D356,$K356))</f>
        <v/>
      </c>
      <c r="N356" s="36">
        <f>IF($A356&gt;NYears*12,"",LOOKUP($M356,TaxLower,TaxRate))</f>
        <v/>
      </c>
      <c r="O356" s="35">
        <f>IF($A356&gt;NYears*12,"",IF(TaxFreq="Quarterly",IF(MOD($D356,3)=0,$L356*$N356,0),IF($D356=12,$K356*$N356,0)))</f>
        <v/>
      </c>
      <c r="P356" s="35">
        <f>IF($A356&gt;NYears*12,"",IF($D356=1,$O356,$P355+$O356))</f>
        <v/>
      </c>
      <c r="Q356" s="35">
        <f>IF($A356&gt;NYears*12,"",IF($D356=12,MIN(WdrPct*IF(WdrBase="Post-tax profit",$K356-$P356,$K356),WdrCap),0))</f>
        <v/>
      </c>
      <c r="R356" s="35">
        <f>IF($A356&gt;NYears*12,"",$F356+$J356-$O356-$Q356)</f>
        <v/>
      </c>
      <c r="S356" s="33">
        <f>IF($A356&gt;NYears*12,"",INT($R356/$E356))</f>
        <v/>
      </c>
    </row>
    <row r="357">
      <c r="A357" s="33">
        <f>353</f>
        <v/>
      </c>
      <c r="B357" s="34">
        <f>IF($A357&gt;NYears*12,"",EDATE(StartMonth,$A357-1))</f>
        <v/>
      </c>
      <c r="C357" s="33">
        <f>IF($A357&gt;NYears*12,"",INT(($A357-1)/12)+1)</f>
        <v/>
      </c>
      <c r="D357" s="33">
        <f>IF($A357&gt;NYears*12,"",MOD($A357-1,12)+1)</f>
        <v/>
      </c>
      <c r="E357" s="35">
        <f>IF($A357&gt;NYears*12,"",LotValue0*(1+LotGrowth)^($C357-1))</f>
        <v/>
      </c>
      <c r="F357" s="35">
        <f>IF($A357&gt;NYears*12,"",IF($A357=1,InitInvest,$R356))</f>
        <v/>
      </c>
      <c r="G357" s="33">
        <f>IF($A357&gt;NYears*12,"",INT($F357/$E357))</f>
        <v/>
      </c>
      <c r="H357" s="35">
        <f>IF($A357&gt;NYears*12,"",$G357*$E357)</f>
        <v/>
      </c>
      <c r="I357" s="35">
        <f>IF($A357&gt;NYears*12,"",$F357-$H357)</f>
        <v/>
      </c>
      <c r="J357" s="35">
        <f>IF($A357&gt;NYears*12,"",$H357*RateC)</f>
        <v/>
      </c>
      <c r="K357" s="35">
        <f>IF($A357&gt;NYears*12,"",IF($D357=1,$J357,$K356+$J357))</f>
        <v/>
      </c>
      <c r="L357" s="35">
        <f>IF($A357&gt;NYears*12,"",IF(MOD($D357,3)=0,SUM($J355:$J357),0))</f>
        <v/>
      </c>
      <c r="M357" s="35">
        <f>IF($A357&gt;NYears*12,"",IF(TaxFreq="Quarterly",$K357*12/$D357,$K357))</f>
        <v/>
      </c>
      <c r="N357" s="36">
        <f>IF($A357&gt;NYears*12,"",LOOKUP($M357,TaxLower,TaxRate))</f>
        <v/>
      </c>
      <c r="O357" s="35">
        <f>IF($A357&gt;NYears*12,"",IF(TaxFreq="Quarterly",IF(MOD($D357,3)=0,$L357*$N357,0),IF($D357=12,$K357*$N357,0)))</f>
        <v/>
      </c>
      <c r="P357" s="35">
        <f>IF($A357&gt;NYears*12,"",IF($D357=1,$O357,$P356+$O357))</f>
        <v/>
      </c>
      <c r="Q357" s="35">
        <f>IF($A357&gt;NYears*12,"",IF($D357=12,MIN(WdrPct*IF(WdrBase="Post-tax profit",$K357-$P357,$K357),WdrCap),0))</f>
        <v/>
      </c>
      <c r="R357" s="35">
        <f>IF($A357&gt;NYears*12,"",$F357+$J357-$O357-$Q357)</f>
        <v/>
      </c>
      <c r="S357" s="33">
        <f>IF($A357&gt;NYears*12,"",INT($R357/$E357))</f>
        <v/>
      </c>
    </row>
    <row r="358">
      <c r="A358" s="33">
        <f>354</f>
        <v/>
      </c>
      <c r="B358" s="34">
        <f>IF($A358&gt;NYears*12,"",EDATE(StartMonth,$A358-1))</f>
        <v/>
      </c>
      <c r="C358" s="33">
        <f>IF($A358&gt;NYears*12,"",INT(($A358-1)/12)+1)</f>
        <v/>
      </c>
      <c r="D358" s="33">
        <f>IF($A358&gt;NYears*12,"",MOD($A358-1,12)+1)</f>
        <v/>
      </c>
      <c r="E358" s="35">
        <f>IF($A358&gt;NYears*12,"",LotValue0*(1+LotGrowth)^($C358-1))</f>
        <v/>
      </c>
      <c r="F358" s="35">
        <f>IF($A358&gt;NYears*12,"",IF($A358=1,InitInvest,$R357))</f>
        <v/>
      </c>
      <c r="G358" s="33">
        <f>IF($A358&gt;NYears*12,"",INT($F358/$E358))</f>
        <v/>
      </c>
      <c r="H358" s="35">
        <f>IF($A358&gt;NYears*12,"",$G358*$E358)</f>
        <v/>
      </c>
      <c r="I358" s="35">
        <f>IF($A358&gt;NYears*12,"",$F358-$H358)</f>
        <v/>
      </c>
      <c r="J358" s="35">
        <f>IF($A358&gt;NYears*12,"",$H358*RateC)</f>
        <v/>
      </c>
      <c r="K358" s="35">
        <f>IF($A358&gt;NYears*12,"",IF($D358=1,$J358,$K357+$J358))</f>
        <v/>
      </c>
      <c r="L358" s="35">
        <f>IF($A358&gt;NYears*12,"",IF(MOD($D358,3)=0,SUM($J356:$J358),0))</f>
        <v/>
      </c>
      <c r="M358" s="35">
        <f>IF($A358&gt;NYears*12,"",IF(TaxFreq="Quarterly",$K358*12/$D358,$K358))</f>
        <v/>
      </c>
      <c r="N358" s="36">
        <f>IF($A358&gt;NYears*12,"",LOOKUP($M358,TaxLower,TaxRate))</f>
        <v/>
      </c>
      <c r="O358" s="35">
        <f>IF($A358&gt;NYears*12,"",IF(TaxFreq="Quarterly",IF(MOD($D358,3)=0,$L358*$N358,0),IF($D358=12,$K358*$N358,0)))</f>
        <v/>
      </c>
      <c r="P358" s="35">
        <f>IF($A358&gt;NYears*12,"",IF($D358=1,$O358,$P357+$O358))</f>
        <v/>
      </c>
      <c r="Q358" s="35">
        <f>IF($A358&gt;NYears*12,"",IF($D358=12,MIN(WdrPct*IF(WdrBase="Post-tax profit",$K358-$P358,$K358),WdrCap),0))</f>
        <v/>
      </c>
      <c r="R358" s="35">
        <f>IF($A358&gt;NYears*12,"",$F358+$J358-$O358-$Q358)</f>
        <v/>
      </c>
      <c r="S358" s="33">
        <f>IF($A358&gt;NYears*12,"",INT($R358/$E358))</f>
        <v/>
      </c>
    </row>
    <row r="359">
      <c r="A359" s="33">
        <f>355</f>
        <v/>
      </c>
      <c r="B359" s="34">
        <f>IF($A359&gt;NYears*12,"",EDATE(StartMonth,$A359-1))</f>
        <v/>
      </c>
      <c r="C359" s="33">
        <f>IF($A359&gt;NYears*12,"",INT(($A359-1)/12)+1)</f>
        <v/>
      </c>
      <c r="D359" s="33">
        <f>IF($A359&gt;NYears*12,"",MOD($A359-1,12)+1)</f>
        <v/>
      </c>
      <c r="E359" s="35">
        <f>IF($A359&gt;NYears*12,"",LotValue0*(1+LotGrowth)^($C359-1))</f>
        <v/>
      </c>
      <c r="F359" s="35">
        <f>IF($A359&gt;NYears*12,"",IF($A359=1,InitInvest,$R358))</f>
        <v/>
      </c>
      <c r="G359" s="33">
        <f>IF($A359&gt;NYears*12,"",INT($F359/$E359))</f>
        <v/>
      </c>
      <c r="H359" s="35">
        <f>IF($A359&gt;NYears*12,"",$G359*$E359)</f>
        <v/>
      </c>
      <c r="I359" s="35">
        <f>IF($A359&gt;NYears*12,"",$F359-$H359)</f>
        <v/>
      </c>
      <c r="J359" s="35">
        <f>IF($A359&gt;NYears*12,"",$H359*RateC)</f>
        <v/>
      </c>
      <c r="K359" s="35">
        <f>IF($A359&gt;NYears*12,"",IF($D359=1,$J359,$K358+$J359))</f>
        <v/>
      </c>
      <c r="L359" s="35">
        <f>IF($A359&gt;NYears*12,"",IF(MOD($D359,3)=0,SUM($J357:$J359),0))</f>
        <v/>
      </c>
      <c r="M359" s="35">
        <f>IF($A359&gt;NYears*12,"",IF(TaxFreq="Quarterly",$K359*12/$D359,$K359))</f>
        <v/>
      </c>
      <c r="N359" s="36">
        <f>IF($A359&gt;NYears*12,"",LOOKUP($M359,TaxLower,TaxRate))</f>
        <v/>
      </c>
      <c r="O359" s="35">
        <f>IF($A359&gt;NYears*12,"",IF(TaxFreq="Quarterly",IF(MOD($D359,3)=0,$L359*$N359,0),IF($D359=12,$K359*$N359,0)))</f>
        <v/>
      </c>
      <c r="P359" s="35">
        <f>IF($A359&gt;NYears*12,"",IF($D359=1,$O359,$P358+$O359))</f>
        <v/>
      </c>
      <c r="Q359" s="35">
        <f>IF($A359&gt;NYears*12,"",IF($D359=12,MIN(WdrPct*IF(WdrBase="Post-tax profit",$K359-$P359,$K359),WdrCap),0))</f>
        <v/>
      </c>
      <c r="R359" s="35">
        <f>IF($A359&gt;NYears*12,"",$F359+$J359-$O359-$Q359)</f>
        <v/>
      </c>
      <c r="S359" s="33">
        <f>IF($A359&gt;NYears*12,"",INT($R359/$E359))</f>
        <v/>
      </c>
    </row>
    <row r="360">
      <c r="A360" s="33">
        <f>356</f>
        <v/>
      </c>
      <c r="B360" s="34">
        <f>IF($A360&gt;NYears*12,"",EDATE(StartMonth,$A360-1))</f>
        <v/>
      </c>
      <c r="C360" s="33">
        <f>IF($A360&gt;NYears*12,"",INT(($A360-1)/12)+1)</f>
        <v/>
      </c>
      <c r="D360" s="33">
        <f>IF($A360&gt;NYears*12,"",MOD($A360-1,12)+1)</f>
        <v/>
      </c>
      <c r="E360" s="35">
        <f>IF($A360&gt;NYears*12,"",LotValue0*(1+LotGrowth)^($C360-1))</f>
        <v/>
      </c>
      <c r="F360" s="35">
        <f>IF($A360&gt;NYears*12,"",IF($A360=1,InitInvest,$R359))</f>
        <v/>
      </c>
      <c r="G360" s="33">
        <f>IF($A360&gt;NYears*12,"",INT($F360/$E360))</f>
        <v/>
      </c>
      <c r="H360" s="35">
        <f>IF($A360&gt;NYears*12,"",$G360*$E360)</f>
        <v/>
      </c>
      <c r="I360" s="35">
        <f>IF($A360&gt;NYears*12,"",$F360-$H360)</f>
        <v/>
      </c>
      <c r="J360" s="35">
        <f>IF($A360&gt;NYears*12,"",$H360*RateC)</f>
        <v/>
      </c>
      <c r="K360" s="35">
        <f>IF($A360&gt;NYears*12,"",IF($D360=1,$J360,$K359+$J360))</f>
        <v/>
      </c>
      <c r="L360" s="35">
        <f>IF($A360&gt;NYears*12,"",IF(MOD($D360,3)=0,SUM($J358:$J360),0))</f>
        <v/>
      </c>
      <c r="M360" s="35">
        <f>IF($A360&gt;NYears*12,"",IF(TaxFreq="Quarterly",$K360*12/$D360,$K360))</f>
        <v/>
      </c>
      <c r="N360" s="36">
        <f>IF($A360&gt;NYears*12,"",LOOKUP($M360,TaxLower,TaxRate))</f>
        <v/>
      </c>
      <c r="O360" s="35">
        <f>IF($A360&gt;NYears*12,"",IF(TaxFreq="Quarterly",IF(MOD($D360,3)=0,$L360*$N360,0),IF($D360=12,$K360*$N360,0)))</f>
        <v/>
      </c>
      <c r="P360" s="35">
        <f>IF($A360&gt;NYears*12,"",IF($D360=1,$O360,$P359+$O360))</f>
        <v/>
      </c>
      <c r="Q360" s="35">
        <f>IF($A360&gt;NYears*12,"",IF($D360=12,MIN(WdrPct*IF(WdrBase="Post-tax profit",$K360-$P360,$K360),WdrCap),0))</f>
        <v/>
      </c>
      <c r="R360" s="35">
        <f>IF($A360&gt;NYears*12,"",$F360+$J360-$O360-$Q360)</f>
        <v/>
      </c>
      <c r="S360" s="33">
        <f>IF($A360&gt;NYears*12,"",INT($R360/$E360))</f>
        <v/>
      </c>
    </row>
    <row r="361">
      <c r="A361" s="33">
        <f>357</f>
        <v/>
      </c>
      <c r="B361" s="34">
        <f>IF($A361&gt;NYears*12,"",EDATE(StartMonth,$A361-1))</f>
        <v/>
      </c>
      <c r="C361" s="33">
        <f>IF($A361&gt;NYears*12,"",INT(($A361-1)/12)+1)</f>
        <v/>
      </c>
      <c r="D361" s="33">
        <f>IF($A361&gt;NYears*12,"",MOD($A361-1,12)+1)</f>
        <v/>
      </c>
      <c r="E361" s="35">
        <f>IF($A361&gt;NYears*12,"",LotValue0*(1+LotGrowth)^($C361-1))</f>
        <v/>
      </c>
      <c r="F361" s="35">
        <f>IF($A361&gt;NYears*12,"",IF($A361=1,InitInvest,$R360))</f>
        <v/>
      </c>
      <c r="G361" s="33">
        <f>IF($A361&gt;NYears*12,"",INT($F361/$E361))</f>
        <v/>
      </c>
      <c r="H361" s="35">
        <f>IF($A361&gt;NYears*12,"",$G361*$E361)</f>
        <v/>
      </c>
      <c r="I361" s="35">
        <f>IF($A361&gt;NYears*12,"",$F361-$H361)</f>
        <v/>
      </c>
      <c r="J361" s="35">
        <f>IF($A361&gt;NYears*12,"",$H361*RateC)</f>
        <v/>
      </c>
      <c r="K361" s="35">
        <f>IF($A361&gt;NYears*12,"",IF($D361=1,$J361,$K360+$J361))</f>
        <v/>
      </c>
      <c r="L361" s="35">
        <f>IF($A361&gt;NYears*12,"",IF(MOD($D361,3)=0,SUM($J359:$J361),0))</f>
        <v/>
      </c>
      <c r="M361" s="35">
        <f>IF($A361&gt;NYears*12,"",IF(TaxFreq="Quarterly",$K361*12/$D361,$K361))</f>
        <v/>
      </c>
      <c r="N361" s="36">
        <f>IF($A361&gt;NYears*12,"",LOOKUP($M361,TaxLower,TaxRate))</f>
        <v/>
      </c>
      <c r="O361" s="35">
        <f>IF($A361&gt;NYears*12,"",IF(TaxFreq="Quarterly",IF(MOD($D361,3)=0,$L361*$N361,0),IF($D361=12,$K361*$N361,0)))</f>
        <v/>
      </c>
      <c r="P361" s="35">
        <f>IF($A361&gt;NYears*12,"",IF($D361=1,$O361,$P360+$O361))</f>
        <v/>
      </c>
      <c r="Q361" s="35">
        <f>IF($A361&gt;NYears*12,"",IF($D361=12,MIN(WdrPct*IF(WdrBase="Post-tax profit",$K361-$P361,$K361),WdrCap),0))</f>
        <v/>
      </c>
      <c r="R361" s="35">
        <f>IF($A361&gt;NYears*12,"",$F361+$J361-$O361-$Q361)</f>
        <v/>
      </c>
      <c r="S361" s="33">
        <f>IF($A361&gt;NYears*12,"",INT($R361/$E361))</f>
        <v/>
      </c>
    </row>
    <row r="362">
      <c r="A362" s="33">
        <f>358</f>
        <v/>
      </c>
      <c r="B362" s="34">
        <f>IF($A362&gt;NYears*12,"",EDATE(StartMonth,$A362-1))</f>
        <v/>
      </c>
      <c r="C362" s="33">
        <f>IF($A362&gt;NYears*12,"",INT(($A362-1)/12)+1)</f>
        <v/>
      </c>
      <c r="D362" s="33">
        <f>IF($A362&gt;NYears*12,"",MOD($A362-1,12)+1)</f>
        <v/>
      </c>
      <c r="E362" s="35">
        <f>IF($A362&gt;NYears*12,"",LotValue0*(1+LotGrowth)^($C362-1))</f>
        <v/>
      </c>
      <c r="F362" s="35">
        <f>IF($A362&gt;NYears*12,"",IF($A362=1,InitInvest,$R361))</f>
        <v/>
      </c>
      <c r="G362" s="33">
        <f>IF($A362&gt;NYears*12,"",INT($F362/$E362))</f>
        <v/>
      </c>
      <c r="H362" s="35">
        <f>IF($A362&gt;NYears*12,"",$G362*$E362)</f>
        <v/>
      </c>
      <c r="I362" s="35">
        <f>IF($A362&gt;NYears*12,"",$F362-$H362)</f>
        <v/>
      </c>
      <c r="J362" s="35">
        <f>IF($A362&gt;NYears*12,"",$H362*RateC)</f>
        <v/>
      </c>
      <c r="K362" s="35">
        <f>IF($A362&gt;NYears*12,"",IF($D362=1,$J362,$K361+$J362))</f>
        <v/>
      </c>
      <c r="L362" s="35">
        <f>IF($A362&gt;NYears*12,"",IF(MOD($D362,3)=0,SUM($J360:$J362),0))</f>
        <v/>
      </c>
      <c r="M362" s="35">
        <f>IF($A362&gt;NYears*12,"",IF(TaxFreq="Quarterly",$K362*12/$D362,$K362))</f>
        <v/>
      </c>
      <c r="N362" s="36">
        <f>IF($A362&gt;NYears*12,"",LOOKUP($M362,TaxLower,TaxRate))</f>
        <v/>
      </c>
      <c r="O362" s="35">
        <f>IF($A362&gt;NYears*12,"",IF(TaxFreq="Quarterly",IF(MOD($D362,3)=0,$L362*$N362,0),IF($D362=12,$K362*$N362,0)))</f>
        <v/>
      </c>
      <c r="P362" s="35">
        <f>IF($A362&gt;NYears*12,"",IF($D362=1,$O362,$P361+$O362))</f>
        <v/>
      </c>
      <c r="Q362" s="35">
        <f>IF($A362&gt;NYears*12,"",IF($D362=12,MIN(WdrPct*IF(WdrBase="Post-tax profit",$K362-$P362,$K362),WdrCap),0))</f>
        <v/>
      </c>
      <c r="R362" s="35">
        <f>IF($A362&gt;NYears*12,"",$F362+$J362-$O362-$Q362)</f>
        <v/>
      </c>
      <c r="S362" s="33">
        <f>IF($A362&gt;NYears*12,"",INT($R362/$E362))</f>
        <v/>
      </c>
    </row>
    <row r="363">
      <c r="A363" s="33">
        <f>359</f>
        <v/>
      </c>
      <c r="B363" s="34">
        <f>IF($A363&gt;NYears*12,"",EDATE(StartMonth,$A363-1))</f>
        <v/>
      </c>
      <c r="C363" s="33">
        <f>IF($A363&gt;NYears*12,"",INT(($A363-1)/12)+1)</f>
        <v/>
      </c>
      <c r="D363" s="33">
        <f>IF($A363&gt;NYears*12,"",MOD($A363-1,12)+1)</f>
        <v/>
      </c>
      <c r="E363" s="35">
        <f>IF($A363&gt;NYears*12,"",LotValue0*(1+LotGrowth)^($C363-1))</f>
        <v/>
      </c>
      <c r="F363" s="35">
        <f>IF($A363&gt;NYears*12,"",IF($A363=1,InitInvest,$R362))</f>
        <v/>
      </c>
      <c r="G363" s="33">
        <f>IF($A363&gt;NYears*12,"",INT($F363/$E363))</f>
        <v/>
      </c>
      <c r="H363" s="35">
        <f>IF($A363&gt;NYears*12,"",$G363*$E363)</f>
        <v/>
      </c>
      <c r="I363" s="35">
        <f>IF($A363&gt;NYears*12,"",$F363-$H363)</f>
        <v/>
      </c>
      <c r="J363" s="35">
        <f>IF($A363&gt;NYears*12,"",$H363*RateC)</f>
        <v/>
      </c>
      <c r="K363" s="35">
        <f>IF($A363&gt;NYears*12,"",IF($D363=1,$J363,$K362+$J363))</f>
        <v/>
      </c>
      <c r="L363" s="35">
        <f>IF($A363&gt;NYears*12,"",IF(MOD($D363,3)=0,SUM($J361:$J363),0))</f>
        <v/>
      </c>
      <c r="M363" s="35">
        <f>IF($A363&gt;NYears*12,"",IF(TaxFreq="Quarterly",$K363*12/$D363,$K363))</f>
        <v/>
      </c>
      <c r="N363" s="36">
        <f>IF($A363&gt;NYears*12,"",LOOKUP($M363,TaxLower,TaxRate))</f>
        <v/>
      </c>
      <c r="O363" s="35">
        <f>IF($A363&gt;NYears*12,"",IF(TaxFreq="Quarterly",IF(MOD($D363,3)=0,$L363*$N363,0),IF($D363=12,$K363*$N363,0)))</f>
        <v/>
      </c>
      <c r="P363" s="35">
        <f>IF($A363&gt;NYears*12,"",IF($D363=1,$O363,$P362+$O363))</f>
        <v/>
      </c>
      <c r="Q363" s="35">
        <f>IF($A363&gt;NYears*12,"",IF($D363=12,MIN(WdrPct*IF(WdrBase="Post-tax profit",$K363-$P363,$K363),WdrCap),0))</f>
        <v/>
      </c>
      <c r="R363" s="35">
        <f>IF($A363&gt;NYears*12,"",$F363+$J363-$O363-$Q363)</f>
        <v/>
      </c>
      <c r="S363" s="33">
        <f>IF($A363&gt;NYears*12,"",INT($R363/$E363))</f>
        <v/>
      </c>
    </row>
    <row r="364">
      <c r="A364" s="37">
        <f>360</f>
        <v/>
      </c>
      <c r="B364" s="38">
        <f>IF($A364&gt;NYears*12,"",EDATE(StartMonth,$A364-1))</f>
        <v/>
      </c>
      <c r="C364" s="37">
        <f>IF($A364&gt;NYears*12,"",INT(($A364-1)/12)+1)</f>
        <v/>
      </c>
      <c r="D364" s="37">
        <f>IF($A364&gt;NYears*12,"",MOD($A364-1,12)+1)</f>
        <v/>
      </c>
      <c r="E364" s="39">
        <f>IF($A364&gt;NYears*12,"",LotValue0*(1+LotGrowth)^($C364-1))</f>
        <v/>
      </c>
      <c r="F364" s="39">
        <f>IF($A364&gt;NYears*12,"",IF($A364=1,InitInvest,$R363))</f>
        <v/>
      </c>
      <c r="G364" s="37">
        <f>IF($A364&gt;NYears*12,"",INT($F364/$E364))</f>
        <v/>
      </c>
      <c r="H364" s="39">
        <f>IF($A364&gt;NYears*12,"",$G364*$E364)</f>
        <v/>
      </c>
      <c r="I364" s="39">
        <f>IF($A364&gt;NYears*12,"",$F364-$H364)</f>
        <v/>
      </c>
      <c r="J364" s="39">
        <f>IF($A364&gt;NYears*12,"",$H364*RateC)</f>
        <v/>
      </c>
      <c r="K364" s="39">
        <f>IF($A364&gt;NYears*12,"",IF($D364=1,$J364,$K363+$J364))</f>
        <v/>
      </c>
      <c r="L364" s="39">
        <f>IF($A364&gt;NYears*12,"",IF(MOD($D364,3)=0,SUM($J362:$J364),0))</f>
        <v/>
      </c>
      <c r="M364" s="39">
        <f>IF($A364&gt;NYears*12,"",IF(TaxFreq="Quarterly",$K364*12/$D364,$K364))</f>
        <v/>
      </c>
      <c r="N364" s="40">
        <f>IF($A364&gt;NYears*12,"",LOOKUP($M364,TaxLower,TaxRate))</f>
        <v/>
      </c>
      <c r="O364" s="39">
        <f>IF($A364&gt;NYears*12,"",IF(TaxFreq="Quarterly",IF(MOD($D364,3)=0,$L364*$N364,0),IF($D364=12,$K364*$N364,0)))</f>
        <v/>
      </c>
      <c r="P364" s="39">
        <f>IF($A364&gt;NYears*12,"",IF($D364=1,$O364,$P363+$O364))</f>
        <v/>
      </c>
      <c r="Q364" s="39">
        <f>IF($A364&gt;NYears*12,"",IF($D364=12,MIN(WdrPct*IF(WdrBase="Post-tax profit",$K364-$P364,$K364),WdrCap),0))</f>
        <v/>
      </c>
      <c r="R364" s="39">
        <f>IF($A364&gt;NYears*12,"",$F364+$J364-$O364-$Q364)</f>
        <v/>
      </c>
      <c r="S364" s="37">
        <f>IF($A364&gt;NYears*12,"",INT($R364/$E364))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5" customWidth="1" min="3" max="3"/>
    <col width="8" customWidth="1" min="4" max="4"/>
    <col width="14" customWidth="1" min="5" max="5"/>
    <col width="16" customWidth="1" min="6" max="6"/>
    <col width="7" customWidth="1" min="7" max="7"/>
    <col width="16" customWidth="1" min="8" max="8"/>
    <col width="13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14" customWidth="1" min="15" max="15"/>
    <col width="14" customWidth="1" min="16" max="16"/>
    <col width="14" customWidth="1" min="17" max="17"/>
    <col width="17" customWidth="1" min="18" max="18"/>
    <col width="12" customWidth="1" min="19" max="19"/>
  </cols>
  <sheetData>
    <row r="1">
      <c r="A1" s="1" t="inlineStr">
        <is>
          <t>Monthly engine — Scenario D</t>
        </is>
      </c>
    </row>
    <row r="2">
      <c r="A2" s="5" t="inlineStr">
        <is>
          <t>Monthly return:</t>
        </is>
      </c>
      <c r="B2" s="32">
        <f>RateD</f>
        <v/>
      </c>
      <c r="D2" s="2" t="inlineStr">
        <is>
          <t>One row per month. Returns accrue on DEPLOYED capital only; idle cash earns nothing until it funds a whole lot.</t>
        </is>
      </c>
    </row>
    <row r="4">
      <c r="A4" s="18" t="inlineStr">
        <is>
          <t>Month #</t>
        </is>
      </c>
      <c r="B4" s="18" t="inlineStr">
        <is>
          <t>Month</t>
        </is>
      </c>
      <c r="C4" s="18" t="inlineStr">
        <is>
          <t>Yr</t>
        </is>
      </c>
      <c r="D4" s="18" t="inlineStr">
        <is>
          <t>M-in-yr</t>
        </is>
      </c>
      <c r="E4" s="18" t="inlineStr">
        <is>
          <t>Lot value</t>
        </is>
      </c>
      <c r="F4" s="18" t="inlineStr">
        <is>
          <t>Opening corpus</t>
        </is>
      </c>
      <c r="G4" s="18" t="inlineStr">
        <is>
          <t>Lots</t>
        </is>
      </c>
      <c r="H4" s="18" t="inlineStr">
        <is>
          <t>Deployed capital</t>
        </is>
      </c>
      <c r="I4" s="18" t="inlineStr">
        <is>
          <t>Idle cash</t>
        </is>
      </c>
      <c r="J4" s="18" t="inlineStr">
        <is>
          <t>Profit (month)</t>
        </is>
      </c>
      <c r="K4" s="18" t="inlineStr">
        <is>
          <t>Profit YTD</t>
        </is>
      </c>
      <c r="L4" s="18" t="inlineStr">
        <is>
          <t>Profit this qtr</t>
        </is>
      </c>
      <c r="M4" s="18" t="inlineStr">
        <is>
          <t>Slab income</t>
        </is>
      </c>
      <c r="N4" s="18" t="inlineStr">
        <is>
          <t>Tax rate</t>
        </is>
      </c>
      <c r="O4" s="18" t="inlineStr">
        <is>
          <t>Tax deducted</t>
        </is>
      </c>
      <c r="P4" s="18" t="inlineStr">
        <is>
          <t>Tax YTD</t>
        </is>
      </c>
      <c r="Q4" s="18" t="inlineStr">
        <is>
          <t>Withdrawal</t>
        </is>
      </c>
      <c r="R4" s="18" t="inlineStr">
        <is>
          <t>Closing corpus</t>
        </is>
      </c>
      <c r="S4" s="18" t="inlineStr">
        <is>
          <t>Lots at close</t>
        </is>
      </c>
    </row>
    <row r="5">
      <c r="A5" s="33">
        <f>1</f>
        <v/>
      </c>
      <c r="B5" s="34">
        <f>IF($A5&gt;NYears*12,"",EDATE(StartMonth,$A5-1))</f>
        <v/>
      </c>
      <c r="C5" s="33">
        <f>IF($A5&gt;NYears*12,"",INT(($A5-1)/12)+1)</f>
        <v/>
      </c>
      <c r="D5" s="33">
        <f>IF($A5&gt;NYears*12,"",MOD($A5-1,12)+1)</f>
        <v/>
      </c>
      <c r="E5" s="35">
        <f>IF($A5&gt;NYears*12,"",LotValue0*(1+LotGrowth)^($C5-1))</f>
        <v/>
      </c>
      <c r="F5" s="35">
        <f>IF($A5&gt;NYears*12,"",IF($A5=1,InitInvest,$R4))</f>
        <v/>
      </c>
      <c r="G5" s="33">
        <f>IF($A5&gt;NYears*12,"",INT($F5/$E5))</f>
        <v/>
      </c>
      <c r="H5" s="35">
        <f>IF($A5&gt;NYears*12,"",$G5*$E5)</f>
        <v/>
      </c>
      <c r="I5" s="35">
        <f>IF($A5&gt;NYears*12,"",$F5-$H5)</f>
        <v/>
      </c>
      <c r="J5" s="35">
        <f>IF($A5&gt;NYears*12,"",$H5*RateD)</f>
        <v/>
      </c>
      <c r="K5" s="35">
        <f>IF($A5&gt;NYears*12,"",IF($D5=1,$J5,$K4+$J5))</f>
        <v/>
      </c>
      <c r="L5" s="35">
        <f>IF($A5&gt;NYears*12,"",IF(MOD($D5,3)=0,SUM($J3:$J5),0))</f>
        <v/>
      </c>
      <c r="M5" s="35">
        <f>IF($A5&gt;NYears*12,"",IF(TaxFreq="Quarterly",$K5*12/$D5,$K5))</f>
        <v/>
      </c>
      <c r="N5" s="36">
        <f>IF($A5&gt;NYears*12,"",LOOKUP($M5,TaxLower,TaxRate))</f>
        <v/>
      </c>
      <c r="O5" s="35">
        <f>IF($A5&gt;NYears*12,"",IF(TaxFreq="Quarterly",IF(MOD($D5,3)=0,$L5*$N5,0),IF($D5=12,$K5*$N5,0)))</f>
        <v/>
      </c>
      <c r="P5" s="35">
        <f>IF($A5&gt;NYears*12,"",IF($D5=1,$O5,$P4+$O5))</f>
        <v/>
      </c>
      <c r="Q5" s="35">
        <f>IF($A5&gt;NYears*12,"",IF($D5=12,MIN(WdrPct*IF(WdrBase="Post-tax profit",$K5-$P5,$K5),WdrCap),0))</f>
        <v/>
      </c>
      <c r="R5" s="35">
        <f>IF($A5&gt;NYears*12,"",$F5+$J5-$O5-$Q5)</f>
        <v/>
      </c>
      <c r="S5" s="33">
        <f>IF($A5&gt;NYears*12,"",INT($R5/$E5))</f>
        <v/>
      </c>
    </row>
    <row r="6">
      <c r="A6" s="33">
        <f>2</f>
        <v/>
      </c>
      <c r="B6" s="34">
        <f>IF($A6&gt;NYears*12,"",EDATE(StartMonth,$A6-1))</f>
        <v/>
      </c>
      <c r="C6" s="33">
        <f>IF($A6&gt;NYears*12,"",INT(($A6-1)/12)+1)</f>
        <v/>
      </c>
      <c r="D6" s="33">
        <f>IF($A6&gt;NYears*12,"",MOD($A6-1,12)+1)</f>
        <v/>
      </c>
      <c r="E6" s="35">
        <f>IF($A6&gt;NYears*12,"",LotValue0*(1+LotGrowth)^($C6-1))</f>
        <v/>
      </c>
      <c r="F6" s="35">
        <f>IF($A6&gt;NYears*12,"",IF($A6=1,InitInvest,$R5))</f>
        <v/>
      </c>
      <c r="G6" s="33">
        <f>IF($A6&gt;NYears*12,"",INT($F6/$E6))</f>
        <v/>
      </c>
      <c r="H6" s="35">
        <f>IF($A6&gt;NYears*12,"",$G6*$E6)</f>
        <v/>
      </c>
      <c r="I6" s="35">
        <f>IF($A6&gt;NYears*12,"",$F6-$H6)</f>
        <v/>
      </c>
      <c r="J6" s="35">
        <f>IF($A6&gt;NYears*12,"",$H6*RateD)</f>
        <v/>
      </c>
      <c r="K6" s="35">
        <f>IF($A6&gt;NYears*12,"",IF($D6=1,$J6,$K5+$J6))</f>
        <v/>
      </c>
      <c r="L6" s="35">
        <f>IF($A6&gt;NYears*12,"",IF(MOD($D6,3)=0,SUM($J4:$J6),0))</f>
        <v/>
      </c>
      <c r="M6" s="35">
        <f>IF($A6&gt;NYears*12,"",IF(TaxFreq="Quarterly",$K6*12/$D6,$K6))</f>
        <v/>
      </c>
      <c r="N6" s="36">
        <f>IF($A6&gt;NYears*12,"",LOOKUP($M6,TaxLower,TaxRate))</f>
        <v/>
      </c>
      <c r="O6" s="35">
        <f>IF($A6&gt;NYears*12,"",IF(TaxFreq="Quarterly",IF(MOD($D6,3)=0,$L6*$N6,0),IF($D6=12,$K6*$N6,0)))</f>
        <v/>
      </c>
      <c r="P6" s="35">
        <f>IF($A6&gt;NYears*12,"",IF($D6=1,$O6,$P5+$O6))</f>
        <v/>
      </c>
      <c r="Q6" s="35">
        <f>IF($A6&gt;NYears*12,"",IF($D6=12,MIN(WdrPct*IF(WdrBase="Post-tax profit",$K6-$P6,$K6),WdrCap),0))</f>
        <v/>
      </c>
      <c r="R6" s="35">
        <f>IF($A6&gt;NYears*12,"",$F6+$J6-$O6-$Q6)</f>
        <v/>
      </c>
      <c r="S6" s="33">
        <f>IF($A6&gt;NYears*12,"",INT($R6/$E6))</f>
        <v/>
      </c>
    </row>
    <row r="7">
      <c r="A7" s="33">
        <f>3</f>
        <v/>
      </c>
      <c r="B7" s="34">
        <f>IF($A7&gt;NYears*12,"",EDATE(StartMonth,$A7-1))</f>
        <v/>
      </c>
      <c r="C7" s="33">
        <f>IF($A7&gt;NYears*12,"",INT(($A7-1)/12)+1)</f>
        <v/>
      </c>
      <c r="D7" s="33">
        <f>IF($A7&gt;NYears*12,"",MOD($A7-1,12)+1)</f>
        <v/>
      </c>
      <c r="E7" s="35">
        <f>IF($A7&gt;NYears*12,"",LotValue0*(1+LotGrowth)^($C7-1))</f>
        <v/>
      </c>
      <c r="F7" s="35">
        <f>IF($A7&gt;NYears*12,"",IF($A7=1,InitInvest,$R6))</f>
        <v/>
      </c>
      <c r="G7" s="33">
        <f>IF($A7&gt;NYears*12,"",INT($F7/$E7))</f>
        <v/>
      </c>
      <c r="H7" s="35">
        <f>IF($A7&gt;NYears*12,"",$G7*$E7)</f>
        <v/>
      </c>
      <c r="I7" s="35">
        <f>IF($A7&gt;NYears*12,"",$F7-$H7)</f>
        <v/>
      </c>
      <c r="J7" s="35">
        <f>IF($A7&gt;NYears*12,"",$H7*RateD)</f>
        <v/>
      </c>
      <c r="K7" s="35">
        <f>IF($A7&gt;NYears*12,"",IF($D7=1,$J7,$K6+$J7))</f>
        <v/>
      </c>
      <c r="L7" s="35">
        <f>IF($A7&gt;NYears*12,"",IF(MOD($D7,3)=0,SUM($J5:$J7),0))</f>
        <v/>
      </c>
      <c r="M7" s="35">
        <f>IF($A7&gt;NYears*12,"",IF(TaxFreq="Quarterly",$K7*12/$D7,$K7))</f>
        <v/>
      </c>
      <c r="N7" s="36">
        <f>IF($A7&gt;NYears*12,"",LOOKUP($M7,TaxLower,TaxRate))</f>
        <v/>
      </c>
      <c r="O7" s="35">
        <f>IF($A7&gt;NYears*12,"",IF(TaxFreq="Quarterly",IF(MOD($D7,3)=0,$L7*$N7,0),IF($D7=12,$K7*$N7,0)))</f>
        <v/>
      </c>
      <c r="P7" s="35">
        <f>IF($A7&gt;NYears*12,"",IF($D7=1,$O7,$P6+$O7))</f>
        <v/>
      </c>
      <c r="Q7" s="35">
        <f>IF($A7&gt;NYears*12,"",IF($D7=12,MIN(WdrPct*IF(WdrBase="Post-tax profit",$K7-$P7,$K7),WdrCap),0))</f>
        <v/>
      </c>
      <c r="R7" s="35">
        <f>IF($A7&gt;NYears*12,"",$F7+$J7-$O7-$Q7)</f>
        <v/>
      </c>
      <c r="S7" s="33">
        <f>IF($A7&gt;NYears*12,"",INT($R7/$E7))</f>
        <v/>
      </c>
    </row>
    <row r="8">
      <c r="A8" s="33">
        <f>4</f>
        <v/>
      </c>
      <c r="B8" s="34">
        <f>IF($A8&gt;NYears*12,"",EDATE(StartMonth,$A8-1))</f>
        <v/>
      </c>
      <c r="C8" s="33">
        <f>IF($A8&gt;NYears*12,"",INT(($A8-1)/12)+1)</f>
        <v/>
      </c>
      <c r="D8" s="33">
        <f>IF($A8&gt;NYears*12,"",MOD($A8-1,12)+1)</f>
        <v/>
      </c>
      <c r="E8" s="35">
        <f>IF($A8&gt;NYears*12,"",LotValue0*(1+LotGrowth)^($C8-1))</f>
        <v/>
      </c>
      <c r="F8" s="35">
        <f>IF($A8&gt;NYears*12,"",IF($A8=1,InitInvest,$R7))</f>
        <v/>
      </c>
      <c r="G8" s="33">
        <f>IF($A8&gt;NYears*12,"",INT($F8/$E8))</f>
        <v/>
      </c>
      <c r="H8" s="35">
        <f>IF($A8&gt;NYears*12,"",$G8*$E8)</f>
        <v/>
      </c>
      <c r="I8" s="35">
        <f>IF($A8&gt;NYears*12,"",$F8-$H8)</f>
        <v/>
      </c>
      <c r="J8" s="35">
        <f>IF($A8&gt;NYears*12,"",$H8*RateD)</f>
        <v/>
      </c>
      <c r="K8" s="35">
        <f>IF($A8&gt;NYears*12,"",IF($D8=1,$J8,$K7+$J8))</f>
        <v/>
      </c>
      <c r="L8" s="35">
        <f>IF($A8&gt;NYears*12,"",IF(MOD($D8,3)=0,SUM($J6:$J8),0))</f>
        <v/>
      </c>
      <c r="M8" s="35">
        <f>IF($A8&gt;NYears*12,"",IF(TaxFreq="Quarterly",$K8*12/$D8,$K8))</f>
        <v/>
      </c>
      <c r="N8" s="36">
        <f>IF($A8&gt;NYears*12,"",LOOKUP($M8,TaxLower,TaxRate))</f>
        <v/>
      </c>
      <c r="O8" s="35">
        <f>IF($A8&gt;NYears*12,"",IF(TaxFreq="Quarterly",IF(MOD($D8,3)=0,$L8*$N8,0),IF($D8=12,$K8*$N8,0)))</f>
        <v/>
      </c>
      <c r="P8" s="35">
        <f>IF($A8&gt;NYears*12,"",IF($D8=1,$O8,$P7+$O8))</f>
        <v/>
      </c>
      <c r="Q8" s="35">
        <f>IF($A8&gt;NYears*12,"",IF($D8=12,MIN(WdrPct*IF(WdrBase="Post-tax profit",$K8-$P8,$K8),WdrCap),0))</f>
        <v/>
      </c>
      <c r="R8" s="35">
        <f>IF($A8&gt;NYears*12,"",$F8+$J8-$O8-$Q8)</f>
        <v/>
      </c>
      <c r="S8" s="33">
        <f>IF($A8&gt;NYears*12,"",INT($R8/$E8))</f>
        <v/>
      </c>
    </row>
    <row r="9">
      <c r="A9" s="33">
        <f>5</f>
        <v/>
      </c>
      <c r="B9" s="34">
        <f>IF($A9&gt;NYears*12,"",EDATE(StartMonth,$A9-1))</f>
        <v/>
      </c>
      <c r="C9" s="33">
        <f>IF($A9&gt;NYears*12,"",INT(($A9-1)/12)+1)</f>
        <v/>
      </c>
      <c r="D9" s="33">
        <f>IF($A9&gt;NYears*12,"",MOD($A9-1,12)+1)</f>
        <v/>
      </c>
      <c r="E9" s="35">
        <f>IF($A9&gt;NYears*12,"",LotValue0*(1+LotGrowth)^($C9-1))</f>
        <v/>
      </c>
      <c r="F9" s="35">
        <f>IF($A9&gt;NYears*12,"",IF($A9=1,InitInvest,$R8))</f>
        <v/>
      </c>
      <c r="G9" s="33">
        <f>IF($A9&gt;NYears*12,"",INT($F9/$E9))</f>
        <v/>
      </c>
      <c r="H9" s="35">
        <f>IF($A9&gt;NYears*12,"",$G9*$E9)</f>
        <v/>
      </c>
      <c r="I9" s="35">
        <f>IF($A9&gt;NYears*12,"",$F9-$H9)</f>
        <v/>
      </c>
      <c r="J9" s="35">
        <f>IF($A9&gt;NYears*12,"",$H9*RateD)</f>
        <v/>
      </c>
      <c r="K9" s="35">
        <f>IF($A9&gt;NYears*12,"",IF($D9=1,$J9,$K8+$J9))</f>
        <v/>
      </c>
      <c r="L9" s="35">
        <f>IF($A9&gt;NYears*12,"",IF(MOD($D9,3)=0,SUM($J7:$J9),0))</f>
        <v/>
      </c>
      <c r="M9" s="35">
        <f>IF($A9&gt;NYears*12,"",IF(TaxFreq="Quarterly",$K9*12/$D9,$K9))</f>
        <v/>
      </c>
      <c r="N9" s="36">
        <f>IF($A9&gt;NYears*12,"",LOOKUP($M9,TaxLower,TaxRate))</f>
        <v/>
      </c>
      <c r="O9" s="35">
        <f>IF($A9&gt;NYears*12,"",IF(TaxFreq="Quarterly",IF(MOD($D9,3)=0,$L9*$N9,0),IF($D9=12,$K9*$N9,0)))</f>
        <v/>
      </c>
      <c r="P9" s="35">
        <f>IF($A9&gt;NYears*12,"",IF($D9=1,$O9,$P8+$O9))</f>
        <v/>
      </c>
      <c r="Q9" s="35">
        <f>IF($A9&gt;NYears*12,"",IF($D9=12,MIN(WdrPct*IF(WdrBase="Post-tax profit",$K9-$P9,$K9),WdrCap),0))</f>
        <v/>
      </c>
      <c r="R9" s="35">
        <f>IF($A9&gt;NYears*12,"",$F9+$J9-$O9-$Q9)</f>
        <v/>
      </c>
      <c r="S9" s="33">
        <f>IF($A9&gt;NYears*12,"",INT($R9/$E9))</f>
        <v/>
      </c>
    </row>
    <row r="10">
      <c r="A10" s="33">
        <f>6</f>
        <v/>
      </c>
      <c r="B10" s="34">
        <f>IF($A10&gt;NYears*12,"",EDATE(StartMonth,$A10-1))</f>
        <v/>
      </c>
      <c r="C10" s="33">
        <f>IF($A10&gt;NYears*12,"",INT(($A10-1)/12)+1)</f>
        <v/>
      </c>
      <c r="D10" s="33">
        <f>IF($A10&gt;NYears*12,"",MOD($A10-1,12)+1)</f>
        <v/>
      </c>
      <c r="E10" s="35">
        <f>IF($A10&gt;NYears*12,"",LotValue0*(1+LotGrowth)^($C10-1))</f>
        <v/>
      </c>
      <c r="F10" s="35">
        <f>IF($A10&gt;NYears*12,"",IF($A10=1,InitInvest,$R9))</f>
        <v/>
      </c>
      <c r="G10" s="33">
        <f>IF($A10&gt;NYears*12,"",INT($F10/$E10))</f>
        <v/>
      </c>
      <c r="H10" s="35">
        <f>IF($A10&gt;NYears*12,"",$G10*$E10)</f>
        <v/>
      </c>
      <c r="I10" s="35">
        <f>IF($A10&gt;NYears*12,"",$F10-$H10)</f>
        <v/>
      </c>
      <c r="J10" s="35">
        <f>IF($A10&gt;NYears*12,"",$H10*RateD)</f>
        <v/>
      </c>
      <c r="K10" s="35">
        <f>IF($A10&gt;NYears*12,"",IF($D10=1,$J10,$K9+$J10))</f>
        <v/>
      </c>
      <c r="L10" s="35">
        <f>IF($A10&gt;NYears*12,"",IF(MOD($D10,3)=0,SUM($J8:$J10),0))</f>
        <v/>
      </c>
      <c r="M10" s="35">
        <f>IF($A10&gt;NYears*12,"",IF(TaxFreq="Quarterly",$K10*12/$D10,$K10))</f>
        <v/>
      </c>
      <c r="N10" s="36">
        <f>IF($A10&gt;NYears*12,"",LOOKUP($M10,TaxLower,TaxRate))</f>
        <v/>
      </c>
      <c r="O10" s="35">
        <f>IF($A10&gt;NYears*12,"",IF(TaxFreq="Quarterly",IF(MOD($D10,3)=0,$L10*$N10,0),IF($D10=12,$K10*$N10,0)))</f>
        <v/>
      </c>
      <c r="P10" s="35">
        <f>IF($A10&gt;NYears*12,"",IF($D10=1,$O10,$P9+$O10))</f>
        <v/>
      </c>
      <c r="Q10" s="35">
        <f>IF($A10&gt;NYears*12,"",IF($D10=12,MIN(WdrPct*IF(WdrBase="Post-tax profit",$K10-$P10,$K10),WdrCap),0))</f>
        <v/>
      </c>
      <c r="R10" s="35">
        <f>IF($A10&gt;NYears*12,"",$F10+$J10-$O10-$Q10)</f>
        <v/>
      </c>
      <c r="S10" s="33">
        <f>IF($A10&gt;NYears*12,"",INT($R10/$E10))</f>
        <v/>
      </c>
    </row>
    <row r="11">
      <c r="A11" s="33">
        <f>7</f>
        <v/>
      </c>
      <c r="B11" s="34">
        <f>IF($A11&gt;NYears*12,"",EDATE(StartMonth,$A11-1))</f>
        <v/>
      </c>
      <c r="C11" s="33">
        <f>IF($A11&gt;NYears*12,"",INT(($A11-1)/12)+1)</f>
        <v/>
      </c>
      <c r="D11" s="33">
        <f>IF($A11&gt;NYears*12,"",MOD($A11-1,12)+1)</f>
        <v/>
      </c>
      <c r="E11" s="35">
        <f>IF($A11&gt;NYears*12,"",LotValue0*(1+LotGrowth)^($C11-1))</f>
        <v/>
      </c>
      <c r="F11" s="35">
        <f>IF($A11&gt;NYears*12,"",IF($A11=1,InitInvest,$R10))</f>
        <v/>
      </c>
      <c r="G11" s="33">
        <f>IF($A11&gt;NYears*12,"",INT($F11/$E11))</f>
        <v/>
      </c>
      <c r="H11" s="35">
        <f>IF($A11&gt;NYears*12,"",$G11*$E11)</f>
        <v/>
      </c>
      <c r="I11" s="35">
        <f>IF($A11&gt;NYears*12,"",$F11-$H11)</f>
        <v/>
      </c>
      <c r="J11" s="35">
        <f>IF($A11&gt;NYears*12,"",$H11*RateD)</f>
        <v/>
      </c>
      <c r="K11" s="35">
        <f>IF($A11&gt;NYears*12,"",IF($D11=1,$J11,$K10+$J11))</f>
        <v/>
      </c>
      <c r="L11" s="35">
        <f>IF($A11&gt;NYears*12,"",IF(MOD($D11,3)=0,SUM($J9:$J11),0))</f>
        <v/>
      </c>
      <c r="M11" s="35">
        <f>IF($A11&gt;NYears*12,"",IF(TaxFreq="Quarterly",$K11*12/$D11,$K11))</f>
        <v/>
      </c>
      <c r="N11" s="36">
        <f>IF($A11&gt;NYears*12,"",LOOKUP($M11,TaxLower,TaxRate))</f>
        <v/>
      </c>
      <c r="O11" s="35">
        <f>IF($A11&gt;NYears*12,"",IF(TaxFreq="Quarterly",IF(MOD($D11,3)=0,$L11*$N11,0),IF($D11=12,$K11*$N11,0)))</f>
        <v/>
      </c>
      <c r="P11" s="35">
        <f>IF($A11&gt;NYears*12,"",IF($D11=1,$O11,$P10+$O11))</f>
        <v/>
      </c>
      <c r="Q11" s="35">
        <f>IF($A11&gt;NYears*12,"",IF($D11=12,MIN(WdrPct*IF(WdrBase="Post-tax profit",$K11-$P11,$K11),WdrCap),0))</f>
        <v/>
      </c>
      <c r="R11" s="35">
        <f>IF($A11&gt;NYears*12,"",$F11+$J11-$O11-$Q11)</f>
        <v/>
      </c>
      <c r="S11" s="33">
        <f>IF($A11&gt;NYears*12,"",INT($R11/$E11))</f>
        <v/>
      </c>
    </row>
    <row r="12">
      <c r="A12" s="33">
        <f>8</f>
        <v/>
      </c>
      <c r="B12" s="34">
        <f>IF($A12&gt;NYears*12,"",EDATE(StartMonth,$A12-1))</f>
        <v/>
      </c>
      <c r="C12" s="33">
        <f>IF($A12&gt;NYears*12,"",INT(($A12-1)/12)+1)</f>
        <v/>
      </c>
      <c r="D12" s="33">
        <f>IF($A12&gt;NYears*12,"",MOD($A12-1,12)+1)</f>
        <v/>
      </c>
      <c r="E12" s="35">
        <f>IF($A12&gt;NYears*12,"",LotValue0*(1+LotGrowth)^($C12-1))</f>
        <v/>
      </c>
      <c r="F12" s="35">
        <f>IF($A12&gt;NYears*12,"",IF($A12=1,InitInvest,$R11))</f>
        <v/>
      </c>
      <c r="G12" s="33">
        <f>IF($A12&gt;NYears*12,"",INT($F12/$E12))</f>
        <v/>
      </c>
      <c r="H12" s="35">
        <f>IF($A12&gt;NYears*12,"",$G12*$E12)</f>
        <v/>
      </c>
      <c r="I12" s="35">
        <f>IF($A12&gt;NYears*12,"",$F12-$H12)</f>
        <v/>
      </c>
      <c r="J12" s="35">
        <f>IF($A12&gt;NYears*12,"",$H12*RateD)</f>
        <v/>
      </c>
      <c r="K12" s="35">
        <f>IF($A12&gt;NYears*12,"",IF($D12=1,$J12,$K11+$J12))</f>
        <v/>
      </c>
      <c r="L12" s="35">
        <f>IF($A12&gt;NYears*12,"",IF(MOD($D12,3)=0,SUM($J10:$J12),0))</f>
        <v/>
      </c>
      <c r="M12" s="35">
        <f>IF($A12&gt;NYears*12,"",IF(TaxFreq="Quarterly",$K12*12/$D12,$K12))</f>
        <v/>
      </c>
      <c r="N12" s="36">
        <f>IF($A12&gt;NYears*12,"",LOOKUP($M12,TaxLower,TaxRate))</f>
        <v/>
      </c>
      <c r="O12" s="35">
        <f>IF($A12&gt;NYears*12,"",IF(TaxFreq="Quarterly",IF(MOD($D12,3)=0,$L12*$N12,0),IF($D12=12,$K12*$N12,0)))</f>
        <v/>
      </c>
      <c r="P12" s="35">
        <f>IF($A12&gt;NYears*12,"",IF($D12=1,$O12,$P11+$O12))</f>
        <v/>
      </c>
      <c r="Q12" s="35">
        <f>IF($A12&gt;NYears*12,"",IF($D12=12,MIN(WdrPct*IF(WdrBase="Post-tax profit",$K12-$P12,$K12),WdrCap),0))</f>
        <v/>
      </c>
      <c r="R12" s="35">
        <f>IF($A12&gt;NYears*12,"",$F12+$J12-$O12-$Q12)</f>
        <v/>
      </c>
      <c r="S12" s="33">
        <f>IF($A12&gt;NYears*12,"",INT($R12/$E12))</f>
        <v/>
      </c>
    </row>
    <row r="13">
      <c r="A13" s="33">
        <f>9</f>
        <v/>
      </c>
      <c r="B13" s="34">
        <f>IF($A13&gt;NYears*12,"",EDATE(StartMonth,$A13-1))</f>
        <v/>
      </c>
      <c r="C13" s="33">
        <f>IF($A13&gt;NYears*12,"",INT(($A13-1)/12)+1)</f>
        <v/>
      </c>
      <c r="D13" s="33">
        <f>IF($A13&gt;NYears*12,"",MOD($A13-1,12)+1)</f>
        <v/>
      </c>
      <c r="E13" s="35">
        <f>IF($A13&gt;NYears*12,"",LotValue0*(1+LotGrowth)^($C13-1))</f>
        <v/>
      </c>
      <c r="F13" s="35">
        <f>IF($A13&gt;NYears*12,"",IF($A13=1,InitInvest,$R12))</f>
        <v/>
      </c>
      <c r="G13" s="33">
        <f>IF($A13&gt;NYears*12,"",INT($F13/$E13))</f>
        <v/>
      </c>
      <c r="H13" s="35">
        <f>IF($A13&gt;NYears*12,"",$G13*$E13)</f>
        <v/>
      </c>
      <c r="I13" s="35">
        <f>IF($A13&gt;NYears*12,"",$F13-$H13)</f>
        <v/>
      </c>
      <c r="J13" s="35">
        <f>IF($A13&gt;NYears*12,"",$H13*RateD)</f>
        <v/>
      </c>
      <c r="K13" s="35">
        <f>IF($A13&gt;NYears*12,"",IF($D13=1,$J13,$K12+$J13))</f>
        <v/>
      </c>
      <c r="L13" s="35">
        <f>IF($A13&gt;NYears*12,"",IF(MOD($D13,3)=0,SUM($J11:$J13),0))</f>
        <v/>
      </c>
      <c r="M13" s="35">
        <f>IF($A13&gt;NYears*12,"",IF(TaxFreq="Quarterly",$K13*12/$D13,$K13))</f>
        <v/>
      </c>
      <c r="N13" s="36">
        <f>IF($A13&gt;NYears*12,"",LOOKUP($M13,TaxLower,TaxRate))</f>
        <v/>
      </c>
      <c r="O13" s="35">
        <f>IF($A13&gt;NYears*12,"",IF(TaxFreq="Quarterly",IF(MOD($D13,3)=0,$L13*$N13,0),IF($D13=12,$K13*$N13,0)))</f>
        <v/>
      </c>
      <c r="P13" s="35">
        <f>IF($A13&gt;NYears*12,"",IF($D13=1,$O13,$P12+$O13))</f>
        <v/>
      </c>
      <c r="Q13" s="35">
        <f>IF($A13&gt;NYears*12,"",IF($D13=12,MIN(WdrPct*IF(WdrBase="Post-tax profit",$K13-$P13,$K13),WdrCap),0))</f>
        <v/>
      </c>
      <c r="R13" s="35">
        <f>IF($A13&gt;NYears*12,"",$F13+$J13-$O13-$Q13)</f>
        <v/>
      </c>
      <c r="S13" s="33">
        <f>IF($A13&gt;NYears*12,"",INT($R13/$E13))</f>
        <v/>
      </c>
    </row>
    <row r="14">
      <c r="A14" s="33">
        <f>10</f>
        <v/>
      </c>
      <c r="B14" s="34">
        <f>IF($A14&gt;NYears*12,"",EDATE(StartMonth,$A14-1))</f>
        <v/>
      </c>
      <c r="C14" s="33">
        <f>IF($A14&gt;NYears*12,"",INT(($A14-1)/12)+1)</f>
        <v/>
      </c>
      <c r="D14" s="33">
        <f>IF($A14&gt;NYears*12,"",MOD($A14-1,12)+1)</f>
        <v/>
      </c>
      <c r="E14" s="35">
        <f>IF($A14&gt;NYears*12,"",LotValue0*(1+LotGrowth)^($C14-1))</f>
        <v/>
      </c>
      <c r="F14" s="35">
        <f>IF($A14&gt;NYears*12,"",IF($A14=1,InitInvest,$R13))</f>
        <v/>
      </c>
      <c r="G14" s="33">
        <f>IF($A14&gt;NYears*12,"",INT($F14/$E14))</f>
        <v/>
      </c>
      <c r="H14" s="35">
        <f>IF($A14&gt;NYears*12,"",$G14*$E14)</f>
        <v/>
      </c>
      <c r="I14" s="35">
        <f>IF($A14&gt;NYears*12,"",$F14-$H14)</f>
        <v/>
      </c>
      <c r="J14" s="35">
        <f>IF($A14&gt;NYears*12,"",$H14*RateD)</f>
        <v/>
      </c>
      <c r="K14" s="35">
        <f>IF($A14&gt;NYears*12,"",IF($D14=1,$J14,$K13+$J14))</f>
        <v/>
      </c>
      <c r="L14" s="35">
        <f>IF($A14&gt;NYears*12,"",IF(MOD($D14,3)=0,SUM($J12:$J14),0))</f>
        <v/>
      </c>
      <c r="M14" s="35">
        <f>IF($A14&gt;NYears*12,"",IF(TaxFreq="Quarterly",$K14*12/$D14,$K14))</f>
        <v/>
      </c>
      <c r="N14" s="36">
        <f>IF($A14&gt;NYears*12,"",LOOKUP($M14,TaxLower,TaxRate))</f>
        <v/>
      </c>
      <c r="O14" s="35">
        <f>IF($A14&gt;NYears*12,"",IF(TaxFreq="Quarterly",IF(MOD($D14,3)=0,$L14*$N14,0),IF($D14=12,$K14*$N14,0)))</f>
        <v/>
      </c>
      <c r="P14" s="35">
        <f>IF($A14&gt;NYears*12,"",IF($D14=1,$O14,$P13+$O14))</f>
        <v/>
      </c>
      <c r="Q14" s="35">
        <f>IF($A14&gt;NYears*12,"",IF($D14=12,MIN(WdrPct*IF(WdrBase="Post-tax profit",$K14-$P14,$K14),WdrCap),0))</f>
        <v/>
      </c>
      <c r="R14" s="35">
        <f>IF($A14&gt;NYears*12,"",$F14+$J14-$O14-$Q14)</f>
        <v/>
      </c>
      <c r="S14" s="33">
        <f>IF($A14&gt;NYears*12,"",INT($R14/$E14))</f>
        <v/>
      </c>
    </row>
    <row r="15">
      <c r="A15" s="33">
        <f>11</f>
        <v/>
      </c>
      <c r="B15" s="34">
        <f>IF($A15&gt;NYears*12,"",EDATE(StartMonth,$A15-1))</f>
        <v/>
      </c>
      <c r="C15" s="33">
        <f>IF($A15&gt;NYears*12,"",INT(($A15-1)/12)+1)</f>
        <v/>
      </c>
      <c r="D15" s="33">
        <f>IF($A15&gt;NYears*12,"",MOD($A15-1,12)+1)</f>
        <v/>
      </c>
      <c r="E15" s="35">
        <f>IF($A15&gt;NYears*12,"",LotValue0*(1+LotGrowth)^($C15-1))</f>
        <v/>
      </c>
      <c r="F15" s="35">
        <f>IF($A15&gt;NYears*12,"",IF($A15=1,InitInvest,$R14))</f>
        <v/>
      </c>
      <c r="G15" s="33">
        <f>IF($A15&gt;NYears*12,"",INT($F15/$E15))</f>
        <v/>
      </c>
      <c r="H15" s="35">
        <f>IF($A15&gt;NYears*12,"",$G15*$E15)</f>
        <v/>
      </c>
      <c r="I15" s="35">
        <f>IF($A15&gt;NYears*12,"",$F15-$H15)</f>
        <v/>
      </c>
      <c r="J15" s="35">
        <f>IF($A15&gt;NYears*12,"",$H15*RateD)</f>
        <v/>
      </c>
      <c r="K15" s="35">
        <f>IF($A15&gt;NYears*12,"",IF($D15=1,$J15,$K14+$J15))</f>
        <v/>
      </c>
      <c r="L15" s="35">
        <f>IF($A15&gt;NYears*12,"",IF(MOD($D15,3)=0,SUM($J13:$J15),0))</f>
        <v/>
      </c>
      <c r="M15" s="35">
        <f>IF($A15&gt;NYears*12,"",IF(TaxFreq="Quarterly",$K15*12/$D15,$K15))</f>
        <v/>
      </c>
      <c r="N15" s="36">
        <f>IF($A15&gt;NYears*12,"",LOOKUP($M15,TaxLower,TaxRate))</f>
        <v/>
      </c>
      <c r="O15" s="35">
        <f>IF($A15&gt;NYears*12,"",IF(TaxFreq="Quarterly",IF(MOD($D15,3)=0,$L15*$N15,0),IF($D15=12,$K15*$N15,0)))</f>
        <v/>
      </c>
      <c r="P15" s="35">
        <f>IF($A15&gt;NYears*12,"",IF($D15=1,$O15,$P14+$O15))</f>
        <v/>
      </c>
      <c r="Q15" s="35">
        <f>IF($A15&gt;NYears*12,"",IF($D15=12,MIN(WdrPct*IF(WdrBase="Post-tax profit",$K15-$P15,$K15),WdrCap),0))</f>
        <v/>
      </c>
      <c r="R15" s="35">
        <f>IF($A15&gt;NYears*12,"",$F15+$J15-$O15-$Q15)</f>
        <v/>
      </c>
      <c r="S15" s="33">
        <f>IF($A15&gt;NYears*12,"",INT($R15/$E15))</f>
        <v/>
      </c>
    </row>
    <row r="16">
      <c r="A16" s="37">
        <f>12</f>
        <v/>
      </c>
      <c r="B16" s="38">
        <f>IF($A16&gt;NYears*12,"",EDATE(StartMonth,$A16-1))</f>
        <v/>
      </c>
      <c r="C16" s="37">
        <f>IF($A16&gt;NYears*12,"",INT(($A16-1)/12)+1)</f>
        <v/>
      </c>
      <c r="D16" s="37">
        <f>IF($A16&gt;NYears*12,"",MOD($A16-1,12)+1)</f>
        <v/>
      </c>
      <c r="E16" s="39">
        <f>IF($A16&gt;NYears*12,"",LotValue0*(1+LotGrowth)^($C16-1))</f>
        <v/>
      </c>
      <c r="F16" s="39">
        <f>IF($A16&gt;NYears*12,"",IF($A16=1,InitInvest,$R15))</f>
        <v/>
      </c>
      <c r="G16" s="37">
        <f>IF($A16&gt;NYears*12,"",INT($F16/$E16))</f>
        <v/>
      </c>
      <c r="H16" s="39">
        <f>IF($A16&gt;NYears*12,"",$G16*$E16)</f>
        <v/>
      </c>
      <c r="I16" s="39">
        <f>IF($A16&gt;NYears*12,"",$F16-$H16)</f>
        <v/>
      </c>
      <c r="J16" s="39">
        <f>IF($A16&gt;NYears*12,"",$H16*RateD)</f>
        <v/>
      </c>
      <c r="K16" s="39">
        <f>IF($A16&gt;NYears*12,"",IF($D16=1,$J16,$K15+$J16))</f>
        <v/>
      </c>
      <c r="L16" s="39">
        <f>IF($A16&gt;NYears*12,"",IF(MOD($D16,3)=0,SUM($J14:$J16),0))</f>
        <v/>
      </c>
      <c r="M16" s="39">
        <f>IF($A16&gt;NYears*12,"",IF(TaxFreq="Quarterly",$K16*12/$D16,$K16))</f>
        <v/>
      </c>
      <c r="N16" s="40">
        <f>IF($A16&gt;NYears*12,"",LOOKUP($M16,TaxLower,TaxRate))</f>
        <v/>
      </c>
      <c r="O16" s="39">
        <f>IF($A16&gt;NYears*12,"",IF(TaxFreq="Quarterly",IF(MOD($D16,3)=0,$L16*$N16,0),IF($D16=12,$K16*$N16,0)))</f>
        <v/>
      </c>
      <c r="P16" s="39">
        <f>IF($A16&gt;NYears*12,"",IF($D16=1,$O16,$P15+$O16))</f>
        <v/>
      </c>
      <c r="Q16" s="39">
        <f>IF($A16&gt;NYears*12,"",IF($D16=12,MIN(WdrPct*IF(WdrBase="Post-tax profit",$K16-$P16,$K16),WdrCap),0))</f>
        <v/>
      </c>
      <c r="R16" s="39">
        <f>IF($A16&gt;NYears*12,"",$F16+$J16-$O16-$Q16)</f>
        <v/>
      </c>
      <c r="S16" s="37">
        <f>IF($A16&gt;NYears*12,"",INT($R16/$E16))</f>
        <v/>
      </c>
    </row>
    <row r="17">
      <c r="A17" s="33">
        <f>13</f>
        <v/>
      </c>
      <c r="B17" s="34">
        <f>IF($A17&gt;NYears*12,"",EDATE(StartMonth,$A17-1))</f>
        <v/>
      </c>
      <c r="C17" s="33">
        <f>IF($A17&gt;NYears*12,"",INT(($A17-1)/12)+1)</f>
        <v/>
      </c>
      <c r="D17" s="33">
        <f>IF($A17&gt;NYears*12,"",MOD($A17-1,12)+1)</f>
        <v/>
      </c>
      <c r="E17" s="35">
        <f>IF($A17&gt;NYears*12,"",LotValue0*(1+LotGrowth)^($C17-1))</f>
        <v/>
      </c>
      <c r="F17" s="35">
        <f>IF($A17&gt;NYears*12,"",IF($A17=1,InitInvest,$R16))</f>
        <v/>
      </c>
      <c r="G17" s="33">
        <f>IF($A17&gt;NYears*12,"",INT($F17/$E17))</f>
        <v/>
      </c>
      <c r="H17" s="35">
        <f>IF($A17&gt;NYears*12,"",$G17*$E17)</f>
        <v/>
      </c>
      <c r="I17" s="35">
        <f>IF($A17&gt;NYears*12,"",$F17-$H17)</f>
        <v/>
      </c>
      <c r="J17" s="35">
        <f>IF($A17&gt;NYears*12,"",$H17*RateD)</f>
        <v/>
      </c>
      <c r="K17" s="35">
        <f>IF($A17&gt;NYears*12,"",IF($D17=1,$J17,$K16+$J17))</f>
        <v/>
      </c>
      <c r="L17" s="35">
        <f>IF($A17&gt;NYears*12,"",IF(MOD($D17,3)=0,SUM($J15:$J17),0))</f>
        <v/>
      </c>
      <c r="M17" s="35">
        <f>IF($A17&gt;NYears*12,"",IF(TaxFreq="Quarterly",$K17*12/$D17,$K17))</f>
        <v/>
      </c>
      <c r="N17" s="36">
        <f>IF($A17&gt;NYears*12,"",LOOKUP($M17,TaxLower,TaxRate))</f>
        <v/>
      </c>
      <c r="O17" s="35">
        <f>IF($A17&gt;NYears*12,"",IF(TaxFreq="Quarterly",IF(MOD($D17,3)=0,$L17*$N17,0),IF($D17=12,$K17*$N17,0)))</f>
        <v/>
      </c>
      <c r="P17" s="35">
        <f>IF($A17&gt;NYears*12,"",IF($D17=1,$O17,$P16+$O17))</f>
        <v/>
      </c>
      <c r="Q17" s="35">
        <f>IF($A17&gt;NYears*12,"",IF($D17=12,MIN(WdrPct*IF(WdrBase="Post-tax profit",$K17-$P17,$K17),WdrCap),0))</f>
        <v/>
      </c>
      <c r="R17" s="35">
        <f>IF($A17&gt;NYears*12,"",$F17+$J17-$O17-$Q17)</f>
        <v/>
      </c>
      <c r="S17" s="33">
        <f>IF($A17&gt;NYears*12,"",INT($R17/$E17))</f>
        <v/>
      </c>
    </row>
    <row r="18">
      <c r="A18" s="33">
        <f>14</f>
        <v/>
      </c>
      <c r="B18" s="34">
        <f>IF($A18&gt;NYears*12,"",EDATE(StartMonth,$A18-1))</f>
        <v/>
      </c>
      <c r="C18" s="33">
        <f>IF($A18&gt;NYears*12,"",INT(($A18-1)/12)+1)</f>
        <v/>
      </c>
      <c r="D18" s="33">
        <f>IF($A18&gt;NYears*12,"",MOD($A18-1,12)+1)</f>
        <v/>
      </c>
      <c r="E18" s="35">
        <f>IF($A18&gt;NYears*12,"",LotValue0*(1+LotGrowth)^($C18-1))</f>
        <v/>
      </c>
      <c r="F18" s="35">
        <f>IF($A18&gt;NYears*12,"",IF($A18=1,InitInvest,$R17))</f>
        <v/>
      </c>
      <c r="G18" s="33">
        <f>IF($A18&gt;NYears*12,"",INT($F18/$E18))</f>
        <v/>
      </c>
      <c r="H18" s="35">
        <f>IF($A18&gt;NYears*12,"",$G18*$E18)</f>
        <v/>
      </c>
      <c r="I18" s="35">
        <f>IF($A18&gt;NYears*12,"",$F18-$H18)</f>
        <v/>
      </c>
      <c r="J18" s="35">
        <f>IF($A18&gt;NYears*12,"",$H18*RateD)</f>
        <v/>
      </c>
      <c r="K18" s="35">
        <f>IF($A18&gt;NYears*12,"",IF($D18=1,$J18,$K17+$J18))</f>
        <v/>
      </c>
      <c r="L18" s="35">
        <f>IF($A18&gt;NYears*12,"",IF(MOD($D18,3)=0,SUM($J16:$J18),0))</f>
        <v/>
      </c>
      <c r="M18" s="35">
        <f>IF($A18&gt;NYears*12,"",IF(TaxFreq="Quarterly",$K18*12/$D18,$K18))</f>
        <v/>
      </c>
      <c r="N18" s="36">
        <f>IF($A18&gt;NYears*12,"",LOOKUP($M18,TaxLower,TaxRate))</f>
        <v/>
      </c>
      <c r="O18" s="35">
        <f>IF($A18&gt;NYears*12,"",IF(TaxFreq="Quarterly",IF(MOD($D18,3)=0,$L18*$N18,0),IF($D18=12,$K18*$N18,0)))</f>
        <v/>
      </c>
      <c r="P18" s="35">
        <f>IF($A18&gt;NYears*12,"",IF($D18=1,$O18,$P17+$O18))</f>
        <v/>
      </c>
      <c r="Q18" s="35">
        <f>IF($A18&gt;NYears*12,"",IF($D18=12,MIN(WdrPct*IF(WdrBase="Post-tax profit",$K18-$P18,$K18),WdrCap),0))</f>
        <v/>
      </c>
      <c r="R18" s="35">
        <f>IF($A18&gt;NYears*12,"",$F18+$J18-$O18-$Q18)</f>
        <v/>
      </c>
      <c r="S18" s="33">
        <f>IF($A18&gt;NYears*12,"",INT($R18/$E18))</f>
        <v/>
      </c>
    </row>
    <row r="19">
      <c r="A19" s="33">
        <f>15</f>
        <v/>
      </c>
      <c r="B19" s="34">
        <f>IF($A19&gt;NYears*12,"",EDATE(StartMonth,$A19-1))</f>
        <v/>
      </c>
      <c r="C19" s="33">
        <f>IF($A19&gt;NYears*12,"",INT(($A19-1)/12)+1)</f>
        <v/>
      </c>
      <c r="D19" s="33">
        <f>IF($A19&gt;NYears*12,"",MOD($A19-1,12)+1)</f>
        <v/>
      </c>
      <c r="E19" s="35">
        <f>IF($A19&gt;NYears*12,"",LotValue0*(1+LotGrowth)^($C19-1))</f>
        <v/>
      </c>
      <c r="F19" s="35">
        <f>IF($A19&gt;NYears*12,"",IF($A19=1,InitInvest,$R18))</f>
        <v/>
      </c>
      <c r="G19" s="33">
        <f>IF($A19&gt;NYears*12,"",INT($F19/$E19))</f>
        <v/>
      </c>
      <c r="H19" s="35">
        <f>IF($A19&gt;NYears*12,"",$G19*$E19)</f>
        <v/>
      </c>
      <c r="I19" s="35">
        <f>IF($A19&gt;NYears*12,"",$F19-$H19)</f>
        <v/>
      </c>
      <c r="J19" s="35">
        <f>IF($A19&gt;NYears*12,"",$H19*RateD)</f>
        <v/>
      </c>
      <c r="K19" s="35">
        <f>IF($A19&gt;NYears*12,"",IF($D19=1,$J19,$K18+$J19))</f>
        <v/>
      </c>
      <c r="L19" s="35">
        <f>IF($A19&gt;NYears*12,"",IF(MOD($D19,3)=0,SUM($J17:$J19),0))</f>
        <v/>
      </c>
      <c r="M19" s="35">
        <f>IF($A19&gt;NYears*12,"",IF(TaxFreq="Quarterly",$K19*12/$D19,$K19))</f>
        <v/>
      </c>
      <c r="N19" s="36">
        <f>IF($A19&gt;NYears*12,"",LOOKUP($M19,TaxLower,TaxRate))</f>
        <v/>
      </c>
      <c r="O19" s="35">
        <f>IF($A19&gt;NYears*12,"",IF(TaxFreq="Quarterly",IF(MOD($D19,3)=0,$L19*$N19,0),IF($D19=12,$K19*$N19,0)))</f>
        <v/>
      </c>
      <c r="P19" s="35">
        <f>IF($A19&gt;NYears*12,"",IF($D19=1,$O19,$P18+$O19))</f>
        <v/>
      </c>
      <c r="Q19" s="35">
        <f>IF($A19&gt;NYears*12,"",IF($D19=12,MIN(WdrPct*IF(WdrBase="Post-tax profit",$K19-$P19,$K19),WdrCap),0))</f>
        <v/>
      </c>
      <c r="R19" s="35">
        <f>IF($A19&gt;NYears*12,"",$F19+$J19-$O19-$Q19)</f>
        <v/>
      </c>
      <c r="S19" s="33">
        <f>IF($A19&gt;NYears*12,"",INT($R19/$E19))</f>
        <v/>
      </c>
    </row>
    <row r="20">
      <c r="A20" s="33">
        <f>16</f>
        <v/>
      </c>
      <c r="B20" s="34">
        <f>IF($A20&gt;NYears*12,"",EDATE(StartMonth,$A20-1))</f>
        <v/>
      </c>
      <c r="C20" s="33">
        <f>IF($A20&gt;NYears*12,"",INT(($A20-1)/12)+1)</f>
        <v/>
      </c>
      <c r="D20" s="33">
        <f>IF($A20&gt;NYears*12,"",MOD($A20-1,12)+1)</f>
        <v/>
      </c>
      <c r="E20" s="35">
        <f>IF($A20&gt;NYears*12,"",LotValue0*(1+LotGrowth)^($C20-1))</f>
        <v/>
      </c>
      <c r="F20" s="35">
        <f>IF($A20&gt;NYears*12,"",IF($A20=1,InitInvest,$R19))</f>
        <v/>
      </c>
      <c r="G20" s="33">
        <f>IF($A20&gt;NYears*12,"",INT($F20/$E20))</f>
        <v/>
      </c>
      <c r="H20" s="35">
        <f>IF($A20&gt;NYears*12,"",$G20*$E20)</f>
        <v/>
      </c>
      <c r="I20" s="35">
        <f>IF($A20&gt;NYears*12,"",$F20-$H20)</f>
        <v/>
      </c>
      <c r="J20" s="35">
        <f>IF($A20&gt;NYears*12,"",$H20*RateD)</f>
        <v/>
      </c>
      <c r="K20" s="35">
        <f>IF($A20&gt;NYears*12,"",IF($D20=1,$J20,$K19+$J20))</f>
        <v/>
      </c>
      <c r="L20" s="35">
        <f>IF($A20&gt;NYears*12,"",IF(MOD($D20,3)=0,SUM($J18:$J20),0))</f>
        <v/>
      </c>
      <c r="M20" s="35">
        <f>IF($A20&gt;NYears*12,"",IF(TaxFreq="Quarterly",$K20*12/$D20,$K20))</f>
        <v/>
      </c>
      <c r="N20" s="36">
        <f>IF($A20&gt;NYears*12,"",LOOKUP($M20,TaxLower,TaxRate))</f>
        <v/>
      </c>
      <c r="O20" s="35">
        <f>IF($A20&gt;NYears*12,"",IF(TaxFreq="Quarterly",IF(MOD($D20,3)=0,$L20*$N20,0),IF($D20=12,$K20*$N20,0)))</f>
        <v/>
      </c>
      <c r="P20" s="35">
        <f>IF($A20&gt;NYears*12,"",IF($D20=1,$O20,$P19+$O20))</f>
        <v/>
      </c>
      <c r="Q20" s="35">
        <f>IF($A20&gt;NYears*12,"",IF($D20=12,MIN(WdrPct*IF(WdrBase="Post-tax profit",$K20-$P20,$K20),WdrCap),0))</f>
        <v/>
      </c>
      <c r="R20" s="35">
        <f>IF($A20&gt;NYears*12,"",$F20+$J20-$O20-$Q20)</f>
        <v/>
      </c>
      <c r="S20" s="33">
        <f>IF($A20&gt;NYears*12,"",INT($R20/$E20))</f>
        <v/>
      </c>
    </row>
    <row r="21">
      <c r="A21" s="33">
        <f>17</f>
        <v/>
      </c>
      <c r="B21" s="34">
        <f>IF($A21&gt;NYears*12,"",EDATE(StartMonth,$A21-1))</f>
        <v/>
      </c>
      <c r="C21" s="33">
        <f>IF($A21&gt;NYears*12,"",INT(($A21-1)/12)+1)</f>
        <v/>
      </c>
      <c r="D21" s="33">
        <f>IF($A21&gt;NYears*12,"",MOD($A21-1,12)+1)</f>
        <v/>
      </c>
      <c r="E21" s="35">
        <f>IF($A21&gt;NYears*12,"",LotValue0*(1+LotGrowth)^($C21-1))</f>
        <v/>
      </c>
      <c r="F21" s="35">
        <f>IF($A21&gt;NYears*12,"",IF($A21=1,InitInvest,$R20))</f>
        <v/>
      </c>
      <c r="G21" s="33">
        <f>IF($A21&gt;NYears*12,"",INT($F21/$E21))</f>
        <v/>
      </c>
      <c r="H21" s="35">
        <f>IF($A21&gt;NYears*12,"",$G21*$E21)</f>
        <v/>
      </c>
      <c r="I21" s="35">
        <f>IF($A21&gt;NYears*12,"",$F21-$H21)</f>
        <v/>
      </c>
      <c r="J21" s="35">
        <f>IF($A21&gt;NYears*12,"",$H21*RateD)</f>
        <v/>
      </c>
      <c r="K21" s="35">
        <f>IF($A21&gt;NYears*12,"",IF($D21=1,$J21,$K20+$J21))</f>
        <v/>
      </c>
      <c r="L21" s="35">
        <f>IF($A21&gt;NYears*12,"",IF(MOD($D21,3)=0,SUM($J19:$J21),0))</f>
        <v/>
      </c>
      <c r="M21" s="35">
        <f>IF($A21&gt;NYears*12,"",IF(TaxFreq="Quarterly",$K21*12/$D21,$K21))</f>
        <v/>
      </c>
      <c r="N21" s="36">
        <f>IF($A21&gt;NYears*12,"",LOOKUP($M21,TaxLower,TaxRate))</f>
        <v/>
      </c>
      <c r="O21" s="35">
        <f>IF($A21&gt;NYears*12,"",IF(TaxFreq="Quarterly",IF(MOD($D21,3)=0,$L21*$N21,0),IF($D21=12,$K21*$N21,0)))</f>
        <v/>
      </c>
      <c r="P21" s="35">
        <f>IF($A21&gt;NYears*12,"",IF($D21=1,$O21,$P20+$O21))</f>
        <v/>
      </c>
      <c r="Q21" s="35">
        <f>IF($A21&gt;NYears*12,"",IF($D21=12,MIN(WdrPct*IF(WdrBase="Post-tax profit",$K21-$P21,$K21),WdrCap),0))</f>
        <v/>
      </c>
      <c r="R21" s="35">
        <f>IF($A21&gt;NYears*12,"",$F21+$J21-$O21-$Q21)</f>
        <v/>
      </c>
      <c r="S21" s="33">
        <f>IF($A21&gt;NYears*12,"",INT($R21/$E21))</f>
        <v/>
      </c>
    </row>
    <row r="22">
      <c r="A22" s="33">
        <f>18</f>
        <v/>
      </c>
      <c r="B22" s="34">
        <f>IF($A22&gt;NYears*12,"",EDATE(StartMonth,$A22-1))</f>
        <v/>
      </c>
      <c r="C22" s="33">
        <f>IF($A22&gt;NYears*12,"",INT(($A22-1)/12)+1)</f>
        <v/>
      </c>
      <c r="D22" s="33">
        <f>IF($A22&gt;NYears*12,"",MOD($A22-1,12)+1)</f>
        <v/>
      </c>
      <c r="E22" s="35">
        <f>IF($A22&gt;NYears*12,"",LotValue0*(1+LotGrowth)^($C22-1))</f>
        <v/>
      </c>
      <c r="F22" s="35">
        <f>IF($A22&gt;NYears*12,"",IF($A22=1,InitInvest,$R21))</f>
        <v/>
      </c>
      <c r="G22" s="33">
        <f>IF($A22&gt;NYears*12,"",INT($F22/$E22))</f>
        <v/>
      </c>
      <c r="H22" s="35">
        <f>IF($A22&gt;NYears*12,"",$G22*$E22)</f>
        <v/>
      </c>
      <c r="I22" s="35">
        <f>IF($A22&gt;NYears*12,"",$F22-$H22)</f>
        <v/>
      </c>
      <c r="J22" s="35">
        <f>IF($A22&gt;NYears*12,"",$H22*RateD)</f>
        <v/>
      </c>
      <c r="K22" s="35">
        <f>IF($A22&gt;NYears*12,"",IF($D22=1,$J22,$K21+$J22))</f>
        <v/>
      </c>
      <c r="L22" s="35">
        <f>IF($A22&gt;NYears*12,"",IF(MOD($D22,3)=0,SUM($J20:$J22),0))</f>
        <v/>
      </c>
      <c r="M22" s="35">
        <f>IF($A22&gt;NYears*12,"",IF(TaxFreq="Quarterly",$K22*12/$D22,$K22))</f>
        <v/>
      </c>
      <c r="N22" s="36">
        <f>IF($A22&gt;NYears*12,"",LOOKUP($M22,TaxLower,TaxRate))</f>
        <v/>
      </c>
      <c r="O22" s="35">
        <f>IF($A22&gt;NYears*12,"",IF(TaxFreq="Quarterly",IF(MOD($D22,3)=0,$L22*$N22,0),IF($D22=12,$K22*$N22,0)))</f>
        <v/>
      </c>
      <c r="P22" s="35">
        <f>IF($A22&gt;NYears*12,"",IF($D22=1,$O22,$P21+$O22))</f>
        <v/>
      </c>
      <c r="Q22" s="35">
        <f>IF($A22&gt;NYears*12,"",IF($D22=12,MIN(WdrPct*IF(WdrBase="Post-tax profit",$K22-$P22,$K22),WdrCap),0))</f>
        <v/>
      </c>
      <c r="R22" s="35">
        <f>IF($A22&gt;NYears*12,"",$F22+$J22-$O22-$Q22)</f>
        <v/>
      </c>
      <c r="S22" s="33">
        <f>IF($A22&gt;NYears*12,"",INT($R22/$E22))</f>
        <v/>
      </c>
    </row>
    <row r="23">
      <c r="A23" s="33">
        <f>19</f>
        <v/>
      </c>
      <c r="B23" s="34">
        <f>IF($A23&gt;NYears*12,"",EDATE(StartMonth,$A23-1))</f>
        <v/>
      </c>
      <c r="C23" s="33">
        <f>IF($A23&gt;NYears*12,"",INT(($A23-1)/12)+1)</f>
        <v/>
      </c>
      <c r="D23" s="33">
        <f>IF($A23&gt;NYears*12,"",MOD($A23-1,12)+1)</f>
        <v/>
      </c>
      <c r="E23" s="35">
        <f>IF($A23&gt;NYears*12,"",LotValue0*(1+LotGrowth)^($C23-1))</f>
        <v/>
      </c>
      <c r="F23" s="35">
        <f>IF($A23&gt;NYears*12,"",IF($A23=1,InitInvest,$R22))</f>
        <v/>
      </c>
      <c r="G23" s="33">
        <f>IF($A23&gt;NYears*12,"",INT($F23/$E23))</f>
        <v/>
      </c>
      <c r="H23" s="35">
        <f>IF($A23&gt;NYears*12,"",$G23*$E23)</f>
        <v/>
      </c>
      <c r="I23" s="35">
        <f>IF($A23&gt;NYears*12,"",$F23-$H23)</f>
        <v/>
      </c>
      <c r="J23" s="35">
        <f>IF($A23&gt;NYears*12,"",$H23*RateD)</f>
        <v/>
      </c>
      <c r="K23" s="35">
        <f>IF($A23&gt;NYears*12,"",IF($D23=1,$J23,$K22+$J23))</f>
        <v/>
      </c>
      <c r="L23" s="35">
        <f>IF($A23&gt;NYears*12,"",IF(MOD($D23,3)=0,SUM($J21:$J23),0))</f>
        <v/>
      </c>
      <c r="M23" s="35">
        <f>IF($A23&gt;NYears*12,"",IF(TaxFreq="Quarterly",$K23*12/$D23,$K23))</f>
        <v/>
      </c>
      <c r="N23" s="36">
        <f>IF($A23&gt;NYears*12,"",LOOKUP($M23,TaxLower,TaxRate))</f>
        <v/>
      </c>
      <c r="O23" s="35">
        <f>IF($A23&gt;NYears*12,"",IF(TaxFreq="Quarterly",IF(MOD($D23,3)=0,$L23*$N23,0),IF($D23=12,$K23*$N23,0)))</f>
        <v/>
      </c>
      <c r="P23" s="35">
        <f>IF($A23&gt;NYears*12,"",IF($D23=1,$O23,$P22+$O23))</f>
        <v/>
      </c>
      <c r="Q23" s="35">
        <f>IF($A23&gt;NYears*12,"",IF($D23=12,MIN(WdrPct*IF(WdrBase="Post-tax profit",$K23-$P23,$K23),WdrCap),0))</f>
        <v/>
      </c>
      <c r="R23" s="35">
        <f>IF($A23&gt;NYears*12,"",$F23+$J23-$O23-$Q23)</f>
        <v/>
      </c>
      <c r="S23" s="33">
        <f>IF($A23&gt;NYears*12,"",INT($R23/$E23))</f>
        <v/>
      </c>
    </row>
    <row r="24">
      <c r="A24" s="33">
        <f>20</f>
        <v/>
      </c>
      <c r="B24" s="34">
        <f>IF($A24&gt;NYears*12,"",EDATE(StartMonth,$A24-1))</f>
        <v/>
      </c>
      <c r="C24" s="33">
        <f>IF($A24&gt;NYears*12,"",INT(($A24-1)/12)+1)</f>
        <v/>
      </c>
      <c r="D24" s="33">
        <f>IF($A24&gt;NYears*12,"",MOD($A24-1,12)+1)</f>
        <v/>
      </c>
      <c r="E24" s="35">
        <f>IF($A24&gt;NYears*12,"",LotValue0*(1+LotGrowth)^($C24-1))</f>
        <v/>
      </c>
      <c r="F24" s="35">
        <f>IF($A24&gt;NYears*12,"",IF($A24=1,InitInvest,$R23))</f>
        <v/>
      </c>
      <c r="G24" s="33">
        <f>IF($A24&gt;NYears*12,"",INT($F24/$E24))</f>
        <v/>
      </c>
      <c r="H24" s="35">
        <f>IF($A24&gt;NYears*12,"",$G24*$E24)</f>
        <v/>
      </c>
      <c r="I24" s="35">
        <f>IF($A24&gt;NYears*12,"",$F24-$H24)</f>
        <v/>
      </c>
      <c r="J24" s="35">
        <f>IF($A24&gt;NYears*12,"",$H24*RateD)</f>
        <v/>
      </c>
      <c r="K24" s="35">
        <f>IF($A24&gt;NYears*12,"",IF($D24=1,$J24,$K23+$J24))</f>
        <v/>
      </c>
      <c r="L24" s="35">
        <f>IF($A24&gt;NYears*12,"",IF(MOD($D24,3)=0,SUM($J22:$J24),0))</f>
        <v/>
      </c>
      <c r="M24" s="35">
        <f>IF($A24&gt;NYears*12,"",IF(TaxFreq="Quarterly",$K24*12/$D24,$K24))</f>
        <v/>
      </c>
      <c r="N24" s="36">
        <f>IF($A24&gt;NYears*12,"",LOOKUP($M24,TaxLower,TaxRate))</f>
        <v/>
      </c>
      <c r="O24" s="35">
        <f>IF($A24&gt;NYears*12,"",IF(TaxFreq="Quarterly",IF(MOD($D24,3)=0,$L24*$N24,0),IF($D24=12,$K24*$N24,0)))</f>
        <v/>
      </c>
      <c r="P24" s="35">
        <f>IF($A24&gt;NYears*12,"",IF($D24=1,$O24,$P23+$O24))</f>
        <v/>
      </c>
      <c r="Q24" s="35">
        <f>IF($A24&gt;NYears*12,"",IF($D24=12,MIN(WdrPct*IF(WdrBase="Post-tax profit",$K24-$P24,$K24),WdrCap),0))</f>
        <v/>
      </c>
      <c r="R24" s="35">
        <f>IF($A24&gt;NYears*12,"",$F24+$J24-$O24-$Q24)</f>
        <v/>
      </c>
      <c r="S24" s="33">
        <f>IF($A24&gt;NYears*12,"",INT($R24/$E24))</f>
        <v/>
      </c>
    </row>
    <row r="25">
      <c r="A25" s="33">
        <f>21</f>
        <v/>
      </c>
      <c r="B25" s="34">
        <f>IF($A25&gt;NYears*12,"",EDATE(StartMonth,$A25-1))</f>
        <v/>
      </c>
      <c r="C25" s="33">
        <f>IF($A25&gt;NYears*12,"",INT(($A25-1)/12)+1)</f>
        <v/>
      </c>
      <c r="D25" s="33">
        <f>IF($A25&gt;NYears*12,"",MOD($A25-1,12)+1)</f>
        <v/>
      </c>
      <c r="E25" s="35">
        <f>IF($A25&gt;NYears*12,"",LotValue0*(1+LotGrowth)^($C25-1))</f>
        <v/>
      </c>
      <c r="F25" s="35">
        <f>IF($A25&gt;NYears*12,"",IF($A25=1,InitInvest,$R24))</f>
        <v/>
      </c>
      <c r="G25" s="33">
        <f>IF($A25&gt;NYears*12,"",INT($F25/$E25))</f>
        <v/>
      </c>
      <c r="H25" s="35">
        <f>IF($A25&gt;NYears*12,"",$G25*$E25)</f>
        <v/>
      </c>
      <c r="I25" s="35">
        <f>IF($A25&gt;NYears*12,"",$F25-$H25)</f>
        <v/>
      </c>
      <c r="J25" s="35">
        <f>IF($A25&gt;NYears*12,"",$H25*RateD)</f>
        <v/>
      </c>
      <c r="K25" s="35">
        <f>IF($A25&gt;NYears*12,"",IF($D25=1,$J25,$K24+$J25))</f>
        <v/>
      </c>
      <c r="L25" s="35">
        <f>IF($A25&gt;NYears*12,"",IF(MOD($D25,3)=0,SUM($J23:$J25),0))</f>
        <v/>
      </c>
      <c r="M25" s="35">
        <f>IF($A25&gt;NYears*12,"",IF(TaxFreq="Quarterly",$K25*12/$D25,$K25))</f>
        <v/>
      </c>
      <c r="N25" s="36">
        <f>IF($A25&gt;NYears*12,"",LOOKUP($M25,TaxLower,TaxRate))</f>
        <v/>
      </c>
      <c r="O25" s="35">
        <f>IF($A25&gt;NYears*12,"",IF(TaxFreq="Quarterly",IF(MOD($D25,3)=0,$L25*$N25,0),IF($D25=12,$K25*$N25,0)))</f>
        <v/>
      </c>
      <c r="P25" s="35">
        <f>IF($A25&gt;NYears*12,"",IF($D25=1,$O25,$P24+$O25))</f>
        <v/>
      </c>
      <c r="Q25" s="35">
        <f>IF($A25&gt;NYears*12,"",IF($D25=12,MIN(WdrPct*IF(WdrBase="Post-tax profit",$K25-$P25,$K25),WdrCap),0))</f>
        <v/>
      </c>
      <c r="R25" s="35">
        <f>IF($A25&gt;NYears*12,"",$F25+$J25-$O25-$Q25)</f>
        <v/>
      </c>
      <c r="S25" s="33">
        <f>IF($A25&gt;NYears*12,"",INT($R25/$E25))</f>
        <v/>
      </c>
    </row>
    <row r="26">
      <c r="A26" s="33">
        <f>22</f>
        <v/>
      </c>
      <c r="B26" s="34">
        <f>IF($A26&gt;NYears*12,"",EDATE(StartMonth,$A26-1))</f>
        <v/>
      </c>
      <c r="C26" s="33">
        <f>IF($A26&gt;NYears*12,"",INT(($A26-1)/12)+1)</f>
        <v/>
      </c>
      <c r="D26" s="33">
        <f>IF($A26&gt;NYears*12,"",MOD($A26-1,12)+1)</f>
        <v/>
      </c>
      <c r="E26" s="35">
        <f>IF($A26&gt;NYears*12,"",LotValue0*(1+LotGrowth)^($C26-1))</f>
        <v/>
      </c>
      <c r="F26" s="35">
        <f>IF($A26&gt;NYears*12,"",IF($A26=1,InitInvest,$R25))</f>
        <v/>
      </c>
      <c r="G26" s="33">
        <f>IF($A26&gt;NYears*12,"",INT($F26/$E26))</f>
        <v/>
      </c>
      <c r="H26" s="35">
        <f>IF($A26&gt;NYears*12,"",$G26*$E26)</f>
        <v/>
      </c>
      <c r="I26" s="35">
        <f>IF($A26&gt;NYears*12,"",$F26-$H26)</f>
        <v/>
      </c>
      <c r="J26" s="35">
        <f>IF($A26&gt;NYears*12,"",$H26*RateD)</f>
        <v/>
      </c>
      <c r="K26" s="35">
        <f>IF($A26&gt;NYears*12,"",IF($D26=1,$J26,$K25+$J26))</f>
        <v/>
      </c>
      <c r="L26" s="35">
        <f>IF($A26&gt;NYears*12,"",IF(MOD($D26,3)=0,SUM($J24:$J26),0))</f>
        <v/>
      </c>
      <c r="M26" s="35">
        <f>IF($A26&gt;NYears*12,"",IF(TaxFreq="Quarterly",$K26*12/$D26,$K26))</f>
        <v/>
      </c>
      <c r="N26" s="36">
        <f>IF($A26&gt;NYears*12,"",LOOKUP($M26,TaxLower,TaxRate))</f>
        <v/>
      </c>
      <c r="O26" s="35">
        <f>IF($A26&gt;NYears*12,"",IF(TaxFreq="Quarterly",IF(MOD($D26,3)=0,$L26*$N26,0),IF($D26=12,$K26*$N26,0)))</f>
        <v/>
      </c>
      <c r="P26" s="35">
        <f>IF($A26&gt;NYears*12,"",IF($D26=1,$O26,$P25+$O26))</f>
        <v/>
      </c>
      <c r="Q26" s="35">
        <f>IF($A26&gt;NYears*12,"",IF($D26=12,MIN(WdrPct*IF(WdrBase="Post-tax profit",$K26-$P26,$K26),WdrCap),0))</f>
        <v/>
      </c>
      <c r="R26" s="35">
        <f>IF($A26&gt;NYears*12,"",$F26+$J26-$O26-$Q26)</f>
        <v/>
      </c>
      <c r="S26" s="33">
        <f>IF($A26&gt;NYears*12,"",INT($R26/$E26))</f>
        <v/>
      </c>
    </row>
    <row r="27">
      <c r="A27" s="33">
        <f>23</f>
        <v/>
      </c>
      <c r="B27" s="34">
        <f>IF($A27&gt;NYears*12,"",EDATE(StartMonth,$A27-1))</f>
        <v/>
      </c>
      <c r="C27" s="33">
        <f>IF($A27&gt;NYears*12,"",INT(($A27-1)/12)+1)</f>
        <v/>
      </c>
      <c r="D27" s="33">
        <f>IF($A27&gt;NYears*12,"",MOD($A27-1,12)+1)</f>
        <v/>
      </c>
      <c r="E27" s="35">
        <f>IF($A27&gt;NYears*12,"",LotValue0*(1+LotGrowth)^($C27-1))</f>
        <v/>
      </c>
      <c r="F27" s="35">
        <f>IF($A27&gt;NYears*12,"",IF($A27=1,InitInvest,$R26))</f>
        <v/>
      </c>
      <c r="G27" s="33">
        <f>IF($A27&gt;NYears*12,"",INT($F27/$E27))</f>
        <v/>
      </c>
      <c r="H27" s="35">
        <f>IF($A27&gt;NYears*12,"",$G27*$E27)</f>
        <v/>
      </c>
      <c r="I27" s="35">
        <f>IF($A27&gt;NYears*12,"",$F27-$H27)</f>
        <v/>
      </c>
      <c r="J27" s="35">
        <f>IF($A27&gt;NYears*12,"",$H27*RateD)</f>
        <v/>
      </c>
      <c r="K27" s="35">
        <f>IF($A27&gt;NYears*12,"",IF($D27=1,$J27,$K26+$J27))</f>
        <v/>
      </c>
      <c r="L27" s="35">
        <f>IF($A27&gt;NYears*12,"",IF(MOD($D27,3)=0,SUM($J25:$J27),0))</f>
        <v/>
      </c>
      <c r="M27" s="35">
        <f>IF($A27&gt;NYears*12,"",IF(TaxFreq="Quarterly",$K27*12/$D27,$K27))</f>
        <v/>
      </c>
      <c r="N27" s="36">
        <f>IF($A27&gt;NYears*12,"",LOOKUP($M27,TaxLower,TaxRate))</f>
        <v/>
      </c>
      <c r="O27" s="35">
        <f>IF($A27&gt;NYears*12,"",IF(TaxFreq="Quarterly",IF(MOD($D27,3)=0,$L27*$N27,0),IF($D27=12,$K27*$N27,0)))</f>
        <v/>
      </c>
      <c r="P27" s="35">
        <f>IF($A27&gt;NYears*12,"",IF($D27=1,$O27,$P26+$O27))</f>
        <v/>
      </c>
      <c r="Q27" s="35">
        <f>IF($A27&gt;NYears*12,"",IF($D27=12,MIN(WdrPct*IF(WdrBase="Post-tax profit",$K27-$P27,$K27),WdrCap),0))</f>
        <v/>
      </c>
      <c r="R27" s="35">
        <f>IF($A27&gt;NYears*12,"",$F27+$J27-$O27-$Q27)</f>
        <v/>
      </c>
      <c r="S27" s="33">
        <f>IF($A27&gt;NYears*12,"",INT($R27/$E27))</f>
        <v/>
      </c>
    </row>
    <row r="28">
      <c r="A28" s="37">
        <f>24</f>
        <v/>
      </c>
      <c r="B28" s="38">
        <f>IF($A28&gt;NYears*12,"",EDATE(StartMonth,$A28-1))</f>
        <v/>
      </c>
      <c r="C28" s="37">
        <f>IF($A28&gt;NYears*12,"",INT(($A28-1)/12)+1)</f>
        <v/>
      </c>
      <c r="D28" s="37">
        <f>IF($A28&gt;NYears*12,"",MOD($A28-1,12)+1)</f>
        <v/>
      </c>
      <c r="E28" s="39">
        <f>IF($A28&gt;NYears*12,"",LotValue0*(1+LotGrowth)^($C28-1))</f>
        <v/>
      </c>
      <c r="F28" s="39">
        <f>IF($A28&gt;NYears*12,"",IF($A28=1,InitInvest,$R27))</f>
        <v/>
      </c>
      <c r="G28" s="37">
        <f>IF($A28&gt;NYears*12,"",INT($F28/$E28))</f>
        <v/>
      </c>
      <c r="H28" s="39">
        <f>IF($A28&gt;NYears*12,"",$G28*$E28)</f>
        <v/>
      </c>
      <c r="I28" s="39">
        <f>IF($A28&gt;NYears*12,"",$F28-$H28)</f>
        <v/>
      </c>
      <c r="J28" s="39">
        <f>IF($A28&gt;NYears*12,"",$H28*RateD)</f>
        <v/>
      </c>
      <c r="K28" s="39">
        <f>IF($A28&gt;NYears*12,"",IF($D28=1,$J28,$K27+$J28))</f>
        <v/>
      </c>
      <c r="L28" s="39">
        <f>IF($A28&gt;NYears*12,"",IF(MOD($D28,3)=0,SUM($J26:$J28),0))</f>
        <v/>
      </c>
      <c r="M28" s="39">
        <f>IF($A28&gt;NYears*12,"",IF(TaxFreq="Quarterly",$K28*12/$D28,$K28))</f>
        <v/>
      </c>
      <c r="N28" s="40">
        <f>IF($A28&gt;NYears*12,"",LOOKUP($M28,TaxLower,TaxRate))</f>
        <v/>
      </c>
      <c r="O28" s="39">
        <f>IF($A28&gt;NYears*12,"",IF(TaxFreq="Quarterly",IF(MOD($D28,3)=0,$L28*$N28,0),IF($D28=12,$K28*$N28,0)))</f>
        <v/>
      </c>
      <c r="P28" s="39">
        <f>IF($A28&gt;NYears*12,"",IF($D28=1,$O28,$P27+$O28))</f>
        <v/>
      </c>
      <c r="Q28" s="39">
        <f>IF($A28&gt;NYears*12,"",IF($D28=12,MIN(WdrPct*IF(WdrBase="Post-tax profit",$K28-$P28,$K28),WdrCap),0))</f>
        <v/>
      </c>
      <c r="R28" s="39">
        <f>IF($A28&gt;NYears*12,"",$F28+$J28-$O28-$Q28)</f>
        <v/>
      </c>
      <c r="S28" s="37">
        <f>IF($A28&gt;NYears*12,"",INT($R28/$E28))</f>
        <v/>
      </c>
    </row>
    <row r="29">
      <c r="A29" s="33">
        <f>25</f>
        <v/>
      </c>
      <c r="B29" s="34">
        <f>IF($A29&gt;NYears*12,"",EDATE(StartMonth,$A29-1))</f>
        <v/>
      </c>
      <c r="C29" s="33">
        <f>IF($A29&gt;NYears*12,"",INT(($A29-1)/12)+1)</f>
        <v/>
      </c>
      <c r="D29" s="33">
        <f>IF($A29&gt;NYears*12,"",MOD($A29-1,12)+1)</f>
        <v/>
      </c>
      <c r="E29" s="35">
        <f>IF($A29&gt;NYears*12,"",LotValue0*(1+LotGrowth)^($C29-1))</f>
        <v/>
      </c>
      <c r="F29" s="35">
        <f>IF($A29&gt;NYears*12,"",IF($A29=1,InitInvest,$R28))</f>
        <v/>
      </c>
      <c r="G29" s="33">
        <f>IF($A29&gt;NYears*12,"",INT($F29/$E29))</f>
        <v/>
      </c>
      <c r="H29" s="35">
        <f>IF($A29&gt;NYears*12,"",$G29*$E29)</f>
        <v/>
      </c>
      <c r="I29" s="35">
        <f>IF($A29&gt;NYears*12,"",$F29-$H29)</f>
        <v/>
      </c>
      <c r="J29" s="35">
        <f>IF($A29&gt;NYears*12,"",$H29*RateD)</f>
        <v/>
      </c>
      <c r="K29" s="35">
        <f>IF($A29&gt;NYears*12,"",IF($D29=1,$J29,$K28+$J29))</f>
        <v/>
      </c>
      <c r="L29" s="35">
        <f>IF($A29&gt;NYears*12,"",IF(MOD($D29,3)=0,SUM($J27:$J29),0))</f>
        <v/>
      </c>
      <c r="M29" s="35">
        <f>IF($A29&gt;NYears*12,"",IF(TaxFreq="Quarterly",$K29*12/$D29,$K29))</f>
        <v/>
      </c>
      <c r="N29" s="36">
        <f>IF($A29&gt;NYears*12,"",LOOKUP($M29,TaxLower,TaxRate))</f>
        <v/>
      </c>
      <c r="O29" s="35">
        <f>IF($A29&gt;NYears*12,"",IF(TaxFreq="Quarterly",IF(MOD($D29,3)=0,$L29*$N29,0),IF($D29=12,$K29*$N29,0)))</f>
        <v/>
      </c>
      <c r="P29" s="35">
        <f>IF($A29&gt;NYears*12,"",IF($D29=1,$O29,$P28+$O29))</f>
        <v/>
      </c>
      <c r="Q29" s="35">
        <f>IF($A29&gt;NYears*12,"",IF($D29=12,MIN(WdrPct*IF(WdrBase="Post-tax profit",$K29-$P29,$K29),WdrCap),0))</f>
        <v/>
      </c>
      <c r="R29" s="35">
        <f>IF($A29&gt;NYears*12,"",$F29+$J29-$O29-$Q29)</f>
        <v/>
      </c>
      <c r="S29" s="33">
        <f>IF($A29&gt;NYears*12,"",INT($R29/$E29))</f>
        <v/>
      </c>
    </row>
    <row r="30">
      <c r="A30" s="33">
        <f>26</f>
        <v/>
      </c>
      <c r="B30" s="34">
        <f>IF($A30&gt;NYears*12,"",EDATE(StartMonth,$A30-1))</f>
        <v/>
      </c>
      <c r="C30" s="33">
        <f>IF($A30&gt;NYears*12,"",INT(($A30-1)/12)+1)</f>
        <v/>
      </c>
      <c r="D30" s="33">
        <f>IF($A30&gt;NYears*12,"",MOD($A30-1,12)+1)</f>
        <v/>
      </c>
      <c r="E30" s="35">
        <f>IF($A30&gt;NYears*12,"",LotValue0*(1+LotGrowth)^($C30-1))</f>
        <v/>
      </c>
      <c r="F30" s="35">
        <f>IF($A30&gt;NYears*12,"",IF($A30=1,InitInvest,$R29))</f>
        <v/>
      </c>
      <c r="G30" s="33">
        <f>IF($A30&gt;NYears*12,"",INT($F30/$E30))</f>
        <v/>
      </c>
      <c r="H30" s="35">
        <f>IF($A30&gt;NYears*12,"",$G30*$E30)</f>
        <v/>
      </c>
      <c r="I30" s="35">
        <f>IF($A30&gt;NYears*12,"",$F30-$H30)</f>
        <v/>
      </c>
      <c r="J30" s="35">
        <f>IF($A30&gt;NYears*12,"",$H30*RateD)</f>
        <v/>
      </c>
      <c r="K30" s="35">
        <f>IF($A30&gt;NYears*12,"",IF($D30=1,$J30,$K29+$J30))</f>
        <v/>
      </c>
      <c r="L30" s="35">
        <f>IF($A30&gt;NYears*12,"",IF(MOD($D30,3)=0,SUM($J28:$J30),0))</f>
        <v/>
      </c>
      <c r="M30" s="35">
        <f>IF($A30&gt;NYears*12,"",IF(TaxFreq="Quarterly",$K30*12/$D30,$K30))</f>
        <v/>
      </c>
      <c r="N30" s="36">
        <f>IF($A30&gt;NYears*12,"",LOOKUP($M30,TaxLower,TaxRate))</f>
        <v/>
      </c>
      <c r="O30" s="35">
        <f>IF($A30&gt;NYears*12,"",IF(TaxFreq="Quarterly",IF(MOD($D30,3)=0,$L30*$N30,0),IF($D30=12,$K30*$N30,0)))</f>
        <v/>
      </c>
      <c r="P30" s="35">
        <f>IF($A30&gt;NYears*12,"",IF($D30=1,$O30,$P29+$O30))</f>
        <v/>
      </c>
      <c r="Q30" s="35">
        <f>IF($A30&gt;NYears*12,"",IF($D30=12,MIN(WdrPct*IF(WdrBase="Post-tax profit",$K30-$P30,$K30),WdrCap),0))</f>
        <v/>
      </c>
      <c r="R30" s="35">
        <f>IF($A30&gt;NYears*12,"",$F30+$J30-$O30-$Q30)</f>
        <v/>
      </c>
      <c r="S30" s="33">
        <f>IF($A30&gt;NYears*12,"",INT($R30/$E30))</f>
        <v/>
      </c>
    </row>
    <row r="31">
      <c r="A31" s="33">
        <f>27</f>
        <v/>
      </c>
      <c r="B31" s="34">
        <f>IF($A31&gt;NYears*12,"",EDATE(StartMonth,$A31-1))</f>
        <v/>
      </c>
      <c r="C31" s="33">
        <f>IF($A31&gt;NYears*12,"",INT(($A31-1)/12)+1)</f>
        <v/>
      </c>
      <c r="D31" s="33">
        <f>IF($A31&gt;NYears*12,"",MOD($A31-1,12)+1)</f>
        <v/>
      </c>
      <c r="E31" s="35">
        <f>IF($A31&gt;NYears*12,"",LotValue0*(1+LotGrowth)^($C31-1))</f>
        <v/>
      </c>
      <c r="F31" s="35">
        <f>IF($A31&gt;NYears*12,"",IF($A31=1,InitInvest,$R30))</f>
        <v/>
      </c>
      <c r="G31" s="33">
        <f>IF($A31&gt;NYears*12,"",INT($F31/$E31))</f>
        <v/>
      </c>
      <c r="H31" s="35">
        <f>IF($A31&gt;NYears*12,"",$G31*$E31)</f>
        <v/>
      </c>
      <c r="I31" s="35">
        <f>IF($A31&gt;NYears*12,"",$F31-$H31)</f>
        <v/>
      </c>
      <c r="J31" s="35">
        <f>IF($A31&gt;NYears*12,"",$H31*RateD)</f>
        <v/>
      </c>
      <c r="K31" s="35">
        <f>IF($A31&gt;NYears*12,"",IF($D31=1,$J31,$K30+$J31))</f>
        <v/>
      </c>
      <c r="L31" s="35">
        <f>IF($A31&gt;NYears*12,"",IF(MOD($D31,3)=0,SUM($J29:$J31),0))</f>
        <v/>
      </c>
      <c r="M31" s="35">
        <f>IF($A31&gt;NYears*12,"",IF(TaxFreq="Quarterly",$K31*12/$D31,$K31))</f>
        <v/>
      </c>
      <c r="N31" s="36">
        <f>IF($A31&gt;NYears*12,"",LOOKUP($M31,TaxLower,TaxRate))</f>
        <v/>
      </c>
      <c r="O31" s="35">
        <f>IF($A31&gt;NYears*12,"",IF(TaxFreq="Quarterly",IF(MOD($D31,3)=0,$L31*$N31,0),IF($D31=12,$K31*$N31,0)))</f>
        <v/>
      </c>
      <c r="P31" s="35">
        <f>IF($A31&gt;NYears*12,"",IF($D31=1,$O31,$P30+$O31))</f>
        <v/>
      </c>
      <c r="Q31" s="35">
        <f>IF($A31&gt;NYears*12,"",IF($D31=12,MIN(WdrPct*IF(WdrBase="Post-tax profit",$K31-$P31,$K31),WdrCap),0))</f>
        <v/>
      </c>
      <c r="R31" s="35">
        <f>IF($A31&gt;NYears*12,"",$F31+$J31-$O31-$Q31)</f>
        <v/>
      </c>
      <c r="S31" s="33">
        <f>IF($A31&gt;NYears*12,"",INT($R31/$E31))</f>
        <v/>
      </c>
    </row>
    <row r="32">
      <c r="A32" s="33">
        <f>28</f>
        <v/>
      </c>
      <c r="B32" s="34">
        <f>IF($A32&gt;NYears*12,"",EDATE(StartMonth,$A32-1))</f>
        <v/>
      </c>
      <c r="C32" s="33">
        <f>IF($A32&gt;NYears*12,"",INT(($A32-1)/12)+1)</f>
        <v/>
      </c>
      <c r="D32" s="33">
        <f>IF($A32&gt;NYears*12,"",MOD($A32-1,12)+1)</f>
        <v/>
      </c>
      <c r="E32" s="35">
        <f>IF($A32&gt;NYears*12,"",LotValue0*(1+LotGrowth)^($C32-1))</f>
        <v/>
      </c>
      <c r="F32" s="35">
        <f>IF($A32&gt;NYears*12,"",IF($A32=1,InitInvest,$R31))</f>
        <v/>
      </c>
      <c r="G32" s="33">
        <f>IF($A32&gt;NYears*12,"",INT($F32/$E32))</f>
        <v/>
      </c>
      <c r="H32" s="35">
        <f>IF($A32&gt;NYears*12,"",$G32*$E32)</f>
        <v/>
      </c>
      <c r="I32" s="35">
        <f>IF($A32&gt;NYears*12,"",$F32-$H32)</f>
        <v/>
      </c>
      <c r="J32" s="35">
        <f>IF($A32&gt;NYears*12,"",$H32*RateD)</f>
        <v/>
      </c>
      <c r="K32" s="35">
        <f>IF($A32&gt;NYears*12,"",IF($D32=1,$J32,$K31+$J32))</f>
        <v/>
      </c>
      <c r="L32" s="35">
        <f>IF($A32&gt;NYears*12,"",IF(MOD($D32,3)=0,SUM($J30:$J32),0))</f>
        <v/>
      </c>
      <c r="M32" s="35">
        <f>IF($A32&gt;NYears*12,"",IF(TaxFreq="Quarterly",$K32*12/$D32,$K32))</f>
        <v/>
      </c>
      <c r="N32" s="36">
        <f>IF($A32&gt;NYears*12,"",LOOKUP($M32,TaxLower,TaxRate))</f>
        <v/>
      </c>
      <c r="O32" s="35">
        <f>IF($A32&gt;NYears*12,"",IF(TaxFreq="Quarterly",IF(MOD($D32,3)=0,$L32*$N32,0),IF($D32=12,$K32*$N32,0)))</f>
        <v/>
      </c>
      <c r="P32" s="35">
        <f>IF($A32&gt;NYears*12,"",IF($D32=1,$O32,$P31+$O32))</f>
        <v/>
      </c>
      <c r="Q32" s="35">
        <f>IF($A32&gt;NYears*12,"",IF($D32=12,MIN(WdrPct*IF(WdrBase="Post-tax profit",$K32-$P32,$K32),WdrCap),0))</f>
        <v/>
      </c>
      <c r="R32" s="35">
        <f>IF($A32&gt;NYears*12,"",$F32+$J32-$O32-$Q32)</f>
        <v/>
      </c>
      <c r="S32" s="33">
        <f>IF($A32&gt;NYears*12,"",INT($R32/$E32))</f>
        <v/>
      </c>
    </row>
    <row r="33">
      <c r="A33" s="33">
        <f>29</f>
        <v/>
      </c>
      <c r="B33" s="34">
        <f>IF($A33&gt;NYears*12,"",EDATE(StartMonth,$A33-1))</f>
        <v/>
      </c>
      <c r="C33" s="33">
        <f>IF($A33&gt;NYears*12,"",INT(($A33-1)/12)+1)</f>
        <v/>
      </c>
      <c r="D33" s="33">
        <f>IF($A33&gt;NYears*12,"",MOD($A33-1,12)+1)</f>
        <v/>
      </c>
      <c r="E33" s="35">
        <f>IF($A33&gt;NYears*12,"",LotValue0*(1+LotGrowth)^($C33-1))</f>
        <v/>
      </c>
      <c r="F33" s="35">
        <f>IF($A33&gt;NYears*12,"",IF($A33=1,InitInvest,$R32))</f>
        <v/>
      </c>
      <c r="G33" s="33">
        <f>IF($A33&gt;NYears*12,"",INT($F33/$E33))</f>
        <v/>
      </c>
      <c r="H33" s="35">
        <f>IF($A33&gt;NYears*12,"",$G33*$E33)</f>
        <v/>
      </c>
      <c r="I33" s="35">
        <f>IF($A33&gt;NYears*12,"",$F33-$H33)</f>
        <v/>
      </c>
      <c r="J33" s="35">
        <f>IF($A33&gt;NYears*12,"",$H33*RateD)</f>
        <v/>
      </c>
      <c r="K33" s="35">
        <f>IF($A33&gt;NYears*12,"",IF($D33=1,$J33,$K32+$J33))</f>
        <v/>
      </c>
      <c r="L33" s="35">
        <f>IF($A33&gt;NYears*12,"",IF(MOD($D33,3)=0,SUM($J31:$J33),0))</f>
        <v/>
      </c>
      <c r="M33" s="35">
        <f>IF($A33&gt;NYears*12,"",IF(TaxFreq="Quarterly",$K33*12/$D33,$K33))</f>
        <v/>
      </c>
      <c r="N33" s="36">
        <f>IF($A33&gt;NYears*12,"",LOOKUP($M33,TaxLower,TaxRate))</f>
        <v/>
      </c>
      <c r="O33" s="35">
        <f>IF($A33&gt;NYears*12,"",IF(TaxFreq="Quarterly",IF(MOD($D33,3)=0,$L33*$N33,0),IF($D33=12,$K33*$N33,0)))</f>
        <v/>
      </c>
      <c r="P33" s="35">
        <f>IF($A33&gt;NYears*12,"",IF($D33=1,$O33,$P32+$O33))</f>
        <v/>
      </c>
      <c r="Q33" s="35">
        <f>IF($A33&gt;NYears*12,"",IF($D33=12,MIN(WdrPct*IF(WdrBase="Post-tax profit",$K33-$P33,$K33),WdrCap),0))</f>
        <v/>
      </c>
      <c r="R33" s="35">
        <f>IF($A33&gt;NYears*12,"",$F33+$J33-$O33-$Q33)</f>
        <v/>
      </c>
      <c r="S33" s="33">
        <f>IF($A33&gt;NYears*12,"",INT($R33/$E33))</f>
        <v/>
      </c>
    </row>
    <row r="34">
      <c r="A34" s="33">
        <f>30</f>
        <v/>
      </c>
      <c r="B34" s="34">
        <f>IF($A34&gt;NYears*12,"",EDATE(StartMonth,$A34-1))</f>
        <v/>
      </c>
      <c r="C34" s="33">
        <f>IF($A34&gt;NYears*12,"",INT(($A34-1)/12)+1)</f>
        <v/>
      </c>
      <c r="D34" s="33">
        <f>IF($A34&gt;NYears*12,"",MOD($A34-1,12)+1)</f>
        <v/>
      </c>
      <c r="E34" s="35">
        <f>IF($A34&gt;NYears*12,"",LotValue0*(1+LotGrowth)^($C34-1))</f>
        <v/>
      </c>
      <c r="F34" s="35">
        <f>IF($A34&gt;NYears*12,"",IF($A34=1,InitInvest,$R33))</f>
        <v/>
      </c>
      <c r="G34" s="33">
        <f>IF($A34&gt;NYears*12,"",INT($F34/$E34))</f>
        <v/>
      </c>
      <c r="H34" s="35">
        <f>IF($A34&gt;NYears*12,"",$G34*$E34)</f>
        <v/>
      </c>
      <c r="I34" s="35">
        <f>IF($A34&gt;NYears*12,"",$F34-$H34)</f>
        <v/>
      </c>
      <c r="J34" s="35">
        <f>IF($A34&gt;NYears*12,"",$H34*RateD)</f>
        <v/>
      </c>
      <c r="K34" s="35">
        <f>IF($A34&gt;NYears*12,"",IF($D34=1,$J34,$K33+$J34))</f>
        <v/>
      </c>
      <c r="L34" s="35">
        <f>IF($A34&gt;NYears*12,"",IF(MOD($D34,3)=0,SUM($J32:$J34),0))</f>
        <v/>
      </c>
      <c r="M34" s="35">
        <f>IF($A34&gt;NYears*12,"",IF(TaxFreq="Quarterly",$K34*12/$D34,$K34))</f>
        <v/>
      </c>
      <c r="N34" s="36">
        <f>IF($A34&gt;NYears*12,"",LOOKUP($M34,TaxLower,TaxRate))</f>
        <v/>
      </c>
      <c r="O34" s="35">
        <f>IF($A34&gt;NYears*12,"",IF(TaxFreq="Quarterly",IF(MOD($D34,3)=0,$L34*$N34,0),IF($D34=12,$K34*$N34,0)))</f>
        <v/>
      </c>
      <c r="P34" s="35">
        <f>IF($A34&gt;NYears*12,"",IF($D34=1,$O34,$P33+$O34))</f>
        <v/>
      </c>
      <c r="Q34" s="35">
        <f>IF($A34&gt;NYears*12,"",IF($D34=12,MIN(WdrPct*IF(WdrBase="Post-tax profit",$K34-$P34,$K34),WdrCap),0))</f>
        <v/>
      </c>
      <c r="R34" s="35">
        <f>IF($A34&gt;NYears*12,"",$F34+$J34-$O34-$Q34)</f>
        <v/>
      </c>
      <c r="S34" s="33">
        <f>IF($A34&gt;NYears*12,"",INT($R34/$E34))</f>
        <v/>
      </c>
    </row>
    <row r="35">
      <c r="A35" s="33">
        <f>31</f>
        <v/>
      </c>
      <c r="B35" s="34">
        <f>IF($A35&gt;NYears*12,"",EDATE(StartMonth,$A35-1))</f>
        <v/>
      </c>
      <c r="C35" s="33">
        <f>IF($A35&gt;NYears*12,"",INT(($A35-1)/12)+1)</f>
        <v/>
      </c>
      <c r="D35" s="33">
        <f>IF($A35&gt;NYears*12,"",MOD($A35-1,12)+1)</f>
        <v/>
      </c>
      <c r="E35" s="35">
        <f>IF($A35&gt;NYears*12,"",LotValue0*(1+LotGrowth)^($C35-1))</f>
        <v/>
      </c>
      <c r="F35" s="35">
        <f>IF($A35&gt;NYears*12,"",IF($A35=1,InitInvest,$R34))</f>
        <v/>
      </c>
      <c r="G35" s="33">
        <f>IF($A35&gt;NYears*12,"",INT($F35/$E35))</f>
        <v/>
      </c>
      <c r="H35" s="35">
        <f>IF($A35&gt;NYears*12,"",$G35*$E35)</f>
        <v/>
      </c>
      <c r="I35" s="35">
        <f>IF($A35&gt;NYears*12,"",$F35-$H35)</f>
        <v/>
      </c>
      <c r="J35" s="35">
        <f>IF($A35&gt;NYears*12,"",$H35*RateD)</f>
        <v/>
      </c>
      <c r="K35" s="35">
        <f>IF($A35&gt;NYears*12,"",IF($D35=1,$J35,$K34+$J35))</f>
        <v/>
      </c>
      <c r="L35" s="35">
        <f>IF($A35&gt;NYears*12,"",IF(MOD($D35,3)=0,SUM($J33:$J35),0))</f>
        <v/>
      </c>
      <c r="M35" s="35">
        <f>IF($A35&gt;NYears*12,"",IF(TaxFreq="Quarterly",$K35*12/$D35,$K35))</f>
        <v/>
      </c>
      <c r="N35" s="36">
        <f>IF($A35&gt;NYears*12,"",LOOKUP($M35,TaxLower,TaxRate))</f>
        <v/>
      </c>
      <c r="O35" s="35">
        <f>IF($A35&gt;NYears*12,"",IF(TaxFreq="Quarterly",IF(MOD($D35,3)=0,$L35*$N35,0),IF($D35=12,$K35*$N35,0)))</f>
        <v/>
      </c>
      <c r="P35" s="35">
        <f>IF($A35&gt;NYears*12,"",IF($D35=1,$O35,$P34+$O35))</f>
        <v/>
      </c>
      <c r="Q35" s="35">
        <f>IF($A35&gt;NYears*12,"",IF($D35=12,MIN(WdrPct*IF(WdrBase="Post-tax profit",$K35-$P35,$K35),WdrCap),0))</f>
        <v/>
      </c>
      <c r="R35" s="35">
        <f>IF($A35&gt;NYears*12,"",$F35+$J35-$O35-$Q35)</f>
        <v/>
      </c>
      <c r="S35" s="33">
        <f>IF($A35&gt;NYears*12,"",INT($R35/$E35))</f>
        <v/>
      </c>
    </row>
    <row r="36">
      <c r="A36" s="33">
        <f>32</f>
        <v/>
      </c>
      <c r="B36" s="34">
        <f>IF($A36&gt;NYears*12,"",EDATE(StartMonth,$A36-1))</f>
        <v/>
      </c>
      <c r="C36" s="33">
        <f>IF($A36&gt;NYears*12,"",INT(($A36-1)/12)+1)</f>
        <v/>
      </c>
      <c r="D36" s="33">
        <f>IF($A36&gt;NYears*12,"",MOD($A36-1,12)+1)</f>
        <v/>
      </c>
      <c r="E36" s="35">
        <f>IF($A36&gt;NYears*12,"",LotValue0*(1+LotGrowth)^($C36-1))</f>
        <v/>
      </c>
      <c r="F36" s="35">
        <f>IF($A36&gt;NYears*12,"",IF($A36=1,InitInvest,$R35))</f>
        <v/>
      </c>
      <c r="G36" s="33">
        <f>IF($A36&gt;NYears*12,"",INT($F36/$E36))</f>
        <v/>
      </c>
      <c r="H36" s="35">
        <f>IF($A36&gt;NYears*12,"",$G36*$E36)</f>
        <v/>
      </c>
      <c r="I36" s="35">
        <f>IF($A36&gt;NYears*12,"",$F36-$H36)</f>
        <v/>
      </c>
      <c r="J36" s="35">
        <f>IF($A36&gt;NYears*12,"",$H36*RateD)</f>
        <v/>
      </c>
      <c r="K36" s="35">
        <f>IF($A36&gt;NYears*12,"",IF($D36=1,$J36,$K35+$J36))</f>
        <v/>
      </c>
      <c r="L36" s="35">
        <f>IF($A36&gt;NYears*12,"",IF(MOD($D36,3)=0,SUM($J34:$J36),0))</f>
        <v/>
      </c>
      <c r="M36" s="35">
        <f>IF($A36&gt;NYears*12,"",IF(TaxFreq="Quarterly",$K36*12/$D36,$K36))</f>
        <v/>
      </c>
      <c r="N36" s="36">
        <f>IF($A36&gt;NYears*12,"",LOOKUP($M36,TaxLower,TaxRate))</f>
        <v/>
      </c>
      <c r="O36" s="35">
        <f>IF($A36&gt;NYears*12,"",IF(TaxFreq="Quarterly",IF(MOD($D36,3)=0,$L36*$N36,0),IF($D36=12,$K36*$N36,0)))</f>
        <v/>
      </c>
      <c r="P36" s="35">
        <f>IF($A36&gt;NYears*12,"",IF($D36=1,$O36,$P35+$O36))</f>
        <v/>
      </c>
      <c r="Q36" s="35">
        <f>IF($A36&gt;NYears*12,"",IF($D36=12,MIN(WdrPct*IF(WdrBase="Post-tax profit",$K36-$P36,$K36),WdrCap),0))</f>
        <v/>
      </c>
      <c r="R36" s="35">
        <f>IF($A36&gt;NYears*12,"",$F36+$J36-$O36-$Q36)</f>
        <v/>
      </c>
      <c r="S36" s="33">
        <f>IF($A36&gt;NYears*12,"",INT($R36/$E36))</f>
        <v/>
      </c>
    </row>
    <row r="37">
      <c r="A37" s="33">
        <f>33</f>
        <v/>
      </c>
      <c r="B37" s="34">
        <f>IF($A37&gt;NYears*12,"",EDATE(StartMonth,$A37-1))</f>
        <v/>
      </c>
      <c r="C37" s="33">
        <f>IF($A37&gt;NYears*12,"",INT(($A37-1)/12)+1)</f>
        <v/>
      </c>
      <c r="D37" s="33">
        <f>IF($A37&gt;NYears*12,"",MOD($A37-1,12)+1)</f>
        <v/>
      </c>
      <c r="E37" s="35">
        <f>IF($A37&gt;NYears*12,"",LotValue0*(1+LotGrowth)^($C37-1))</f>
        <v/>
      </c>
      <c r="F37" s="35">
        <f>IF($A37&gt;NYears*12,"",IF($A37=1,InitInvest,$R36))</f>
        <v/>
      </c>
      <c r="G37" s="33">
        <f>IF($A37&gt;NYears*12,"",INT($F37/$E37))</f>
        <v/>
      </c>
      <c r="H37" s="35">
        <f>IF($A37&gt;NYears*12,"",$G37*$E37)</f>
        <v/>
      </c>
      <c r="I37" s="35">
        <f>IF($A37&gt;NYears*12,"",$F37-$H37)</f>
        <v/>
      </c>
      <c r="J37" s="35">
        <f>IF($A37&gt;NYears*12,"",$H37*RateD)</f>
        <v/>
      </c>
      <c r="K37" s="35">
        <f>IF($A37&gt;NYears*12,"",IF($D37=1,$J37,$K36+$J37))</f>
        <v/>
      </c>
      <c r="L37" s="35">
        <f>IF($A37&gt;NYears*12,"",IF(MOD($D37,3)=0,SUM($J35:$J37),0))</f>
        <v/>
      </c>
      <c r="M37" s="35">
        <f>IF($A37&gt;NYears*12,"",IF(TaxFreq="Quarterly",$K37*12/$D37,$K37))</f>
        <v/>
      </c>
      <c r="N37" s="36">
        <f>IF($A37&gt;NYears*12,"",LOOKUP($M37,TaxLower,TaxRate))</f>
        <v/>
      </c>
      <c r="O37" s="35">
        <f>IF($A37&gt;NYears*12,"",IF(TaxFreq="Quarterly",IF(MOD($D37,3)=0,$L37*$N37,0),IF($D37=12,$K37*$N37,0)))</f>
        <v/>
      </c>
      <c r="P37" s="35">
        <f>IF($A37&gt;NYears*12,"",IF($D37=1,$O37,$P36+$O37))</f>
        <v/>
      </c>
      <c r="Q37" s="35">
        <f>IF($A37&gt;NYears*12,"",IF($D37=12,MIN(WdrPct*IF(WdrBase="Post-tax profit",$K37-$P37,$K37),WdrCap),0))</f>
        <v/>
      </c>
      <c r="R37" s="35">
        <f>IF($A37&gt;NYears*12,"",$F37+$J37-$O37-$Q37)</f>
        <v/>
      </c>
      <c r="S37" s="33">
        <f>IF($A37&gt;NYears*12,"",INT($R37/$E37))</f>
        <v/>
      </c>
    </row>
    <row r="38">
      <c r="A38" s="33">
        <f>34</f>
        <v/>
      </c>
      <c r="B38" s="34">
        <f>IF($A38&gt;NYears*12,"",EDATE(StartMonth,$A38-1))</f>
        <v/>
      </c>
      <c r="C38" s="33">
        <f>IF($A38&gt;NYears*12,"",INT(($A38-1)/12)+1)</f>
        <v/>
      </c>
      <c r="D38" s="33">
        <f>IF($A38&gt;NYears*12,"",MOD($A38-1,12)+1)</f>
        <v/>
      </c>
      <c r="E38" s="35">
        <f>IF($A38&gt;NYears*12,"",LotValue0*(1+LotGrowth)^($C38-1))</f>
        <v/>
      </c>
      <c r="F38" s="35">
        <f>IF($A38&gt;NYears*12,"",IF($A38=1,InitInvest,$R37))</f>
        <v/>
      </c>
      <c r="G38" s="33">
        <f>IF($A38&gt;NYears*12,"",INT($F38/$E38))</f>
        <v/>
      </c>
      <c r="H38" s="35">
        <f>IF($A38&gt;NYears*12,"",$G38*$E38)</f>
        <v/>
      </c>
      <c r="I38" s="35">
        <f>IF($A38&gt;NYears*12,"",$F38-$H38)</f>
        <v/>
      </c>
      <c r="J38" s="35">
        <f>IF($A38&gt;NYears*12,"",$H38*RateD)</f>
        <v/>
      </c>
      <c r="K38" s="35">
        <f>IF($A38&gt;NYears*12,"",IF($D38=1,$J38,$K37+$J38))</f>
        <v/>
      </c>
      <c r="L38" s="35">
        <f>IF($A38&gt;NYears*12,"",IF(MOD($D38,3)=0,SUM($J36:$J38),0))</f>
        <v/>
      </c>
      <c r="M38" s="35">
        <f>IF($A38&gt;NYears*12,"",IF(TaxFreq="Quarterly",$K38*12/$D38,$K38))</f>
        <v/>
      </c>
      <c r="N38" s="36">
        <f>IF($A38&gt;NYears*12,"",LOOKUP($M38,TaxLower,TaxRate))</f>
        <v/>
      </c>
      <c r="O38" s="35">
        <f>IF($A38&gt;NYears*12,"",IF(TaxFreq="Quarterly",IF(MOD($D38,3)=0,$L38*$N38,0),IF($D38=12,$K38*$N38,0)))</f>
        <v/>
      </c>
      <c r="P38" s="35">
        <f>IF($A38&gt;NYears*12,"",IF($D38=1,$O38,$P37+$O38))</f>
        <v/>
      </c>
      <c r="Q38" s="35">
        <f>IF($A38&gt;NYears*12,"",IF($D38=12,MIN(WdrPct*IF(WdrBase="Post-tax profit",$K38-$P38,$K38),WdrCap),0))</f>
        <v/>
      </c>
      <c r="R38" s="35">
        <f>IF($A38&gt;NYears*12,"",$F38+$J38-$O38-$Q38)</f>
        <v/>
      </c>
      <c r="S38" s="33">
        <f>IF($A38&gt;NYears*12,"",INT($R38/$E38))</f>
        <v/>
      </c>
    </row>
    <row r="39">
      <c r="A39" s="33">
        <f>35</f>
        <v/>
      </c>
      <c r="B39" s="34">
        <f>IF($A39&gt;NYears*12,"",EDATE(StartMonth,$A39-1))</f>
        <v/>
      </c>
      <c r="C39" s="33">
        <f>IF($A39&gt;NYears*12,"",INT(($A39-1)/12)+1)</f>
        <v/>
      </c>
      <c r="D39" s="33">
        <f>IF($A39&gt;NYears*12,"",MOD($A39-1,12)+1)</f>
        <v/>
      </c>
      <c r="E39" s="35">
        <f>IF($A39&gt;NYears*12,"",LotValue0*(1+LotGrowth)^($C39-1))</f>
        <v/>
      </c>
      <c r="F39" s="35">
        <f>IF($A39&gt;NYears*12,"",IF($A39=1,InitInvest,$R38))</f>
        <v/>
      </c>
      <c r="G39" s="33">
        <f>IF($A39&gt;NYears*12,"",INT($F39/$E39))</f>
        <v/>
      </c>
      <c r="H39" s="35">
        <f>IF($A39&gt;NYears*12,"",$G39*$E39)</f>
        <v/>
      </c>
      <c r="I39" s="35">
        <f>IF($A39&gt;NYears*12,"",$F39-$H39)</f>
        <v/>
      </c>
      <c r="J39" s="35">
        <f>IF($A39&gt;NYears*12,"",$H39*RateD)</f>
        <v/>
      </c>
      <c r="K39" s="35">
        <f>IF($A39&gt;NYears*12,"",IF($D39=1,$J39,$K38+$J39))</f>
        <v/>
      </c>
      <c r="L39" s="35">
        <f>IF($A39&gt;NYears*12,"",IF(MOD($D39,3)=0,SUM($J37:$J39),0))</f>
        <v/>
      </c>
      <c r="M39" s="35">
        <f>IF($A39&gt;NYears*12,"",IF(TaxFreq="Quarterly",$K39*12/$D39,$K39))</f>
        <v/>
      </c>
      <c r="N39" s="36">
        <f>IF($A39&gt;NYears*12,"",LOOKUP($M39,TaxLower,TaxRate))</f>
        <v/>
      </c>
      <c r="O39" s="35">
        <f>IF($A39&gt;NYears*12,"",IF(TaxFreq="Quarterly",IF(MOD($D39,3)=0,$L39*$N39,0),IF($D39=12,$K39*$N39,0)))</f>
        <v/>
      </c>
      <c r="P39" s="35">
        <f>IF($A39&gt;NYears*12,"",IF($D39=1,$O39,$P38+$O39))</f>
        <v/>
      </c>
      <c r="Q39" s="35">
        <f>IF($A39&gt;NYears*12,"",IF($D39=12,MIN(WdrPct*IF(WdrBase="Post-tax profit",$K39-$P39,$K39),WdrCap),0))</f>
        <v/>
      </c>
      <c r="R39" s="35">
        <f>IF($A39&gt;NYears*12,"",$F39+$J39-$O39-$Q39)</f>
        <v/>
      </c>
      <c r="S39" s="33">
        <f>IF($A39&gt;NYears*12,"",INT($R39/$E39))</f>
        <v/>
      </c>
    </row>
    <row r="40">
      <c r="A40" s="37">
        <f>36</f>
        <v/>
      </c>
      <c r="B40" s="38">
        <f>IF($A40&gt;NYears*12,"",EDATE(StartMonth,$A40-1))</f>
        <v/>
      </c>
      <c r="C40" s="37">
        <f>IF($A40&gt;NYears*12,"",INT(($A40-1)/12)+1)</f>
        <v/>
      </c>
      <c r="D40" s="37">
        <f>IF($A40&gt;NYears*12,"",MOD($A40-1,12)+1)</f>
        <v/>
      </c>
      <c r="E40" s="39">
        <f>IF($A40&gt;NYears*12,"",LotValue0*(1+LotGrowth)^($C40-1))</f>
        <v/>
      </c>
      <c r="F40" s="39">
        <f>IF($A40&gt;NYears*12,"",IF($A40=1,InitInvest,$R39))</f>
        <v/>
      </c>
      <c r="G40" s="37">
        <f>IF($A40&gt;NYears*12,"",INT($F40/$E40))</f>
        <v/>
      </c>
      <c r="H40" s="39">
        <f>IF($A40&gt;NYears*12,"",$G40*$E40)</f>
        <v/>
      </c>
      <c r="I40" s="39">
        <f>IF($A40&gt;NYears*12,"",$F40-$H40)</f>
        <v/>
      </c>
      <c r="J40" s="39">
        <f>IF($A40&gt;NYears*12,"",$H40*RateD)</f>
        <v/>
      </c>
      <c r="K40" s="39">
        <f>IF($A40&gt;NYears*12,"",IF($D40=1,$J40,$K39+$J40))</f>
        <v/>
      </c>
      <c r="L40" s="39">
        <f>IF($A40&gt;NYears*12,"",IF(MOD($D40,3)=0,SUM($J38:$J40),0))</f>
        <v/>
      </c>
      <c r="M40" s="39">
        <f>IF($A40&gt;NYears*12,"",IF(TaxFreq="Quarterly",$K40*12/$D40,$K40))</f>
        <v/>
      </c>
      <c r="N40" s="40">
        <f>IF($A40&gt;NYears*12,"",LOOKUP($M40,TaxLower,TaxRate))</f>
        <v/>
      </c>
      <c r="O40" s="39">
        <f>IF($A40&gt;NYears*12,"",IF(TaxFreq="Quarterly",IF(MOD($D40,3)=0,$L40*$N40,0),IF($D40=12,$K40*$N40,0)))</f>
        <v/>
      </c>
      <c r="P40" s="39">
        <f>IF($A40&gt;NYears*12,"",IF($D40=1,$O40,$P39+$O40))</f>
        <v/>
      </c>
      <c r="Q40" s="39">
        <f>IF($A40&gt;NYears*12,"",IF($D40=12,MIN(WdrPct*IF(WdrBase="Post-tax profit",$K40-$P40,$K40),WdrCap),0))</f>
        <v/>
      </c>
      <c r="R40" s="39">
        <f>IF($A40&gt;NYears*12,"",$F40+$J40-$O40-$Q40)</f>
        <v/>
      </c>
      <c r="S40" s="37">
        <f>IF($A40&gt;NYears*12,"",INT($R40/$E40))</f>
        <v/>
      </c>
    </row>
    <row r="41">
      <c r="A41" s="33">
        <f>37</f>
        <v/>
      </c>
      <c r="B41" s="34">
        <f>IF($A41&gt;NYears*12,"",EDATE(StartMonth,$A41-1))</f>
        <v/>
      </c>
      <c r="C41" s="33">
        <f>IF($A41&gt;NYears*12,"",INT(($A41-1)/12)+1)</f>
        <v/>
      </c>
      <c r="D41" s="33">
        <f>IF($A41&gt;NYears*12,"",MOD($A41-1,12)+1)</f>
        <v/>
      </c>
      <c r="E41" s="35">
        <f>IF($A41&gt;NYears*12,"",LotValue0*(1+LotGrowth)^($C41-1))</f>
        <v/>
      </c>
      <c r="F41" s="35">
        <f>IF($A41&gt;NYears*12,"",IF($A41=1,InitInvest,$R40))</f>
        <v/>
      </c>
      <c r="G41" s="33">
        <f>IF($A41&gt;NYears*12,"",INT($F41/$E41))</f>
        <v/>
      </c>
      <c r="H41" s="35">
        <f>IF($A41&gt;NYears*12,"",$G41*$E41)</f>
        <v/>
      </c>
      <c r="I41" s="35">
        <f>IF($A41&gt;NYears*12,"",$F41-$H41)</f>
        <v/>
      </c>
      <c r="J41" s="35">
        <f>IF($A41&gt;NYears*12,"",$H41*RateD)</f>
        <v/>
      </c>
      <c r="K41" s="35">
        <f>IF($A41&gt;NYears*12,"",IF($D41=1,$J41,$K40+$J41))</f>
        <v/>
      </c>
      <c r="L41" s="35">
        <f>IF($A41&gt;NYears*12,"",IF(MOD($D41,3)=0,SUM($J39:$J41),0))</f>
        <v/>
      </c>
      <c r="M41" s="35">
        <f>IF($A41&gt;NYears*12,"",IF(TaxFreq="Quarterly",$K41*12/$D41,$K41))</f>
        <v/>
      </c>
      <c r="N41" s="36">
        <f>IF($A41&gt;NYears*12,"",LOOKUP($M41,TaxLower,TaxRate))</f>
        <v/>
      </c>
      <c r="O41" s="35">
        <f>IF($A41&gt;NYears*12,"",IF(TaxFreq="Quarterly",IF(MOD($D41,3)=0,$L41*$N41,0),IF($D41=12,$K41*$N41,0)))</f>
        <v/>
      </c>
      <c r="P41" s="35">
        <f>IF($A41&gt;NYears*12,"",IF($D41=1,$O41,$P40+$O41))</f>
        <v/>
      </c>
      <c r="Q41" s="35">
        <f>IF($A41&gt;NYears*12,"",IF($D41=12,MIN(WdrPct*IF(WdrBase="Post-tax profit",$K41-$P41,$K41),WdrCap),0))</f>
        <v/>
      </c>
      <c r="R41" s="35">
        <f>IF($A41&gt;NYears*12,"",$F41+$J41-$O41-$Q41)</f>
        <v/>
      </c>
      <c r="S41" s="33">
        <f>IF($A41&gt;NYears*12,"",INT($R41/$E41))</f>
        <v/>
      </c>
    </row>
    <row r="42">
      <c r="A42" s="33">
        <f>38</f>
        <v/>
      </c>
      <c r="B42" s="34">
        <f>IF($A42&gt;NYears*12,"",EDATE(StartMonth,$A42-1))</f>
        <v/>
      </c>
      <c r="C42" s="33">
        <f>IF($A42&gt;NYears*12,"",INT(($A42-1)/12)+1)</f>
        <v/>
      </c>
      <c r="D42" s="33">
        <f>IF($A42&gt;NYears*12,"",MOD($A42-1,12)+1)</f>
        <v/>
      </c>
      <c r="E42" s="35">
        <f>IF($A42&gt;NYears*12,"",LotValue0*(1+LotGrowth)^($C42-1))</f>
        <v/>
      </c>
      <c r="F42" s="35">
        <f>IF($A42&gt;NYears*12,"",IF($A42=1,InitInvest,$R41))</f>
        <v/>
      </c>
      <c r="G42" s="33">
        <f>IF($A42&gt;NYears*12,"",INT($F42/$E42))</f>
        <v/>
      </c>
      <c r="H42" s="35">
        <f>IF($A42&gt;NYears*12,"",$G42*$E42)</f>
        <v/>
      </c>
      <c r="I42" s="35">
        <f>IF($A42&gt;NYears*12,"",$F42-$H42)</f>
        <v/>
      </c>
      <c r="J42" s="35">
        <f>IF($A42&gt;NYears*12,"",$H42*RateD)</f>
        <v/>
      </c>
      <c r="K42" s="35">
        <f>IF($A42&gt;NYears*12,"",IF($D42=1,$J42,$K41+$J42))</f>
        <v/>
      </c>
      <c r="L42" s="35">
        <f>IF($A42&gt;NYears*12,"",IF(MOD($D42,3)=0,SUM($J40:$J42),0))</f>
        <v/>
      </c>
      <c r="M42" s="35">
        <f>IF($A42&gt;NYears*12,"",IF(TaxFreq="Quarterly",$K42*12/$D42,$K42))</f>
        <v/>
      </c>
      <c r="N42" s="36">
        <f>IF($A42&gt;NYears*12,"",LOOKUP($M42,TaxLower,TaxRate))</f>
        <v/>
      </c>
      <c r="O42" s="35">
        <f>IF($A42&gt;NYears*12,"",IF(TaxFreq="Quarterly",IF(MOD($D42,3)=0,$L42*$N42,0),IF($D42=12,$K42*$N42,0)))</f>
        <v/>
      </c>
      <c r="P42" s="35">
        <f>IF($A42&gt;NYears*12,"",IF($D42=1,$O42,$P41+$O42))</f>
        <v/>
      </c>
      <c r="Q42" s="35">
        <f>IF($A42&gt;NYears*12,"",IF($D42=12,MIN(WdrPct*IF(WdrBase="Post-tax profit",$K42-$P42,$K42),WdrCap),0))</f>
        <v/>
      </c>
      <c r="R42" s="35">
        <f>IF($A42&gt;NYears*12,"",$F42+$J42-$O42-$Q42)</f>
        <v/>
      </c>
      <c r="S42" s="33">
        <f>IF($A42&gt;NYears*12,"",INT($R42/$E42))</f>
        <v/>
      </c>
    </row>
    <row r="43">
      <c r="A43" s="33">
        <f>39</f>
        <v/>
      </c>
      <c r="B43" s="34">
        <f>IF($A43&gt;NYears*12,"",EDATE(StartMonth,$A43-1))</f>
        <v/>
      </c>
      <c r="C43" s="33">
        <f>IF($A43&gt;NYears*12,"",INT(($A43-1)/12)+1)</f>
        <v/>
      </c>
      <c r="D43" s="33">
        <f>IF($A43&gt;NYears*12,"",MOD($A43-1,12)+1)</f>
        <v/>
      </c>
      <c r="E43" s="35">
        <f>IF($A43&gt;NYears*12,"",LotValue0*(1+LotGrowth)^($C43-1))</f>
        <v/>
      </c>
      <c r="F43" s="35">
        <f>IF($A43&gt;NYears*12,"",IF($A43=1,InitInvest,$R42))</f>
        <v/>
      </c>
      <c r="G43" s="33">
        <f>IF($A43&gt;NYears*12,"",INT($F43/$E43))</f>
        <v/>
      </c>
      <c r="H43" s="35">
        <f>IF($A43&gt;NYears*12,"",$G43*$E43)</f>
        <v/>
      </c>
      <c r="I43" s="35">
        <f>IF($A43&gt;NYears*12,"",$F43-$H43)</f>
        <v/>
      </c>
      <c r="J43" s="35">
        <f>IF($A43&gt;NYears*12,"",$H43*RateD)</f>
        <v/>
      </c>
      <c r="K43" s="35">
        <f>IF($A43&gt;NYears*12,"",IF($D43=1,$J43,$K42+$J43))</f>
        <v/>
      </c>
      <c r="L43" s="35">
        <f>IF($A43&gt;NYears*12,"",IF(MOD($D43,3)=0,SUM($J41:$J43),0))</f>
        <v/>
      </c>
      <c r="M43" s="35">
        <f>IF($A43&gt;NYears*12,"",IF(TaxFreq="Quarterly",$K43*12/$D43,$K43))</f>
        <v/>
      </c>
      <c r="N43" s="36">
        <f>IF($A43&gt;NYears*12,"",LOOKUP($M43,TaxLower,TaxRate))</f>
        <v/>
      </c>
      <c r="O43" s="35">
        <f>IF($A43&gt;NYears*12,"",IF(TaxFreq="Quarterly",IF(MOD($D43,3)=0,$L43*$N43,0),IF($D43=12,$K43*$N43,0)))</f>
        <v/>
      </c>
      <c r="P43" s="35">
        <f>IF($A43&gt;NYears*12,"",IF($D43=1,$O43,$P42+$O43))</f>
        <v/>
      </c>
      <c r="Q43" s="35">
        <f>IF($A43&gt;NYears*12,"",IF($D43=12,MIN(WdrPct*IF(WdrBase="Post-tax profit",$K43-$P43,$K43),WdrCap),0))</f>
        <v/>
      </c>
      <c r="R43" s="35">
        <f>IF($A43&gt;NYears*12,"",$F43+$J43-$O43-$Q43)</f>
        <v/>
      </c>
      <c r="S43" s="33">
        <f>IF($A43&gt;NYears*12,"",INT($R43/$E43))</f>
        <v/>
      </c>
    </row>
    <row r="44">
      <c r="A44" s="33">
        <f>40</f>
        <v/>
      </c>
      <c r="B44" s="34">
        <f>IF($A44&gt;NYears*12,"",EDATE(StartMonth,$A44-1))</f>
        <v/>
      </c>
      <c r="C44" s="33">
        <f>IF($A44&gt;NYears*12,"",INT(($A44-1)/12)+1)</f>
        <v/>
      </c>
      <c r="D44" s="33">
        <f>IF($A44&gt;NYears*12,"",MOD($A44-1,12)+1)</f>
        <v/>
      </c>
      <c r="E44" s="35">
        <f>IF($A44&gt;NYears*12,"",LotValue0*(1+LotGrowth)^($C44-1))</f>
        <v/>
      </c>
      <c r="F44" s="35">
        <f>IF($A44&gt;NYears*12,"",IF($A44=1,InitInvest,$R43))</f>
        <v/>
      </c>
      <c r="G44" s="33">
        <f>IF($A44&gt;NYears*12,"",INT($F44/$E44))</f>
        <v/>
      </c>
      <c r="H44" s="35">
        <f>IF($A44&gt;NYears*12,"",$G44*$E44)</f>
        <v/>
      </c>
      <c r="I44" s="35">
        <f>IF($A44&gt;NYears*12,"",$F44-$H44)</f>
        <v/>
      </c>
      <c r="J44" s="35">
        <f>IF($A44&gt;NYears*12,"",$H44*RateD)</f>
        <v/>
      </c>
      <c r="K44" s="35">
        <f>IF($A44&gt;NYears*12,"",IF($D44=1,$J44,$K43+$J44))</f>
        <v/>
      </c>
      <c r="L44" s="35">
        <f>IF($A44&gt;NYears*12,"",IF(MOD($D44,3)=0,SUM($J42:$J44),0))</f>
        <v/>
      </c>
      <c r="M44" s="35">
        <f>IF($A44&gt;NYears*12,"",IF(TaxFreq="Quarterly",$K44*12/$D44,$K44))</f>
        <v/>
      </c>
      <c r="N44" s="36">
        <f>IF($A44&gt;NYears*12,"",LOOKUP($M44,TaxLower,TaxRate))</f>
        <v/>
      </c>
      <c r="O44" s="35">
        <f>IF($A44&gt;NYears*12,"",IF(TaxFreq="Quarterly",IF(MOD($D44,3)=0,$L44*$N44,0),IF($D44=12,$K44*$N44,0)))</f>
        <v/>
      </c>
      <c r="P44" s="35">
        <f>IF($A44&gt;NYears*12,"",IF($D44=1,$O44,$P43+$O44))</f>
        <v/>
      </c>
      <c r="Q44" s="35">
        <f>IF($A44&gt;NYears*12,"",IF($D44=12,MIN(WdrPct*IF(WdrBase="Post-tax profit",$K44-$P44,$K44),WdrCap),0))</f>
        <v/>
      </c>
      <c r="R44" s="35">
        <f>IF($A44&gt;NYears*12,"",$F44+$J44-$O44-$Q44)</f>
        <v/>
      </c>
      <c r="S44" s="33">
        <f>IF($A44&gt;NYears*12,"",INT($R44/$E44))</f>
        <v/>
      </c>
    </row>
    <row r="45">
      <c r="A45" s="33">
        <f>41</f>
        <v/>
      </c>
      <c r="B45" s="34">
        <f>IF($A45&gt;NYears*12,"",EDATE(StartMonth,$A45-1))</f>
        <v/>
      </c>
      <c r="C45" s="33">
        <f>IF($A45&gt;NYears*12,"",INT(($A45-1)/12)+1)</f>
        <v/>
      </c>
      <c r="D45" s="33">
        <f>IF($A45&gt;NYears*12,"",MOD($A45-1,12)+1)</f>
        <v/>
      </c>
      <c r="E45" s="35">
        <f>IF($A45&gt;NYears*12,"",LotValue0*(1+LotGrowth)^($C45-1))</f>
        <v/>
      </c>
      <c r="F45" s="35">
        <f>IF($A45&gt;NYears*12,"",IF($A45=1,InitInvest,$R44))</f>
        <v/>
      </c>
      <c r="G45" s="33">
        <f>IF($A45&gt;NYears*12,"",INT($F45/$E45))</f>
        <v/>
      </c>
      <c r="H45" s="35">
        <f>IF($A45&gt;NYears*12,"",$G45*$E45)</f>
        <v/>
      </c>
      <c r="I45" s="35">
        <f>IF($A45&gt;NYears*12,"",$F45-$H45)</f>
        <v/>
      </c>
      <c r="J45" s="35">
        <f>IF($A45&gt;NYears*12,"",$H45*RateD)</f>
        <v/>
      </c>
      <c r="K45" s="35">
        <f>IF($A45&gt;NYears*12,"",IF($D45=1,$J45,$K44+$J45))</f>
        <v/>
      </c>
      <c r="L45" s="35">
        <f>IF($A45&gt;NYears*12,"",IF(MOD($D45,3)=0,SUM($J43:$J45),0))</f>
        <v/>
      </c>
      <c r="M45" s="35">
        <f>IF($A45&gt;NYears*12,"",IF(TaxFreq="Quarterly",$K45*12/$D45,$K45))</f>
        <v/>
      </c>
      <c r="N45" s="36">
        <f>IF($A45&gt;NYears*12,"",LOOKUP($M45,TaxLower,TaxRate))</f>
        <v/>
      </c>
      <c r="O45" s="35">
        <f>IF($A45&gt;NYears*12,"",IF(TaxFreq="Quarterly",IF(MOD($D45,3)=0,$L45*$N45,0),IF($D45=12,$K45*$N45,0)))</f>
        <v/>
      </c>
      <c r="P45" s="35">
        <f>IF($A45&gt;NYears*12,"",IF($D45=1,$O45,$P44+$O45))</f>
        <v/>
      </c>
      <c r="Q45" s="35">
        <f>IF($A45&gt;NYears*12,"",IF($D45=12,MIN(WdrPct*IF(WdrBase="Post-tax profit",$K45-$P45,$K45),WdrCap),0))</f>
        <v/>
      </c>
      <c r="R45" s="35">
        <f>IF($A45&gt;NYears*12,"",$F45+$J45-$O45-$Q45)</f>
        <v/>
      </c>
      <c r="S45" s="33">
        <f>IF($A45&gt;NYears*12,"",INT($R45/$E45))</f>
        <v/>
      </c>
    </row>
    <row r="46">
      <c r="A46" s="33">
        <f>42</f>
        <v/>
      </c>
      <c r="B46" s="34">
        <f>IF($A46&gt;NYears*12,"",EDATE(StartMonth,$A46-1))</f>
        <v/>
      </c>
      <c r="C46" s="33">
        <f>IF($A46&gt;NYears*12,"",INT(($A46-1)/12)+1)</f>
        <v/>
      </c>
      <c r="D46" s="33">
        <f>IF($A46&gt;NYears*12,"",MOD($A46-1,12)+1)</f>
        <v/>
      </c>
      <c r="E46" s="35">
        <f>IF($A46&gt;NYears*12,"",LotValue0*(1+LotGrowth)^($C46-1))</f>
        <v/>
      </c>
      <c r="F46" s="35">
        <f>IF($A46&gt;NYears*12,"",IF($A46=1,InitInvest,$R45))</f>
        <v/>
      </c>
      <c r="G46" s="33">
        <f>IF($A46&gt;NYears*12,"",INT($F46/$E46))</f>
        <v/>
      </c>
      <c r="H46" s="35">
        <f>IF($A46&gt;NYears*12,"",$G46*$E46)</f>
        <v/>
      </c>
      <c r="I46" s="35">
        <f>IF($A46&gt;NYears*12,"",$F46-$H46)</f>
        <v/>
      </c>
      <c r="J46" s="35">
        <f>IF($A46&gt;NYears*12,"",$H46*RateD)</f>
        <v/>
      </c>
      <c r="K46" s="35">
        <f>IF($A46&gt;NYears*12,"",IF($D46=1,$J46,$K45+$J46))</f>
        <v/>
      </c>
      <c r="L46" s="35">
        <f>IF($A46&gt;NYears*12,"",IF(MOD($D46,3)=0,SUM($J44:$J46),0))</f>
        <v/>
      </c>
      <c r="M46" s="35">
        <f>IF($A46&gt;NYears*12,"",IF(TaxFreq="Quarterly",$K46*12/$D46,$K46))</f>
        <v/>
      </c>
      <c r="N46" s="36">
        <f>IF($A46&gt;NYears*12,"",LOOKUP($M46,TaxLower,TaxRate))</f>
        <v/>
      </c>
      <c r="O46" s="35">
        <f>IF($A46&gt;NYears*12,"",IF(TaxFreq="Quarterly",IF(MOD($D46,3)=0,$L46*$N46,0),IF($D46=12,$K46*$N46,0)))</f>
        <v/>
      </c>
      <c r="P46" s="35">
        <f>IF($A46&gt;NYears*12,"",IF($D46=1,$O46,$P45+$O46))</f>
        <v/>
      </c>
      <c r="Q46" s="35">
        <f>IF($A46&gt;NYears*12,"",IF($D46=12,MIN(WdrPct*IF(WdrBase="Post-tax profit",$K46-$P46,$K46),WdrCap),0))</f>
        <v/>
      </c>
      <c r="R46" s="35">
        <f>IF($A46&gt;NYears*12,"",$F46+$J46-$O46-$Q46)</f>
        <v/>
      </c>
      <c r="S46" s="33">
        <f>IF($A46&gt;NYears*12,"",INT($R46/$E46))</f>
        <v/>
      </c>
    </row>
    <row r="47">
      <c r="A47" s="33">
        <f>43</f>
        <v/>
      </c>
      <c r="B47" s="34">
        <f>IF($A47&gt;NYears*12,"",EDATE(StartMonth,$A47-1))</f>
        <v/>
      </c>
      <c r="C47" s="33">
        <f>IF($A47&gt;NYears*12,"",INT(($A47-1)/12)+1)</f>
        <v/>
      </c>
      <c r="D47" s="33">
        <f>IF($A47&gt;NYears*12,"",MOD($A47-1,12)+1)</f>
        <v/>
      </c>
      <c r="E47" s="35">
        <f>IF($A47&gt;NYears*12,"",LotValue0*(1+LotGrowth)^($C47-1))</f>
        <v/>
      </c>
      <c r="F47" s="35">
        <f>IF($A47&gt;NYears*12,"",IF($A47=1,InitInvest,$R46))</f>
        <v/>
      </c>
      <c r="G47" s="33">
        <f>IF($A47&gt;NYears*12,"",INT($F47/$E47))</f>
        <v/>
      </c>
      <c r="H47" s="35">
        <f>IF($A47&gt;NYears*12,"",$G47*$E47)</f>
        <v/>
      </c>
      <c r="I47" s="35">
        <f>IF($A47&gt;NYears*12,"",$F47-$H47)</f>
        <v/>
      </c>
      <c r="J47" s="35">
        <f>IF($A47&gt;NYears*12,"",$H47*RateD)</f>
        <v/>
      </c>
      <c r="K47" s="35">
        <f>IF($A47&gt;NYears*12,"",IF($D47=1,$J47,$K46+$J47))</f>
        <v/>
      </c>
      <c r="L47" s="35">
        <f>IF($A47&gt;NYears*12,"",IF(MOD($D47,3)=0,SUM($J45:$J47),0))</f>
        <v/>
      </c>
      <c r="M47" s="35">
        <f>IF($A47&gt;NYears*12,"",IF(TaxFreq="Quarterly",$K47*12/$D47,$K47))</f>
        <v/>
      </c>
      <c r="N47" s="36">
        <f>IF($A47&gt;NYears*12,"",LOOKUP($M47,TaxLower,TaxRate))</f>
        <v/>
      </c>
      <c r="O47" s="35">
        <f>IF($A47&gt;NYears*12,"",IF(TaxFreq="Quarterly",IF(MOD($D47,3)=0,$L47*$N47,0),IF($D47=12,$K47*$N47,0)))</f>
        <v/>
      </c>
      <c r="P47" s="35">
        <f>IF($A47&gt;NYears*12,"",IF($D47=1,$O47,$P46+$O47))</f>
        <v/>
      </c>
      <c r="Q47" s="35">
        <f>IF($A47&gt;NYears*12,"",IF($D47=12,MIN(WdrPct*IF(WdrBase="Post-tax profit",$K47-$P47,$K47),WdrCap),0))</f>
        <v/>
      </c>
      <c r="R47" s="35">
        <f>IF($A47&gt;NYears*12,"",$F47+$J47-$O47-$Q47)</f>
        <v/>
      </c>
      <c r="S47" s="33">
        <f>IF($A47&gt;NYears*12,"",INT($R47/$E47))</f>
        <v/>
      </c>
    </row>
    <row r="48">
      <c r="A48" s="33">
        <f>44</f>
        <v/>
      </c>
      <c r="B48" s="34">
        <f>IF($A48&gt;NYears*12,"",EDATE(StartMonth,$A48-1))</f>
        <v/>
      </c>
      <c r="C48" s="33">
        <f>IF($A48&gt;NYears*12,"",INT(($A48-1)/12)+1)</f>
        <v/>
      </c>
      <c r="D48" s="33">
        <f>IF($A48&gt;NYears*12,"",MOD($A48-1,12)+1)</f>
        <v/>
      </c>
      <c r="E48" s="35">
        <f>IF($A48&gt;NYears*12,"",LotValue0*(1+LotGrowth)^($C48-1))</f>
        <v/>
      </c>
      <c r="F48" s="35">
        <f>IF($A48&gt;NYears*12,"",IF($A48=1,InitInvest,$R47))</f>
        <v/>
      </c>
      <c r="G48" s="33">
        <f>IF($A48&gt;NYears*12,"",INT($F48/$E48))</f>
        <v/>
      </c>
      <c r="H48" s="35">
        <f>IF($A48&gt;NYears*12,"",$G48*$E48)</f>
        <v/>
      </c>
      <c r="I48" s="35">
        <f>IF($A48&gt;NYears*12,"",$F48-$H48)</f>
        <v/>
      </c>
      <c r="J48" s="35">
        <f>IF($A48&gt;NYears*12,"",$H48*RateD)</f>
        <v/>
      </c>
      <c r="K48" s="35">
        <f>IF($A48&gt;NYears*12,"",IF($D48=1,$J48,$K47+$J48))</f>
        <v/>
      </c>
      <c r="L48" s="35">
        <f>IF($A48&gt;NYears*12,"",IF(MOD($D48,3)=0,SUM($J46:$J48),0))</f>
        <v/>
      </c>
      <c r="M48" s="35">
        <f>IF($A48&gt;NYears*12,"",IF(TaxFreq="Quarterly",$K48*12/$D48,$K48))</f>
        <v/>
      </c>
      <c r="N48" s="36">
        <f>IF($A48&gt;NYears*12,"",LOOKUP($M48,TaxLower,TaxRate))</f>
        <v/>
      </c>
      <c r="O48" s="35">
        <f>IF($A48&gt;NYears*12,"",IF(TaxFreq="Quarterly",IF(MOD($D48,3)=0,$L48*$N48,0),IF($D48=12,$K48*$N48,0)))</f>
        <v/>
      </c>
      <c r="P48" s="35">
        <f>IF($A48&gt;NYears*12,"",IF($D48=1,$O48,$P47+$O48))</f>
        <v/>
      </c>
      <c r="Q48" s="35">
        <f>IF($A48&gt;NYears*12,"",IF($D48=12,MIN(WdrPct*IF(WdrBase="Post-tax profit",$K48-$P48,$K48),WdrCap),0))</f>
        <v/>
      </c>
      <c r="R48" s="35">
        <f>IF($A48&gt;NYears*12,"",$F48+$J48-$O48-$Q48)</f>
        <v/>
      </c>
      <c r="S48" s="33">
        <f>IF($A48&gt;NYears*12,"",INT($R48/$E48))</f>
        <v/>
      </c>
    </row>
    <row r="49">
      <c r="A49" s="33">
        <f>45</f>
        <v/>
      </c>
      <c r="B49" s="34">
        <f>IF($A49&gt;NYears*12,"",EDATE(StartMonth,$A49-1))</f>
        <v/>
      </c>
      <c r="C49" s="33">
        <f>IF($A49&gt;NYears*12,"",INT(($A49-1)/12)+1)</f>
        <v/>
      </c>
      <c r="D49" s="33">
        <f>IF($A49&gt;NYears*12,"",MOD($A49-1,12)+1)</f>
        <v/>
      </c>
      <c r="E49" s="35">
        <f>IF($A49&gt;NYears*12,"",LotValue0*(1+LotGrowth)^($C49-1))</f>
        <v/>
      </c>
      <c r="F49" s="35">
        <f>IF($A49&gt;NYears*12,"",IF($A49=1,InitInvest,$R48))</f>
        <v/>
      </c>
      <c r="G49" s="33">
        <f>IF($A49&gt;NYears*12,"",INT($F49/$E49))</f>
        <v/>
      </c>
      <c r="H49" s="35">
        <f>IF($A49&gt;NYears*12,"",$G49*$E49)</f>
        <v/>
      </c>
      <c r="I49" s="35">
        <f>IF($A49&gt;NYears*12,"",$F49-$H49)</f>
        <v/>
      </c>
      <c r="J49" s="35">
        <f>IF($A49&gt;NYears*12,"",$H49*RateD)</f>
        <v/>
      </c>
      <c r="K49" s="35">
        <f>IF($A49&gt;NYears*12,"",IF($D49=1,$J49,$K48+$J49))</f>
        <v/>
      </c>
      <c r="L49" s="35">
        <f>IF($A49&gt;NYears*12,"",IF(MOD($D49,3)=0,SUM($J47:$J49),0))</f>
        <v/>
      </c>
      <c r="M49" s="35">
        <f>IF($A49&gt;NYears*12,"",IF(TaxFreq="Quarterly",$K49*12/$D49,$K49))</f>
        <v/>
      </c>
      <c r="N49" s="36">
        <f>IF($A49&gt;NYears*12,"",LOOKUP($M49,TaxLower,TaxRate))</f>
        <v/>
      </c>
      <c r="O49" s="35">
        <f>IF($A49&gt;NYears*12,"",IF(TaxFreq="Quarterly",IF(MOD($D49,3)=0,$L49*$N49,0),IF($D49=12,$K49*$N49,0)))</f>
        <v/>
      </c>
      <c r="P49" s="35">
        <f>IF($A49&gt;NYears*12,"",IF($D49=1,$O49,$P48+$O49))</f>
        <v/>
      </c>
      <c r="Q49" s="35">
        <f>IF($A49&gt;NYears*12,"",IF($D49=12,MIN(WdrPct*IF(WdrBase="Post-tax profit",$K49-$P49,$K49),WdrCap),0))</f>
        <v/>
      </c>
      <c r="R49" s="35">
        <f>IF($A49&gt;NYears*12,"",$F49+$J49-$O49-$Q49)</f>
        <v/>
      </c>
      <c r="S49" s="33">
        <f>IF($A49&gt;NYears*12,"",INT($R49/$E49))</f>
        <v/>
      </c>
    </row>
    <row r="50">
      <c r="A50" s="33">
        <f>46</f>
        <v/>
      </c>
      <c r="B50" s="34">
        <f>IF($A50&gt;NYears*12,"",EDATE(StartMonth,$A50-1))</f>
        <v/>
      </c>
      <c r="C50" s="33">
        <f>IF($A50&gt;NYears*12,"",INT(($A50-1)/12)+1)</f>
        <v/>
      </c>
      <c r="D50" s="33">
        <f>IF($A50&gt;NYears*12,"",MOD($A50-1,12)+1)</f>
        <v/>
      </c>
      <c r="E50" s="35">
        <f>IF($A50&gt;NYears*12,"",LotValue0*(1+LotGrowth)^($C50-1))</f>
        <v/>
      </c>
      <c r="F50" s="35">
        <f>IF($A50&gt;NYears*12,"",IF($A50=1,InitInvest,$R49))</f>
        <v/>
      </c>
      <c r="G50" s="33">
        <f>IF($A50&gt;NYears*12,"",INT($F50/$E50))</f>
        <v/>
      </c>
      <c r="H50" s="35">
        <f>IF($A50&gt;NYears*12,"",$G50*$E50)</f>
        <v/>
      </c>
      <c r="I50" s="35">
        <f>IF($A50&gt;NYears*12,"",$F50-$H50)</f>
        <v/>
      </c>
      <c r="J50" s="35">
        <f>IF($A50&gt;NYears*12,"",$H50*RateD)</f>
        <v/>
      </c>
      <c r="K50" s="35">
        <f>IF($A50&gt;NYears*12,"",IF($D50=1,$J50,$K49+$J50))</f>
        <v/>
      </c>
      <c r="L50" s="35">
        <f>IF($A50&gt;NYears*12,"",IF(MOD($D50,3)=0,SUM($J48:$J50),0))</f>
        <v/>
      </c>
      <c r="M50" s="35">
        <f>IF($A50&gt;NYears*12,"",IF(TaxFreq="Quarterly",$K50*12/$D50,$K50))</f>
        <v/>
      </c>
      <c r="N50" s="36">
        <f>IF($A50&gt;NYears*12,"",LOOKUP($M50,TaxLower,TaxRate))</f>
        <v/>
      </c>
      <c r="O50" s="35">
        <f>IF($A50&gt;NYears*12,"",IF(TaxFreq="Quarterly",IF(MOD($D50,3)=0,$L50*$N50,0),IF($D50=12,$K50*$N50,0)))</f>
        <v/>
      </c>
      <c r="P50" s="35">
        <f>IF($A50&gt;NYears*12,"",IF($D50=1,$O50,$P49+$O50))</f>
        <v/>
      </c>
      <c r="Q50" s="35">
        <f>IF($A50&gt;NYears*12,"",IF($D50=12,MIN(WdrPct*IF(WdrBase="Post-tax profit",$K50-$P50,$K50),WdrCap),0))</f>
        <v/>
      </c>
      <c r="R50" s="35">
        <f>IF($A50&gt;NYears*12,"",$F50+$J50-$O50-$Q50)</f>
        <v/>
      </c>
      <c r="S50" s="33">
        <f>IF($A50&gt;NYears*12,"",INT($R50/$E50))</f>
        <v/>
      </c>
    </row>
    <row r="51">
      <c r="A51" s="33">
        <f>47</f>
        <v/>
      </c>
      <c r="B51" s="34">
        <f>IF($A51&gt;NYears*12,"",EDATE(StartMonth,$A51-1))</f>
        <v/>
      </c>
      <c r="C51" s="33">
        <f>IF($A51&gt;NYears*12,"",INT(($A51-1)/12)+1)</f>
        <v/>
      </c>
      <c r="D51" s="33">
        <f>IF($A51&gt;NYears*12,"",MOD($A51-1,12)+1)</f>
        <v/>
      </c>
      <c r="E51" s="35">
        <f>IF($A51&gt;NYears*12,"",LotValue0*(1+LotGrowth)^($C51-1))</f>
        <v/>
      </c>
      <c r="F51" s="35">
        <f>IF($A51&gt;NYears*12,"",IF($A51=1,InitInvest,$R50))</f>
        <v/>
      </c>
      <c r="G51" s="33">
        <f>IF($A51&gt;NYears*12,"",INT($F51/$E51))</f>
        <v/>
      </c>
      <c r="H51" s="35">
        <f>IF($A51&gt;NYears*12,"",$G51*$E51)</f>
        <v/>
      </c>
      <c r="I51" s="35">
        <f>IF($A51&gt;NYears*12,"",$F51-$H51)</f>
        <v/>
      </c>
      <c r="J51" s="35">
        <f>IF($A51&gt;NYears*12,"",$H51*RateD)</f>
        <v/>
      </c>
      <c r="K51" s="35">
        <f>IF($A51&gt;NYears*12,"",IF($D51=1,$J51,$K50+$J51))</f>
        <v/>
      </c>
      <c r="L51" s="35">
        <f>IF($A51&gt;NYears*12,"",IF(MOD($D51,3)=0,SUM($J49:$J51),0))</f>
        <v/>
      </c>
      <c r="M51" s="35">
        <f>IF($A51&gt;NYears*12,"",IF(TaxFreq="Quarterly",$K51*12/$D51,$K51))</f>
        <v/>
      </c>
      <c r="N51" s="36">
        <f>IF($A51&gt;NYears*12,"",LOOKUP($M51,TaxLower,TaxRate))</f>
        <v/>
      </c>
      <c r="O51" s="35">
        <f>IF($A51&gt;NYears*12,"",IF(TaxFreq="Quarterly",IF(MOD($D51,3)=0,$L51*$N51,0),IF($D51=12,$K51*$N51,0)))</f>
        <v/>
      </c>
      <c r="P51" s="35">
        <f>IF($A51&gt;NYears*12,"",IF($D51=1,$O51,$P50+$O51))</f>
        <v/>
      </c>
      <c r="Q51" s="35">
        <f>IF($A51&gt;NYears*12,"",IF($D51=12,MIN(WdrPct*IF(WdrBase="Post-tax profit",$K51-$P51,$K51),WdrCap),0))</f>
        <v/>
      </c>
      <c r="R51" s="35">
        <f>IF($A51&gt;NYears*12,"",$F51+$J51-$O51-$Q51)</f>
        <v/>
      </c>
      <c r="S51" s="33">
        <f>IF($A51&gt;NYears*12,"",INT($R51/$E51))</f>
        <v/>
      </c>
    </row>
    <row r="52">
      <c r="A52" s="37">
        <f>48</f>
        <v/>
      </c>
      <c r="B52" s="38">
        <f>IF($A52&gt;NYears*12,"",EDATE(StartMonth,$A52-1))</f>
        <v/>
      </c>
      <c r="C52" s="37">
        <f>IF($A52&gt;NYears*12,"",INT(($A52-1)/12)+1)</f>
        <v/>
      </c>
      <c r="D52" s="37">
        <f>IF($A52&gt;NYears*12,"",MOD($A52-1,12)+1)</f>
        <v/>
      </c>
      <c r="E52" s="39">
        <f>IF($A52&gt;NYears*12,"",LotValue0*(1+LotGrowth)^($C52-1))</f>
        <v/>
      </c>
      <c r="F52" s="39">
        <f>IF($A52&gt;NYears*12,"",IF($A52=1,InitInvest,$R51))</f>
        <v/>
      </c>
      <c r="G52" s="37">
        <f>IF($A52&gt;NYears*12,"",INT($F52/$E52))</f>
        <v/>
      </c>
      <c r="H52" s="39">
        <f>IF($A52&gt;NYears*12,"",$G52*$E52)</f>
        <v/>
      </c>
      <c r="I52" s="39">
        <f>IF($A52&gt;NYears*12,"",$F52-$H52)</f>
        <v/>
      </c>
      <c r="J52" s="39">
        <f>IF($A52&gt;NYears*12,"",$H52*RateD)</f>
        <v/>
      </c>
      <c r="K52" s="39">
        <f>IF($A52&gt;NYears*12,"",IF($D52=1,$J52,$K51+$J52))</f>
        <v/>
      </c>
      <c r="L52" s="39">
        <f>IF($A52&gt;NYears*12,"",IF(MOD($D52,3)=0,SUM($J50:$J52),0))</f>
        <v/>
      </c>
      <c r="M52" s="39">
        <f>IF($A52&gt;NYears*12,"",IF(TaxFreq="Quarterly",$K52*12/$D52,$K52))</f>
        <v/>
      </c>
      <c r="N52" s="40">
        <f>IF($A52&gt;NYears*12,"",LOOKUP($M52,TaxLower,TaxRate))</f>
        <v/>
      </c>
      <c r="O52" s="39">
        <f>IF($A52&gt;NYears*12,"",IF(TaxFreq="Quarterly",IF(MOD($D52,3)=0,$L52*$N52,0),IF($D52=12,$K52*$N52,0)))</f>
        <v/>
      </c>
      <c r="P52" s="39">
        <f>IF($A52&gt;NYears*12,"",IF($D52=1,$O52,$P51+$O52))</f>
        <v/>
      </c>
      <c r="Q52" s="39">
        <f>IF($A52&gt;NYears*12,"",IF($D52=12,MIN(WdrPct*IF(WdrBase="Post-tax profit",$K52-$P52,$K52),WdrCap),0))</f>
        <v/>
      </c>
      <c r="R52" s="39">
        <f>IF($A52&gt;NYears*12,"",$F52+$J52-$O52-$Q52)</f>
        <v/>
      </c>
      <c r="S52" s="37">
        <f>IF($A52&gt;NYears*12,"",INT($R52/$E52))</f>
        <v/>
      </c>
    </row>
    <row r="53">
      <c r="A53" s="33">
        <f>49</f>
        <v/>
      </c>
      <c r="B53" s="34">
        <f>IF($A53&gt;NYears*12,"",EDATE(StartMonth,$A53-1))</f>
        <v/>
      </c>
      <c r="C53" s="33">
        <f>IF($A53&gt;NYears*12,"",INT(($A53-1)/12)+1)</f>
        <v/>
      </c>
      <c r="D53" s="33">
        <f>IF($A53&gt;NYears*12,"",MOD($A53-1,12)+1)</f>
        <v/>
      </c>
      <c r="E53" s="35">
        <f>IF($A53&gt;NYears*12,"",LotValue0*(1+LotGrowth)^($C53-1))</f>
        <v/>
      </c>
      <c r="F53" s="35">
        <f>IF($A53&gt;NYears*12,"",IF($A53=1,InitInvest,$R52))</f>
        <v/>
      </c>
      <c r="G53" s="33">
        <f>IF($A53&gt;NYears*12,"",INT($F53/$E53))</f>
        <v/>
      </c>
      <c r="H53" s="35">
        <f>IF($A53&gt;NYears*12,"",$G53*$E53)</f>
        <v/>
      </c>
      <c r="I53" s="35">
        <f>IF($A53&gt;NYears*12,"",$F53-$H53)</f>
        <v/>
      </c>
      <c r="J53" s="35">
        <f>IF($A53&gt;NYears*12,"",$H53*RateD)</f>
        <v/>
      </c>
      <c r="K53" s="35">
        <f>IF($A53&gt;NYears*12,"",IF($D53=1,$J53,$K52+$J53))</f>
        <v/>
      </c>
      <c r="L53" s="35">
        <f>IF($A53&gt;NYears*12,"",IF(MOD($D53,3)=0,SUM($J51:$J53),0))</f>
        <v/>
      </c>
      <c r="M53" s="35">
        <f>IF($A53&gt;NYears*12,"",IF(TaxFreq="Quarterly",$K53*12/$D53,$K53))</f>
        <v/>
      </c>
      <c r="N53" s="36">
        <f>IF($A53&gt;NYears*12,"",LOOKUP($M53,TaxLower,TaxRate))</f>
        <v/>
      </c>
      <c r="O53" s="35">
        <f>IF($A53&gt;NYears*12,"",IF(TaxFreq="Quarterly",IF(MOD($D53,3)=0,$L53*$N53,0),IF($D53=12,$K53*$N53,0)))</f>
        <v/>
      </c>
      <c r="P53" s="35">
        <f>IF($A53&gt;NYears*12,"",IF($D53=1,$O53,$P52+$O53))</f>
        <v/>
      </c>
      <c r="Q53" s="35">
        <f>IF($A53&gt;NYears*12,"",IF($D53=12,MIN(WdrPct*IF(WdrBase="Post-tax profit",$K53-$P53,$K53),WdrCap),0))</f>
        <v/>
      </c>
      <c r="R53" s="35">
        <f>IF($A53&gt;NYears*12,"",$F53+$J53-$O53-$Q53)</f>
        <v/>
      </c>
      <c r="S53" s="33">
        <f>IF($A53&gt;NYears*12,"",INT($R53/$E53))</f>
        <v/>
      </c>
    </row>
    <row r="54">
      <c r="A54" s="33">
        <f>50</f>
        <v/>
      </c>
      <c r="B54" s="34">
        <f>IF($A54&gt;NYears*12,"",EDATE(StartMonth,$A54-1))</f>
        <v/>
      </c>
      <c r="C54" s="33">
        <f>IF($A54&gt;NYears*12,"",INT(($A54-1)/12)+1)</f>
        <v/>
      </c>
      <c r="D54" s="33">
        <f>IF($A54&gt;NYears*12,"",MOD($A54-1,12)+1)</f>
        <v/>
      </c>
      <c r="E54" s="35">
        <f>IF($A54&gt;NYears*12,"",LotValue0*(1+LotGrowth)^($C54-1))</f>
        <v/>
      </c>
      <c r="F54" s="35">
        <f>IF($A54&gt;NYears*12,"",IF($A54=1,InitInvest,$R53))</f>
        <v/>
      </c>
      <c r="G54" s="33">
        <f>IF($A54&gt;NYears*12,"",INT($F54/$E54))</f>
        <v/>
      </c>
      <c r="H54" s="35">
        <f>IF($A54&gt;NYears*12,"",$G54*$E54)</f>
        <v/>
      </c>
      <c r="I54" s="35">
        <f>IF($A54&gt;NYears*12,"",$F54-$H54)</f>
        <v/>
      </c>
      <c r="J54" s="35">
        <f>IF($A54&gt;NYears*12,"",$H54*RateD)</f>
        <v/>
      </c>
      <c r="K54" s="35">
        <f>IF($A54&gt;NYears*12,"",IF($D54=1,$J54,$K53+$J54))</f>
        <v/>
      </c>
      <c r="L54" s="35">
        <f>IF($A54&gt;NYears*12,"",IF(MOD($D54,3)=0,SUM($J52:$J54),0))</f>
        <v/>
      </c>
      <c r="M54" s="35">
        <f>IF($A54&gt;NYears*12,"",IF(TaxFreq="Quarterly",$K54*12/$D54,$K54))</f>
        <v/>
      </c>
      <c r="N54" s="36">
        <f>IF($A54&gt;NYears*12,"",LOOKUP($M54,TaxLower,TaxRate))</f>
        <v/>
      </c>
      <c r="O54" s="35">
        <f>IF($A54&gt;NYears*12,"",IF(TaxFreq="Quarterly",IF(MOD($D54,3)=0,$L54*$N54,0),IF($D54=12,$K54*$N54,0)))</f>
        <v/>
      </c>
      <c r="P54" s="35">
        <f>IF($A54&gt;NYears*12,"",IF($D54=1,$O54,$P53+$O54))</f>
        <v/>
      </c>
      <c r="Q54" s="35">
        <f>IF($A54&gt;NYears*12,"",IF($D54=12,MIN(WdrPct*IF(WdrBase="Post-tax profit",$K54-$P54,$K54),WdrCap),0))</f>
        <v/>
      </c>
      <c r="R54" s="35">
        <f>IF($A54&gt;NYears*12,"",$F54+$J54-$O54-$Q54)</f>
        <v/>
      </c>
      <c r="S54" s="33">
        <f>IF($A54&gt;NYears*12,"",INT($R54/$E54))</f>
        <v/>
      </c>
    </row>
    <row r="55">
      <c r="A55" s="33">
        <f>51</f>
        <v/>
      </c>
      <c r="B55" s="34">
        <f>IF($A55&gt;NYears*12,"",EDATE(StartMonth,$A55-1))</f>
        <v/>
      </c>
      <c r="C55" s="33">
        <f>IF($A55&gt;NYears*12,"",INT(($A55-1)/12)+1)</f>
        <v/>
      </c>
      <c r="D55" s="33">
        <f>IF($A55&gt;NYears*12,"",MOD($A55-1,12)+1)</f>
        <v/>
      </c>
      <c r="E55" s="35">
        <f>IF($A55&gt;NYears*12,"",LotValue0*(1+LotGrowth)^($C55-1))</f>
        <v/>
      </c>
      <c r="F55" s="35">
        <f>IF($A55&gt;NYears*12,"",IF($A55=1,InitInvest,$R54))</f>
        <v/>
      </c>
      <c r="G55" s="33">
        <f>IF($A55&gt;NYears*12,"",INT($F55/$E55))</f>
        <v/>
      </c>
      <c r="H55" s="35">
        <f>IF($A55&gt;NYears*12,"",$G55*$E55)</f>
        <v/>
      </c>
      <c r="I55" s="35">
        <f>IF($A55&gt;NYears*12,"",$F55-$H55)</f>
        <v/>
      </c>
      <c r="J55" s="35">
        <f>IF($A55&gt;NYears*12,"",$H55*RateD)</f>
        <v/>
      </c>
      <c r="K55" s="35">
        <f>IF($A55&gt;NYears*12,"",IF($D55=1,$J55,$K54+$J55))</f>
        <v/>
      </c>
      <c r="L55" s="35">
        <f>IF($A55&gt;NYears*12,"",IF(MOD($D55,3)=0,SUM($J53:$J55),0))</f>
        <v/>
      </c>
      <c r="M55" s="35">
        <f>IF($A55&gt;NYears*12,"",IF(TaxFreq="Quarterly",$K55*12/$D55,$K55))</f>
        <v/>
      </c>
      <c r="N55" s="36">
        <f>IF($A55&gt;NYears*12,"",LOOKUP($M55,TaxLower,TaxRate))</f>
        <v/>
      </c>
      <c r="O55" s="35">
        <f>IF($A55&gt;NYears*12,"",IF(TaxFreq="Quarterly",IF(MOD($D55,3)=0,$L55*$N55,0),IF($D55=12,$K55*$N55,0)))</f>
        <v/>
      </c>
      <c r="P55" s="35">
        <f>IF($A55&gt;NYears*12,"",IF($D55=1,$O55,$P54+$O55))</f>
        <v/>
      </c>
      <c r="Q55" s="35">
        <f>IF($A55&gt;NYears*12,"",IF($D55=12,MIN(WdrPct*IF(WdrBase="Post-tax profit",$K55-$P55,$K55),WdrCap),0))</f>
        <v/>
      </c>
      <c r="R55" s="35">
        <f>IF($A55&gt;NYears*12,"",$F55+$J55-$O55-$Q55)</f>
        <v/>
      </c>
      <c r="S55" s="33">
        <f>IF($A55&gt;NYears*12,"",INT($R55/$E55))</f>
        <v/>
      </c>
    </row>
    <row r="56">
      <c r="A56" s="33">
        <f>52</f>
        <v/>
      </c>
      <c r="B56" s="34">
        <f>IF($A56&gt;NYears*12,"",EDATE(StartMonth,$A56-1))</f>
        <v/>
      </c>
      <c r="C56" s="33">
        <f>IF($A56&gt;NYears*12,"",INT(($A56-1)/12)+1)</f>
        <v/>
      </c>
      <c r="D56" s="33">
        <f>IF($A56&gt;NYears*12,"",MOD($A56-1,12)+1)</f>
        <v/>
      </c>
      <c r="E56" s="35">
        <f>IF($A56&gt;NYears*12,"",LotValue0*(1+LotGrowth)^($C56-1))</f>
        <v/>
      </c>
      <c r="F56" s="35">
        <f>IF($A56&gt;NYears*12,"",IF($A56=1,InitInvest,$R55))</f>
        <v/>
      </c>
      <c r="G56" s="33">
        <f>IF($A56&gt;NYears*12,"",INT($F56/$E56))</f>
        <v/>
      </c>
      <c r="H56" s="35">
        <f>IF($A56&gt;NYears*12,"",$G56*$E56)</f>
        <v/>
      </c>
      <c r="I56" s="35">
        <f>IF($A56&gt;NYears*12,"",$F56-$H56)</f>
        <v/>
      </c>
      <c r="J56" s="35">
        <f>IF($A56&gt;NYears*12,"",$H56*RateD)</f>
        <v/>
      </c>
      <c r="K56" s="35">
        <f>IF($A56&gt;NYears*12,"",IF($D56=1,$J56,$K55+$J56))</f>
        <v/>
      </c>
      <c r="L56" s="35">
        <f>IF($A56&gt;NYears*12,"",IF(MOD($D56,3)=0,SUM($J54:$J56),0))</f>
        <v/>
      </c>
      <c r="M56" s="35">
        <f>IF($A56&gt;NYears*12,"",IF(TaxFreq="Quarterly",$K56*12/$D56,$K56))</f>
        <v/>
      </c>
      <c r="N56" s="36">
        <f>IF($A56&gt;NYears*12,"",LOOKUP($M56,TaxLower,TaxRate))</f>
        <v/>
      </c>
      <c r="O56" s="35">
        <f>IF($A56&gt;NYears*12,"",IF(TaxFreq="Quarterly",IF(MOD($D56,3)=0,$L56*$N56,0),IF($D56=12,$K56*$N56,0)))</f>
        <v/>
      </c>
      <c r="P56" s="35">
        <f>IF($A56&gt;NYears*12,"",IF($D56=1,$O56,$P55+$O56))</f>
        <v/>
      </c>
      <c r="Q56" s="35">
        <f>IF($A56&gt;NYears*12,"",IF($D56=12,MIN(WdrPct*IF(WdrBase="Post-tax profit",$K56-$P56,$K56),WdrCap),0))</f>
        <v/>
      </c>
      <c r="R56" s="35">
        <f>IF($A56&gt;NYears*12,"",$F56+$J56-$O56-$Q56)</f>
        <v/>
      </c>
      <c r="S56" s="33">
        <f>IF($A56&gt;NYears*12,"",INT($R56/$E56))</f>
        <v/>
      </c>
    </row>
    <row r="57">
      <c r="A57" s="33">
        <f>53</f>
        <v/>
      </c>
      <c r="B57" s="34">
        <f>IF($A57&gt;NYears*12,"",EDATE(StartMonth,$A57-1))</f>
        <v/>
      </c>
      <c r="C57" s="33">
        <f>IF($A57&gt;NYears*12,"",INT(($A57-1)/12)+1)</f>
        <v/>
      </c>
      <c r="D57" s="33">
        <f>IF($A57&gt;NYears*12,"",MOD($A57-1,12)+1)</f>
        <v/>
      </c>
      <c r="E57" s="35">
        <f>IF($A57&gt;NYears*12,"",LotValue0*(1+LotGrowth)^($C57-1))</f>
        <v/>
      </c>
      <c r="F57" s="35">
        <f>IF($A57&gt;NYears*12,"",IF($A57=1,InitInvest,$R56))</f>
        <v/>
      </c>
      <c r="G57" s="33">
        <f>IF($A57&gt;NYears*12,"",INT($F57/$E57))</f>
        <v/>
      </c>
      <c r="H57" s="35">
        <f>IF($A57&gt;NYears*12,"",$G57*$E57)</f>
        <v/>
      </c>
      <c r="I57" s="35">
        <f>IF($A57&gt;NYears*12,"",$F57-$H57)</f>
        <v/>
      </c>
      <c r="J57" s="35">
        <f>IF($A57&gt;NYears*12,"",$H57*RateD)</f>
        <v/>
      </c>
      <c r="K57" s="35">
        <f>IF($A57&gt;NYears*12,"",IF($D57=1,$J57,$K56+$J57))</f>
        <v/>
      </c>
      <c r="L57" s="35">
        <f>IF($A57&gt;NYears*12,"",IF(MOD($D57,3)=0,SUM($J55:$J57),0))</f>
        <v/>
      </c>
      <c r="M57" s="35">
        <f>IF($A57&gt;NYears*12,"",IF(TaxFreq="Quarterly",$K57*12/$D57,$K57))</f>
        <v/>
      </c>
      <c r="N57" s="36">
        <f>IF($A57&gt;NYears*12,"",LOOKUP($M57,TaxLower,TaxRate))</f>
        <v/>
      </c>
      <c r="O57" s="35">
        <f>IF($A57&gt;NYears*12,"",IF(TaxFreq="Quarterly",IF(MOD($D57,3)=0,$L57*$N57,0),IF($D57=12,$K57*$N57,0)))</f>
        <v/>
      </c>
      <c r="P57" s="35">
        <f>IF($A57&gt;NYears*12,"",IF($D57=1,$O57,$P56+$O57))</f>
        <v/>
      </c>
      <c r="Q57" s="35">
        <f>IF($A57&gt;NYears*12,"",IF($D57=12,MIN(WdrPct*IF(WdrBase="Post-tax profit",$K57-$P57,$K57),WdrCap),0))</f>
        <v/>
      </c>
      <c r="R57" s="35">
        <f>IF($A57&gt;NYears*12,"",$F57+$J57-$O57-$Q57)</f>
        <v/>
      </c>
      <c r="S57" s="33">
        <f>IF($A57&gt;NYears*12,"",INT($R57/$E57))</f>
        <v/>
      </c>
    </row>
    <row r="58">
      <c r="A58" s="33">
        <f>54</f>
        <v/>
      </c>
      <c r="B58" s="34">
        <f>IF($A58&gt;NYears*12,"",EDATE(StartMonth,$A58-1))</f>
        <v/>
      </c>
      <c r="C58" s="33">
        <f>IF($A58&gt;NYears*12,"",INT(($A58-1)/12)+1)</f>
        <v/>
      </c>
      <c r="D58" s="33">
        <f>IF($A58&gt;NYears*12,"",MOD($A58-1,12)+1)</f>
        <v/>
      </c>
      <c r="E58" s="35">
        <f>IF($A58&gt;NYears*12,"",LotValue0*(1+LotGrowth)^($C58-1))</f>
        <v/>
      </c>
      <c r="F58" s="35">
        <f>IF($A58&gt;NYears*12,"",IF($A58=1,InitInvest,$R57))</f>
        <v/>
      </c>
      <c r="G58" s="33">
        <f>IF($A58&gt;NYears*12,"",INT($F58/$E58))</f>
        <v/>
      </c>
      <c r="H58" s="35">
        <f>IF($A58&gt;NYears*12,"",$G58*$E58)</f>
        <v/>
      </c>
      <c r="I58" s="35">
        <f>IF($A58&gt;NYears*12,"",$F58-$H58)</f>
        <v/>
      </c>
      <c r="J58" s="35">
        <f>IF($A58&gt;NYears*12,"",$H58*RateD)</f>
        <v/>
      </c>
      <c r="K58" s="35">
        <f>IF($A58&gt;NYears*12,"",IF($D58=1,$J58,$K57+$J58))</f>
        <v/>
      </c>
      <c r="L58" s="35">
        <f>IF($A58&gt;NYears*12,"",IF(MOD($D58,3)=0,SUM($J56:$J58),0))</f>
        <v/>
      </c>
      <c r="M58" s="35">
        <f>IF($A58&gt;NYears*12,"",IF(TaxFreq="Quarterly",$K58*12/$D58,$K58))</f>
        <v/>
      </c>
      <c r="N58" s="36">
        <f>IF($A58&gt;NYears*12,"",LOOKUP($M58,TaxLower,TaxRate))</f>
        <v/>
      </c>
      <c r="O58" s="35">
        <f>IF($A58&gt;NYears*12,"",IF(TaxFreq="Quarterly",IF(MOD($D58,3)=0,$L58*$N58,0),IF($D58=12,$K58*$N58,0)))</f>
        <v/>
      </c>
      <c r="P58" s="35">
        <f>IF($A58&gt;NYears*12,"",IF($D58=1,$O58,$P57+$O58))</f>
        <v/>
      </c>
      <c r="Q58" s="35">
        <f>IF($A58&gt;NYears*12,"",IF($D58=12,MIN(WdrPct*IF(WdrBase="Post-tax profit",$K58-$P58,$K58),WdrCap),0))</f>
        <v/>
      </c>
      <c r="R58" s="35">
        <f>IF($A58&gt;NYears*12,"",$F58+$J58-$O58-$Q58)</f>
        <v/>
      </c>
      <c r="S58" s="33">
        <f>IF($A58&gt;NYears*12,"",INT($R58/$E58))</f>
        <v/>
      </c>
    </row>
    <row r="59">
      <c r="A59" s="33">
        <f>55</f>
        <v/>
      </c>
      <c r="B59" s="34">
        <f>IF($A59&gt;NYears*12,"",EDATE(StartMonth,$A59-1))</f>
        <v/>
      </c>
      <c r="C59" s="33">
        <f>IF($A59&gt;NYears*12,"",INT(($A59-1)/12)+1)</f>
        <v/>
      </c>
      <c r="D59" s="33">
        <f>IF($A59&gt;NYears*12,"",MOD($A59-1,12)+1)</f>
        <v/>
      </c>
      <c r="E59" s="35">
        <f>IF($A59&gt;NYears*12,"",LotValue0*(1+LotGrowth)^($C59-1))</f>
        <v/>
      </c>
      <c r="F59" s="35">
        <f>IF($A59&gt;NYears*12,"",IF($A59=1,InitInvest,$R58))</f>
        <v/>
      </c>
      <c r="G59" s="33">
        <f>IF($A59&gt;NYears*12,"",INT($F59/$E59))</f>
        <v/>
      </c>
      <c r="H59" s="35">
        <f>IF($A59&gt;NYears*12,"",$G59*$E59)</f>
        <v/>
      </c>
      <c r="I59" s="35">
        <f>IF($A59&gt;NYears*12,"",$F59-$H59)</f>
        <v/>
      </c>
      <c r="J59" s="35">
        <f>IF($A59&gt;NYears*12,"",$H59*RateD)</f>
        <v/>
      </c>
      <c r="K59" s="35">
        <f>IF($A59&gt;NYears*12,"",IF($D59=1,$J59,$K58+$J59))</f>
        <v/>
      </c>
      <c r="L59" s="35">
        <f>IF($A59&gt;NYears*12,"",IF(MOD($D59,3)=0,SUM($J57:$J59),0))</f>
        <v/>
      </c>
      <c r="M59" s="35">
        <f>IF($A59&gt;NYears*12,"",IF(TaxFreq="Quarterly",$K59*12/$D59,$K59))</f>
        <v/>
      </c>
      <c r="N59" s="36">
        <f>IF($A59&gt;NYears*12,"",LOOKUP($M59,TaxLower,TaxRate))</f>
        <v/>
      </c>
      <c r="O59" s="35">
        <f>IF($A59&gt;NYears*12,"",IF(TaxFreq="Quarterly",IF(MOD($D59,3)=0,$L59*$N59,0),IF($D59=12,$K59*$N59,0)))</f>
        <v/>
      </c>
      <c r="P59" s="35">
        <f>IF($A59&gt;NYears*12,"",IF($D59=1,$O59,$P58+$O59))</f>
        <v/>
      </c>
      <c r="Q59" s="35">
        <f>IF($A59&gt;NYears*12,"",IF($D59=12,MIN(WdrPct*IF(WdrBase="Post-tax profit",$K59-$P59,$K59),WdrCap),0))</f>
        <v/>
      </c>
      <c r="R59" s="35">
        <f>IF($A59&gt;NYears*12,"",$F59+$J59-$O59-$Q59)</f>
        <v/>
      </c>
      <c r="S59" s="33">
        <f>IF($A59&gt;NYears*12,"",INT($R59/$E59))</f>
        <v/>
      </c>
    </row>
    <row r="60">
      <c r="A60" s="33">
        <f>56</f>
        <v/>
      </c>
      <c r="B60" s="34">
        <f>IF($A60&gt;NYears*12,"",EDATE(StartMonth,$A60-1))</f>
        <v/>
      </c>
      <c r="C60" s="33">
        <f>IF($A60&gt;NYears*12,"",INT(($A60-1)/12)+1)</f>
        <v/>
      </c>
      <c r="D60" s="33">
        <f>IF($A60&gt;NYears*12,"",MOD($A60-1,12)+1)</f>
        <v/>
      </c>
      <c r="E60" s="35">
        <f>IF($A60&gt;NYears*12,"",LotValue0*(1+LotGrowth)^($C60-1))</f>
        <v/>
      </c>
      <c r="F60" s="35">
        <f>IF($A60&gt;NYears*12,"",IF($A60=1,InitInvest,$R59))</f>
        <v/>
      </c>
      <c r="G60" s="33">
        <f>IF($A60&gt;NYears*12,"",INT($F60/$E60))</f>
        <v/>
      </c>
      <c r="H60" s="35">
        <f>IF($A60&gt;NYears*12,"",$G60*$E60)</f>
        <v/>
      </c>
      <c r="I60" s="35">
        <f>IF($A60&gt;NYears*12,"",$F60-$H60)</f>
        <v/>
      </c>
      <c r="J60" s="35">
        <f>IF($A60&gt;NYears*12,"",$H60*RateD)</f>
        <v/>
      </c>
      <c r="K60" s="35">
        <f>IF($A60&gt;NYears*12,"",IF($D60=1,$J60,$K59+$J60))</f>
        <v/>
      </c>
      <c r="L60" s="35">
        <f>IF($A60&gt;NYears*12,"",IF(MOD($D60,3)=0,SUM($J58:$J60),0))</f>
        <v/>
      </c>
      <c r="M60" s="35">
        <f>IF($A60&gt;NYears*12,"",IF(TaxFreq="Quarterly",$K60*12/$D60,$K60))</f>
        <v/>
      </c>
      <c r="N60" s="36">
        <f>IF($A60&gt;NYears*12,"",LOOKUP($M60,TaxLower,TaxRate))</f>
        <v/>
      </c>
      <c r="O60" s="35">
        <f>IF($A60&gt;NYears*12,"",IF(TaxFreq="Quarterly",IF(MOD($D60,3)=0,$L60*$N60,0),IF($D60=12,$K60*$N60,0)))</f>
        <v/>
      </c>
      <c r="P60" s="35">
        <f>IF($A60&gt;NYears*12,"",IF($D60=1,$O60,$P59+$O60))</f>
        <v/>
      </c>
      <c r="Q60" s="35">
        <f>IF($A60&gt;NYears*12,"",IF($D60=12,MIN(WdrPct*IF(WdrBase="Post-tax profit",$K60-$P60,$K60),WdrCap),0))</f>
        <v/>
      </c>
      <c r="R60" s="35">
        <f>IF($A60&gt;NYears*12,"",$F60+$J60-$O60-$Q60)</f>
        <v/>
      </c>
      <c r="S60" s="33">
        <f>IF($A60&gt;NYears*12,"",INT($R60/$E60))</f>
        <v/>
      </c>
    </row>
    <row r="61">
      <c r="A61" s="33">
        <f>57</f>
        <v/>
      </c>
      <c r="B61" s="34">
        <f>IF($A61&gt;NYears*12,"",EDATE(StartMonth,$A61-1))</f>
        <v/>
      </c>
      <c r="C61" s="33">
        <f>IF($A61&gt;NYears*12,"",INT(($A61-1)/12)+1)</f>
        <v/>
      </c>
      <c r="D61" s="33">
        <f>IF($A61&gt;NYears*12,"",MOD($A61-1,12)+1)</f>
        <v/>
      </c>
      <c r="E61" s="35">
        <f>IF($A61&gt;NYears*12,"",LotValue0*(1+LotGrowth)^($C61-1))</f>
        <v/>
      </c>
      <c r="F61" s="35">
        <f>IF($A61&gt;NYears*12,"",IF($A61=1,InitInvest,$R60))</f>
        <v/>
      </c>
      <c r="G61" s="33">
        <f>IF($A61&gt;NYears*12,"",INT($F61/$E61))</f>
        <v/>
      </c>
      <c r="H61" s="35">
        <f>IF($A61&gt;NYears*12,"",$G61*$E61)</f>
        <v/>
      </c>
      <c r="I61" s="35">
        <f>IF($A61&gt;NYears*12,"",$F61-$H61)</f>
        <v/>
      </c>
      <c r="J61" s="35">
        <f>IF($A61&gt;NYears*12,"",$H61*RateD)</f>
        <v/>
      </c>
      <c r="K61" s="35">
        <f>IF($A61&gt;NYears*12,"",IF($D61=1,$J61,$K60+$J61))</f>
        <v/>
      </c>
      <c r="L61" s="35">
        <f>IF($A61&gt;NYears*12,"",IF(MOD($D61,3)=0,SUM($J59:$J61),0))</f>
        <v/>
      </c>
      <c r="M61" s="35">
        <f>IF($A61&gt;NYears*12,"",IF(TaxFreq="Quarterly",$K61*12/$D61,$K61))</f>
        <v/>
      </c>
      <c r="N61" s="36">
        <f>IF($A61&gt;NYears*12,"",LOOKUP($M61,TaxLower,TaxRate))</f>
        <v/>
      </c>
      <c r="O61" s="35">
        <f>IF($A61&gt;NYears*12,"",IF(TaxFreq="Quarterly",IF(MOD($D61,3)=0,$L61*$N61,0),IF($D61=12,$K61*$N61,0)))</f>
        <v/>
      </c>
      <c r="P61" s="35">
        <f>IF($A61&gt;NYears*12,"",IF($D61=1,$O61,$P60+$O61))</f>
        <v/>
      </c>
      <c r="Q61" s="35">
        <f>IF($A61&gt;NYears*12,"",IF($D61=12,MIN(WdrPct*IF(WdrBase="Post-tax profit",$K61-$P61,$K61),WdrCap),0))</f>
        <v/>
      </c>
      <c r="R61" s="35">
        <f>IF($A61&gt;NYears*12,"",$F61+$J61-$O61-$Q61)</f>
        <v/>
      </c>
      <c r="S61" s="33">
        <f>IF($A61&gt;NYears*12,"",INT($R61/$E61))</f>
        <v/>
      </c>
    </row>
    <row r="62">
      <c r="A62" s="33">
        <f>58</f>
        <v/>
      </c>
      <c r="B62" s="34">
        <f>IF($A62&gt;NYears*12,"",EDATE(StartMonth,$A62-1))</f>
        <v/>
      </c>
      <c r="C62" s="33">
        <f>IF($A62&gt;NYears*12,"",INT(($A62-1)/12)+1)</f>
        <v/>
      </c>
      <c r="D62" s="33">
        <f>IF($A62&gt;NYears*12,"",MOD($A62-1,12)+1)</f>
        <v/>
      </c>
      <c r="E62" s="35">
        <f>IF($A62&gt;NYears*12,"",LotValue0*(1+LotGrowth)^($C62-1))</f>
        <v/>
      </c>
      <c r="F62" s="35">
        <f>IF($A62&gt;NYears*12,"",IF($A62=1,InitInvest,$R61))</f>
        <v/>
      </c>
      <c r="G62" s="33">
        <f>IF($A62&gt;NYears*12,"",INT($F62/$E62))</f>
        <v/>
      </c>
      <c r="H62" s="35">
        <f>IF($A62&gt;NYears*12,"",$G62*$E62)</f>
        <v/>
      </c>
      <c r="I62" s="35">
        <f>IF($A62&gt;NYears*12,"",$F62-$H62)</f>
        <v/>
      </c>
      <c r="J62" s="35">
        <f>IF($A62&gt;NYears*12,"",$H62*RateD)</f>
        <v/>
      </c>
      <c r="K62" s="35">
        <f>IF($A62&gt;NYears*12,"",IF($D62=1,$J62,$K61+$J62))</f>
        <v/>
      </c>
      <c r="L62" s="35">
        <f>IF($A62&gt;NYears*12,"",IF(MOD($D62,3)=0,SUM($J60:$J62),0))</f>
        <v/>
      </c>
      <c r="M62" s="35">
        <f>IF($A62&gt;NYears*12,"",IF(TaxFreq="Quarterly",$K62*12/$D62,$K62))</f>
        <v/>
      </c>
      <c r="N62" s="36">
        <f>IF($A62&gt;NYears*12,"",LOOKUP($M62,TaxLower,TaxRate))</f>
        <v/>
      </c>
      <c r="O62" s="35">
        <f>IF($A62&gt;NYears*12,"",IF(TaxFreq="Quarterly",IF(MOD($D62,3)=0,$L62*$N62,0),IF($D62=12,$K62*$N62,0)))</f>
        <v/>
      </c>
      <c r="P62" s="35">
        <f>IF($A62&gt;NYears*12,"",IF($D62=1,$O62,$P61+$O62))</f>
        <v/>
      </c>
      <c r="Q62" s="35">
        <f>IF($A62&gt;NYears*12,"",IF($D62=12,MIN(WdrPct*IF(WdrBase="Post-tax profit",$K62-$P62,$K62),WdrCap),0))</f>
        <v/>
      </c>
      <c r="R62" s="35">
        <f>IF($A62&gt;NYears*12,"",$F62+$J62-$O62-$Q62)</f>
        <v/>
      </c>
      <c r="S62" s="33">
        <f>IF($A62&gt;NYears*12,"",INT($R62/$E62))</f>
        <v/>
      </c>
    </row>
    <row r="63">
      <c r="A63" s="33">
        <f>59</f>
        <v/>
      </c>
      <c r="B63" s="34">
        <f>IF($A63&gt;NYears*12,"",EDATE(StartMonth,$A63-1))</f>
        <v/>
      </c>
      <c r="C63" s="33">
        <f>IF($A63&gt;NYears*12,"",INT(($A63-1)/12)+1)</f>
        <v/>
      </c>
      <c r="D63" s="33">
        <f>IF($A63&gt;NYears*12,"",MOD($A63-1,12)+1)</f>
        <v/>
      </c>
      <c r="E63" s="35">
        <f>IF($A63&gt;NYears*12,"",LotValue0*(1+LotGrowth)^($C63-1))</f>
        <v/>
      </c>
      <c r="F63" s="35">
        <f>IF($A63&gt;NYears*12,"",IF($A63=1,InitInvest,$R62))</f>
        <v/>
      </c>
      <c r="G63" s="33">
        <f>IF($A63&gt;NYears*12,"",INT($F63/$E63))</f>
        <v/>
      </c>
      <c r="H63" s="35">
        <f>IF($A63&gt;NYears*12,"",$G63*$E63)</f>
        <v/>
      </c>
      <c r="I63" s="35">
        <f>IF($A63&gt;NYears*12,"",$F63-$H63)</f>
        <v/>
      </c>
      <c r="J63" s="35">
        <f>IF($A63&gt;NYears*12,"",$H63*RateD)</f>
        <v/>
      </c>
      <c r="K63" s="35">
        <f>IF($A63&gt;NYears*12,"",IF($D63=1,$J63,$K62+$J63))</f>
        <v/>
      </c>
      <c r="L63" s="35">
        <f>IF($A63&gt;NYears*12,"",IF(MOD($D63,3)=0,SUM($J61:$J63),0))</f>
        <v/>
      </c>
      <c r="M63" s="35">
        <f>IF($A63&gt;NYears*12,"",IF(TaxFreq="Quarterly",$K63*12/$D63,$K63))</f>
        <v/>
      </c>
      <c r="N63" s="36">
        <f>IF($A63&gt;NYears*12,"",LOOKUP($M63,TaxLower,TaxRate))</f>
        <v/>
      </c>
      <c r="O63" s="35">
        <f>IF($A63&gt;NYears*12,"",IF(TaxFreq="Quarterly",IF(MOD($D63,3)=0,$L63*$N63,0),IF($D63=12,$K63*$N63,0)))</f>
        <v/>
      </c>
      <c r="P63" s="35">
        <f>IF($A63&gt;NYears*12,"",IF($D63=1,$O63,$P62+$O63))</f>
        <v/>
      </c>
      <c r="Q63" s="35">
        <f>IF($A63&gt;NYears*12,"",IF($D63=12,MIN(WdrPct*IF(WdrBase="Post-tax profit",$K63-$P63,$K63),WdrCap),0))</f>
        <v/>
      </c>
      <c r="R63" s="35">
        <f>IF($A63&gt;NYears*12,"",$F63+$J63-$O63-$Q63)</f>
        <v/>
      </c>
      <c r="S63" s="33">
        <f>IF($A63&gt;NYears*12,"",INT($R63/$E63))</f>
        <v/>
      </c>
    </row>
    <row r="64">
      <c r="A64" s="37">
        <f>60</f>
        <v/>
      </c>
      <c r="B64" s="38">
        <f>IF($A64&gt;NYears*12,"",EDATE(StartMonth,$A64-1))</f>
        <v/>
      </c>
      <c r="C64" s="37">
        <f>IF($A64&gt;NYears*12,"",INT(($A64-1)/12)+1)</f>
        <v/>
      </c>
      <c r="D64" s="37">
        <f>IF($A64&gt;NYears*12,"",MOD($A64-1,12)+1)</f>
        <v/>
      </c>
      <c r="E64" s="39">
        <f>IF($A64&gt;NYears*12,"",LotValue0*(1+LotGrowth)^($C64-1))</f>
        <v/>
      </c>
      <c r="F64" s="39">
        <f>IF($A64&gt;NYears*12,"",IF($A64=1,InitInvest,$R63))</f>
        <v/>
      </c>
      <c r="G64" s="37">
        <f>IF($A64&gt;NYears*12,"",INT($F64/$E64))</f>
        <v/>
      </c>
      <c r="H64" s="39">
        <f>IF($A64&gt;NYears*12,"",$G64*$E64)</f>
        <v/>
      </c>
      <c r="I64" s="39">
        <f>IF($A64&gt;NYears*12,"",$F64-$H64)</f>
        <v/>
      </c>
      <c r="J64" s="39">
        <f>IF($A64&gt;NYears*12,"",$H64*RateD)</f>
        <v/>
      </c>
      <c r="K64" s="39">
        <f>IF($A64&gt;NYears*12,"",IF($D64=1,$J64,$K63+$J64))</f>
        <v/>
      </c>
      <c r="L64" s="39">
        <f>IF($A64&gt;NYears*12,"",IF(MOD($D64,3)=0,SUM($J62:$J64),0))</f>
        <v/>
      </c>
      <c r="M64" s="39">
        <f>IF($A64&gt;NYears*12,"",IF(TaxFreq="Quarterly",$K64*12/$D64,$K64))</f>
        <v/>
      </c>
      <c r="N64" s="40">
        <f>IF($A64&gt;NYears*12,"",LOOKUP($M64,TaxLower,TaxRate))</f>
        <v/>
      </c>
      <c r="O64" s="39">
        <f>IF($A64&gt;NYears*12,"",IF(TaxFreq="Quarterly",IF(MOD($D64,3)=0,$L64*$N64,0),IF($D64=12,$K64*$N64,0)))</f>
        <v/>
      </c>
      <c r="P64" s="39">
        <f>IF($A64&gt;NYears*12,"",IF($D64=1,$O64,$P63+$O64))</f>
        <v/>
      </c>
      <c r="Q64" s="39">
        <f>IF($A64&gt;NYears*12,"",IF($D64=12,MIN(WdrPct*IF(WdrBase="Post-tax profit",$K64-$P64,$K64),WdrCap),0))</f>
        <v/>
      </c>
      <c r="R64" s="39">
        <f>IF($A64&gt;NYears*12,"",$F64+$J64-$O64-$Q64)</f>
        <v/>
      </c>
      <c r="S64" s="37">
        <f>IF($A64&gt;NYears*12,"",INT($R64/$E64))</f>
        <v/>
      </c>
    </row>
    <row r="65">
      <c r="A65" s="33">
        <f>61</f>
        <v/>
      </c>
      <c r="B65" s="34">
        <f>IF($A65&gt;NYears*12,"",EDATE(StartMonth,$A65-1))</f>
        <v/>
      </c>
      <c r="C65" s="33">
        <f>IF($A65&gt;NYears*12,"",INT(($A65-1)/12)+1)</f>
        <v/>
      </c>
      <c r="D65" s="33">
        <f>IF($A65&gt;NYears*12,"",MOD($A65-1,12)+1)</f>
        <v/>
      </c>
      <c r="E65" s="35">
        <f>IF($A65&gt;NYears*12,"",LotValue0*(1+LotGrowth)^($C65-1))</f>
        <v/>
      </c>
      <c r="F65" s="35">
        <f>IF($A65&gt;NYears*12,"",IF($A65=1,InitInvest,$R64))</f>
        <v/>
      </c>
      <c r="G65" s="33">
        <f>IF($A65&gt;NYears*12,"",INT($F65/$E65))</f>
        <v/>
      </c>
      <c r="H65" s="35">
        <f>IF($A65&gt;NYears*12,"",$G65*$E65)</f>
        <v/>
      </c>
      <c r="I65" s="35">
        <f>IF($A65&gt;NYears*12,"",$F65-$H65)</f>
        <v/>
      </c>
      <c r="J65" s="35">
        <f>IF($A65&gt;NYears*12,"",$H65*RateD)</f>
        <v/>
      </c>
      <c r="K65" s="35">
        <f>IF($A65&gt;NYears*12,"",IF($D65=1,$J65,$K64+$J65))</f>
        <v/>
      </c>
      <c r="L65" s="35">
        <f>IF($A65&gt;NYears*12,"",IF(MOD($D65,3)=0,SUM($J63:$J65),0))</f>
        <v/>
      </c>
      <c r="M65" s="35">
        <f>IF($A65&gt;NYears*12,"",IF(TaxFreq="Quarterly",$K65*12/$D65,$K65))</f>
        <v/>
      </c>
      <c r="N65" s="36">
        <f>IF($A65&gt;NYears*12,"",LOOKUP($M65,TaxLower,TaxRate))</f>
        <v/>
      </c>
      <c r="O65" s="35">
        <f>IF($A65&gt;NYears*12,"",IF(TaxFreq="Quarterly",IF(MOD($D65,3)=0,$L65*$N65,0),IF($D65=12,$K65*$N65,0)))</f>
        <v/>
      </c>
      <c r="P65" s="35">
        <f>IF($A65&gt;NYears*12,"",IF($D65=1,$O65,$P64+$O65))</f>
        <v/>
      </c>
      <c r="Q65" s="35">
        <f>IF($A65&gt;NYears*12,"",IF($D65=12,MIN(WdrPct*IF(WdrBase="Post-tax profit",$K65-$P65,$K65),WdrCap),0))</f>
        <v/>
      </c>
      <c r="R65" s="35">
        <f>IF($A65&gt;NYears*12,"",$F65+$J65-$O65-$Q65)</f>
        <v/>
      </c>
      <c r="S65" s="33">
        <f>IF($A65&gt;NYears*12,"",INT($R65/$E65))</f>
        <v/>
      </c>
    </row>
    <row r="66">
      <c r="A66" s="33">
        <f>62</f>
        <v/>
      </c>
      <c r="B66" s="34">
        <f>IF($A66&gt;NYears*12,"",EDATE(StartMonth,$A66-1))</f>
        <v/>
      </c>
      <c r="C66" s="33">
        <f>IF($A66&gt;NYears*12,"",INT(($A66-1)/12)+1)</f>
        <v/>
      </c>
      <c r="D66" s="33">
        <f>IF($A66&gt;NYears*12,"",MOD($A66-1,12)+1)</f>
        <v/>
      </c>
      <c r="E66" s="35">
        <f>IF($A66&gt;NYears*12,"",LotValue0*(1+LotGrowth)^($C66-1))</f>
        <v/>
      </c>
      <c r="F66" s="35">
        <f>IF($A66&gt;NYears*12,"",IF($A66=1,InitInvest,$R65))</f>
        <v/>
      </c>
      <c r="G66" s="33">
        <f>IF($A66&gt;NYears*12,"",INT($F66/$E66))</f>
        <v/>
      </c>
      <c r="H66" s="35">
        <f>IF($A66&gt;NYears*12,"",$G66*$E66)</f>
        <v/>
      </c>
      <c r="I66" s="35">
        <f>IF($A66&gt;NYears*12,"",$F66-$H66)</f>
        <v/>
      </c>
      <c r="J66" s="35">
        <f>IF($A66&gt;NYears*12,"",$H66*RateD)</f>
        <v/>
      </c>
      <c r="K66" s="35">
        <f>IF($A66&gt;NYears*12,"",IF($D66=1,$J66,$K65+$J66))</f>
        <v/>
      </c>
      <c r="L66" s="35">
        <f>IF($A66&gt;NYears*12,"",IF(MOD($D66,3)=0,SUM($J64:$J66),0))</f>
        <v/>
      </c>
      <c r="M66" s="35">
        <f>IF($A66&gt;NYears*12,"",IF(TaxFreq="Quarterly",$K66*12/$D66,$K66))</f>
        <v/>
      </c>
      <c r="N66" s="36">
        <f>IF($A66&gt;NYears*12,"",LOOKUP($M66,TaxLower,TaxRate))</f>
        <v/>
      </c>
      <c r="O66" s="35">
        <f>IF($A66&gt;NYears*12,"",IF(TaxFreq="Quarterly",IF(MOD($D66,3)=0,$L66*$N66,0),IF($D66=12,$K66*$N66,0)))</f>
        <v/>
      </c>
      <c r="P66" s="35">
        <f>IF($A66&gt;NYears*12,"",IF($D66=1,$O66,$P65+$O66))</f>
        <v/>
      </c>
      <c r="Q66" s="35">
        <f>IF($A66&gt;NYears*12,"",IF($D66=12,MIN(WdrPct*IF(WdrBase="Post-tax profit",$K66-$P66,$K66),WdrCap),0))</f>
        <v/>
      </c>
      <c r="R66" s="35">
        <f>IF($A66&gt;NYears*12,"",$F66+$J66-$O66-$Q66)</f>
        <v/>
      </c>
      <c r="S66" s="33">
        <f>IF($A66&gt;NYears*12,"",INT($R66/$E66))</f>
        <v/>
      </c>
    </row>
    <row r="67">
      <c r="A67" s="33">
        <f>63</f>
        <v/>
      </c>
      <c r="B67" s="34">
        <f>IF($A67&gt;NYears*12,"",EDATE(StartMonth,$A67-1))</f>
        <v/>
      </c>
      <c r="C67" s="33">
        <f>IF($A67&gt;NYears*12,"",INT(($A67-1)/12)+1)</f>
        <v/>
      </c>
      <c r="D67" s="33">
        <f>IF($A67&gt;NYears*12,"",MOD($A67-1,12)+1)</f>
        <v/>
      </c>
      <c r="E67" s="35">
        <f>IF($A67&gt;NYears*12,"",LotValue0*(1+LotGrowth)^($C67-1))</f>
        <v/>
      </c>
      <c r="F67" s="35">
        <f>IF($A67&gt;NYears*12,"",IF($A67=1,InitInvest,$R66))</f>
        <v/>
      </c>
      <c r="G67" s="33">
        <f>IF($A67&gt;NYears*12,"",INT($F67/$E67))</f>
        <v/>
      </c>
      <c r="H67" s="35">
        <f>IF($A67&gt;NYears*12,"",$G67*$E67)</f>
        <v/>
      </c>
      <c r="I67" s="35">
        <f>IF($A67&gt;NYears*12,"",$F67-$H67)</f>
        <v/>
      </c>
      <c r="J67" s="35">
        <f>IF($A67&gt;NYears*12,"",$H67*RateD)</f>
        <v/>
      </c>
      <c r="K67" s="35">
        <f>IF($A67&gt;NYears*12,"",IF($D67=1,$J67,$K66+$J67))</f>
        <v/>
      </c>
      <c r="L67" s="35">
        <f>IF($A67&gt;NYears*12,"",IF(MOD($D67,3)=0,SUM($J65:$J67),0))</f>
        <v/>
      </c>
      <c r="M67" s="35">
        <f>IF($A67&gt;NYears*12,"",IF(TaxFreq="Quarterly",$K67*12/$D67,$K67))</f>
        <v/>
      </c>
      <c r="N67" s="36">
        <f>IF($A67&gt;NYears*12,"",LOOKUP($M67,TaxLower,TaxRate))</f>
        <v/>
      </c>
      <c r="O67" s="35">
        <f>IF($A67&gt;NYears*12,"",IF(TaxFreq="Quarterly",IF(MOD($D67,3)=0,$L67*$N67,0),IF($D67=12,$K67*$N67,0)))</f>
        <v/>
      </c>
      <c r="P67" s="35">
        <f>IF($A67&gt;NYears*12,"",IF($D67=1,$O67,$P66+$O67))</f>
        <v/>
      </c>
      <c r="Q67" s="35">
        <f>IF($A67&gt;NYears*12,"",IF($D67=12,MIN(WdrPct*IF(WdrBase="Post-tax profit",$K67-$P67,$K67),WdrCap),0))</f>
        <v/>
      </c>
      <c r="R67" s="35">
        <f>IF($A67&gt;NYears*12,"",$F67+$J67-$O67-$Q67)</f>
        <v/>
      </c>
      <c r="S67" s="33">
        <f>IF($A67&gt;NYears*12,"",INT($R67/$E67))</f>
        <v/>
      </c>
    </row>
    <row r="68">
      <c r="A68" s="33">
        <f>64</f>
        <v/>
      </c>
      <c r="B68" s="34">
        <f>IF($A68&gt;NYears*12,"",EDATE(StartMonth,$A68-1))</f>
        <v/>
      </c>
      <c r="C68" s="33">
        <f>IF($A68&gt;NYears*12,"",INT(($A68-1)/12)+1)</f>
        <v/>
      </c>
      <c r="D68" s="33">
        <f>IF($A68&gt;NYears*12,"",MOD($A68-1,12)+1)</f>
        <v/>
      </c>
      <c r="E68" s="35">
        <f>IF($A68&gt;NYears*12,"",LotValue0*(1+LotGrowth)^($C68-1))</f>
        <v/>
      </c>
      <c r="F68" s="35">
        <f>IF($A68&gt;NYears*12,"",IF($A68=1,InitInvest,$R67))</f>
        <v/>
      </c>
      <c r="G68" s="33">
        <f>IF($A68&gt;NYears*12,"",INT($F68/$E68))</f>
        <v/>
      </c>
      <c r="H68" s="35">
        <f>IF($A68&gt;NYears*12,"",$G68*$E68)</f>
        <v/>
      </c>
      <c r="I68" s="35">
        <f>IF($A68&gt;NYears*12,"",$F68-$H68)</f>
        <v/>
      </c>
      <c r="J68" s="35">
        <f>IF($A68&gt;NYears*12,"",$H68*RateD)</f>
        <v/>
      </c>
      <c r="K68" s="35">
        <f>IF($A68&gt;NYears*12,"",IF($D68=1,$J68,$K67+$J68))</f>
        <v/>
      </c>
      <c r="L68" s="35">
        <f>IF($A68&gt;NYears*12,"",IF(MOD($D68,3)=0,SUM($J66:$J68),0))</f>
        <v/>
      </c>
      <c r="M68" s="35">
        <f>IF($A68&gt;NYears*12,"",IF(TaxFreq="Quarterly",$K68*12/$D68,$K68))</f>
        <v/>
      </c>
      <c r="N68" s="36">
        <f>IF($A68&gt;NYears*12,"",LOOKUP($M68,TaxLower,TaxRate))</f>
        <v/>
      </c>
      <c r="O68" s="35">
        <f>IF($A68&gt;NYears*12,"",IF(TaxFreq="Quarterly",IF(MOD($D68,3)=0,$L68*$N68,0),IF($D68=12,$K68*$N68,0)))</f>
        <v/>
      </c>
      <c r="P68" s="35">
        <f>IF($A68&gt;NYears*12,"",IF($D68=1,$O68,$P67+$O68))</f>
        <v/>
      </c>
      <c r="Q68" s="35">
        <f>IF($A68&gt;NYears*12,"",IF($D68=12,MIN(WdrPct*IF(WdrBase="Post-tax profit",$K68-$P68,$K68),WdrCap),0))</f>
        <v/>
      </c>
      <c r="R68" s="35">
        <f>IF($A68&gt;NYears*12,"",$F68+$J68-$O68-$Q68)</f>
        <v/>
      </c>
      <c r="S68" s="33">
        <f>IF($A68&gt;NYears*12,"",INT($R68/$E68))</f>
        <v/>
      </c>
    </row>
    <row r="69">
      <c r="A69" s="33">
        <f>65</f>
        <v/>
      </c>
      <c r="B69" s="34">
        <f>IF($A69&gt;NYears*12,"",EDATE(StartMonth,$A69-1))</f>
        <v/>
      </c>
      <c r="C69" s="33">
        <f>IF($A69&gt;NYears*12,"",INT(($A69-1)/12)+1)</f>
        <v/>
      </c>
      <c r="D69" s="33">
        <f>IF($A69&gt;NYears*12,"",MOD($A69-1,12)+1)</f>
        <v/>
      </c>
      <c r="E69" s="35">
        <f>IF($A69&gt;NYears*12,"",LotValue0*(1+LotGrowth)^($C69-1))</f>
        <v/>
      </c>
      <c r="F69" s="35">
        <f>IF($A69&gt;NYears*12,"",IF($A69=1,InitInvest,$R68))</f>
        <v/>
      </c>
      <c r="G69" s="33">
        <f>IF($A69&gt;NYears*12,"",INT($F69/$E69))</f>
        <v/>
      </c>
      <c r="H69" s="35">
        <f>IF($A69&gt;NYears*12,"",$G69*$E69)</f>
        <v/>
      </c>
      <c r="I69" s="35">
        <f>IF($A69&gt;NYears*12,"",$F69-$H69)</f>
        <v/>
      </c>
      <c r="J69" s="35">
        <f>IF($A69&gt;NYears*12,"",$H69*RateD)</f>
        <v/>
      </c>
      <c r="K69" s="35">
        <f>IF($A69&gt;NYears*12,"",IF($D69=1,$J69,$K68+$J69))</f>
        <v/>
      </c>
      <c r="L69" s="35">
        <f>IF($A69&gt;NYears*12,"",IF(MOD($D69,3)=0,SUM($J67:$J69),0))</f>
        <v/>
      </c>
      <c r="M69" s="35">
        <f>IF($A69&gt;NYears*12,"",IF(TaxFreq="Quarterly",$K69*12/$D69,$K69))</f>
        <v/>
      </c>
      <c r="N69" s="36">
        <f>IF($A69&gt;NYears*12,"",LOOKUP($M69,TaxLower,TaxRate))</f>
        <v/>
      </c>
      <c r="O69" s="35">
        <f>IF($A69&gt;NYears*12,"",IF(TaxFreq="Quarterly",IF(MOD($D69,3)=0,$L69*$N69,0),IF($D69=12,$K69*$N69,0)))</f>
        <v/>
      </c>
      <c r="P69" s="35">
        <f>IF($A69&gt;NYears*12,"",IF($D69=1,$O69,$P68+$O69))</f>
        <v/>
      </c>
      <c r="Q69" s="35">
        <f>IF($A69&gt;NYears*12,"",IF($D69=12,MIN(WdrPct*IF(WdrBase="Post-tax profit",$K69-$P69,$K69),WdrCap),0))</f>
        <v/>
      </c>
      <c r="R69" s="35">
        <f>IF($A69&gt;NYears*12,"",$F69+$J69-$O69-$Q69)</f>
        <v/>
      </c>
      <c r="S69" s="33">
        <f>IF($A69&gt;NYears*12,"",INT($R69/$E69))</f>
        <v/>
      </c>
    </row>
    <row r="70">
      <c r="A70" s="33">
        <f>66</f>
        <v/>
      </c>
      <c r="B70" s="34">
        <f>IF($A70&gt;NYears*12,"",EDATE(StartMonth,$A70-1))</f>
        <v/>
      </c>
      <c r="C70" s="33">
        <f>IF($A70&gt;NYears*12,"",INT(($A70-1)/12)+1)</f>
        <v/>
      </c>
      <c r="D70" s="33">
        <f>IF($A70&gt;NYears*12,"",MOD($A70-1,12)+1)</f>
        <v/>
      </c>
      <c r="E70" s="35">
        <f>IF($A70&gt;NYears*12,"",LotValue0*(1+LotGrowth)^($C70-1))</f>
        <v/>
      </c>
      <c r="F70" s="35">
        <f>IF($A70&gt;NYears*12,"",IF($A70=1,InitInvest,$R69))</f>
        <v/>
      </c>
      <c r="G70" s="33">
        <f>IF($A70&gt;NYears*12,"",INT($F70/$E70))</f>
        <v/>
      </c>
      <c r="H70" s="35">
        <f>IF($A70&gt;NYears*12,"",$G70*$E70)</f>
        <v/>
      </c>
      <c r="I70" s="35">
        <f>IF($A70&gt;NYears*12,"",$F70-$H70)</f>
        <v/>
      </c>
      <c r="J70" s="35">
        <f>IF($A70&gt;NYears*12,"",$H70*RateD)</f>
        <v/>
      </c>
      <c r="K70" s="35">
        <f>IF($A70&gt;NYears*12,"",IF($D70=1,$J70,$K69+$J70))</f>
        <v/>
      </c>
      <c r="L70" s="35">
        <f>IF($A70&gt;NYears*12,"",IF(MOD($D70,3)=0,SUM($J68:$J70),0))</f>
        <v/>
      </c>
      <c r="M70" s="35">
        <f>IF($A70&gt;NYears*12,"",IF(TaxFreq="Quarterly",$K70*12/$D70,$K70))</f>
        <v/>
      </c>
      <c r="N70" s="36">
        <f>IF($A70&gt;NYears*12,"",LOOKUP($M70,TaxLower,TaxRate))</f>
        <v/>
      </c>
      <c r="O70" s="35">
        <f>IF($A70&gt;NYears*12,"",IF(TaxFreq="Quarterly",IF(MOD($D70,3)=0,$L70*$N70,0),IF($D70=12,$K70*$N70,0)))</f>
        <v/>
      </c>
      <c r="P70" s="35">
        <f>IF($A70&gt;NYears*12,"",IF($D70=1,$O70,$P69+$O70))</f>
        <v/>
      </c>
      <c r="Q70" s="35">
        <f>IF($A70&gt;NYears*12,"",IF($D70=12,MIN(WdrPct*IF(WdrBase="Post-tax profit",$K70-$P70,$K70),WdrCap),0))</f>
        <v/>
      </c>
      <c r="R70" s="35">
        <f>IF($A70&gt;NYears*12,"",$F70+$J70-$O70-$Q70)</f>
        <v/>
      </c>
      <c r="S70" s="33">
        <f>IF($A70&gt;NYears*12,"",INT($R70/$E70))</f>
        <v/>
      </c>
    </row>
    <row r="71">
      <c r="A71" s="33">
        <f>67</f>
        <v/>
      </c>
      <c r="B71" s="34">
        <f>IF($A71&gt;NYears*12,"",EDATE(StartMonth,$A71-1))</f>
        <v/>
      </c>
      <c r="C71" s="33">
        <f>IF($A71&gt;NYears*12,"",INT(($A71-1)/12)+1)</f>
        <v/>
      </c>
      <c r="D71" s="33">
        <f>IF($A71&gt;NYears*12,"",MOD($A71-1,12)+1)</f>
        <v/>
      </c>
      <c r="E71" s="35">
        <f>IF($A71&gt;NYears*12,"",LotValue0*(1+LotGrowth)^($C71-1))</f>
        <v/>
      </c>
      <c r="F71" s="35">
        <f>IF($A71&gt;NYears*12,"",IF($A71=1,InitInvest,$R70))</f>
        <v/>
      </c>
      <c r="G71" s="33">
        <f>IF($A71&gt;NYears*12,"",INT($F71/$E71))</f>
        <v/>
      </c>
      <c r="H71" s="35">
        <f>IF($A71&gt;NYears*12,"",$G71*$E71)</f>
        <v/>
      </c>
      <c r="I71" s="35">
        <f>IF($A71&gt;NYears*12,"",$F71-$H71)</f>
        <v/>
      </c>
      <c r="J71" s="35">
        <f>IF($A71&gt;NYears*12,"",$H71*RateD)</f>
        <v/>
      </c>
      <c r="K71" s="35">
        <f>IF($A71&gt;NYears*12,"",IF($D71=1,$J71,$K70+$J71))</f>
        <v/>
      </c>
      <c r="L71" s="35">
        <f>IF($A71&gt;NYears*12,"",IF(MOD($D71,3)=0,SUM($J69:$J71),0))</f>
        <v/>
      </c>
      <c r="M71" s="35">
        <f>IF($A71&gt;NYears*12,"",IF(TaxFreq="Quarterly",$K71*12/$D71,$K71))</f>
        <v/>
      </c>
      <c r="N71" s="36">
        <f>IF($A71&gt;NYears*12,"",LOOKUP($M71,TaxLower,TaxRate))</f>
        <v/>
      </c>
      <c r="O71" s="35">
        <f>IF($A71&gt;NYears*12,"",IF(TaxFreq="Quarterly",IF(MOD($D71,3)=0,$L71*$N71,0),IF($D71=12,$K71*$N71,0)))</f>
        <v/>
      </c>
      <c r="P71" s="35">
        <f>IF($A71&gt;NYears*12,"",IF($D71=1,$O71,$P70+$O71))</f>
        <v/>
      </c>
      <c r="Q71" s="35">
        <f>IF($A71&gt;NYears*12,"",IF($D71=12,MIN(WdrPct*IF(WdrBase="Post-tax profit",$K71-$P71,$K71),WdrCap),0))</f>
        <v/>
      </c>
      <c r="R71" s="35">
        <f>IF($A71&gt;NYears*12,"",$F71+$J71-$O71-$Q71)</f>
        <v/>
      </c>
      <c r="S71" s="33">
        <f>IF($A71&gt;NYears*12,"",INT($R71/$E71))</f>
        <v/>
      </c>
    </row>
    <row r="72">
      <c r="A72" s="33">
        <f>68</f>
        <v/>
      </c>
      <c r="B72" s="34">
        <f>IF($A72&gt;NYears*12,"",EDATE(StartMonth,$A72-1))</f>
        <v/>
      </c>
      <c r="C72" s="33">
        <f>IF($A72&gt;NYears*12,"",INT(($A72-1)/12)+1)</f>
        <v/>
      </c>
      <c r="D72" s="33">
        <f>IF($A72&gt;NYears*12,"",MOD($A72-1,12)+1)</f>
        <v/>
      </c>
      <c r="E72" s="35">
        <f>IF($A72&gt;NYears*12,"",LotValue0*(1+LotGrowth)^($C72-1))</f>
        <v/>
      </c>
      <c r="F72" s="35">
        <f>IF($A72&gt;NYears*12,"",IF($A72=1,InitInvest,$R71))</f>
        <v/>
      </c>
      <c r="G72" s="33">
        <f>IF($A72&gt;NYears*12,"",INT($F72/$E72))</f>
        <v/>
      </c>
      <c r="H72" s="35">
        <f>IF($A72&gt;NYears*12,"",$G72*$E72)</f>
        <v/>
      </c>
      <c r="I72" s="35">
        <f>IF($A72&gt;NYears*12,"",$F72-$H72)</f>
        <v/>
      </c>
      <c r="J72" s="35">
        <f>IF($A72&gt;NYears*12,"",$H72*RateD)</f>
        <v/>
      </c>
      <c r="K72" s="35">
        <f>IF($A72&gt;NYears*12,"",IF($D72=1,$J72,$K71+$J72))</f>
        <v/>
      </c>
      <c r="L72" s="35">
        <f>IF($A72&gt;NYears*12,"",IF(MOD($D72,3)=0,SUM($J70:$J72),0))</f>
        <v/>
      </c>
      <c r="M72" s="35">
        <f>IF($A72&gt;NYears*12,"",IF(TaxFreq="Quarterly",$K72*12/$D72,$K72))</f>
        <v/>
      </c>
      <c r="N72" s="36">
        <f>IF($A72&gt;NYears*12,"",LOOKUP($M72,TaxLower,TaxRate))</f>
        <v/>
      </c>
      <c r="O72" s="35">
        <f>IF($A72&gt;NYears*12,"",IF(TaxFreq="Quarterly",IF(MOD($D72,3)=0,$L72*$N72,0),IF($D72=12,$K72*$N72,0)))</f>
        <v/>
      </c>
      <c r="P72" s="35">
        <f>IF($A72&gt;NYears*12,"",IF($D72=1,$O72,$P71+$O72))</f>
        <v/>
      </c>
      <c r="Q72" s="35">
        <f>IF($A72&gt;NYears*12,"",IF($D72=12,MIN(WdrPct*IF(WdrBase="Post-tax profit",$K72-$P72,$K72),WdrCap),0))</f>
        <v/>
      </c>
      <c r="R72" s="35">
        <f>IF($A72&gt;NYears*12,"",$F72+$J72-$O72-$Q72)</f>
        <v/>
      </c>
      <c r="S72" s="33">
        <f>IF($A72&gt;NYears*12,"",INT($R72/$E72))</f>
        <v/>
      </c>
    </row>
    <row r="73">
      <c r="A73" s="33">
        <f>69</f>
        <v/>
      </c>
      <c r="B73" s="34">
        <f>IF($A73&gt;NYears*12,"",EDATE(StartMonth,$A73-1))</f>
        <v/>
      </c>
      <c r="C73" s="33">
        <f>IF($A73&gt;NYears*12,"",INT(($A73-1)/12)+1)</f>
        <v/>
      </c>
      <c r="D73" s="33">
        <f>IF($A73&gt;NYears*12,"",MOD($A73-1,12)+1)</f>
        <v/>
      </c>
      <c r="E73" s="35">
        <f>IF($A73&gt;NYears*12,"",LotValue0*(1+LotGrowth)^($C73-1))</f>
        <v/>
      </c>
      <c r="F73" s="35">
        <f>IF($A73&gt;NYears*12,"",IF($A73=1,InitInvest,$R72))</f>
        <v/>
      </c>
      <c r="G73" s="33">
        <f>IF($A73&gt;NYears*12,"",INT($F73/$E73))</f>
        <v/>
      </c>
      <c r="H73" s="35">
        <f>IF($A73&gt;NYears*12,"",$G73*$E73)</f>
        <v/>
      </c>
      <c r="I73" s="35">
        <f>IF($A73&gt;NYears*12,"",$F73-$H73)</f>
        <v/>
      </c>
      <c r="J73" s="35">
        <f>IF($A73&gt;NYears*12,"",$H73*RateD)</f>
        <v/>
      </c>
      <c r="K73" s="35">
        <f>IF($A73&gt;NYears*12,"",IF($D73=1,$J73,$K72+$J73))</f>
        <v/>
      </c>
      <c r="L73" s="35">
        <f>IF($A73&gt;NYears*12,"",IF(MOD($D73,3)=0,SUM($J71:$J73),0))</f>
        <v/>
      </c>
      <c r="M73" s="35">
        <f>IF($A73&gt;NYears*12,"",IF(TaxFreq="Quarterly",$K73*12/$D73,$K73))</f>
        <v/>
      </c>
      <c r="N73" s="36">
        <f>IF($A73&gt;NYears*12,"",LOOKUP($M73,TaxLower,TaxRate))</f>
        <v/>
      </c>
      <c r="O73" s="35">
        <f>IF($A73&gt;NYears*12,"",IF(TaxFreq="Quarterly",IF(MOD($D73,3)=0,$L73*$N73,0),IF($D73=12,$K73*$N73,0)))</f>
        <v/>
      </c>
      <c r="P73" s="35">
        <f>IF($A73&gt;NYears*12,"",IF($D73=1,$O73,$P72+$O73))</f>
        <v/>
      </c>
      <c r="Q73" s="35">
        <f>IF($A73&gt;NYears*12,"",IF($D73=12,MIN(WdrPct*IF(WdrBase="Post-tax profit",$K73-$P73,$K73),WdrCap),0))</f>
        <v/>
      </c>
      <c r="R73" s="35">
        <f>IF($A73&gt;NYears*12,"",$F73+$J73-$O73-$Q73)</f>
        <v/>
      </c>
      <c r="S73" s="33">
        <f>IF($A73&gt;NYears*12,"",INT($R73/$E73))</f>
        <v/>
      </c>
    </row>
    <row r="74">
      <c r="A74" s="33">
        <f>70</f>
        <v/>
      </c>
      <c r="B74" s="34">
        <f>IF($A74&gt;NYears*12,"",EDATE(StartMonth,$A74-1))</f>
        <v/>
      </c>
      <c r="C74" s="33">
        <f>IF($A74&gt;NYears*12,"",INT(($A74-1)/12)+1)</f>
        <v/>
      </c>
      <c r="D74" s="33">
        <f>IF($A74&gt;NYears*12,"",MOD($A74-1,12)+1)</f>
        <v/>
      </c>
      <c r="E74" s="35">
        <f>IF($A74&gt;NYears*12,"",LotValue0*(1+LotGrowth)^($C74-1))</f>
        <v/>
      </c>
      <c r="F74" s="35">
        <f>IF($A74&gt;NYears*12,"",IF($A74=1,InitInvest,$R73))</f>
        <v/>
      </c>
      <c r="G74" s="33">
        <f>IF($A74&gt;NYears*12,"",INT($F74/$E74))</f>
        <v/>
      </c>
      <c r="H74" s="35">
        <f>IF($A74&gt;NYears*12,"",$G74*$E74)</f>
        <v/>
      </c>
      <c r="I74" s="35">
        <f>IF($A74&gt;NYears*12,"",$F74-$H74)</f>
        <v/>
      </c>
      <c r="J74" s="35">
        <f>IF($A74&gt;NYears*12,"",$H74*RateD)</f>
        <v/>
      </c>
      <c r="K74" s="35">
        <f>IF($A74&gt;NYears*12,"",IF($D74=1,$J74,$K73+$J74))</f>
        <v/>
      </c>
      <c r="L74" s="35">
        <f>IF($A74&gt;NYears*12,"",IF(MOD($D74,3)=0,SUM($J72:$J74),0))</f>
        <v/>
      </c>
      <c r="M74" s="35">
        <f>IF($A74&gt;NYears*12,"",IF(TaxFreq="Quarterly",$K74*12/$D74,$K74))</f>
        <v/>
      </c>
      <c r="N74" s="36">
        <f>IF($A74&gt;NYears*12,"",LOOKUP($M74,TaxLower,TaxRate))</f>
        <v/>
      </c>
      <c r="O74" s="35">
        <f>IF($A74&gt;NYears*12,"",IF(TaxFreq="Quarterly",IF(MOD($D74,3)=0,$L74*$N74,0),IF($D74=12,$K74*$N74,0)))</f>
        <v/>
      </c>
      <c r="P74" s="35">
        <f>IF($A74&gt;NYears*12,"",IF($D74=1,$O74,$P73+$O74))</f>
        <v/>
      </c>
      <c r="Q74" s="35">
        <f>IF($A74&gt;NYears*12,"",IF($D74=12,MIN(WdrPct*IF(WdrBase="Post-tax profit",$K74-$P74,$K74),WdrCap),0))</f>
        <v/>
      </c>
      <c r="R74" s="35">
        <f>IF($A74&gt;NYears*12,"",$F74+$J74-$O74-$Q74)</f>
        <v/>
      </c>
      <c r="S74" s="33">
        <f>IF($A74&gt;NYears*12,"",INT($R74/$E74))</f>
        <v/>
      </c>
    </row>
    <row r="75">
      <c r="A75" s="33">
        <f>71</f>
        <v/>
      </c>
      <c r="B75" s="34">
        <f>IF($A75&gt;NYears*12,"",EDATE(StartMonth,$A75-1))</f>
        <v/>
      </c>
      <c r="C75" s="33">
        <f>IF($A75&gt;NYears*12,"",INT(($A75-1)/12)+1)</f>
        <v/>
      </c>
      <c r="D75" s="33">
        <f>IF($A75&gt;NYears*12,"",MOD($A75-1,12)+1)</f>
        <v/>
      </c>
      <c r="E75" s="35">
        <f>IF($A75&gt;NYears*12,"",LotValue0*(1+LotGrowth)^($C75-1))</f>
        <v/>
      </c>
      <c r="F75" s="35">
        <f>IF($A75&gt;NYears*12,"",IF($A75=1,InitInvest,$R74))</f>
        <v/>
      </c>
      <c r="G75" s="33">
        <f>IF($A75&gt;NYears*12,"",INT($F75/$E75))</f>
        <v/>
      </c>
      <c r="H75" s="35">
        <f>IF($A75&gt;NYears*12,"",$G75*$E75)</f>
        <v/>
      </c>
      <c r="I75" s="35">
        <f>IF($A75&gt;NYears*12,"",$F75-$H75)</f>
        <v/>
      </c>
      <c r="J75" s="35">
        <f>IF($A75&gt;NYears*12,"",$H75*RateD)</f>
        <v/>
      </c>
      <c r="K75" s="35">
        <f>IF($A75&gt;NYears*12,"",IF($D75=1,$J75,$K74+$J75))</f>
        <v/>
      </c>
      <c r="L75" s="35">
        <f>IF($A75&gt;NYears*12,"",IF(MOD($D75,3)=0,SUM($J73:$J75),0))</f>
        <v/>
      </c>
      <c r="M75" s="35">
        <f>IF($A75&gt;NYears*12,"",IF(TaxFreq="Quarterly",$K75*12/$D75,$K75))</f>
        <v/>
      </c>
      <c r="N75" s="36">
        <f>IF($A75&gt;NYears*12,"",LOOKUP($M75,TaxLower,TaxRate))</f>
        <v/>
      </c>
      <c r="O75" s="35">
        <f>IF($A75&gt;NYears*12,"",IF(TaxFreq="Quarterly",IF(MOD($D75,3)=0,$L75*$N75,0),IF($D75=12,$K75*$N75,0)))</f>
        <v/>
      </c>
      <c r="P75" s="35">
        <f>IF($A75&gt;NYears*12,"",IF($D75=1,$O75,$P74+$O75))</f>
        <v/>
      </c>
      <c r="Q75" s="35">
        <f>IF($A75&gt;NYears*12,"",IF($D75=12,MIN(WdrPct*IF(WdrBase="Post-tax profit",$K75-$P75,$K75),WdrCap),0))</f>
        <v/>
      </c>
      <c r="R75" s="35">
        <f>IF($A75&gt;NYears*12,"",$F75+$J75-$O75-$Q75)</f>
        <v/>
      </c>
      <c r="S75" s="33">
        <f>IF($A75&gt;NYears*12,"",INT($R75/$E75))</f>
        <v/>
      </c>
    </row>
    <row r="76">
      <c r="A76" s="37">
        <f>72</f>
        <v/>
      </c>
      <c r="B76" s="38">
        <f>IF($A76&gt;NYears*12,"",EDATE(StartMonth,$A76-1))</f>
        <v/>
      </c>
      <c r="C76" s="37">
        <f>IF($A76&gt;NYears*12,"",INT(($A76-1)/12)+1)</f>
        <v/>
      </c>
      <c r="D76" s="37">
        <f>IF($A76&gt;NYears*12,"",MOD($A76-1,12)+1)</f>
        <v/>
      </c>
      <c r="E76" s="39">
        <f>IF($A76&gt;NYears*12,"",LotValue0*(1+LotGrowth)^($C76-1))</f>
        <v/>
      </c>
      <c r="F76" s="39">
        <f>IF($A76&gt;NYears*12,"",IF($A76=1,InitInvest,$R75))</f>
        <v/>
      </c>
      <c r="G76" s="37">
        <f>IF($A76&gt;NYears*12,"",INT($F76/$E76))</f>
        <v/>
      </c>
      <c r="H76" s="39">
        <f>IF($A76&gt;NYears*12,"",$G76*$E76)</f>
        <v/>
      </c>
      <c r="I76" s="39">
        <f>IF($A76&gt;NYears*12,"",$F76-$H76)</f>
        <v/>
      </c>
      <c r="J76" s="39">
        <f>IF($A76&gt;NYears*12,"",$H76*RateD)</f>
        <v/>
      </c>
      <c r="K76" s="39">
        <f>IF($A76&gt;NYears*12,"",IF($D76=1,$J76,$K75+$J76))</f>
        <v/>
      </c>
      <c r="L76" s="39">
        <f>IF($A76&gt;NYears*12,"",IF(MOD($D76,3)=0,SUM($J74:$J76),0))</f>
        <v/>
      </c>
      <c r="M76" s="39">
        <f>IF($A76&gt;NYears*12,"",IF(TaxFreq="Quarterly",$K76*12/$D76,$K76))</f>
        <v/>
      </c>
      <c r="N76" s="40">
        <f>IF($A76&gt;NYears*12,"",LOOKUP($M76,TaxLower,TaxRate))</f>
        <v/>
      </c>
      <c r="O76" s="39">
        <f>IF($A76&gt;NYears*12,"",IF(TaxFreq="Quarterly",IF(MOD($D76,3)=0,$L76*$N76,0),IF($D76=12,$K76*$N76,0)))</f>
        <v/>
      </c>
      <c r="P76" s="39">
        <f>IF($A76&gt;NYears*12,"",IF($D76=1,$O76,$P75+$O76))</f>
        <v/>
      </c>
      <c r="Q76" s="39">
        <f>IF($A76&gt;NYears*12,"",IF($D76=12,MIN(WdrPct*IF(WdrBase="Post-tax profit",$K76-$P76,$K76),WdrCap),0))</f>
        <v/>
      </c>
      <c r="R76" s="39">
        <f>IF($A76&gt;NYears*12,"",$F76+$J76-$O76-$Q76)</f>
        <v/>
      </c>
      <c r="S76" s="37">
        <f>IF($A76&gt;NYears*12,"",INT($R76/$E76))</f>
        <v/>
      </c>
    </row>
    <row r="77">
      <c r="A77" s="33">
        <f>73</f>
        <v/>
      </c>
      <c r="B77" s="34">
        <f>IF($A77&gt;NYears*12,"",EDATE(StartMonth,$A77-1))</f>
        <v/>
      </c>
      <c r="C77" s="33">
        <f>IF($A77&gt;NYears*12,"",INT(($A77-1)/12)+1)</f>
        <v/>
      </c>
      <c r="D77" s="33">
        <f>IF($A77&gt;NYears*12,"",MOD($A77-1,12)+1)</f>
        <v/>
      </c>
      <c r="E77" s="35">
        <f>IF($A77&gt;NYears*12,"",LotValue0*(1+LotGrowth)^($C77-1))</f>
        <v/>
      </c>
      <c r="F77" s="35">
        <f>IF($A77&gt;NYears*12,"",IF($A77=1,InitInvest,$R76))</f>
        <v/>
      </c>
      <c r="G77" s="33">
        <f>IF($A77&gt;NYears*12,"",INT($F77/$E77))</f>
        <v/>
      </c>
      <c r="H77" s="35">
        <f>IF($A77&gt;NYears*12,"",$G77*$E77)</f>
        <v/>
      </c>
      <c r="I77" s="35">
        <f>IF($A77&gt;NYears*12,"",$F77-$H77)</f>
        <v/>
      </c>
      <c r="J77" s="35">
        <f>IF($A77&gt;NYears*12,"",$H77*RateD)</f>
        <v/>
      </c>
      <c r="K77" s="35">
        <f>IF($A77&gt;NYears*12,"",IF($D77=1,$J77,$K76+$J77))</f>
        <v/>
      </c>
      <c r="L77" s="35">
        <f>IF($A77&gt;NYears*12,"",IF(MOD($D77,3)=0,SUM($J75:$J77),0))</f>
        <v/>
      </c>
      <c r="M77" s="35">
        <f>IF($A77&gt;NYears*12,"",IF(TaxFreq="Quarterly",$K77*12/$D77,$K77))</f>
        <v/>
      </c>
      <c r="N77" s="36">
        <f>IF($A77&gt;NYears*12,"",LOOKUP($M77,TaxLower,TaxRate))</f>
        <v/>
      </c>
      <c r="O77" s="35">
        <f>IF($A77&gt;NYears*12,"",IF(TaxFreq="Quarterly",IF(MOD($D77,3)=0,$L77*$N77,0),IF($D77=12,$K77*$N77,0)))</f>
        <v/>
      </c>
      <c r="P77" s="35">
        <f>IF($A77&gt;NYears*12,"",IF($D77=1,$O77,$P76+$O77))</f>
        <v/>
      </c>
      <c r="Q77" s="35">
        <f>IF($A77&gt;NYears*12,"",IF($D77=12,MIN(WdrPct*IF(WdrBase="Post-tax profit",$K77-$P77,$K77),WdrCap),0))</f>
        <v/>
      </c>
      <c r="R77" s="35">
        <f>IF($A77&gt;NYears*12,"",$F77+$J77-$O77-$Q77)</f>
        <v/>
      </c>
      <c r="S77" s="33">
        <f>IF($A77&gt;NYears*12,"",INT($R77/$E77))</f>
        <v/>
      </c>
    </row>
    <row r="78">
      <c r="A78" s="33">
        <f>74</f>
        <v/>
      </c>
      <c r="B78" s="34">
        <f>IF($A78&gt;NYears*12,"",EDATE(StartMonth,$A78-1))</f>
        <v/>
      </c>
      <c r="C78" s="33">
        <f>IF($A78&gt;NYears*12,"",INT(($A78-1)/12)+1)</f>
        <v/>
      </c>
      <c r="D78" s="33">
        <f>IF($A78&gt;NYears*12,"",MOD($A78-1,12)+1)</f>
        <v/>
      </c>
      <c r="E78" s="35">
        <f>IF($A78&gt;NYears*12,"",LotValue0*(1+LotGrowth)^($C78-1))</f>
        <v/>
      </c>
      <c r="F78" s="35">
        <f>IF($A78&gt;NYears*12,"",IF($A78=1,InitInvest,$R77))</f>
        <v/>
      </c>
      <c r="G78" s="33">
        <f>IF($A78&gt;NYears*12,"",INT($F78/$E78))</f>
        <v/>
      </c>
      <c r="H78" s="35">
        <f>IF($A78&gt;NYears*12,"",$G78*$E78)</f>
        <v/>
      </c>
      <c r="I78" s="35">
        <f>IF($A78&gt;NYears*12,"",$F78-$H78)</f>
        <v/>
      </c>
      <c r="J78" s="35">
        <f>IF($A78&gt;NYears*12,"",$H78*RateD)</f>
        <v/>
      </c>
      <c r="K78" s="35">
        <f>IF($A78&gt;NYears*12,"",IF($D78=1,$J78,$K77+$J78))</f>
        <v/>
      </c>
      <c r="L78" s="35">
        <f>IF($A78&gt;NYears*12,"",IF(MOD($D78,3)=0,SUM($J76:$J78),0))</f>
        <v/>
      </c>
      <c r="M78" s="35">
        <f>IF($A78&gt;NYears*12,"",IF(TaxFreq="Quarterly",$K78*12/$D78,$K78))</f>
        <v/>
      </c>
      <c r="N78" s="36">
        <f>IF($A78&gt;NYears*12,"",LOOKUP($M78,TaxLower,TaxRate))</f>
        <v/>
      </c>
      <c r="O78" s="35">
        <f>IF($A78&gt;NYears*12,"",IF(TaxFreq="Quarterly",IF(MOD($D78,3)=0,$L78*$N78,0),IF($D78=12,$K78*$N78,0)))</f>
        <v/>
      </c>
      <c r="P78" s="35">
        <f>IF($A78&gt;NYears*12,"",IF($D78=1,$O78,$P77+$O78))</f>
        <v/>
      </c>
      <c r="Q78" s="35">
        <f>IF($A78&gt;NYears*12,"",IF($D78=12,MIN(WdrPct*IF(WdrBase="Post-tax profit",$K78-$P78,$K78),WdrCap),0))</f>
        <v/>
      </c>
      <c r="R78" s="35">
        <f>IF($A78&gt;NYears*12,"",$F78+$J78-$O78-$Q78)</f>
        <v/>
      </c>
      <c r="S78" s="33">
        <f>IF($A78&gt;NYears*12,"",INT($R78/$E78))</f>
        <v/>
      </c>
    </row>
    <row r="79">
      <c r="A79" s="33">
        <f>75</f>
        <v/>
      </c>
      <c r="B79" s="34">
        <f>IF($A79&gt;NYears*12,"",EDATE(StartMonth,$A79-1))</f>
        <v/>
      </c>
      <c r="C79" s="33">
        <f>IF($A79&gt;NYears*12,"",INT(($A79-1)/12)+1)</f>
        <v/>
      </c>
      <c r="D79" s="33">
        <f>IF($A79&gt;NYears*12,"",MOD($A79-1,12)+1)</f>
        <v/>
      </c>
      <c r="E79" s="35">
        <f>IF($A79&gt;NYears*12,"",LotValue0*(1+LotGrowth)^($C79-1))</f>
        <v/>
      </c>
      <c r="F79" s="35">
        <f>IF($A79&gt;NYears*12,"",IF($A79=1,InitInvest,$R78))</f>
        <v/>
      </c>
      <c r="G79" s="33">
        <f>IF($A79&gt;NYears*12,"",INT($F79/$E79))</f>
        <v/>
      </c>
      <c r="H79" s="35">
        <f>IF($A79&gt;NYears*12,"",$G79*$E79)</f>
        <v/>
      </c>
      <c r="I79" s="35">
        <f>IF($A79&gt;NYears*12,"",$F79-$H79)</f>
        <v/>
      </c>
      <c r="J79" s="35">
        <f>IF($A79&gt;NYears*12,"",$H79*RateD)</f>
        <v/>
      </c>
      <c r="K79" s="35">
        <f>IF($A79&gt;NYears*12,"",IF($D79=1,$J79,$K78+$J79))</f>
        <v/>
      </c>
      <c r="L79" s="35">
        <f>IF($A79&gt;NYears*12,"",IF(MOD($D79,3)=0,SUM($J77:$J79),0))</f>
        <v/>
      </c>
      <c r="M79" s="35">
        <f>IF($A79&gt;NYears*12,"",IF(TaxFreq="Quarterly",$K79*12/$D79,$K79))</f>
        <v/>
      </c>
      <c r="N79" s="36">
        <f>IF($A79&gt;NYears*12,"",LOOKUP($M79,TaxLower,TaxRate))</f>
        <v/>
      </c>
      <c r="O79" s="35">
        <f>IF($A79&gt;NYears*12,"",IF(TaxFreq="Quarterly",IF(MOD($D79,3)=0,$L79*$N79,0),IF($D79=12,$K79*$N79,0)))</f>
        <v/>
      </c>
      <c r="P79" s="35">
        <f>IF($A79&gt;NYears*12,"",IF($D79=1,$O79,$P78+$O79))</f>
        <v/>
      </c>
      <c r="Q79" s="35">
        <f>IF($A79&gt;NYears*12,"",IF($D79=12,MIN(WdrPct*IF(WdrBase="Post-tax profit",$K79-$P79,$K79),WdrCap),0))</f>
        <v/>
      </c>
      <c r="R79" s="35">
        <f>IF($A79&gt;NYears*12,"",$F79+$J79-$O79-$Q79)</f>
        <v/>
      </c>
      <c r="S79" s="33">
        <f>IF($A79&gt;NYears*12,"",INT($R79/$E79))</f>
        <v/>
      </c>
    </row>
    <row r="80">
      <c r="A80" s="33">
        <f>76</f>
        <v/>
      </c>
      <c r="B80" s="34">
        <f>IF($A80&gt;NYears*12,"",EDATE(StartMonth,$A80-1))</f>
        <v/>
      </c>
      <c r="C80" s="33">
        <f>IF($A80&gt;NYears*12,"",INT(($A80-1)/12)+1)</f>
        <v/>
      </c>
      <c r="D80" s="33">
        <f>IF($A80&gt;NYears*12,"",MOD($A80-1,12)+1)</f>
        <v/>
      </c>
      <c r="E80" s="35">
        <f>IF($A80&gt;NYears*12,"",LotValue0*(1+LotGrowth)^($C80-1))</f>
        <v/>
      </c>
      <c r="F80" s="35">
        <f>IF($A80&gt;NYears*12,"",IF($A80=1,InitInvest,$R79))</f>
        <v/>
      </c>
      <c r="G80" s="33">
        <f>IF($A80&gt;NYears*12,"",INT($F80/$E80))</f>
        <v/>
      </c>
      <c r="H80" s="35">
        <f>IF($A80&gt;NYears*12,"",$G80*$E80)</f>
        <v/>
      </c>
      <c r="I80" s="35">
        <f>IF($A80&gt;NYears*12,"",$F80-$H80)</f>
        <v/>
      </c>
      <c r="J80" s="35">
        <f>IF($A80&gt;NYears*12,"",$H80*RateD)</f>
        <v/>
      </c>
      <c r="K80" s="35">
        <f>IF($A80&gt;NYears*12,"",IF($D80=1,$J80,$K79+$J80))</f>
        <v/>
      </c>
      <c r="L80" s="35">
        <f>IF($A80&gt;NYears*12,"",IF(MOD($D80,3)=0,SUM($J78:$J80),0))</f>
        <v/>
      </c>
      <c r="M80" s="35">
        <f>IF($A80&gt;NYears*12,"",IF(TaxFreq="Quarterly",$K80*12/$D80,$K80))</f>
        <v/>
      </c>
      <c r="N80" s="36">
        <f>IF($A80&gt;NYears*12,"",LOOKUP($M80,TaxLower,TaxRate))</f>
        <v/>
      </c>
      <c r="O80" s="35">
        <f>IF($A80&gt;NYears*12,"",IF(TaxFreq="Quarterly",IF(MOD($D80,3)=0,$L80*$N80,0),IF($D80=12,$K80*$N80,0)))</f>
        <v/>
      </c>
      <c r="P80" s="35">
        <f>IF($A80&gt;NYears*12,"",IF($D80=1,$O80,$P79+$O80))</f>
        <v/>
      </c>
      <c r="Q80" s="35">
        <f>IF($A80&gt;NYears*12,"",IF($D80=12,MIN(WdrPct*IF(WdrBase="Post-tax profit",$K80-$P80,$K80),WdrCap),0))</f>
        <v/>
      </c>
      <c r="R80" s="35">
        <f>IF($A80&gt;NYears*12,"",$F80+$J80-$O80-$Q80)</f>
        <v/>
      </c>
      <c r="S80" s="33">
        <f>IF($A80&gt;NYears*12,"",INT($R80/$E80))</f>
        <v/>
      </c>
    </row>
    <row r="81">
      <c r="A81" s="33">
        <f>77</f>
        <v/>
      </c>
      <c r="B81" s="34">
        <f>IF($A81&gt;NYears*12,"",EDATE(StartMonth,$A81-1))</f>
        <v/>
      </c>
      <c r="C81" s="33">
        <f>IF($A81&gt;NYears*12,"",INT(($A81-1)/12)+1)</f>
        <v/>
      </c>
      <c r="D81" s="33">
        <f>IF($A81&gt;NYears*12,"",MOD($A81-1,12)+1)</f>
        <v/>
      </c>
      <c r="E81" s="35">
        <f>IF($A81&gt;NYears*12,"",LotValue0*(1+LotGrowth)^($C81-1))</f>
        <v/>
      </c>
      <c r="F81" s="35">
        <f>IF($A81&gt;NYears*12,"",IF($A81=1,InitInvest,$R80))</f>
        <v/>
      </c>
      <c r="G81" s="33">
        <f>IF($A81&gt;NYears*12,"",INT($F81/$E81))</f>
        <v/>
      </c>
      <c r="H81" s="35">
        <f>IF($A81&gt;NYears*12,"",$G81*$E81)</f>
        <v/>
      </c>
      <c r="I81" s="35">
        <f>IF($A81&gt;NYears*12,"",$F81-$H81)</f>
        <v/>
      </c>
      <c r="J81" s="35">
        <f>IF($A81&gt;NYears*12,"",$H81*RateD)</f>
        <v/>
      </c>
      <c r="K81" s="35">
        <f>IF($A81&gt;NYears*12,"",IF($D81=1,$J81,$K80+$J81))</f>
        <v/>
      </c>
      <c r="L81" s="35">
        <f>IF($A81&gt;NYears*12,"",IF(MOD($D81,3)=0,SUM($J79:$J81),0))</f>
        <v/>
      </c>
      <c r="M81" s="35">
        <f>IF($A81&gt;NYears*12,"",IF(TaxFreq="Quarterly",$K81*12/$D81,$K81))</f>
        <v/>
      </c>
      <c r="N81" s="36">
        <f>IF($A81&gt;NYears*12,"",LOOKUP($M81,TaxLower,TaxRate))</f>
        <v/>
      </c>
      <c r="O81" s="35">
        <f>IF($A81&gt;NYears*12,"",IF(TaxFreq="Quarterly",IF(MOD($D81,3)=0,$L81*$N81,0),IF($D81=12,$K81*$N81,0)))</f>
        <v/>
      </c>
      <c r="P81" s="35">
        <f>IF($A81&gt;NYears*12,"",IF($D81=1,$O81,$P80+$O81))</f>
        <v/>
      </c>
      <c r="Q81" s="35">
        <f>IF($A81&gt;NYears*12,"",IF($D81=12,MIN(WdrPct*IF(WdrBase="Post-tax profit",$K81-$P81,$K81),WdrCap),0))</f>
        <v/>
      </c>
      <c r="R81" s="35">
        <f>IF($A81&gt;NYears*12,"",$F81+$J81-$O81-$Q81)</f>
        <v/>
      </c>
      <c r="S81" s="33">
        <f>IF($A81&gt;NYears*12,"",INT($R81/$E81))</f>
        <v/>
      </c>
    </row>
    <row r="82">
      <c r="A82" s="33">
        <f>78</f>
        <v/>
      </c>
      <c r="B82" s="34">
        <f>IF($A82&gt;NYears*12,"",EDATE(StartMonth,$A82-1))</f>
        <v/>
      </c>
      <c r="C82" s="33">
        <f>IF($A82&gt;NYears*12,"",INT(($A82-1)/12)+1)</f>
        <v/>
      </c>
      <c r="D82" s="33">
        <f>IF($A82&gt;NYears*12,"",MOD($A82-1,12)+1)</f>
        <v/>
      </c>
      <c r="E82" s="35">
        <f>IF($A82&gt;NYears*12,"",LotValue0*(1+LotGrowth)^($C82-1))</f>
        <v/>
      </c>
      <c r="F82" s="35">
        <f>IF($A82&gt;NYears*12,"",IF($A82=1,InitInvest,$R81))</f>
        <v/>
      </c>
      <c r="G82" s="33">
        <f>IF($A82&gt;NYears*12,"",INT($F82/$E82))</f>
        <v/>
      </c>
      <c r="H82" s="35">
        <f>IF($A82&gt;NYears*12,"",$G82*$E82)</f>
        <v/>
      </c>
      <c r="I82" s="35">
        <f>IF($A82&gt;NYears*12,"",$F82-$H82)</f>
        <v/>
      </c>
      <c r="J82" s="35">
        <f>IF($A82&gt;NYears*12,"",$H82*RateD)</f>
        <v/>
      </c>
      <c r="K82" s="35">
        <f>IF($A82&gt;NYears*12,"",IF($D82=1,$J82,$K81+$J82))</f>
        <v/>
      </c>
      <c r="L82" s="35">
        <f>IF($A82&gt;NYears*12,"",IF(MOD($D82,3)=0,SUM($J80:$J82),0))</f>
        <v/>
      </c>
      <c r="M82" s="35">
        <f>IF($A82&gt;NYears*12,"",IF(TaxFreq="Quarterly",$K82*12/$D82,$K82))</f>
        <v/>
      </c>
      <c r="N82" s="36">
        <f>IF($A82&gt;NYears*12,"",LOOKUP($M82,TaxLower,TaxRate))</f>
        <v/>
      </c>
      <c r="O82" s="35">
        <f>IF($A82&gt;NYears*12,"",IF(TaxFreq="Quarterly",IF(MOD($D82,3)=0,$L82*$N82,0),IF($D82=12,$K82*$N82,0)))</f>
        <v/>
      </c>
      <c r="P82" s="35">
        <f>IF($A82&gt;NYears*12,"",IF($D82=1,$O82,$P81+$O82))</f>
        <v/>
      </c>
      <c r="Q82" s="35">
        <f>IF($A82&gt;NYears*12,"",IF($D82=12,MIN(WdrPct*IF(WdrBase="Post-tax profit",$K82-$P82,$K82),WdrCap),0))</f>
        <v/>
      </c>
      <c r="R82" s="35">
        <f>IF($A82&gt;NYears*12,"",$F82+$J82-$O82-$Q82)</f>
        <v/>
      </c>
      <c r="S82" s="33">
        <f>IF($A82&gt;NYears*12,"",INT($R82/$E82))</f>
        <v/>
      </c>
    </row>
    <row r="83">
      <c r="A83" s="33">
        <f>79</f>
        <v/>
      </c>
      <c r="B83" s="34">
        <f>IF($A83&gt;NYears*12,"",EDATE(StartMonth,$A83-1))</f>
        <v/>
      </c>
      <c r="C83" s="33">
        <f>IF($A83&gt;NYears*12,"",INT(($A83-1)/12)+1)</f>
        <v/>
      </c>
      <c r="D83" s="33">
        <f>IF($A83&gt;NYears*12,"",MOD($A83-1,12)+1)</f>
        <v/>
      </c>
      <c r="E83" s="35">
        <f>IF($A83&gt;NYears*12,"",LotValue0*(1+LotGrowth)^($C83-1))</f>
        <v/>
      </c>
      <c r="F83" s="35">
        <f>IF($A83&gt;NYears*12,"",IF($A83=1,InitInvest,$R82))</f>
        <v/>
      </c>
      <c r="G83" s="33">
        <f>IF($A83&gt;NYears*12,"",INT($F83/$E83))</f>
        <v/>
      </c>
      <c r="H83" s="35">
        <f>IF($A83&gt;NYears*12,"",$G83*$E83)</f>
        <v/>
      </c>
      <c r="I83" s="35">
        <f>IF($A83&gt;NYears*12,"",$F83-$H83)</f>
        <v/>
      </c>
      <c r="J83" s="35">
        <f>IF($A83&gt;NYears*12,"",$H83*RateD)</f>
        <v/>
      </c>
      <c r="K83" s="35">
        <f>IF($A83&gt;NYears*12,"",IF($D83=1,$J83,$K82+$J83))</f>
        <v/>
      </c>
      <c r="L83" s="35">
        <f>IF($A83&gt;NYears*12,"",IF(MOD($D83,3)=0,SUM($J81:$J83),0))</f>
        <v/>
      </c>
      <c r="M83" s="35">
        <f>IF($A83&gt;NYears*12,"",IF(TaxFreq="Quarterly",$K83*12/$D83,$K83))</f>
        <v/>
      </c>
      <c r="N83" s="36">
        <f>IF($A83&gt;NYears*12,"",LOOKUP($M83,TaxLower,TaxRate))</f>
        <v/>
      </c>
      <c r="O83" s="35">
        <f>IF($A83&gt;NYears*12,"",IF(TaxFreq="Quarterly",IF(MOD($D83,3)=0,$L83*$N83,0),IF($D83=12,$K83*$N83,0)))</f>
        <v/>
      </c>
      <c r="P83" s="35">
        <f>IF($A83&gt;NYears*12,"",IF($D83=1,$O83,$P82+$O83))</f>
        <v/>
      </c>
      <c r="Q83" s="35">
        <f>IF($A83&gt;NYears*12,"",IF($D83=12,MIN(WdrPct*IF(WdrBase="Post-tax profit",$K83-$P83,$K83),WdrCap),0))</f>
        <v/>
      </c>
      <c r="R83" s="35">
        <f>IF($A83&gt;NYears*12,"",$F83+$J83-$O83-$Q83)</f>
        <v/>
      </c>
      <c r="S83" s="33">
        <f>IF($A83&gt;NYears*12,"",INT($R83/$E83))</f>
        <v/>
      </c>
    </row>
    <row r="84">
      <c r="A84" s="33">
        <f>80</f>
        <v/>
      </c>
      <c r="B84" s="34">
        <f>IF($A84&gt;NYears*12,"",EDATE(StartMonth,$A84-1))</f>
        <v/>
      </c>
      <c r="C84" s="33">
        <f>IF($A84&gt;NYears*12,"",INT(($A84-1)/12)+1)</f>
        <v/>
      </c>
      <c r="D84" s="33">
        <f>IF($A84&gt;NYears*12,"",MOD($A84-1,12)+1)</f>
        <v/>
      </c>
      <c r="E84" s="35">
        <f>IF($A84&gt;NYears*12,"",LotValue0*(1+LotGrowth)^($C84-1))</f>
        <v/>
      </c>
      <c r="F84" s="35">
        <f>IF($A84&gt;NYears*12,"",IF($A84=1,InitInvest,$R83))</f>
        <v/>
      </c>
      <c r="G84" s="33">
        <f>IF($A84&gt;NYears*12,"",INT($F84/$E84))</f>
        <v/>
      </c>
      <c r="H84" s="35">
        <f>IF($A84&gt;NYears*12,"",$G84*$E84)</f>
        <v/>
      </c>
      <c r="I84" s="35">
        <f>IF($A84&gt;NYears*12,"",$F84-$H84)</f>
        <v/>
      </c>
      <c r="J84" s="35">
        <f>IF($A84&gt;NYears*12,"",$H84*RateD)</f>
        <v/>
      </c>
      <c r="K84" s="35">
        <f>IF($A84&gt;NYears*12,"",IF($D84=1,$J84,$K83+$J84))</f>
        <v/>
      </c>
      <c r="L84" s="35">
        <f>IF($A84&gt;NYears*12,"",IF(MOD($D84,3)=0,SUM($J82:$J84),0))</f>
        <v/>
      </c>
      <c r="M84" s="35">
        <f>IF($A84&gt;NYears*12,"",IF(TaxFreq="Quarterly",$K84*12/$D84,$K84))</f>
        <v/>
      </c>
      <c r="N84" s="36">
        <f>IF($A84&gt;NYears*12,"",LOOKUP($M84,TaxLower,TaxRate))</f>
        <v/>
      </c>
      <c r="O84" s="35">
        <f>IF($A84&gt;NYears*12,"",IF(TaxFreq="Quarterly",IF(MOD($D84,3)=0,$L84*$N84,0),IF($D84=12,$K84*$N84,0)))</f>
        <v/>
      </c>
      <c r="P84" s="35">
        <f>IF($A84&gt;NYears*12,"",IF($D84=1,$O84,$P83+$O84))</f>
        <v/>
      </c>
      <c r="Q84" s="35">
        <f>IF($A84&gt;NYears*12,"",IF($D84=12,MIN(WdrPct*IF(WdrBase="Post-tax profit",$K84-$P84,$K84),WdrCap),0))</f>
        <v/>
      </c>
      <c r="R84" s="35">
        <f>IF($A84&gt;NYears*12,"",$F84+$J84-$O84-$Q84)</f>
        <v/>
      </c>
      <c r="S84" s="33">
        <f>IF($A84&gt;NYears*12,"",INT($R84/$E84))</f>
        <v/>
      </c>
    </row>
    <row r="85">
      <c r="A85" s="33">
        <f>81</f>
        <v/>
      </c>
      <c r="B85" s="34">
        <f>IF($A85&gt;NYears*12,"",EDATE(StartMonth,$A85-1))</f>
        <v/>
      </c>
      <c r="C85" s="33">
        <f>IF($A85&gt;NYears*12,"",INT(($A85-1)/12)+1)</f>
        <v/>
      </c>
      <c r="D85" s="33">
        <f>IF($A85&gt;NYears*12,"",MOD($A85-1,12)+1)</f>
        <v/>
      </c>
      <c r="E85" s="35">
        <f>IF($A85&gt;NYears*12,"",LotValue0*(1+LotGrowth)^($C85-1))</f>
        <v/>
      </c>
      <c r="F85" s="35">
        <f>IF($A85&gt;NYears*12,"",IF($A85=1,InitInvest,$R84))</f>
        <v/>
      </c>
      <c r="G85" s="33">
        <f>IF($A85&gt;NYears*12,"",INT($F85/$E85))</f>
        <v/>
      </c>
      <c r="H85" s="35">
        <f>IF($A85&gt;NYears*12,"",$G85*$E85)</f>
        <v/>
      </c>
      <c r="I85" s="35">
        <f>IF($A85&gt;NYears*12,"",$F85-$H85)</f>
        <v/>
      </c>
      <c r="J85" s="35">
        <f>IF($A85&gt;NYears*12,"",$H85*RateD)</f>
        <v/>
      </c>
      <c r="K85" s="35">
        <f>IF($A85&gt;NYears*12,"",IF($D85=1,$J85,$K84+$J85))</f>
        <v/>
      </c>
      <c r="L85" s="35">
        <f>IF($A85&gt;NYears*12,"",IF(MOD($D85,3)=0,SUM($J83:$J85),0))</f>
        <v/>
      </c>
      <c r="M85" s="35">
        <f>IF($A85&gt;NYears*12,"",IF(TaxFreq="Quarterly",$K85*12/$D85,$K85))</f>
        <v/>
      </c>
      <c r="N85" s="36">
        <f>IF($A85&gt;NYears*12,"",LOOKUP($M85,TaxLower,TaxRate))</f>
        <v/>
      </c>
      <c r="O85" s="35">
        <f>IF($A85&gt;NYears*12,"",IF(TaxFreq="Quarterly",IF(MOD($D85,3)=0,$L85*$N85,0),IF($D85=12,$K85*$N85,0)))</f>
        <v/>
      </c>
      <c r="P85" s="35">
        <f>IF($A85&gt;NYears*12,"",IF($D85=1,$O85,$P84+$O85))</f>
        <v/>
      </c>
      <c r="Q85" s="35">
        <f>IF($A85&gt;NYears*12,"",IF($D85=12,MIN(WdrPct*IF(WdrBase="Post-tax profit",$K85-$P85,$K85),WdrCap),0))</f>
        <v/>
      </c>
      <c r="R85" s="35">
        <f>IF($A85&gt;NYears*12,"",$F85+$J85-$O85-$Q85)</f>
        <v/>
      </c>
      <c r="S85" s="33">
        <f>IF($A85&gt;NYears*12,"",INT($R85/$E85))</f>
        <v/>
      </c>
    </row>
    <row r="86">
      <c r="A86" s="33">
        <f>82</f>
        <v/>
      </c>
      <c r="B86" s="34">
        <f>IF($A86&gt;NYears*12,"",EDATE(StartMonth,$A86-1))</f>
        <v/>
      </c>
      <c r="C86" s="33">
        <f>IF($A86&gt;NYears*12,"",INT(($A86-1)/12)+1)</f>
        <v/>
      </c>
      <c r="D86" s="33">
        <f>IF($A86&gt;NYears*12,"",MOD($A86-1,12)+1)</f>
        <v/>
      </c>
      <c r="E86" s="35">
        <f>IF($A86&gt;NYears*12,"",LotValue0*(1+LotGrowth)^($C86-1))</f>
        <v/>
      </c>
      <c r="F86" s="35">
        <f>IF($A86&gt;NYears*12,"",IF($A86=1,InitInvest,$R85))</f>
        <v/>
      </c>
      <c r="G86" s="33">
        <f>IF($A86&gt;NYears*12,"",INT($F86/$E86))</f>
        <v/>
      </c>
      <c r="H86" s="35">
        <f>IF($A86&gt;NYears*12,"",$G86*$E86)</f>
        <v/>
      </c>
      <c r="I86" s="35">
        <f>IF($A86&gt;NYears*12,"",$F86-$H86)</f>
        <v/>
      </c>
      <c r="J86" s="35">
        <f>IF($A86&gt;NYears*12,"",$H86*RateD)</f>
        <v/>
      </c>
      <c r="K86" s="35">
        <f>IF($A86&gt;NYears*12,"",IF($D86=1,$J86,$K85+$J86))</f>
        <v/>
      </c>
      <c r="L86" s="35">
        <f>IF($A86&gt;NYears*12,"",IF(MOD($D86,3)=0,SUM($J84:$J86),0))</f>
        <v/>
      </c>
      <c r="M86" s="35">
        <f>IF($A86&gt;NYears*12,"",IF(TaxFreq="Quarterly",$K86*12/$D86,$K86))</f>
        <v/>
      </c>
      <c r="N86" s="36">
        <f>IF($A86&gt;NYears*12,"",LOOKUP($M86,TaxLower,TaxRate))</f>
        <v/>
      </c>
      <c r="O86" s="35">
        <f>IF($A86&gt;NYears*12,"",IF(TaxFreq="Quarterly",IF(MOD($D86,3)=0,$L86*$N86,0),IF($D86=12,$K86*$N86,0)))</f>
        <v/>
      </c>
      <c r="P86" s="35">
        <f>IF($A86&gt;NYears*12,"",IF($D86=1,$O86,$P85+$O86))</f>
        <v/>
      </c>
      <c r="Q86" s="35">
        <f>IF($A86&gt;NYears*12,"",IF($D86=12,MIN(WdrPct*IF(WdrBase="Post-tax profit",$K86-$P86,$K86),WdrCap),0))</f>
        <v/>
      </c>
      <c r="R86" s="35">
        <f>IF($A86&gt;NYears*12,"",$F86+$J86-$O86-$Q86)</f>
        <v/>
      </c>
      <c r="S86" s="33">
        <f>IF($A86&gt;NYears*12,"",INT($R86/$E86))</f>
        <v/>
      </c>
    </row>
    <row r="87">
      <c r="A87" s="33">
        <f>83</f>
        <v/>
      </c>
      <c r="B87" s="34">
        <f>IF($A87&gt;NYears*12,"",EDATE(StartMonth,$A87-1))</f>
        <v/>
      </c>
      <c r="C87" s="33">
        <f>IF($A87&gt;NYears*12,"",INT(($A87-1)/12)+1)</f>
        <v/>
      </c>
      <c r="D87" s="33">
        <f>IF($A87&gt;NYears*12,"",MOD($A87-1,12)+1)</f>
        <v/>
      </c>
      <c r="E87" s="35">
        <f>IF($A87&gt;NYears*12,"",LotValue0*(1+LotGrowth)^($C87-1))</f>
        <v/>
      </c>
      <c r="F87" s="35">
        <f>IF($A87&gt;NYears*12,"",IF($A87=1,InitInvest,$R86))</f>
        <v/>
      </c>
      <c r="G87" s="33">
        <f>IF($A87&gt;NYears*12,"",INT($F87/$E87))</f>
        <v/>
      </c>
      <c r="H87" s="35">
        <f>IF($A87&gt;NYears*12,"",$G87*$E87)</f>
        <v/>
      </c>
      <c r="I87" s="35">
        <f>IF($A87&gt;NYears*12,"",$F87-$H87)</f>
        <v/>
      </c>
      <c r="J87" s="35">
        <f>IF($A87&gt;NYears*12,"",$H87*RateD)</f>
        <v/>
      </c>
      <c r="K87" s="35">
        <f>IF($A87&gt;NYears*12,"",IF($D87=1,$J87,$K86+$J87))</f>
        <v/>
      </c>
      <c r="L87" s="35">
        <f>IF($A87&gt;NYears*12,"",IF(MOD($D87,3)=0,SUM($J85:$J87),0))</f>
        <v/>
      </c>
      <c r="M87" s="35">
        <f>IF($A87&gt;NYears*12,"",IF(TaxFreq="Quarterly",$K87*12/$D87,$K87))</f>
        <v/>
      </c>
      <c r="N87" s="36">
        <f>IF($A87&gt;NYears*12,"",LOOKUP($M87,TaxLower,TaxRate))</f>
        <v/>
      </c>
      <c r="O87" s="35">
        <f>IF($A87&gt;NYears*12,"",IF(TaxFreq="Quarterly",IF(MOD($D87,3)=0,$L87*$N87,0),IF($D87=12,$K87*$N87,0)))</f>
        <v/>
      </c>
      <c r="P87" s="35">
        <f>IF($A87&gt;NYears*12,"",IF($D87=1,$O87,$P86+$O87))</f>
        <v/>
      </c>
      <c r="Q87" s="35">
        <f>IF($A87&gt;NYears*12,"",IF($D87=12,MIN(WdrPct*IF(WdrBase="Post-tax profit",$K87-$P87,$K87),WdrCap),0))</f>
        <v/>
      </c>
      <c r="R87" s="35">
        <f>IF($A87&gt;NYears*12,"",$F87+$J87-$O87-$Q87)</f>
        <v/>
      </c>
      <c r="S87" s="33">
        <f>IF($A87&gt;NYears*12,"",INT($R87/$E87))</f>
        <v/>
      </c>
    </row>
    <row r="88">
      <c r="A88" s="37">
        <f>84</f>
        <v/>
      </c>
      <c r="B88" s="38">
        <f>IF($A88&gt;NYears*12,"",EDATE(StartMonth,$A88-1))</f>
        <v/>
      </c>
      <c r="C88" s="37">
        <f>IF($A88&gt;NYears*12,"",INT(($A88-1)/12)+1)</f>
        <v/>
      </c>
      <c r="D88" s="37">
        <f>IF($A88&gt;NYears*12,"",MOD($A88-1,12)+1)</f>
        <v/>
      </c>
      <c r="E88" s="39">
        <f>IF($A88&gt;NYears*12,"",LotValue0*(1+LotGrowth)^($C88-1))</f>
        <v/>
      </c>
      <c r="F88" s="39">
        <f>IF($A88&gt;NYears*12,"",IF($A88=1,InitInvest,$R87))</f>
        <v/>
      </c>
      <c r="G88" s="37">
        <f>IF($A88&gt;NYears*12,"",INT($F88/$E88))</f>
        <v/>
      </c>
      <c r="H88" s="39">
        <f>IF($A88&gt;NYears*12,"",$G88*$E88)</f>
        <v/>
      </c>
      <c r="I88" s="39">
        <f>IF($A88&gt;NYears*12,"",$F88-$H88)</f>
        <v/>
      </c>
      <c r="J88" s="39">
        <f>IF($A88&gt;NYears*12,"",$H88*RateD)</f>
        <v/>
      </c>
      <c r="K88" s="39">
        <f>IF($A88&gt;NYears*12,"",IF($D88=1,$J88,$K87+$J88))</f>
        <v/>
      </c>
      <c r="L88" s="39">
        <f>IF($A88&gt;NYears*12,"",IF(MOD($D88,3)=0,SUM($J86:$J88),0))</f>
        <v/>
      </c>
      <c r="M88" s="39">
        <f>IF($A88&gt;NYears*12,"",IF(TaxFreq="Quarterly",$K88*12/$D88,$K88))</f>
        <v/>
      </c>
      <c r="N88" s="40">
        <f>IF($A88&gt;NYears*12,"",LOOKUP($M88,TaxLower,TaxRate))</f>
        <v/>
      </c>
      <c r="O88" s="39">
        <f>IF($A88&gt;NYears*12,"",IF(TaxFreq="Quarterly",IF(MOD($D88,3)=0,$L88*$N88,0),IF($D88=12,$K88*$N88,0)))</f>
        <v/>
      </c>
      <c r="P88" s="39">
        <f>IF($A88&gt;NYears*12,"",IF($D88=1,$O88,$P87+$O88))</f>
        <v/>
      </c>
      <c r="Q88" s="39">
        <f>IF($A88&gt;NYears*12,"",IF($D88=12,MIN(WdrPct*IF(WdrBase="Post-tax profit",$K88-$P88,$K88),WdrCap),0))</f>
        <v/>
      </c>
      <c r="R88" s="39">
        <f>IF($A88&gt;NYears*12,"",$F88+$J88-$O88-$Q88)</f>
        <v/>
      </c>
      <c r="S88" s="37">
        <f>IF($A88&gt;NYears*12,"",INT($R88/$E88))</f>
        <v/>
      </c>
    </row>
    <row r="89">
      <c r="A89" s="33">
        <f>85</f>
        <v/>
      </c>
      <c r="B89" s="34">
        <f>IF($A89&gt;NYears*12,"",EDATE(StartMonth,$A89-1))</f>
        <v/>
      </c>
      <c r="C89" s="33">
        <f>IF($A89&gt;NYears*12,"",INT(($A89-1)/12)+1)</f>
        <v/>
      </c>
      <c r="D89" s="33">
        <f>IF($A89&gt;NYears*12,"",MOD($A89-1,12)+1)</f>
        <v/>
      </c>
      <c r="E89" s="35">
        <f>IF($A89&gt;NYears*12,"",LotValue0*(1+LotGrowth)^($C89-1))</f>
        <v/>
      </c>
      <c r="F89" s="35">
        <f>IF($A89&gt;NYears*12,"",IF($A89=1,InitInvest,$R88))</f>
        <v/>
      </c>
      <c r="G89" s="33">
        <f>IF($A89&gt;NYears*12,"",INT($F89/$E89))</f>
        <v/>
      </c>
      <c r="H89" s="35">
        <f>IF($A89&gt;NYears*12,"",$G89*$E89)</f>
        <v/>
      </c>
      <c r="I89" s="35">
        <f>IF($A89&gt;NYears*12,"",$F89-$H89)</f>
        <v/>
      </c>
      <c r="J89" s="35">
        <f>IF($A89&gt;NYears*12,"",$H89*RateD)</f>
        <v/>
      </c>
      <c r="K89" s="35">
        <f>IF($A89&gt;NYears*12,"",IF($D89=1,$J89,$K88+$J89))</f>
        <v/>
      </c>
      <c r="L89" s="35">
        <f>IF($A89&gt;NYears*12,"",IF(MOD($D89,3)=0,SUM($J87:$J89),0))</f>
        <v/>
      </c>
      <c r="M89" s="35">
        <f>IF($A89&gt;NYears*12,"",IF(TaxFreq="Quarterly",$K89*12/$D89,$K89))</f>
        <v/>
      </c>
      <c r="N89" s="36">
        <f>IF($A89&gt;NYears*12,"",LOOKUP($M89,TaxLower,TaxRate))</f>
        <v/>
      </c>
      <c r="O89" s="35">
        <f>IF($A89&gt;NYears*12,"",IF(TaxFreq="Quarterly",IF(MOD($D89,3)=0,$L89*$N89,0),IF($D89=12,$K89*$N89,0)))</f>
        <v/>
      </c>
      <c r="P89" s="35">
        <f>IF($A89&gt;NYears*12,"",IF($D89=1,$O89,$P88+$O89))</f>
        <v/>
      </c>
      <c r="Q89" s="35">
        <f>IF($A89&gt;NYears*12,"",IF($D89=12,MIN(WdrPct*IF(WdrBase="Post-tax profit",$K89-$P89,$K89),WdrCap),0))</f>
        <v/>
      </c>
      <c r="R89" s="35">
        <f>IF($A89&gt;NYears*12,"",$F89+$J89-$O89-$Q89)</f>
        <v/>
      </c>
      <c r="S89" s="33">
        <f>IF($A89&gt;NYears*12,"",INT($R89/$E89))</f>
        <v/>
      </c>
    </row>
    <row r="90">
      <c r="A90" s="33">
        <f>86</f>
        <v/>
      </c>
      <c r="B90" s="34">
        <f>IF($A90&gt;NYears*12,"",EDATE(StartMonth,$A90-1))</f>
        <v/>
      </c>
      <c r="C90" s="33">
        <f>IF($A90&gt;NYears*12,"",INT(($A90-1)/12)+1)</f>
        <v/>
      </c>
      <c r="D90" s="33">
        <f>IF($A90&gt;NYears*12,"",MOD($A90-1,12)+1)</f>
        <v/>
      </c>
      <c r="E90" s="35">
        <f>IF($A90&gt;NYears*12,"",LotValue0*(1+LotGrowth)^($C90-1))</f>
        <v/>
      </c>
      <c r="F90" s="35">
        <f>IF($A90&gt;NYears*12,"",IF($A90=1,InitInvest,$R89))</f>
        <v/>
      </c>
      <c r="G90" s="33">
        <f>IF($A90&gt;NYears*12,"",INT($F90/$E90))</f>
        <v/>
      </c>
      <c r="H90" s="35">
        <f>IF($A90&gt;NYears*12,"",$G90*$E90)</f>
        <v/>
      </c>
      <c r="I90" s="35">
        <f>IF($A90&gt;NYears*12,"",$F90-$H90)</f>
        <v/>
      </c>
      <c r="J90" s="35">
        <f>IF($A90&gt;NYears*12,"",$H90*RateD)</f>
        <v/>
      </c>
      <c r="K90" s="35">
        <f>IF($A90&gt;NYears*12,"",IF($D90=1,$J90,$K89+$J90))</f>
        <v/>
      </c>
      <c r="L90" s="35">
        <f>IF($A90&gt;NYears*12,"",IF(MOD($D90,3)=0,SUM($J88:$J90),0))</f>
        <v/>
      </c>
      <c r="M90" s="35">
        <f>IF($A90&gt;NYears*12,"",IF(TaxFreq="Quarterly",$K90*12/$D90,$K90))</f>
        <v/>
      </c>
      <c r="N90" s="36">
        <f>IF($A90&gt;NYears*12,"",LOOKUP($M90,TaxLower,TaxRate))</f>
        <v/>
      </c>
      <c r="O90" s="35">
        <f>IF($A90&gt;NYears*12,"",IF(TaxFreq="Quarterly",IF(MOD($D90,3)=0,$L90*$N90,0),IF($D90=12,$K90*$N90,0)))</f>
        <v/>
      </c>
      <c r="P90" s="35">
        <f>IF($A90&gt;NYears*12,"",IF($D90=1,$O90,$P89+$O90))</f>
        <v/>
      </c>
      <c r="Q90" s="35">
        <f>IF($A90&gt;NYears*12,"",IF($D90=12,MIN(WdrPct*IF(WdrBase="Post-tax profit",$K90-$P90,$K90),WdrCap),0))</f>
        <v/>
      </c>
      <c r="R90" s="35">
        <f>IF($A90&gt;NYears*12,"",$F90+$J90-$O90-$Q90)</f>
        <v/>
      </c>
      <c r="S90" s="33">
        <f>IF($A90&gt;NYears*12,"",INT($R90/$E90))</f>
        <v/>
      </c>
    </row>
    <row r="91">
      <c r="A91" s="33">
        <f>87</f>
        <v/>
      </c>
      <c r="B91" s="34">
        <f>IF($A91&gt;NYears*12,"",EDATE(StartMonth,$A91-1))</f>
        <v/>
      </c>
      <c r="C91" s="33">
        <f>IF($A91&gt;NYears*12,"",INT(($A91-1)/12)+1)</f>
        <v/>
      </c>
      <c r="D91" s="33">
        <f>IF($A91&gt;NYears*12,"",MOD($A91-1,12)+1)</f>
        <v/>
      </c>
      <c r="E91" s="35">
        <f>IF($A91&gt;NYears*12,"",LotValue0*(1+LotGrowth)^($C91-1))</f>
        <v/>
      </c>
      <c r="F91" s="35">
        <f>IF($A91&gt;NYears*12,"",IF($A91=1,InitInvest,$R90))</f>
        <v/>
      </c>
      <c r="G91" s="33">
        <f>IF($A91&gt;NYears*12,"",INT($F91/$E91))</f>
        <v/>
      </c>
      <c r="H91" s="35">
        <f>IF($A91&gt;NYears*12,"",$G91*$E91)</f>
        <v/>
      </c>
      <c r="I91" s="35">
        <f>IF($A91&gt;NYears*12,"",$F91-$H91)</f>
        <v/>
      </c>
      <c r="J91" s="35">
        <f>IF($A91&gt;NYears*12,"",$H91*RateD)</f>
        <v/>
      </c>
      <c r="K91" s="35">
        <f>IF($A91&gt;NYears*12,"",IF($D91=1,$J91,$K90+$J91))</f>
        <v/>
      </c>
      <c r="L91" s="35">
        <f>IF($A91&gt;NYears*12,"",IF(MOD($D91,3)=0,SUM($J89:$J91),0))</f>
        <v/>
      </c>
      <c r="M91" s="35">
        <f>IF($A91&gt;NYears*12,"",IF(TaxFreq="Quarterly",$K91*12/$D91,$K91))</f>
        <v/>
      </c>
      <c r="N91" s="36">
        <f>IF($A91&gt;NYears*12,"",LOOKUP($M91,TaxLower,TaxRate))</f>
        <v/>
      </c>
      <c r="O91" s="35">
        <f>IF($A91&gt;NYears*12,"",IF(TaxFreq="Quarterly",IF(MOD($D91,3)=0,$L91*$N91,0),IF($D91=12,$K91*$N91,0)))</f>
        <v/>
      </c>
      <c r="P91" s="35">
        <f>IF($A91&gt;NYears*12,"",IF($D91=1,$O91,$P90+$O91))</f>
        <v/>
      </c>
      <c r="Q91" s="35">
        <f>IF($A91&gt;NYears*12,"",IF($D91=12,MIN(WdrPct*IF(WdrBase="Post-tax profit",$K91-$P91,$K91),WdrCap),0))</f>
        <v/>
      </c>
      <c r="R91" s="35">
        <f>IF($A91&gt;NYears*12,"",$F91+$J91-$O91-$Q91)</f>
        <v/>
      </c>
      <c r="S91" s="33">
        <f>IF($A91&gt;NYears*12,"",INT($R91/$E91))</f>
        <v/>
      </c>
    </row>
    <row r="92">
      <c r="A92" s="33">
        <f>88</f>
        <v/>
      </c>
      <c r="B92" s="34">
        <f>IF($A92&gt;NYears*12,"",EDATE(StartMonth,$A92-1))</f>
        <v/>
      </c>
      <c r="C92" s="33">
        <f>IF($A92&gt;NYears*12,"",INT(($A92-1)/12)+1)</f>
        <v/>
      </c>
      <c r="D92" s="33">
        <f>IF($A92&gt;NYears*12,"",MOD($A92-1,12)+1)</f>
        <v/>
      </c>
      <c r="E92" s="35">
        <f>IF($A92&gt;NYears*12,"",LotValue0*(1+LotGrowth)^($C92-1))</f>
        <v/>
      </c>
      <c r="F92" s="35">
        <f>IF($A92&gt;NYears*12,"",IF($A92=1,InitInvest,$R91))</f>
        <v/>
      </c>
      <c r="G92" s="33">
        <f>IF($A92&gt;NYears*12,"",INT($F92/$E92))</f>
        <v/>
      </c>
      <c r="H92" s="35">
        <f>IF($A92&gt;NYears*12,"",$G92*$E92)</f>
        <v/>
      </c>
      <c r="I92" s="35">
        <f>IF($A92&gt;NYears*12,"",$F92-$H92)</f>
        <v/>
      </c>
      <c r="J92" s="35">
        <f>IF($A92&gt;NYears*12,"",$H92*RateD)</f>
        <v/>
      </c>
      <c r="K92" s="35">
        <f>IF($A92&gt;NYears*12,"",IF($D92=1,$J92,$K91+$J92))</f>
        <v/>
      </c>
      <c r="L92" s="35">
        <f>IF($A92&gt;NYears*12,"",IF(MOD($D92,3)=0,SUM($J90:$J92),0))</f>
        <v/>
      </c>
      <c r="M92" s="35">
        <f>IF($A92&gt;NYears*12,"",IF(TaxFreq="Quarterly",$K92*12/$D92,$K92))</f>
        <v/>
      </c>
      <c r="N92" s="36">
        <f>IF($A92&gt;NYears*12,"",LOOKUP($M92,TaxLower,TaxRate))</f>
        <v/>
      </c>
      <c r="O92" s="35">
        <f>IF($A92&gt;NYears*12,"",IF(TaxFreq="Quarterly",IF(MOD($D92,3)=0,$L92*$N92,0),IF($D92=12,$K92*$N92,0)))</f>
        <v/>
      </c>
      <c r="P92" s="35">
        <f>IF($A92&gt;NYears*12,"",IF($D92=1,$O92,$P91+$O92))</f>
        <v/>
      </c>
      <c r="Q92" s="35">
        <f>IF($A92&gt;NYears*12,"",IF($D92=12,MIN(WdrPct*IF(WdrBase="Post-tax profit",$K92-$P92,$K92),WdrCap),0))</f>
        <v/>
      </c>
      <c r="R92" s="35">
        <f>IF($A92&gt;NYears*12,"",$F92+$J92-$O92-$Q92)</f>
        <v/>
      </c>
      <c r="S92" s="33">
        <f>IF($A92&gt;NYears*12,"",INT($R92/$E92))</f>
        <v/>
      </c>
    </row>
    <row r="93">
      <c r="A93" s="33">
        <f>89</f>
        <v/>
      </c>
      <c r="B93" s="34">
        <f>IF($A93&gt;NYears*12,"",EDATE(StartMonth,$A93-1))</f>
        <v/>
      </c>
      <c r="C93" s="33">
        <f>IF($A93&gt;NYears*12,"",INT(($A93-1)/12)+1)</f>
        <v/>
      </c>
      <c r="D93" s="33">
        <f>IF($A93&gt;NYears*12,"",MOD($A93-1,12)+1)</f>
        <v/>
      </c>
      <c r="E93" s="35">
        <f>IF($A93&gt;NYears*12,"",LotValue0*(1+LotGrowth)^($C93-1))</f>
        <v/>
      </c>
      <c r="F93" s="35">
        <f>IF($A93&gt;NYears*12,"",IF($A93=1,InitInvest,$R92))</f>
        <v/>
      </c>
      <c r="G93" s="33">
        <f>IF($A93&gt;NYears*12,"",INT($F93/$E93))</f>
        <v/>
      </c>
      <c r="H93" s="35">
        <f>IF($A93&gt;NYears*12,"",$G93*$E93)</f>
        <v/>
      </c>
      <c r="I93" s="35">
        <f>IF($A93&gt;NYears*12,"",$F93-$H93)</f>
        <v/>
      </c>
      <c r="J93" s="35">
        <f>IF($A93&gt;NYears*12,"",$H93*RateD)</f>
        <v/>
      </c>
      <c r="K93" s="35">
        <f>IF($A93&gt;NYears*12,"",IF($D93=1,$J93,$K92+$J93))</f>
        <v/>
      </c>
      <c r="L93" s="35">
        <f>IF($A93&gt;NYears*12,"",IF(MOD($D93,3)=0,SUM($J91:$J93),0))</f>
        <v/>
      </c>
      <c r="M93" s="35">
        <f>IF($A93&gt;NYears*12,"",IF(TaxFreq="Quarterly",$K93*12/$D93,$K93))</f>
        <v/>
      </c>
      <c r="N93" s="36">
        <f>IF($A93&gt;NYears*12,"",LOOKUP($M93,TaxLower,TaxRate))</f>
        <v/>
      </c>
      <c r="O93" s="35">
        <f>IF($A93&gt;NYears*12,"",IF(TaxFreq="Quarterly",IF(MOD($D93,3)=0,$L93*$N93,0),IF($D93=12,$K93*$N93,0)))</f>
        <v/>
      </c>
      <c r="P93" s="35">
        <f>IF($A93&gt;NYears*12,"",IF($D93=1,$O93,$P92+$O93))</f>
        <v/>
      </c>
      <c r="Q93" s="35">
        <f>IF($A93&gt;NYears*12,"",IF($D93=12,MIN(WdrPct*IF(WdrBase="Post-tax profit",$K93-$P93,$K93),WdrCap),0))</f>
        <v/>
      </c>
      <c r="R93" s="35">
        <f>IF($A93&gt;NYears*12,"",$F93+$J93-$O93-$Q93)</f>
        <v/>
      </c>
      <c r="S93" s="33">
        <f>IF($A93&gt;NYears*12,"",INT($R93/$E93))</f>
        <v/>
      </c>
    </row>
    <row r="94">
      <c r="A94" s="33">
        <f>90</f>
        <v/>
      </c>
      <c r="B94" s="34">
        <f>IF($A94&gt;NYears*12,"",EDATE(StartMonth,$A94-1))</f>
        <v/>
      </c>
      <c r="C94" s="33">
        <f>IF($A94&gt;NYears*12,"",INT(($A94-1)/12)+1)</f>
        <v/>
      </c>
      <c r="D94" s="33">
        <f>IF($A94&gt;NYears*12,"",MOD($A94-1,12)+1)</f>
        <v/>
      </c>
      <c r="E94" s="35">
        <f>IF($A94&gt;NYears*12,"",LotValue0*(1+LotGrowth)^($C94-1))</f>
        <v/>
      </c>
      <c r="F94" s="35">
        <f>IF($A94&gt;NYears*12,"",IF($A94=1,InitInvest,$R93))</f>
        <v/>
      </c>
      <c r="G94" s="33">
        <f>IF($A94&gt;NYears*12,"",INT($F94/$E94))</f>
        <v/>
      </c>
      <c r="H94" s="35">
        <f>IF($A94&gt;NYears*12,"",$G94*$E94)</f>
        <v/>
      </c>
      <c r="I94" s="35">
        <f>IF($A94&gt;NYears*12,"",$F94-$H94)</f>
        <v/>
      </c>
      <c r="J94" s="35">
        <f>IF($A94&gt;NYears*12,"",$H94*RateD)</f>
        <v/>
      </c>
      <c r="K94" s="35">
        <f>IF($A94&gt;NYears*12,"",IF($D94=1,$J94,$K93+$J94))</f>
        <v/>
      </c>
      <c r="L94" s="35">
        <f>IF($A94&gt;NYears*12,"",IF(MOD($D94,3)=0,SUM($J92:$J94),0))</f>
        <v/>
      </c>
      <c r="M94" s="35">
        <f>IF($A94&gt;NYears*12,"",IF(TaxFreq="Quarterly",$K94*12/$D94,$K94))</f>
        <v/>
      </c>
      <c r="N94" s="36">
        <f>IF($A94&gt;NYears*12,"",LOOKUP($M94,TaxLower,TaxRate))</f>
        <v/>
      </c>
      <c r="O94" s="35">
        <f>IF($A94&gt;NYears*12,"",IF(TaxFreq="Quarterly",IF(MOD($D94,3)=0,$L94*$N94,0),IF($D94=12,$K94*$N94,0)))</f>
        <v/>
      </c>
      <c r="P94" s="35">
        <f>IF($A94&gt;NYears*12,"",IF($D94=1,$O94,$P93+$O94))</f>
        <v/>
      </c>
      <c r="Q94" s="35">
        <f>IF($A94&gt;NYears*12,"",IF($D94=12,MIN(WdrPct*IF(WdrBase="Post-tax profit",$K94-$P94,$K94),WdrCap),0))</f>
        <v/>
      </c>
      <c r="R94" s="35">
        <f>IF($A94&gt;NYears*12,"",$F94+$J94-$O94-$Q94)</f>
        <v/>
      </c>
      <c r="S94" s="33">
        <f>IF($A94&gt;NYears*12,"",INT($R94/$E94))</f>
        <v/>
      </c>
    </row>
    <row r="95">
      <c r="A95" s="33">
        <f>91</f>
        <v/>
      </c>
      <c r="B95" s="34">
        <f>IF($A95&gt;NYears*12,"",EDATE(StartMonth,$A95-1))</f>
        <v/>
      </c>
      <c r="C95" s="33">
        <f>IF($A95&gt;NYears*12,"",INT(($A95-1)/12)+1)</f>
        <v/>
      </c>
      <c r="D95" s="33">
        <f>IF($A95&gt;NYears*12,"",MOD($A95-1,12)+1)</f>
        <v/>
      </c>
      <c r="E95" s="35">
        <f>IF($A95&gt;NYears*12,"",LotValue0*(1+LotGrowth)^($C95-1))</f>
        <v/>
      </c>
      <c r="F95" s="35">
        <f>IF($A95&gt;NYears*12,"",IF($A95=1,InitInvest,$R94))</f>
        <v/>
      </c>
      <c r="G95" s="33">
        <f>IF($A95&gt;NYears*12,"",INT($F95/$E95))</f>
        <v/>
      </c>
      <c r="H95" s="35">
        <f>IF($A95&gt;NYears*12,"",$G95*$E95)</f>
        <v/>
      </c>
      <c r="I95" s="35">
        <f>IF($A95&gt;NYears*12,"",$F95-$H95)</f>
        <v/>
      </c>
      <c r="J95" s="35">
        <f>IF($A95&gt;NYears*12,"",$H95*RateD)</f>
        <v/>
      </c>
      <c r="K95" s="35">
        <f>IF($A95&gt;NYears*12,"",IF($D95=1,$J95,$K94+$J95))</f>
        <v/>
      </c>
      <c r="L95" s="35">
        <f>IF($A95&gt;NYears*12,"",IF(MOD($D95,3)=0,SUM($J93:$J95),0))</f>
        <v/>
      </c>
      <c r="M95" s="35">
        <f>IF($A95&gt;NYears*12,"",IF(TaxFreq="Quarterly",$K95*12/$D95,$K95))</f>
        <v/>
      </c>
      <c r="N95" s="36">
        <f>IF($A95&gt;NYears*12,"",LOOKUP($M95,TaxLower,TaxRate))</f>
        <v/>
      </c>
      <c r="O95" s="35">
        <f>IF($A95&gt;NYears*12,"",IF(TaxFreq="Quarterly",IF(MOD($D95,3)=0,$L95*$N95,0),IF($D95=12,$K95*$N95,0)))</f>
        <v/>
      </c>
      <c r="P95" s="35">
        <f>IF($A95&gt;NYears*12,"",IF($D95=1,$O95,$P94+$O95))</f>
        <v/>
      </c>
      <c r="Q95" s="35">
        <f>IF($A95&gt;NYears*12,"",IF($D95=12,MIN(WdrPct*IF(WdrBase="Post-tax profit",$K95-$P95,$K95),WdrCap),0))</f>
        <v/>
      </c>
      <c r="R95" s="35">
        <f>IF($A95&gt;NYears*12,"",$F95+$J95-$O95-$Q95)</f>
        <v/>
      </c>
      <c r="S95" s="33">
        <f>IF($A95&gt;NYears*12,"",INT($R95/$E95))</f>
        <v/>
      </c>
    </row>
    <row r="96">
      <c r="A96" s="33">
        <f>92</f>
        <v/>
      </c>
      <c r="B96" s="34">
        <f>IF($A96&gt;NYears*12,"",EDATE(StartMonth,$A96-1))</f>
        <v/>
      </c>
      <c r="C96" s="33">
        <f>IF($A96&gt;NYears*12,"",INT(($A96-1)/12)+1)</f>
        <v/>
      </c>
      <c r="D96" s="33">
        <f>IF($A96&gt;NYears*12,"",MOD($A96-1,12)+1)</f>
        <v/>
      </c>
      <c r="E96" s="35">
        <f>IF($A96&gt;NYears*12,"",LotValue0*(1+LotGrowth)^($C96-1))</f>
        <v/>
      </c>
      <c r="F96" s="35">
        <f>IF($A96&gt;NYears*12,"",IF($A96=1,InitInvest,$R95))</f>
        <v/>
      </c>
      <c r="G96" s="33">
        <f>IF($A96&gt;NYears*12,"",INT($F96/$E96))</f>
        <v/>
      </c>
      <c r="H96" s="35">
        <f>IF($A96&gt;NYears*12,"",$G96*$E96)</f>
        <v/>
      </c>
      <c r="I96" s="35">
        <f>IF($A96&gt;NYears*12,"",$F96-$H96)</f>
        <v/>
      </c>
      <c r="J96" s="35">
        <f>IF($A96&gt;NYears*12,"",$H96*RateD)</f>
        <v/>
      </c>
      <c r="K96" s="35">
        <f>IF($A96&gt;NYears*12,"",IF($D96=1,$J96,$K95+$J96))</f>
        <v/>
      </c>
      <c r="L96" s="35">
        <f>IF($A96&gt;NYears*12,"",IF(MOD($D96,3)=0,SUM($J94:$J96),0))</f>
        <v/>
      </c>
      <c r="M96" s="35">
        <f>IF($A96&gt;NYears*12,"",IF(TaxFreq="Quarterly",$K96*12/$D96,$K96))</f>
        <v/>
      </c>
      <c r="N96" s="36">
        <f>IF($A96&gt;NYears*12,"",LOOKUP($M96,TaxLower,TaxRate))</f>
        <v/>
      </c>
      <c r="O96" s="35">
        <f>IF($A96&gt;NYears*12,"",IF(TaxFreq="Quarterly",IF(MOD($D96,3)=0,$L96*$N96,0),IF($D96=12,$K96*$N96,0)))</f>
        <v/>
      </c>
      <c r="P96" s="35">
        <f>IF($A96&gt;NYears*12,"",IF($D96=1,$O96,$P95+$O96))</f>
        <v/>
      </c>
      <c r="Q96" s="35">
        <f>IF($A96&gt;NYears*12,"",IF($D96=12,MIN(WdrPct*IF(WdrBase="Post-tax profit",$K96-$P96,$K96),WdrCap),0))</f>
        <v/>
      </c>
      <c r="R96" s="35">
        <f>IF($A96&gt;NYears*12,"",$F96+$J96-$O96-$Q96)</f>
        <v/>
      </c>
      <c r="S96" s="33">
        <f>IF($A96&gt;NYears*12,"",INT($R96/$E96))</f>
        <v/>
      </c>
    </row>
    <row r="97">
      <c r="A97" s="33">
        <f>93</f>
        <v/>
      </c>
      <c r="B97" s="34">
        <f>IF($A97&gt;NYears*12,"",EDATE(StartMonth,$A97-1))</f>
        <v/>
      </c>
      <c r="C97" s="33">
        <f>IF($A97&gt;NYears*12,"",INT(($A97-1)/12)+1)</f>
        <v/>
      </c>
      <c r="D97" s="33">
        <f>IF($A97&gt;NYears*12,"",MOD($A97-1,12)+1)</f>
        <v/>
      </c>
      <c r="E97" s="35">
        <f>IF($A97&gt;NYears*12,"",LotValue0*(1+LotGrowth)^($C97-1))</f>
        <v/>
      </c>
      <c r="F97" s="35">
        <f>IF($A97&gt;NYears*12,"",IF($A97=1,InitInvest,$R96))</f>
        <v/>
      </c>
      <c r="G97" s="33">
        <f>IF($A97&gt;NYears*12,"",INT($F97/$E97))</f>
        <v/>
      </c>
      <c r="H97" s="35">
        <f>IF($A97&gt;NYears*12,"",$G97*$E97)</f>
        <v/>
      </c>
      <c r="I97" s="35">
        <f>IF($A97&gt;NYears*12,"",$F97-$H97)</f>
        <v/>
      </c>
      <c r="J97" s="35">
        <f>IF($A97&gt;NYears*12,"",$H97*RateD)</f>
        <v/>
      </c>
      <c r="K97" s="35">
        <f>IF($A97&gt;NYears*12,"",IF($D97=1,$J97,$K96+$J97))</f>
        <v/>
      </c>
      <c r="L97" s="35">
        <f>IF($A97&gt;NYears*12,"",IF(MOD($D97,3)=0,SUM($J95:$J97),0))</f>
        <v/>
      </c>
      <c r="M97" s="35">
        <f>IF($A97&gt;NYears*12,"",IF(TaxFreq="Quarterly",$K97*12/$D97,$K97))</f>
        <v/>
      </c>
      <c r="N97" s="36">
        <f>IF($A97&gt;NYears*12,"",LOOKUP($M97,TaxLower,TaxRate))</f>
        <v/>
      </c>
      <c r="O97" s="35">
        <f>IF($A97&gt;NYears*12,"",IF(TaxFreq="Quarterly",IF(MOD($D97,3)=0,$L97*$N97,0),IF($D97=12,$K97*$N97,0)))</f>
        <v/>
      </c>
      <c r="P97" s="35">
        <f>IF($A97&gt;NYears*12,"",IF($D97=1,$O97,$P96+$O97))</f>
        <v/>
      </c>
      <c r="Q97" s="35">
        <f>IF($A97&gt;NYears*12,"",IF($D97=12,MIN(WdrPct*IF(WdrBase="Post-tax profit",$K97-$P97,$K97),WdrCap),0))</f>
        <v/>
      </c>
      <c r="R97" s="35">
        <f>IF($A97&gt;NYears*12,"",$F97+$J97-$O97-$Q97)</f>
        <v/>
      </c>
      <c r="S97" s="33">
        <f>IF($A97&gt;NYears*12,"",INT($R97/$E97))</f>
        <v/>
      </c>
    </row>
    <row r="98">
      <c r="A98" s="33">
        <f>94</f>
        <v/>
      </c>
      <c r="B98" s="34">
        <f>IF($A98&gt;NYears*12,"",EDATE(StartMonth,$A98-1))</f>
        <v/>
      </c>
      <c r="C98" s="33">
        <f>IF($A98&gt;NYears*12,"",INT(($A98-1)/12)+1)</f>
        <v/>
      </c>
      <c r="D98" s="33">
        <f>IF($A98&gt;NYears*12,"",MOD($A98-1,12)+1)</f>
        <v/>
      </c>
      <c r="E98" s="35">
        <f>IF($A98&gt;NYears*12,"",LotValue0*(1+LotGrowth)^($C98-1))</f>
        <v/>
      </c>
      <c r="F98" s="35">
        <f>IF($A98&gt;NYears*12,"",IF($A98=1,InitInvest,$R97))</f>
        <v/>
      </c>
      <c r="G98" s="33">
        <f>IF($A98&gt;NYears*12,"",INT($F98/$E98))</f>
        <v/>
      </c>
      <c r="H98" s="35">
        <f>IF($A98&gt;NYears*12,"",$G98*$E98)</f>
        <v/>
      </c>
      <c r="I98" s="35">
        <f>IF($A98&gt;NYears*12,"",$F98-$H98)</f>
        <v/>
      </c>
      <c r="J98" s="35">
        <f>IF($A98&gt;NYears*12,"",$H98*RateD)</f>
        <v/>
      </c>
      <c r="K98" s="35">
        <f>IF($A98&gt;NYears*12,"",IF($D98=1,$J98,$K97+$J98))</f>
        <v/>
      </c>
      <c r="L98" s="35">
        <f>IF($A98&gt;NYears*12,"",IF(MOD($D98,3)=0,SUM($J96:$J98),0))</f>
        <v/>
      </c>
      <c r="M98" s="35">
        <f>IF($A98&gt;NYears*12,"",IF(TaxFreq="Quarterly",$K98*12/$D98,$K98))</f>
        <v/>
      </c>
      <c r="N98" s="36">
        <f>IF($A98&gt;NYears*12,"",LOOKUP($M98,TaxLower,TaxRate))</f>
        <v/>
      </c>
      <c r="O98" s="35">
        <f>IF($A98&gt;NYears*12,"",IF(TaxFreq="Quarterly",IF(MOD($D98,3)=0,$L98*$N98,0),IF($D98=12,$K98*$N98,0)))</f>
        <v/>
      </c>
      <c r="P98" s="35">
        <f>IF($A98&gt;NYears*12,"",IF($D98=1,$O98,$P97+$O98))</f>
        <v/>
      </c>
      <c r="Q98" s="35">
        <f>IF($A98&gt;NYears*12,"",IF($D98=12,MIN(WdrPct*IF(WdrBase="Post-tax profit",$K98-$P98,$K98),WdrCap),0))</f>
        <v/>
      </c>
      <c r="R98" s="35">
        <f>IF($A98&gt;NYears*12,"",$F98+$J98-$O98-$Q98)</f>
        <v/>
      </c>
      <c r="S98" s="33">
        <f>IF($A98&gt;NYears*12,"",INT($R98/$E98))</f>
        <v/>
      </c>
    </row>
    <row r="99">
      <c r="A99" s="33">
        <f>95</f>
        <v/>
      </c>
      <c r="B99" s="34">
        <f>IF($A99&gt;NYears*12,"",EDATE(StartMonth,$A99-1))</f>
        <v/>
      </c>
      <c r="C99" s="33">
        <f>IF($A99&gt;NYears*12,"",INT(($A99-1)/12)+1)</f>
        <v/>
      </c>
      <c r="D99" s="33">
        <f>IF($A99&gt;NYears*12,"",MOD($A99-1,12)+1)</f>
        <v/>
      </c>
      <c r="E99" s="35">
        <f>IF($A99&gt;NYears*12,"",LotValue0*(1+LotGrowth)^($C99-1))</f>
        <v/>
      </c>
      <c r="F99" s="35">
        <f>IF($A99&gt;NYears*12,"",IF($A99=1,InitInvest,$R98))</f>
        <v/>
      </c>
      <c r="G99" s="33">
        <f>IF($A99&gt;NYears*12,"",INT($F99/$E99))</f>
        <v/>
      </c>
      <c r="H99" s="35">
        <f>IF($A99&gt;NYears*12,"",$G99*$E99)</f>
        <v/>
      </c>
      <c r="I99" s="35">
        <f>IF($A99&gt;NYears*12,"",$F99-$H99)</f>
        <v/>
      </c>
      <c r="J99" s="35">
        <f>IF($A99&gt;NYears*12,"",$H99*RateD)</f>
        <v/>
      </c>
      <c r="K99" s="35">
        <f>IF($A99&gt;NYears*12,"",IF($D99=1,$J99,$K98+$J99))</f>
        <v/>
      </c>
      <c r="L99" s="35">
        <f>IF($A99&gt;NYears*12,"",IF(MOD($D99,3)=0,SUM($J97:$J99),0))</f>
        <v/>
      </c>
      <c r="M99" s="35">
        <f>IF($A99&gt;NYears*12,"",IF(TaxFreq="Quarterly",$K99*12/$D99,$K99))</f>
        <v/>
      </c>
      <c r="N99" s="36">
        <f>IF($A99&gt;NYears*12,"",LOOKUP($M99,TaxLower,TaxRate))</f>
        <v/>
      </c>
      <c r="O99" s="35">
        <f>IF($A99&gt;NYears*12,"",IF(TaxFreq="Quarterly",IF(MOD($D99,3)=0,$L99*$N99,0),IF($D99=12,$K99*$N99,0)))</f>
        <v/>
      </c>
      <c r="P99" s="35">
        <f>IF($A99&gt;NYears*12,"",IF($D99=1,$O99,$P98+$O99))</f>
        <v/>
      </c>
      <c r="Q99" s="35">
        <f>IF($A99&gt;NYears*12,"",IF($D99=12,MIN(WdrPct*IF(WdrBase="Post-tax profit",$K99-$P99,$K99),WdrCap),0))</f>
        <v/>
      </c>
      <c r="R99" s="35">
        <f>IF($A99&gt;NYears*12,"",$F99+$J99-$O99-$Q99)</f>
        <v/>
      </c>
      <c r="S99" s="33">
        <f>IF($A99&gt;NYears*12,"",INT($R99/$E99))</f>
        <v/>
      </c>
    </row>
    <row r="100">
      <c r="A100" s="37">
        <f>96</f>
        <v/>
      </c>
      <c r="B100" s="38">
        <f>IF($A100&gt;NYears*12,"",EDATE(StartMonth,$A100-1))</f>
        <v/>
      </c>
      <c r="C100" s="37">
        <f>IF($A100&gt;NYears*12,"",INT(($A100-1)/12)+1)</f>
        <v/>
      </c>
      <c r="D100" s="37">
        <f>IF($A100&gt;NYears*12,"",MOD($A100-1,12)+1)</f>
        <v/>
      </c>
      <c r="E100" s="39">
        <f>IF($A100&gt;NYears*12,"",LotValue0*(1+LotGrowth)^($C100-1))</f>
        <v/>
      </c>
      <c r="F100" s="39">
        <f>IF($A100&gt;NYears*12,"",IF($A100=1,InitInvest,$R99))</f>
        <v/>
      </c>
      <c r="G100" s="37">
        <f>IF($A100&gt;NYears*12,"",INT($F100/$E100))</f>
        <v/>
      </c>
      <c r="H100" s="39">
        <f>IF($A100&gt;NYears*12,"",$G100*$E100)</f>
        <v/>
      </c>
      <c r="I100" s="39">
        <f>IF($A100&gt;NYears*12,"",$F100-$H100)</f>
        <v/>
      </c>
      <c r="J100" s="39">
        <f>IF($A100&gt;NYears*12,"",$H100*RateD)</f>
        <v/>
      </c>
      <c r="K100" s="39">
        <f>IF($A100&gt;NYears*12,"",IF($D100=1,$J100,$K99+$J100))</f>
        <v/>
      </c>
      <c r="L100" s="39">
        <f>IF($A100&gt;NYears*12,"",IF(MOD($D100,3)=0,SUM($J98:$J100),0))</f>
        <v/>
      </c>
      <c r="M100" s="39">
        <f>IF($A100&gt;NYears*12,"",IF(TaxFreq="Quarterly",$K100*12/$D100,$K100))</f>
        <v/>
      </c>
      <c r="N100" s="40">
        <f>IF($A100&gt;NYears*12,"",LOOKUP($M100,TaxLower,TaxRate))</f>
        <v/>
      </c>
      <c r="O100" s="39">
        <f>IF($A100&gt;NYears*12,"",IF(TaxFreq="Quarterly",IF(MOD($D100,3)=0,$L100*$N100,0),IF($D100=12,$K100*$N100,0)))</f>
        <v/>
      </c>
      <c r="P100" s="39">
        <f>IF($A100&gt;NYears*12,"",IF($D100=1,$O100,$P99+$O100))</f>
        <v/>
      </c>
      <c r="Q100" s="39">
        <f>IF($A100&gt;NYears*12,"",IF($D100=12,MIN(WdrPct*IF(WdrBase="Post-tax profit",$K100-$P100,$K100),WdrCap),0))</f>
        <v/>
      </c>
      <c r="R100" s="39">
        <f>IF($A100&gt;NYears*12,"",$F100+$J100-$O100-$Q100)</f>
        <v/>
      </c>
      <c r="S100" s="37">
        <f>IF($A100&gt;NYears*12,"",INT($R100/$E100))</f>
        <v/>
      </c>
    </row>
    <row r="101">
      <c r="A101" s="33">
        <f>97</f>
        <v/>
      </c>
      <c r="B101" s="34">
        <f>IF($A101&gt;NYears*12,"",EDATE(StartMonth,$A101-1))</f>
        <v/>
      </c>
      <c r="C101" s="33">
        <f>IF($A101&gt;NYears*12,"",INT(($A101-1)/12)+1)</f>
        <v/>
      </c>
      <c r="D101" s="33">
        <f>IF($A101&gt;NYears*12,"",MOD($A101-1,12)+1)</f>
        <v/>
      </c>
      <c r="E101" s="35">
        <f>IF($A101&gt;NYears*12,"",LotValue0*(1+LotGrowth)^($C101-1))</f>
        <v/>
      </c>
      <c r="F101" s="35">
        <f>IF($A101&gt;NYears*12,"",IF($A101=1,InitInvest,$R100))</f>
        <v/>
      </c>
      <c r="G101" s="33">
        <f>IF($A101&gt;NYears*12,"",INT($F101/$E101))</f>
        <v/>
      </c>
      <c r="H101" s="35">
        <f>IF($A101&gt;NYears*12,"",$G101*$E101)</f>
        <v/>
      </c>
      <c r="I101" s="35">
        <f>IF($A101&gt;NYears*12,"",$F101-$H101)</f>
        <v/>
      </c>
      <c r="J101" s="35">
        <f>IF($A101&gt;NYears*12,"",$H101*RateD)</f>
        <v/>
      </c>
      <c r="K101" s="35">
        <f>IF($A101&gt;NYears*12,"",IF($D101=1,$J101,$K100+$J101))</f>
        <v/>
      </c>
      <c r="L101" s="35">
        <f>IF($A101&gt;NYears*12,"",IF(MOD($D101,3)=0,SUM($J99:$J101),0))</f>
        <v/>
      </c>
      <c r="M101" s="35">
        <f>IF($A101&gt;NYears*12,"",IF(TaxFreq="Quarterly",$K101*12/$D101,$K101))</f>
        <v/>
      </c>
      <c r="N101" s="36">
        <f>IF($A101&gt;NYears*12,"",LOOKUP($M101,TaxLower,TaxRate))</f>
        <v/>
      </c>
      <c r="O101" s="35">
        <f>IF($A101&gt;NYears*12,"",IF(TaxFreq="Quarterly",IF(MOD($D101,3)=0,$L101*$N101,0),IF($D101=12,$K101*$N101,0)))</f>
        <v/>
      </c>
      <c r="P101" s="35">
        <f>IF($A101&gt;NYears*12,"",IF($D101=1,$O101,$P100+$O101))</f>
        <v/>
      </c>
      <c r="Q101" s="35">
        <f>IF($A101&gt;NYears*12,"",IF($D101=12,MIN(WdrPct*IF(WdrBase="Post-tax profit",$K101-$P101,$K101),WdrCap),0))</f>
        <v/>
      </c>
      <c r="R101" s="35">
        <f>IF($A101&gt;NYears*12,"",$F101+$J101-$O101-$Q101)</f>
        <v/>
      </c>
      <c r="S101" s="33">
        <f>IF($A101&gt;NYears*12,"",INT($R101/$E101))</f>
        <v/>
      </c>
    </row>
    <row r="102">
      <c r="A102" s="33">
        <f>98</f>
        <v/>
      </c>
      <c r="B102" s="34">
        <f>IF($A102&gt;NYears*12,"",EDATE(StartMonth,$A102-1))</f>
        <v/>
      </c>
      <c r="C102" s="33">
        <f>IF($A102&gt;NYears*12,"",INT(($A102-1)/12)+1)</f>
        <v/>
      </c>
      <c r="D102" s="33">
        <f>IF($A102&gt;NYears*12,"",MOD($A102-1,12)+1)</f>
        <v/>
      </c>
      <c r="E102" s="35">
        <f>IF($A102&gt;NYears*12,"",LotValue0*(1+LotGrowth)^($C102-1))</f>
        <v/>
      </c>
      <c r="F102" s="35">
        <f>IF($A102&gt;NYears*12,"",IF($A102=1,InitInvest,$R101))</f>
        <v/>
      </c>
      <c r="G102" s="33">
        <f>IF($A102&gt;NYears*12,"",INT($F102/$E102))</f>
        <v/>
      </c>
      <c r="H102" s="35">
        <f>IF($A102&gt;NYears*12,"",$G102*$E102)</f>
        <v/>
      </c>
      <c r="I102" s="35">
        <f>IF($A102&gt;NYears*12,"",$F102-$H102)</f>
        <v/>
      </c>
      <c r="J102" s="35">
        <f>IF($A102&gt;NYears*12,"",$H102*RateD)</f>
        <v/>
      </c>
      <c r="K102" s="35">
        <f>IF($A102&gt;NYears*12,"",IF($D102=1,$J102,$K101+$J102))</f>
        <v/>
      </c>
      <c r="L102" s="35">
        <f>IF($A102&gt;NYears*12,"",IF(MOD($D102,3)=0,SUM($J100:$J102),0))</f>
        <v/>
      </c>
      <c r="M102" s="35">
        <f>IF($A102&gt;NYears*12,"",IF(TaxFreq="Quarterly",$K102*12/$D102,$K102))</f>
        <v/>
      </c>
      <c r="N102" s="36">
        <f>IF($A102&gt;NYears*12,"",LOOKUP($M102,TaxLower,TaxRate))</f>
        <v/>
      </c>
      <c r="O102" s="35">
        <f>IF($A102&gt;NYears*12,"",IF(TaxFreq="Quarterly",IF(MOD($D102,3)=0,$L102*$N102,0),IF($D102=12,$K102*$N102,0)))</f>
        <v/>
      </c>
      <c r="P102" s="35">
        <f>IF($A102&gt;NYears*12,"",IF($D102=1,$O102,$P101+$O102))</f>
        <v/>
      </c>
      <c r="Q102" s="35">
        <f>IF($A102&gt;NYears*12,"",IF($D102=12,MIN(WdrPct*IF(WdrBase="Post-tax profit",$K102-$P102,$K102),WdrCap),0))</f>
        <v/>
      </c>
      <c r="R102" s="35">
        <f>IF($A102&gt;NYears*12,"",$F102+$J102-$O102-$Q102)</f>
        <v/>
      </c>
      <c r="S102" s="33">
        <f>IF($A102&gt;NYears*12,"",INT($R102/$E102))</f>
        <v/>
      </c>
    </row>
    <row r="103">
      <c r="A103" s="33">
        <f>99</f>
        <v/>
      </c>
      <c r="B103" s="34">
        <f>IF($A103&gt;NYears*12,"",EDATE(StartMonth,$A103-1))</f>
        <v/>
      </c>
      <c r="C103" s="33">
        <f>IF($A103&gt;NYears*12,"",INT(($A103-1)/12)+1)</f>
        <v/>
      </c>
      <c r="D103" s="33">
        <f>IF($A103&gt;NYears*12,"",MOD($A103-1,12)+1)</f>
        <v/>
      </c>
      <c r="E103" s="35">
        <f>IF($A103&gt;NYears*12,"",LotValue0*(1+LotGrowth)^($C103-1))</f>
        <v/>
      </c>
      <c r="F103" s="35">
        <f>IF($A103&gt;NYears*12,"",IF($A103=1,InitInvest,$R102))</f>
        <v/>
      </c>
      <c r="G103" s="33">
        <f>IF($A103&gt;NYears*12,"",INT($F103/$E103))</f>
        <v/>
      </c>
      <c r="H103" s="35">
        <f>IF($A103&gt;NYears*12,"",$G103*$E103)</f>
        <v/>
      </c>
      <c r="I103" s="35">
        <f>IF($A103&gt;NYears*12,"",$F103-$H103)</f>
        <v/>
      </c>
      <c r="J103" s="35">
        <f>IF($A103&gt;NYears*12,"",$H103*RateD)</f>
        <v/>
      </c>
      <c r="K103" s="35">
        <f>IF($A103&gt;NYears*12,"",IF($D103=1,$J103,$K102+$J103))</f>
        <v/>
      </c>
      <c r="L103" s="35">
        <f>IF($A103&gt;NYears*12,"",IF(MOD($D103,3)=0,SUM($J101:$J103),0))</f>
        <v/>
      </c>
      <c r="M103" s="35">
        <f>IF($A103&gt;NYears*12,"",IF(TaxFreq="Quarterly",$K103*12/$D103,$K103))</f>
        <v/>
      </c>
      <c r="N103" s="36">
        <f>IF($A103&gt;NYears*12,"",LOOKUP($M103,TaxLower,TaxRate))</f>
        <v/>
      </c>
      <c r="O103" s="35">
        <f>IF($A103&gt;NYears*12,"",IF(TaxFreq="Quarterly",IF(MOD($D103,3)=0,$L103*$N103,0),IF($D103=12,$K103*$N103,0)))</f>
        <v/>
      </c>
      <c r="P103" s="35">
        <f>IF($A103&gt;NYears*12,"",IF($D103=1,$O103,$P102+$O103))</f>
        <v/>
      </c>
      <c r="Q103" s="35">
        <f>IF($A103&gt;NYears*12,"",IF($D103=12,MIN(WdrPct*IF(WdrBase="Post-tax profit",$K103-$P103,$K103),WdrCap),0))</f>
        <v/>
      </c>
      <c r="R103" s="35">
        <f>IF($A103&gt;NYears*12,"",$F103+$J103-$O103-$Q103)</f>
        <v/>
      </c>
      <c r="S103" s="33">
        <f>IF($A103&gt;NYears*12,"",INT($R103/$E103))</f>
        <v/>
      </c>
    </row>
    <row r="104">
      <c r="A104" s="33">
        <f>100</f>
        <v/>
      </c>
      <c r="B104" s="34">
        <f>IF($A104&gt;NYears*12,"",EDATE(StartMonth,$A104-1))</f>
        <v/>
      </c>
      <c r="C104" s="33">
        <f>IF($A104&gt;NYears*12,"",INT(($A104-1)/12)+1)</f>
        <v/>
      </c>
      <c r="D104" s="33">
        <f>IF($A104&gt;NYears*12,"",MOD($A104-1,12)+1)</f>
        <v/>
      </c>
      <c r="E104" s="35">
        <f>IF($A104&gt;NYears*12,"",LotValue0*(1+LotGrowth)^($C104-1))</f>
        <v/>
      </c>
      <c r="F104" s="35">
        <f>IF($A104&gt;NYears*12,"",IF($A104=1,InitInvest,$R103))</f>
        <v/>
      </c>
      <c r="G104" s="33">
        <f>IF($A104&gt;NYears*12,"",INT($F104/$E104))</f>
        <v/>
      </c>
      <c r="H104" s="35">
        <f>IF($A104&gt;NYears*12,"",$G104*$E104)</f>
        <v/>
      </c>
      <c r="I104" s="35">
        <f>IF($A104&gt;NYears*12,"",$F104-$H104)</f>
        <v/>
      </c>
      <c r="J104" s="35">
        <f>IF($A104&gt;NYears*12,"",$H104*RateD)</f>
        <v/>
      </c>
      <c r="K104" s="35">
        <f>IF($A104&gt;NYears*12,"",IF($D104=1,$J104,$K103+$J104))</f>
        <v/>
      </c>
      <c r="L104" s="35">
        <f>IF($A104&gt;NYears*12,"",IF(MOD($D104,3)=0,SUM($J102:$J104),0))</f>
        <v/>
      </c>
      <c r="M104" s="35">
        <f>IF($A104&gt;NYears*12,"",IF(TaxFreq="Quarterly",$K104*12/$D104,$K104))</f>
        <v/>
      </c>
      <c r="N104" s="36">
        <f>IF($A104&gt;NYears*12,"",LOOKUP($M104,TaxLower,TaxRate))</f>
        <v/>
      </c>
      <c r="O104" s="35">
        <f>IF($A104&gt;NYears*12,"",IF(TaxFreq="Quarterly",IF(MOD($D104,3)=0,$L104*$N104,0),IF($D104=12,$K104*$N104,0)))</f>
        <v/>
      </c>
      <c r="P104" s="35">
        <f>IF($A104&gt;NYears*12,"",IF($D104=1,$O104,$P103+$O104))</f>
        <v/>
      </c>
      <c r="Q104" s="35">
        <f>IF($A104&gt;NYears*12,"",IF($D104=12,MIN(WdrPct*IF(WdrBase="Post-tax profit",$K104-$P104,$K104),WdrCap),0))</f>
        <v/>
      </c>
      <c r="R104" s="35">
        <f>IF($A104&gt;NYears*12,"",$F104+$J104-$O104-$Q104)</f>
        <v/>
      </c>
      <c r="S104" s="33">
        <f>IF($A104&gt;NYears*12,"",INT($R104/$E104))</f>
        <v/>
      </c>
    </row>
    <row r="105">
      <c r="A105" s="33">
        <f>101</f>
        <v/>
      </c>
      <c r="B105" s="34">
        <f>IF($A105&gt;NYears*12,"",EDATE(StartMonth,$A105-1))</f>
        <v/>
      </c>
      <c r="C105" s="33">
        <f>IF($A105&gt;NYears*12,"",INT(($A105-1)/12)+1)</f>
        <v/>
      </c>
      <c r="D105" s="33">
        <f>IF($A105&gt;NYears*12,"",MOD($A105-1,12)+1)</f>
        <v/>
      </c>
      <c r="E105" s="35">
        <f>IF($A105&gt;NYears*12,"",LotValue0*(1+LotGrowth)^($C105-1))</f>
        <v/>
      </c>
      <c r="F105" s="35">
        <f>IF($A105&gt;NYears*12,"",IF($A105=1,InitInvest,$R104))</f>
        <v/>
      </c>
      <c r="G105" s="33">
        <f>IF($A105&gt;NYears*12,"",INT($F105/$E105))</f>
        <v/>
      </c>
      <c r="H105" s="35">
        <f>IF($A105&gt;NYears*12,"",$G105*$E105)</f>
        <v/>
      </c>
      <c r="I105" s="35">
        <f>IF($A105&gt;NYears*12,"",$F105-$H105)</f>
        <v/>
      </c>
      <c r="J105" s="35">
        <f>IF($A105&gt;NYears*12,"",$H105*RateD)</f>
        <v/>
      </c>
      <c r="K105" s="35">
        <f>IF($A105&gt;NYears*12,"",IF($D105=1,$J105,$K104+$J105))</f>
        <v/>
      </c>
      <c r="L105" s="35">
        <f>IF($A105&gt;NYears*12,"",IF(MOD($D105,3)=0,SUM($J103:$J105),0))</f>
        <v/>
      </c>
      <c r="M105" s="35">
        <f>IF($A105&gt;NYears*12,"",IF(TaxFreq="Quarterly",$K105*12/$D105,$K105))</f>
        <v/>
      </c>
      <c r="N105" s="36">
        <f>IF($A105&gt;NYears*12,"",LOOKUP($M105,TaxLower,TaxRate))</f>
        <v/>
      </c>
      <c r="O105" s="35">
        <f>IF($A105&gt;NYears*12,"",IF(TaxFreq="Quarterly",IF(MOD($D105,3)=0,$L105*$N105,0),IF($D105=12,$K105*$N105,0)))</f>
        <v/>
      </c>
      <c r="P105" s="35">
        <f>IF($A105&gt;NYears*12,"",IF($D105=1,$O105,$P104+$O105))</f>
        <v/>
      </c>
      <c r="Q105" s="35">
        <f>IF($A105&gt;NYears*12,"",IF($D105=12,MIN(WdrPct*IF(WdrBase="Post-tax profit",$K105-$P105,$K105),WdrCap),0))</f>
        <v/>
      </c>
      <c r="R105" s="35">
        <f>IF($A105&gt;NYears*12,"",$F105+$J105-$O105-$Q105)</f>
        <v/>
      </c>
      <c r="S105" s="33">
        <f>IF($A105&gt;NYears*12,"",INT($R105/$E105))</f>
        <v/>
      </c>
    </row>
    <row r="106">
      <c r="A106" s="33">
        <f>102</f>
        <v/>
      </c>
      <c r="B106" s="34">
        <f>IF($A106&gt;NYears*12,"",EDATE(StartMonth,$A106-1))</f>
        <v/>
      </c>
      <c r="C106" s="33">
        <f>IF($A106&gt;NYears*12,"",INT(($A106-1)/12)+1)</f>
        <v/>
      </c>
      <c r="D106" s="33">
        <f>IF($A106&gt;NYears*12,"",MOD($A106-1,12)+1)</f>
        <v/>
      </c>
      <c r="E106" s="35">
        <f>IF($A106&gt;NYears*12,"",LotValue0*(1+LotGrowth)^($C106-1))</f>
        <v/>
      </c>
      <c r="F106" s="35">
        <f>IF($A106&gt;NYears*12,"",IF($A106=1,InitInvest,$R105))</f>
        <v/>
      </c>
      <c r="G106" s="33">
        <f>IF($A106&gt;NYears*12,"",INT($F106/$E106))</f>
        <v/>
      </c>
      <c r="H106" s="35">
        <f>IF($A106&gt;NYears*12,"",$G106*$E106)</f>
        <v/>
      </c>
      <c r="I106" s="35">
        <f>IF($A106&gt;NYears*12,"",$F106-$H106)</f>
        <v/>
      </c>
      <c r="J106" s="35">
        <f>IF($A106&gt;NYears*12,"",$H106*RateD)</f>
        <v/>
      </c>
      <c r="K106" s="35">
        <f>IF($A106&gt;NYears*12,"",IF($D106=1,$J106,$K105+$J106))</f>
        <v/>
      </c>
      <c r="L106" s="35">
        <f>IF($A106&gt;NYears*12,"",IF(MOD($D106,3)=0,SUM($J104:$J106),0))</f>
        <v/>
      </c>
      <c r="M106" s="35">
        <f>IF($A106&gt;NYears*12,"",IF(TaxFreq="Quarterly",$K106*12/$D106,$K106))</f>
        <v/>
      </c>
      <c r="N106" s="36">
        <f>IF($A106&gt;NYears*12,"",LOOKUP($M106,TaxLower,TaxRate))</f>
        <v/>
      </c>
      <c r="O106" s="35">
        <f>IF($A106&gt;NYears*12,"",IF(TaxFreq="Quarterly",IF(MOD($D106,3)=0,$L106*$N106,0),IF($D106=12,$K106*$N106,0)))</f>
        <v/>
      </c>
      <c r="P106" s="35">
        <f>IF($A106&gt;NYears*12,"",IF($D106=1,$O106,$P105+$O106))</f>
        <v/>
      </c>
      <c r="Q106" s="35">
        <f>IF($A106&gt;NYears*12,"",IF($D106=12,MIN(WdrPct*IF(WdrBase="Post-tax profit",$K106-$P106,$K106),WdrCap),0))</f>
        <v/>
      </c>
      <c r="R106" s="35">
        <f>IF($A106&gt;NYears*12,"",$F106+$J106-$O106-$Q106)</f>
        <v/>
      </c>
      <c r="S106" s="33">
        <f>IF($A106&gt;NYears*12,"",INT($R106/$E106))</f>
        <v/>
      </c>
    </row>
    <row r="107">
      <c r="A107" s="33">
        <f>103</f>
        <v/>
      </c>
      <c r="B107" s="34">
        <f>IF($A107&gt;NYears*12,"",EDATE(StartMonth,$A107-1))</f>
        <v/>
      </c>
      <c r="C107" s="33">
        <f>IF($A107&gt;NYears*12,"",INT(($A107-1)/12)+1)</f>
        <v/>
      </c>
      <c r="D107" s="33">
        <f>IF($A107&gt;NYears*12,"",MOD($A107-1,12)+1)</f>
        <v/>
      </c>
      <c r="E107" s="35">
        <f>IF($A107&gt;NYears*12,"",LotValue0*(1+LotGrowth)^($C107-1))</f>
        <v/>
      </c>
      <c r="F107" s="35">
        <f>IF($A107&gt;NYears*12,"",IF($A107=1,InitInvest,$R106))</f>
        <v/>
      </c>
      <c r="G107" s="33">
        <f>IF($A107&gt;NYears*12,"",INT($F107/$E107))</f>
        <v/>
      </c>
      <c r="H107" s="35">
        <f>IF($A107&gt;NYears*12,"",$G107*$E107)</f>
        <v/>
      </c>
      <c r="I107" s="35">
        <f>IF($A107&gt;NYears*12,"",$F107-$H107)</f>
        <v/>
      </c>
      <c r="J107" s="35">
        <f>IF($A107&gt;NYears*12,"",$H107*RateD)</f>
        <v/>
      </c>
      <c r="K107" s="35">
        <f>IF($A107&gt;NYears*12,"",IF($D107=1,$J107,$K106+$J107))</f>
        <v/>
      </c>
      <c r="L107" s="35">
        <f>IF($A107&gt;NYears*12,"",IF(MOD($D107,3)=0,SUM($J105:$J107),0))</f>
        <v/>
      </c>
      <c r="M107" s="35">
        <f>IF($A107&gt;NYears*12,"",IF(TaxFreq="Quarterly",$K107*12/$D107,$K107))</f>
        <v/>
      </c>
      <c r="N107" s="36">
        <f>IF($A107&gt;NYears*12,"",LOOKUP($M107,TaxLower,TaxRate))</f>
        <v/>
      </c>
      <c r="O107" s="35">
        <f>IF($A107&gt;NYears*12,"",IF(TaxFreq="Quarterly",IF(MOD($D107,3)=0,$L107*$N107,0),IF($D107=12,$K107*$N107,0)))</f>
        <v/>
      </c>
      <c r="P107" s="35">
        <f>IF($A107&gt;NYears*12,"",IF($D107=1,$O107,$P106+$O107))</f>
        <v/>
      </c>
      <c r="Q107" s="35">
        <f>IF($A107&gt;NYears*12,"",IF($D107=12,MIN(WdrPct*IF(WdrBase="Post-tax profit",$K107-$P107,$K107),WdrCap),0))</f>
        <v/>
      </c>
      <c r="R107" s="35">
        <f>IF($A107&gt;NYears*12,"",$F107+$J107-$O107-$Q107)</f>
        <v/>
      </c>
      <c r="S107" s="33">
        <f>IF($A107&gt;NYears*12,"",INT($R107/$E107))</f>
        <v/>
      </c>
    </row>
    <row r="108">
      <c r="A108" s="33">
        <f>104</f>
        <v/>
      </c>
      <c r="B108" s="34">
        <f>IF($A108&gt;NYears*12,"",EDATE(StartMonth,$A108-1))</f>
        <v/>
      </c>
      <c r="C108" s="33">
        <f>IF($A108&gt;NYears*12,"",INT(($A108-1)/12)+1)</f>
        <v/>
      </c>
      <c r="D108" s="33">
        <f>IF($A108&gt;NYears*12,"",MOD($A108-1,12)+1)</f>
        <v/>
      </c>
      <c r="E108" s="35">
        <f>IF($A108&gt;NYears*12,"",LotValue0*(1+LotGrowth)^($C108-1))</f>
        <v/>
      </c>
      <c r="F108" s="35">
        <f>IF($A108&gt;NYears*12,"",IF($A108=1,InitInvest,$R107))</f>
        <v/>
      </c>
      <c r="G108" s="33">
        <f>IF($A108&gt;NYears*12,"",INT($F108/$E108))</f>
        <v/>
      </c>
      <c r="H108" s="35">
        <f>IF($A108&gt;NYears*12,"",$G108*$E108)</f>
        <v/>
      </c>
      <c r="I108" s="35">
        <f>IF($A108&gt;NYears*12,"",$F108-$H108)</f>
        <v/>
      </c>
      <c r="J108" s="35">
        <f>IF($A108&gt;NYears*12,"",$H108*RateD)</f>
        <v/>
      </c>
      <c r="K108" s="35">
        <f>IF($A108&gt;NYears*12,"",IF($D108=1,$J108,$K107+$J108))</f>
        <v/>
      </c>
      <c r="L108" s="35">
        <f>IF($A108&gt;NYears*12,"",IF(MOD($D108,3)=0,SUM($J106:$J108),0))</f>
        <v/>
      </c>
      <c r="M108" s="35">
        <f>IF($A108&gt;NYears*12,"",IF(TaxFreq="Quarterly",$K108*12/$D108,$K108))</f>
        <v/>
      </c>
      <c r="N108" s="36">
        <f>IF($A108&gt;NYears*12,"",LOOKUP($M108,TaxLower,TaxRate))</f>
        <v/>
      </c>
      <c r="O108" s="35">
        <f>IF($A108&gt;NYears*12,"",IF(TaxFreq="Quarterly",IF(MOD($D108,3)=0,$L108*$N108,0),IF($D108=12,$K108*$N108,0)))</f>
        <v/>
      </c>
      <c r="P108" s="35">
        <f>IF($A108&gt;NYears*12,"",IF($D108=1,$O108,$P107+$O108))</f>
        <v/>
      </c>
      <c r="Q108" s="35">
        <f>IF($A108&gt;NYears*12,"",IF($D108=12,MIN(WdrPct*IF(WdrBase="Post-tax profit",$K108-$P108,$K108),WdrCap),0))</f>
        <v/>
      </c>
      <c r="R108" s="35">
        <f>IF($A108&gt;NYears*12,"",$F108+$J108-$O108-$Q108)</f>
        <v/>
      </c>
      <c r="S108" s="33">
        <f>IF($A108&gt;NYears*12,"",INT($R108/$E108))</f>
        <v/>
      </c>
    </row>
    <row r="109">
      <c r="A109" s="33">
        <f>105</f>
        <v/>
      </c>
      <c r="B109" s="34">
        <f>IF($A109&gt;NYears*12,"",EDATE(StartMonth,$A109-1))</f>
        <v/>
      </c>
      <c r="C109" s="33">
        <f>IF($A109&gt;NYears*12,"",INT(($A109-1)/12)+1)</f>
        <v/>
      </c>
      <c r="D109" s="33">
        <f>IF($A109&gt;NYears*12,"",MOD($A109-1,12)+1)</f>
        <v/>
      </c>
      <c r="E109" s="35">
        <f>IF($A109&gt;NYears*12,"",LotValue0*(1+LotGrowth)^($C109-1))</f>
        <v/>
      </c>
      <c r="F109" s="35">
        <f>IF($A109&gt;NYears*12,"",IF($A109=1,InitInvest,$R108))</f>
        <v/>
      </c>
      <c r="G109" s="33">
        <f>IF($A109&gt;NYears*12,"",INT($F109/$E109))</f>
        <v/>
      </c>
      <c r="H109" s="35">
        <f>IF($A109&gt;NYears*12,"",$G109*$E109)</f>
        <v/>
      </c>
      <c r="I109" s="35">
        <f>IF($A109&gt;NYears*12,"",$F109-$H109)</f>
        <v/>
      </c>
      <c r="J109" s="35">
        <f>IF($A109&gt;NYears*12,"",$H109*RateD)</f>
        <v/>
      </c>
      <c r="K109" s="35">
        <f>IF($A109&gt;NYears*12,"",IF($D109=1,$J109,$K108+$J109))</f>
        <v/>
      </c>
      <c r="L109" s="35">
        <f>IF($A109&gt;NYears*12,"",IF(MOD($D109,3)=0,SUM($J107:$J109),0))</f>
        <v/>
      </c>
      <c r="M109" s="35">
        <f>IF($A109&gt;NYears*12,"",IF(TaxFreq="Quarterly",$K109*12/$D109,$K109))</f>
        <v/>
      </c>
      <c r="N109" s="36">
        <f>IF($A109&gt;NYears*12,"",LOOKUP($M109,TaxLower,TaxRate))</f>
        <v/>
      </c>
      <c r="O109" s="35">
        <f>IF($A109&gt;NYears*12,"",IF(TaxFreq="Quarterly",IF(MOD($D109,3)=0,$L109*$N109,0),IF($D109=12,$K109*$N109,0)))</f>
        <v/>
      </c>
      <c r="P109" s="35">
        <f>IF($A109&gt;NYears*12,"",IF($D109=1,$O109,$P108+$O109))</f>
        <v/>
      </c>
      <c r="Q109" s="35">
        <f>IF($A109&gt;NYears*12,"",IF($D109=12,MIN(WdrPct*IF(WdrBase="Post-tax profit",$K109-$P109,$K109),WdrCap),0))</f>
        <v/>
      </c>
      <c r="R109" s="35">
        <f>IF($A109&gt;NYears*12,"",$F109+$J109-$O109-$Q109)</f>
        <v/>
      </c>
      <c r="S109" s="33">
        <f>IF($A109&gt;NYears*12,"",INT($R109/$E109))</f>
        <v/>
      </c>
    </row>
    <row r="110">
      <c r="A110" s="33">
        <f>106</f>
        <v/>
      </c>
      <c r="B110" s="34">
        <f>IF($A110&gt;NYears*12,"",EDATE(StartMonth,$A110-1))</f>
        <v/>
      </c>
      <c r="C110" s="33">
        <f>IF($A110&gt;NYears*12,"",INT(($A110-1)/12)+1)</f>
        <v/>
      </c>
      <c r="D110" s="33">
        <f>IF($A110&gt;NYears*12,"",MOD($A110-1,12)+1)</f>
        <v/>
      </c>
      <c r="E110" s="35">
        <f>IF($A110&gt;NYears*12,"",LotValue0*(1+LotGrowth)^($C110-1))</f>
        <v/>
      </c>
      <c r="F110" s="35">
        <f>IF($A110&gt;NYears*12,"",IF($A110=1,InitInvest,$R109))</f>
        <v/>
      </c>
      <c r="G110" s="33">
        <f>IF($A110&gt;NYears*12,"",INT($F110/$E110))</f>
        <v/>
      </c>
      <c r="H110" s="35">
        <f>IF($A110&gt;NYears*12,"",$G110*$E110)</f>
        <v/>
      </c>
      <c r="I110" s="35">
        <f>IF($A110&gt;NYears*12,"",$F110-$H110)</f>
        <v/>
      </c>
      <c r="J110" s="35">
        <f>IF($A110&gt;NYears*12,"",$H110*RateD)</f>
        <v/>
      </c>
      <c r="K110" s="35">
        <f>IF($A110&gt;NYears*12,"",IF($D110=1,$J110,$K109+$J110))</f>
        <v/>
      </c>
      <c r="L110" s="35">
        <f>IF($A110&gt;NYears*12,"",IF(MOD($D110,3)=0,SUM($J108:$J110),0))</f>
        <v/>
      </c>
      <c r="M110" s="35">
        <f>IF($A110&gt;NYears*12,"",IF(TaxFreq="Quarterly",$K110*12/$D110,$K110))</f>
        <v/>
      </c>
      <c r="N110" s="36">
        <f>IF($A110&gt;NYears*12,"",LOOKUP($M110,TaxLower,TaxRate))</f>
        <v/>
      </c>
      <c r="O110" s="35">
        <f>IF($A110&gt;NYears*12,"",IF(TaxFreq="Quarterly",IF(MOD($D110,3)=0,$L110*$N110,0),IF($D110=12,$K110*$N110,0)))</f>
        <v/>
      </c>
      <c r="P110" s="35">
        <f>IF($A110&gt;NYears*12,"",IF($D110=1,$O110,$P109+$O110))</f>
        <v/>
      </c>
      <c r="Q110" s="35">
        <f>IF($A110&gt;NYears*12,"",IF($D110=12,MIN(WdrPct*IF(WdrBase="Post-tax profit",$K110-$P110,$K110),WdrCap),0))</f>
        <v/>
      </c>
      <c r="R110" s="35">
        <f>IF($A110&gt;NYears*12,"",$F110+$J110-$O110-$Q110)</f>
        <v/>
      </c>
      <c r="S110" s="33">
        <f>IF($A110&gt;NYears*12,"",INT($R110/$E110))</f>
        <v/>
      </c>
    </row>
    <row r="111">
      <c r="A111" s="33">
        <f>107</f>
        <v/>
      </c>
      <c r="B111" s="34">
        <f>IF($A111&gt;NYears*12,"",EDATE(StartMonth,$A111-1))</f>
        <v/>
      </c>
      <c r="C111" s="33">
        <f>IF($A111&gt;NYears*12,"",INT(($A111-1)/12)+1)</f>
        <v/>
      </c>
      <c r="D111" s="33">
        <f>IF($A111&gt;NYears*12,"",MOD($A111-1,12)+1)</f>
        <v/>
      </c>
      <c r="E111" s="35">
        <f>IF($A111&gt;NYears*12,"",LotValue0*(1+LotGrowth)^($C111-1))</f>
        <v/>
      </c>
      <c r="F111" s="35">
        <f>IF($A111&gt;NYears*12,"",IF($A111=1,InitInvest,$R110))</f>
        <v/>
      </c>
      <c r="G111" s="33">
        <f>IF($A111&gt;NYears*12,"",INT($F111/$E111))</f>
        <v/>
      </c>
      <c r="H111" s="35">
        <f>IF($A111&gt;NYears*12,"",$G111*$E111)</f>
        <v/>
      </c>
      <c r="I111" s="35">
        <f>IF($A111&gt;NYears*12,"",$F111-$H111)</f>
        <v/>
      </c>
      <c r="J111" s="35">
        <f>IF($A111&gt;NYears*12,"",$H111*RateD)</f>
        <v/>
      </c>
      <c r="K111" s="35">
        <f>IF($A111&gt;NYears*12,"",IF($D111=1,$J111,$K110+$J111))</f>
        <v/>
      </c>
      <c r="L111" s="35">
        <f>IF($A111&gt;NYears*12,"",IF(MOD($D111,3)=0,SUM($J109:$J111),0))</f>
        <v/>
      </c>
      <c r="M111" s="35">
        <f>IF($A111&gt;NYears*12,"",IF(TaxFreq="Quarterly",$K111*12/$D111,$K111))</f>
        <v/>
      </c>
      <c r="N111" s="36">
        <f>IF($A111&gt;NYears*12,"",LOOKUP($M111,TaxLower,TaxRate))</f>
        <v/>
      </c>
      <c r="O111" s="35">
        <f>IF($A111&gt;NYears*12,"",IF(TaxFreq="Quarterly",IF(MOD($D111,3)=0,$L111*$N111,0),IF($D111=12,$K111*$N111,0)))</f>
        <v/>
      </c>
      <c r="P111" s="35">
        <f>IF($A111&gt;NYears*12,"",IF($D111=1,$O111,$P110+$O111))</f>
        <v/>
      </c>
      <c r="Q111" s="35">
        <f>IF($A111&gt;NYears*12,"",IF($D111=12,MIN(WdrPct*IF(WdrBase="Post-tax profit",$K111-$P111,$K111),WdrCap),0))</f>
        <v/>
      </c>
      <c r="R111" s="35">
        <f>IF($A111&gt;NYears*12,"",$F111+$J111-$O111-$Q111)</f>
        <v/>
      </c>
      <c r="S111" s="33">
        <f>IF($A111&gt;NYears*12,"",INT($R111/$E111))</f>
        <v/>
      </c>
    </row>
    <row r="112">
      <c r="A112" s="37">
        <f>108</f>
        <v/>
      </c>
      <c r="B112" s="38">
        <f>IF($A112&gt;NYears*12,"",EDATE(StartMonth,$A112-1))</f>
        <v/>
      </c>
      <c r="C112" s="37">
        <f>IF($A112&gt;NYears*12,"",INT(($A112-1)/12)+1)</f>
        <v/>
      </c>
      <c r="D112" s="37">
        <f>IF($A112&gt;NYears*12,"",MOD($A112-1,12)+1)</f>
        <v/>
      </c>
      <c r="E112" s="39">
        <f>IF($A112&gt;NYears*12,"",LotValue0*(1+LotGrowth)^($C112-1))</f>
        <v/>
      </c>
      <c r="F112" s="39">
        <f>IF($A112&gt;NYears*12,"",IF($A112=1,InitInvest,$R111))</f>
        <v/>
      </c>
      <c r="G112" s="37">
        <f>IF($A112&gt;NYears*12,"",INT($F112/$E112))</f>
        <v/>
      </c>
      <c r="H112" s="39">
        <f>IF($A112&gt;NYears*12,"",$G112*$E112)</f>
        <v/>
      </c>
      <c r="I112" s="39">
        <f>IF($A112&gt;NYears*12,"",$F112-$H112)</f>
        <v/>
      </c>
      <c r="J112" s="39">
        <f>IF($A112&gt;NYears*12,"",$H112*RateD)</f>
        <v/>
      </c>
      <c r="K112" s="39">
        <f>IF($A112&gt;NYears*12,"",IF($D112=1,$J112,$K111+$J112))</f>
        <v/>
      </c>
      <c r="L112" s="39">
        <f>IF($A112&gt;NYears*12,"",IF(MOD($D112,3)=0,SUM($J110:$J112),0))</f>
        <v/>
      </c>
      <c r="M112" s="39">
        <f>IF($A112&gt;NYears*12,"",IF(TaxFreq="Quarterly",$K112*12/$D112,$K112))</f>
        <v/>
      </c>
      <c r="N112" s="40">
        <f>IF($A112&gt;NYears*12,"",LOOKUP($M112,TaxLower,TaxRate))</f>
        <v/>
      </c>
      <c r="O112" s="39">
        <f>IF($A112&gt;NYears*12,"",IF(TaxFreq="Quarterly",IF(MOD($D112,3)=0,$L112*$N112,0),IF($D112=12,$K112*$N112,0)))</f>
        <v/>
      </c>
      <c r="P112" s="39">
        <f>IF($A112&gt;NYears*12,"",IF($D112=1,$O112,$P111+$O112))</f>
        <v/>
      </c>
      <c r="Q112" s="39">
        <f>IF($A112&gt;NYears*12,"",IF($D112=12,MIN(WdrPct*IF(WdrBase="Post-tax profit",$K112-$P112,$K112),WdrCap),0))</f>
        <v/>
      </c>
      <c r="R112" s="39">
        <f>IF($A112&gt;NYears*12,"",$F112+$J112-$O112-$Q112)</f>
        <v/>
      </c>
      <c r="S112" s="37">
        <f>IF($A112&gt;NYears*12,"",INT($R112/$E112))</f>
        <v/>
      </c>
    </row>
    <row r="113">
      <c r="A113" s="33">
        <f>109</f>
        <v/>
      </c>
      <c r="B113" s="34">
        <f>IF($A113&gt;NYears*12,"",EDATE(StartMonth,$A113-1))</f>
        <v/>
      </c>
      <c r="C113" s="33">
        <f>IF($A113&gt;NYears*12,"",INT(($A113-1)/12)+1)</f>
        <v/>
      </c>
      <c r="D113" s="33">
        <f>IF($A113&gt;NYears*12,"",MOD($A113-1,12)+1)</f>
        <v/>
      </c>
      <c r="E113" s="35">
        <f>IF($A113&gt;NYears*12,"",LotValue0*(1+LotGrowth)^($C113-1))</f>
        <v/>
      </c>
      <c r="F113" s="35">
        <f>IF($A113&gt;NYears*12,"",IF($A113=1,InitInvest,$R112))</f>
        <v/>
      </c>
      <c r="G113" s="33">
        <f>IF($A113&gt;NYears*12,"",INT($F113/$E113))</f>
        <v/>
      </c>
      <c r="H113" s="35">
        <f>IF($A113&gt;NYears*12,"",$G113*$E113)</f>
        <v/>
      </c>
      <c r="I113" s="35">
        <f>IF($A113&gt;NYears*12,"",$F113-$H113)</f>
        <v/>
      </c>
      <c r="J113" s="35">
        <f>IF($A113&gt;NYears*12,"",$H113*RateD)</f>
        <v/>
      </c>
      <c r="K113" s="35">
        <f>IF($A113&gt;NYears*12,"",IF($D113=1,$J113,$K112+$J113))</f>
        <v/>
      </c>
      <c r="L113" s="35">
        <f>IF($A113&gt;NYears*12,"",IF(MOD($D113,3)=0,SUM($J111:$J113),0))</f>
        <v/>
      </c>
      <c r="M113" s="35">
        <f>IF($A113&gt;NYears*12,"",IF(TaxFreq="Quarterly",$K113*12/$D113,$K113))</f>
        <v/>
      </c>
      <c r="N113" s="36">
        <f>IF($A113&gt;NYears*12,"",LOOKUP($M113,TaxLower,TaxRate))</f>
        <v/>
      </c>
      <c r="O113" s="35">
        <f>IF($A113&gt;NYears*12,"",IF(TaxFreq="Quarterly",IF(MOD($D113,3)=0,$L113*$N113,0),IF($D113=12,$K113*$N113,0)))</f>
        <v/>
      </c>
      <c r="P113" s="35">
        <f>IF($A113&gt;NYears*12,"",IF($D113=1,$O113,$P112+$O113))</f>
        <v/>
      </c>
      <c r="Q113" s="35">
        <f>IF($A113&gt;NYears*12,"",IF($D113=12,MIN(WdrPct*IF(WdrBase="Post-tax profit",$K113-$P113,$K113),WdrCap),0))</f>
        <v/>
      </c>
      <c r="R113" s="35">
        <f>IF($A113&gt;NYears*12,"",$F113+$J113-$O113-$Q113)</f>
        <v/>
      </c>
      <c r="S113" s="33">
        <f>IF($A113&gt;NYears*12,"",INT($R113/$E113))</f>
        <v/>
      </c>
    </row>
    <row r="114">
      <c r="A114" s="33">
        <f>110</f>
        <v/>
      </c>
      <c r="B114" s="34">
        <f>IF($A114&gt;NYears*12,"",EDATE(StartMonth,$A114-1))</f>
        <v/>
      </c>
      <c r="C114" s="33">
        <f>IF($A114&gt;NYears*12,"",INT(($A114-1)/12)+1)</f>
        <v/>
      </c>
      <c r="D114" s="33">
        <f>IF($A114&gt;NYears*12,"",MOD($A114-1,12)+1)</f>
        <v/>
      </c>
      <c r="E114" s="35">
        <f>IF($A114&gt;NYears*12,"",LotValue0*(1+LotGrowth)^($C114-1))</f>
        <v/>
      </c>
      <c r="F114" s="35">
        <f>IF($A114&gt;NYears*12,"",IF($A114=1,InitInvest,$R113))</f>
        <v/>
      </c>
      <c r="G114" s="33">
        <f>IF($A114&gt;NYears*12,"",INT($F114/$E114))</f>
        <v/>
      </c>
      <c r="H114" s="35">
        <f>IF($A114&gt;NYears*12,"",$G114*$E114)</f>
        <v/>
      </c>
      <c r="I114" s="35">
        <f>IF($A114&gt;NYears*12,"",$F114-$H114)</f>
        <v/>
      </c>
      <c r="J114" s="35">
        <f>IF($A114&gt;NYears*12,"",$H114*RateD)</f>
        <v/>
      </c>
      <c r="K114" s="35">
        <f>IF($A114&gt;NYears*12,"",IF($D114=1,$J114,$K113+$J114))</f>
        <v/>
      </c>
      <c r="L114" s="35">
        <f>IF($A114&gt;NYears*12,"",IF(MOD($D114,3)=0,SUM($J112:$J114),0))</f>
        <v/>
      </c>
      <c r="M114" s="35">
        <f>IF($A114&gt;NYears*12,"",IF(TaxFreq="Quarterly",$K114*12/$D114,$K114))</f>
        <v/>
      </c>
      <c r="N114" s="36">
        <f>IF($A114&gt;NYears*12,"",LOOKUP($M114,TaxLower,TaxRate))</f>
        <v/>
      </c>
      <c r="O114" s="35">
        <f>IF($A114&gt;NYears*12,"",IF(TaxFreq="Quarterly",IF(MOD($D114,3)=0,$L114*$N114,0),IF($D114=12,$K114*$N114,0)))</f>
        <v/>
      </c>
      <c r="P114" s="35">
        <f>IF($A114&gt;NYears*12,"",IF($D114=1,$O114,$P113+$O114))</f>
        <v/>
      </c>
      <c r="Q114" s="35">
        <f>IF($A114&gt;NYears*12,"",IF($D114=12,MIN(WdrPct*IF(WdrBase="Post-tax profit",$K114-$P114,$K114),WdrCap),0))</f>
        <v/>
      </c>
      <c r="R114" s="35">
        <f>IF($A114&gt;NYears*12,"",$F114+$J114-$O114-$Q114)</f>
        <v/>
      </c>
      <c r="S114" s="33">
        <f>IF($A114&gt;NYears*12,"",INT($R114/$E114))</f>
        <v/>
      </c>
    </row>
    <row r="115">
      <c r="A115" s="33">
        <f>111</f>
        <v/>
      </c>
      <c r="B115" s="34">
        <f>IF($A115&gt;NYears*12,"",EDATE(StartMonth,$A115-1))</f>
        <v/>
      </c>
      <c r="C115" s="33">
        <f>IF($A115&gt;NYears*12,"",INT(($A115-1)/12)+1)</f>
        <v/>
      </c>
      <c r="D115" s="33">
        <f>IF($A115&gt;NYears*12,"",MOD($A115-1,12)+1)</f>
        <v/>
      </c>
      <c r="E115" s="35">
        <f>IF($A115&gt;NYears*12,"",LotValue0*(1+LotGrowth)^($C115-1))</f>
        <v/>
      </c>
      <c r="F115" s="35">
        <f>IF($A115&gt;NYears*12,"",IF($A115=1,InitInvest,$R114))</f>
        <v/>
      </c>
      <c r="G115" s="33">
        <f>IF($A115&gt;NYears*12,"",INT($F115/$E115))</f>
        <v/>
      </c>
      <c r="H115" s="35">
        <f>IF($A115&gt;NYears*12,"",$G115*$E115)</f>
        <v/>
      </c>
      <c r="I115" s="35">
        <f>IF($A115&gt;NYears*12,"",$F115-$H115)</f>
        <v/>
      </c>
      <c r="J115" s="35">
        <f>IF($A115&gt;NYears*12,"",$H115*RateD)</f>
        <v/>
      </c>
      <c r="K115" s="35">
        <f>IF($A115&gt;NYears*12,"",IF($D115=1,$J115,$K114+$J115))</f>
        <v/>
      </c>
      <c r="L115" s="35">
        <f>IF($A115&gt;NYears*12,"",IF(MOD($D115,3)=0,SUM($J113:$J115),0))</f>
        <v/>
      </c>
      <c r="M115" s="35">
        <f>IF($A115&gt;NYears*12,"",IF(TaxFreq="Quarterly",$K115*12/$D115,$K115))</f>
        <v/>
      </c>
      <c r="N115" s="36">
        <f>IF($A115&gt;NYears*12,"",LOOKUP($M115,TaxLower,TaxRate))</f>
        <v/>
      </c>
      <c r="O115" s="35">
        <f>IF($A115&gt;NYears*12,"",IF(TaxFreq="Quarterly",IF(MOD($D115,3)=0,$L115*$N115,0),IF($D115=12,$K115*$N115,0)))</f>
        <v/>
      </c>
      <c r="P115" s="35">
        <f>IF($A115&gt;NYears*12,"",IF($D115=1,$O115,$P114+$O115))</f>
        <v/>
      </c>
      <c r="Q115" s="35">
        <f>IF($A115&gt;NYears*12,"",IF($D115=12,MIN(WdrPct*IF(WdrBase="Post-tax profit",$K115-$P115,$K115),WdrCap),0))</f>
        <v/>
      </c>
      <c r="R115" s="35">
        <f>IF($A115&gt;NYears*12,"",$F115+$J115-$O115-$Q115)</f>
        <v/>
      </c>
      <c r="S115" s="33">
        <f>IF($A115&gt;NYears*12,"",INT($R115/$E115))</f>
        <v/>
      </c>
    </row>
    <row r="116">
      <c r="A116" s="33">
        <f>112</f>
        <v/>
      </c>
      <c r="B116" s="34">
        <f>IF($A116&gt;NYears*12,"",EDATE(StartMonth,$A116-1))</f>
        <v/>
      </c>
      <c r="C116" s="33">
        <f>IF($A116&gt;NYears*12,"",INT(($A116-1)/12)+1)</f>
        <v/>
      </c>
      <c r="D116" s="33">
        <f>IF($A116&gt;NYears*12,"",MOD($A116-1,12)+1)</f>
        <v/>
      </c>
      <c r="E116" s="35">
        <f>IF($A116&gt;NYears*12,"",LotValue0*(1+LotGrowth)^($C116-1))</f>
        <v/>
      </c>
      <c r="F116" s="35">
        <f>IF($A116&gt;NYears*12,"",IF($A116=1,InitInvest,$R115))</f>
        <v/>
      </c>
      <c r="G116" s="33">
        <f>IF($A116&gt;NYears*12,"",INT($F116/$E116))</f>
        <v/>
      </c>
      <c r="H116" s="35">
        <f>IF($A116&gt;NYears*12,"",$G116*$E116)</f>
        <v/>
      </c>
      <c r="I116" s="35">
        <f>IF($A116&gt;NYears*12,"",$F116-$H116)</f>
        <v/>
      </c>
      <c r="J116" s="35">
        <f>IF($A116&gt;NYears*12,"",$H116*RateD)</f>
        <v/>
      </c>
      <c r="K116" s="35">
        <f>IF($A116&gt;NYears*12,"",IF($D116=1,$J116,$K115+$J116))</f>
        <v/>
      </c>
      <c r="L116" s="35">
        <f>IF($A116&gt;NYears*12,"",IF(MOD($D116,3)=0,SUM($J114:$J116),0))</f>
        <v/>
      </c>
      <c r="M116" s="35">
        <f>IF($A116&gt;NYears*12,"",IF(TaxFreq="Quarterly",$K116*12/$D116,$K116))</f>
        <v/>
      </c>
      <c r="N116" s="36">
        <f>IF($A116&gt;NYears*12,"",LOOKUP($M116,TaxLower,TaxRate))</f>
        <v/>
      </c>
      <c r="O116" s="35">
        <f>IF($A116&gt;NYears*12,"",IF(TaxFreq="Quarterly",IF(MOD($D116,3)=0,$L116*$N116,0),IF($D116=12,$K116*$N116,0)))</f>
        <v/>
      </c>
      <c r="P116" s="35">
        <f>IF($A116&gt;NYears*12,"",IF($D116=1,$O116,$P115+$O116))</f>
        <v/>
      </c>
      <c r="Q116" s="35">
        <f>IF($A116&gt;NYears*12,"",IF($D116=12,MIN(WdrPct*IF(WdrBase="Post-tax profit",$K116-$P116,$K116),WdrCap),0))</f>
        <v/>
      </c>
      <c r="R116" s="35">
        <f>IF($A116&gt;NYears*12,"",$F116+$J116-$O116-$Q116)</f>
        <v/>
      </c>
      <c r="S116" s="33">
        <f>IF($A116&gt;NYears*12,"",INT($R116/$E116))</f>
        <v/>
      </c>
    </row>
    <row r="117">
      <c r="A117" s="33">
        <f>113</f>
        <v/>
      </c>
      <c r="B117" s="34">
        <f>IF($A117&gt;NYears*12,"",EDATE(StartMonth,$A117-1))</f>
        <v/>
      </c>
      <c r="C117" s="33">
        <f>IF($A117&gt;NYears*12,"",INT(($A117-1)/12)+1)</f>
        <v/>
      </c>
      <c r="D117" s="33">
        <f>IF($A117&gt;NYears*12,"",MOD($A117-1,12)+1)</f>
        <v/>
      </c>
      <c r="E117" s="35">
        <f>IF($A117&gt;NYears*12,"",LotValue0*(1+LotGrowth)^($C117-1))</f>
        <v/>
      </c>
      <c r="F117" s="35">
        <f>IF($A117&gt;NYears*12,"",IF($A117=1,InitInvest,$R116))</f>
        <v/>
      </c>
      <c r="G117" s="33">
        <f>IF($A117&gt;NYears*12,"",INT($F117/$E117))</f>
        <v/>
      </c>
      <c r="H117" s="35">
        <f>IF($A117&gt;NYears*12,"",$G117*$E117)</f>
        <v/>
      </c>
      <c r="I117" s="35">
        <f>IF($A117&gt;NYears*12,"",$F117-$H117)</f>
        <v/>
      </c>
      <c r="J117" s="35">
        <f>IF($A117&gt;NYears*12,"",$H117*RateD)</f>
        <v/>
      </c>
      <c r="K117" s="35">
        <f>IF($A117&gt;NYears*12,"",IF($D117=1,$J117,$K116+$J117))</f>
        <v/>
      </c>
      <c r="L117" s="35">
        <f>IF($A117&gt;NYears*12,"",IF(MOD($D117,3)=0,SUM($J115:$J117),0))</f>
        <v/>
      </c>
      <c r="M117" s="35">
        <f>IF($A117&gt;NYears*12,"",IF(TaxFreq="Quarterly",$K117*12/$D117,$K117))</f>
        <v/>
      </c>
      <c r="N117" s="36">
        <f>IF($A117&gt;NYears*12,"",LOOKUP($M117,TaxLower,TaxRate))</f>
        <v/>
      </c>
      <c r="O117" s="35">
        <f>IF($A117&gt;NYears*12,"",IF(TaxFreq="Quarterly",IF(MOD($D117,3)=0,$L117*$N117,0),IF($D117=12,$K117*$N117,0)))</f>
        <v/>
      </c>
      <c r="P117" s="35">
        <f>IF($A117&gt;NYears*12,"",IF($D117=1,$O117,$P116+$O117))</f>
        <v/>
      </c>
      <c r="Q117" s="35">
        <f>IF($A117&gt;NYears*12,"",IF($D117=12,MIN(WdrPct*IF(WdrBase="Post-tax profit",$K117-$P117,$K117),WdrCap),0))</f>
        <v/>
      </c>
      <c r="R117" s="35">
        <f>IF($A117&gt;NYears*12,"",$F117+$J117-$O117-$Q117)</f>
        <v/>
      </c>
      <c r="S117" s="33">
        <f>IF($A117&gt;NYears*12,"",INT($R117/$E117))</f>
        <v/>
      </c>
    </row>
    <row r="118">
      <c r="A118" s="33">
        <f>114</f>
        <v/>
      </c>
      <c r="B118" s="34">
        <f>IF($A118&gt;NYears*12,"",EDATE(StartMonth,$A118-1))</f>
        <v/>
      </c>
      <c r="C118" s="33">
        <f>IF($A118&gt;NYears*12,"",INT(($A118-1)/12)+1)</f>
        <v/>
      </c>
      <c r="D118" s="33">
        <f>IF($A118&gt;NYears*12,"",MOD($A118-1,12)+1)</f>
        <v/>
      </c>
      <c r="E118" s="35">
        <f>IF($A118&gt;NYears*12,"",LotValue0*(1+LotGrowth)^($C118-1))</f>
        <v/>
      </c>
      <c r="F118" s="35">
        <f>IF($A118&gt;NYears*12,"",IF($A118=1,InitInvest,$R117))</f>
        <v/>
      </c>
      <c r="G118" s="33">
        <f>IF($A118&gt;NYears*12,"",INT($F118/$E118))</f>
        <v/>
      </c>
      <c r="H118" s="35">
        <f>IF($A118&gt;NYears*12,"",$G118*$E118)</f>
        <v/>
      </c>
      <c r="I118" s="35">
        <f>IF($A118&gt;NYears*12,"",$F118-$H118)</f>
        <v/>
      </c>
      <c r="J118" s="35">
        <f>IF($A118&gt;NYears*12,"",$H118*RateD)</f>
        <v/>
      </c>
      <c r="K118" s="35">
        <f>IF($A118&gt;NYears*12,"",IF($D118=1,$J118,$K117+$J118))</f>
        <v/>
      </c>
      <c r="L118" s="35">
        <f>IF($A118&gt;NYears*12,"",IF(MOD($D118,3)=0,SUM($J116:$J118),0))</f>
        <v/>
      </c>
      <c r="M118" s="35">
        <f>IF($A118&gt;NYears*12,"",IF(TaxFreq="Quarterly",$K118*12/$D118,$K118))</f>
        <v/>
      </c>
      <c r="N118" s="36">
        <f>IF($A118&gt;NYears*12,"",LOOKUP($M118,TaxLower,TaxRate))</f>
        <v/>
      </c>
      <c r="O118" s="35">
        <f>IF($A118&gt;NYears*12,"",IF(TaxFreq="Quarterly",IF(MOD($D118,3)=0,$L118*$N118,0),IF($D118=12,$K118*$N118,0)))</f>
        <v/>
      </c>
      <c r="P118" s="35">
        <f>IF($A118&gt;NYears*12,"",IF($D118=1,$O118,$P117+$O118))</f>
        <v/>
      </c>
      <c r="Q118" s="35">
        <f>IF($A118&gt;NYears*12,"",IF($D118=12,MIN(WdrPct*IF(WdrBase="Post-tax profit",$K118-$P118,$K118),WdrCap),0))</f>
        <v/>
      </c>
      <c r="R118" s="35">
        <f>IF($A118&gt;NYears*12,"",$F118+$J118-$O118-$Q118)</f>
        <v/>
      </c>
      <c r="S118" s="33">
        <f>IF($A118&gt;NYears*12,"",INT($R118/$E118))</f>
        <v/>
      </c>
    </row>
    <row r="119">
      <c r="A119" s="33">
        <f>115</f>
        <v/>
      </c>
      <c r="B119" s="34">
        <f>IF($A119&gt;NYears*12,"",EDATE(StartMonth,$A119-1))</f>
        <v/>
      </c>
      <c r="C119" s="33">
        <f>IF($A119&gt;NYears*12,"",INT(($A119-1)/12)+1)</f>
        <v/>
      </c>
      <c r="D119" s="33">
        <f>IF($A119&gt;NYears*12,"",MOD($A119-1,12)+1)</f>
        <v/>
      </c>
      <c r="E119" s="35">
        <f>IF($A119&gt;NYears*12,"",LotValue0*(1+LotGrowth)^($C119-1))</f>
        <v/>
      </c>
      <c r="F119" s="35">
        <f>IF($A119&gt;NYears*12,"",IF($A119=1,InitInvest,$R118))</f>
        <v/>
      </c>
      <c r="G119" s="33">
        <f>IF($A119&gt;NYears*12,"",INT($F119/$E119))</f>
        <v/>
      </c>
      <c r="H119" s="35">
        <f>IF($A119&gt;NYears*12,"",$G119*$E119)</f>
        <v/>
      </c>
      <c r="I119" s="35">
        <f>IF($A119&gt;NYears*12,"",$F119-$H119)</f>
        <v/>
      </c>
      <c r="J119" s="35">
        <f>IF($A119&gt;NYears*12,"",$H119*RateD)</f>
        <v/>
      </c>
      <c r="K119" s="35">
        <f>IF($A119&gt;NYears*12,"",IF($D119=1,$J119,$K118+$J119))</f>
        <v/>
      </c>
      <c r="L119" s="35">
        <f>IF($A119&gt;NYears*12,"",IF(MOD($D119,3)=0,SUM($J117:$J119),0))</f>
        <v/>
      </c>
      <c r="M119" s="35">
        <f>IF($A119&gt;NYears*12,"",IF(TaxFreq="Quarterly",$K119*12/$D119,$K119))</f>
        <v/>
      </c>
      <c r="N119" s="36">
        <f>IF($A119&gt;NYears*12,"",LOOKUP($M119,TaxLower,TaxRate))</f>
        <v/>
      </c>
      <c r="O119" s="35">
        <f>IF($A119&gt;NYears*12,"",IF(TaxFreq="Quarterly",IF(MOD($D119,3)=0,$L119*$N119,0),IF($D119=12,$K119*$N119,0)))</f>
        <v/>
      </c>
      <c r="P119" s="35">
        <f>IF($A119&gt;NYears*12,"",IF($D119=1,$O119,$P118+$O119))</f>
        <v/>
      </c>
      <c r="Q119" s="35">
        <f>IF($A119&gt;NYears*12,"",IF($D119=12,MIN(WdrPct*IF(WdrBase="Post-tax profit",$K119-$P119,$K119),WdrCap),0))</f>
        <v/>
      </c>
      <c r="R119" s="35">
        <f>IF($A119&gt;NYears*12,"",$F119+$J119-$O119-$Q119)</f>
        <v/>
      </c>
      <c r="S119" s="33">
        <f>IF($A119&gt;NYears*12,"",INT($R119/$E119))</f>
        <v/>
      </c>
    </row>
    <row r="120">
      <c r="A120" s="33">
        <f>116</f>
        <v/>
      </c>
      <c r="B120" s="34">
        <f>IF($A120&gt;NYears*12,"",EDATE(StartMonth,$A120-1))</f>
        <v/>
      </c>
      <c r="C120" s="33">
        <f>IF($A120&gt;NYears*12,"",INT(($A120-1)/12)+1)</f>
        <v/>
      </c>
      <c r="D120" s="33">
        <f>IF($A120&gt;NYears*12,"",MOD($A120-1,12)+1)</f>
        <v/>
      </c>
      <c r="E120" s="35">
        <f>IF($A120&gt;NYears*12,"",LotValue0*(1+LotGrowth)^($C120-1))</f>
        <v/>
      </c>
      <c r="F120" s="35">
        <f>IF($A120&gt;NYears*12,"",IF($A120=1,InitInvest,$R119))</f>
        <v/>
      </c>
      <c r="G120" s="33">
        <f>IF($A120&gt;NYears*12,"",INT($F120/$E120))</f>
        <v/>
      </c>
      <c r="H120" s="35">
        <f>IF($A120&gt;NYears*12,"",$G120*$E120)</f>
        <v/>
      </c>
      <c r="I120" s="35">
        <f>IF($A120&gt;NYears*12,"",$F120-$H120)</f>
        <v/>
      </c>
      <c r="J120" s="35">
        <f>IF($A120&gt;NYears*12,"",$H120*RateD)</f>
        <v/>
      </c>
      <c r="K120" s="35">
        <f>IF($A120&gt;NYears*12,"",IF($D120=1,$J120,$K119+$J120))</f>
        <v/>
      </c>
      <c r="L120" s="35">
        <f>IF($A120&gt;NYears*12,"",IF(MOD($D120,3)=0,SUM($J118:$J120),0))</f>
        <v/>
      </c>
      <c r="M120" s="35">
        <f>IF($A120&gt;NYears*12,"",IF(TaxFreq="Quarterly",$K120*12/$D120,$K120))</f>
        <v/>
      </c>
      <c r="N120" s="36">
        <f>IF($A120&gt;NYears*12,"",LOOKUP($M120,TaxLower,TaxRate))</f>
        <v/>
      </c>
      <c r="O120" s="35">
        <f>IF($A120&gt;NYears*12,"",IF(TaxFreq="Quarterly",IF(MOD($D120,3)=0,$L120*$N120,0),IF($D120=12,$K120*$N120,0)))</f>
        <v/>
      </c>
      <c r="P120" s="35">
        <f>IF($A120&gt;NYears*12,"",IF($D120=1,$O120,$P119+$O120))</f>
        <v/>
      </c>
      <c r="Q120" s="35">
        <f>IF($A120&gt;NYears*12,"",IF($D120=12,MIN(WdrPct*IF(WdrBase="Post-tax profit",$K120-$P120,$K120),WdrCap),0))</f>
        <v/>
      </c>
      <c r="R120" s="35">
        <f>IF($A120&gt;NYears*12,"",$F120+$J120-$O120-$Q120)</f>
        <v/>
      </c>
      <c r="S120" s="33">
        <f>IF($A120&gt;NYears*12,"",INT($R120/$E120))</f>
        <v/>
      </c>
    </row>
    <row r="121">
      <c r="A121" s="33">
        <f>117</f>
        <v/>
      </c>
      <c r="B121" s="34">
        <f>IF($A121&gt;NYears*12,"",EDATE(StartMonth,$A121-1))</f>
        <v/>
      </c>
      <c r="C121" s="33">
        <f>IF($A121&gt;NYears*12,"",INT(($A121-1)/12)+1)</f>
        <v/>
      </c>
      <c r="D121" s="33">
        <f>IF($A121&gt;NYears*12,"",MOD($A121-1,12)+1)</f>
        <v/>
      </c>
      <c r="E121" s="35">
        <f>IF($A121&gt;NYears*12,"",LotValue0*(1+LotGrowth)^($C121-1))</f>
        <v/>
      </c>
      <c r="F121" s="35">
        <f>IF($A121&gt;NYears*12,"",IF($A121=1,InitInvest,$R120))</f>
        <v/>
      </c>
      <c r="G121" s="33">
        <f>IF($A121&gt;NYears*12,"",INT($F121/$E121))</f>
        <v/>
      </c>
      <c r="H121" s="35">
        <f>IF($A121&gt;NYears*12,"",$G121*$E121)</f>
        <v/>
      </c>
      <c r="I121" s="35">
        <f>IF($A121&gt;NYears*12,"",$F121-$H121)</f>
        <v/>
      </c>
      <c r="J121" s="35">
        <f>IF($A121&gt;NYears*12,"",$H121*RateD)</f>
        <v/>
      </c>
      <c r="K121" s="35">
        <f>IF($A121&gt;NYears*12,"",IF($D121=1,$J121,$K120+$J121))</f>
        <v/>
      </c>
      <c r="L121" s="35">
        <f>IF($A121&gt;NYears*12,"",IF(MOD($D121,3)=0,SUM($J119:$J121),0))</f>
        <v/>
      </c>
      <c r="M121" s="35">
        <f>IF($A121&gt;NYears*12,"",IF(TaxFreq="Quarterly",$K121*12/$D121,$K121))</f>
        <v/>
      </c>
      <c r="N121" s="36">
        <f>IF($A121&gt;NYears*12,"",LOOKUP($M121,TaxLower,TaxRate))</f>
        <v/>
      </c>
      <c r="O121" s="35">
        <f>IF($A121&gt;NYears*12,"",IF(TaxFreq="Quarterly",IF(MOD($D121,3)=0,$L121*$N121,0),IF($D121=12,$K121*$N121,0)))</f>
        <v/>
      </c>
      <c r="P121" s="35">
        <f>IF($A121&gt;NYears*12,"",IF($D121=1,$O121,$P120+$O121))</f>
        <v/>
      </c>
      <c r="Q121" s="35">
        <f>IF($A121&gt;NYears*12,"",IF($D121=12,MIN(WdrPct*IF(WdrBase="Post-tax profit",$K121-$P121,$K121),WdrCap),0))</f>
        <v/>
      </c>
      <c r="R121" s="35">
        <f>IF($A121&gt;NYears*12,"",$F121+$J121-$O121-$Q121)</f>
        <v/>
      </c>
      <c r="S121" s="33">
        <f>IF($A121&gt;NYears*12,"",INT($R121/$E121))</f>
        <v/>
      </c>
    </row>
    <row r="122">
      <c r="A122" s="33">
        <f>118</f>
        <v/>
      </c>
      <c r="B122" s="34">
        <f>IF($A122&gt;NYears*12,"",EDATE(StartMonth,$A122-1))</f>
        <v/>
      </c>
      <c r="C122" s="33">
        <f>IF($A122&gt;NYears*12,"",INT(($A122-1)/12)+1)</f>
        <v/>
      </c>
      <c r="D122" s="33">
        <f>IF($A122&gt;NYears*12,"",MOD($A122-1,12)+1)</f>
        <v/>
      </c>
      <c r="E122" s="35">
        <f>IF($A122&gt;NYears*12,"",LotValue0*(1+LotGrowth)^($C122-1))</f>
        <v/>
      </c>
      <c r="F122" s="35">
        <f>IF($A122&gt;NYears*12,"",IF($A122=1,InitInvest,$R121))</f>
        <v/>
      </c>
      <c r="G122" s="33">
        <f>IF($A122&gt;NYears*12,"",INT($F122/$E122))</f>
        <v/>
      </c>
      <c r="H122" s="35">
        <f>IF($A122&gt;NYears*12,"",$G122*$E122)</f>
        <v/>
      </c>
      <c r="I122" s="35">
        <f>IF($A122&gt;NYears*12,"",$F122-$H122)</f>
        <v/>
      </c>
      <c r="J122" s="35">
        <f>IF($A122&gt;NYears*12,"",$H122*RateD)</f>
        <v/>
      </c>
      <c r="K122" s="35">
        <f>IF($A122&gt;NYears*12,"",IF($D122=1,$J122,$K121+$J122))</f>
        <v/>
      </c>
      <c r="L122" s="35">
        <f>IF($A122&gt;NYears*12,"",IF(MOD($D122,3)=0,SUM($J120:$J122),0))</f>
        <v/>
      </c>
      <c r="M122" s="35">
        <f>IF($A122&gt;NYears*12,"",IF(TaxFreq="Quarterly",$K122*12/$D122,$K122))</f>
        <v/>
      </c>
      <c r="N122" s="36">
        <f>IF($A122&gt;NYears*12,"",LOOKUP($M122,TaxLower,TaxRate))</f>
        <v/>
      </c>
      <c r="O122" s="35">
        <f>IF($A122&gt;NYears*12,"",IF(TaxFreq="Quarterly",IF(MOD($D122,3)=0,$L122*$N122,0),IF($D122=12,$K122*$N122,0)))</f>
        <v/>
      </c>
      <c r="P122" s="35">
        <f>IF($A122&gt;NYears*12,"",IF($D122=1,$O122,$P121+$O122))</f>
        <v/>
      </c>
      <c r="Q122" s="35">
        <f>IF($A122&gt;NYears*12,"",IF($D122=12,MIN(WdrPct*IF(WdrBase="Post-tax profit",$K122-$P122,$K122),WdrCap),0))</f>
        <v/>
      </c>
      <c r="R122" s="35">
        <f>IF($A122&gt;NYears*12,"",$F122+$J122-$O122-$Q122)</f>
        <v/>
      </c>
      <c r="S122" s="33">
        <f>IF($A122&gt;NYears*12,"",INT($R122/$E122))</f>
        <v/>
      </c>
    </row>
    <row r="123">
      <c r="A123" s="33">
        <f>119</f>
        <v/>
      </c>
      <c r="B123" s="34">
        <f>IF($A123&gt;NYears*12,"",EDATE(StartMonth,$A123-1))</f>
        <v/>
      </c>
      <c r="C123" s="33">
        <f>IF($A123&gt;NYears*12,"",INT(($A123-1)/12)+1)</f>
        <v/>
      </c>
      <c r="D123" s="33">
        <f>IF($A123&gt;NYears*12,"",MOD($A123-1,12)+1)</f>
        <v/>
      </c>
      <c r="E123" s="35">
        <f>IF($A123&gt;NYears*12,"",LotValue0*(1+LotGrowth)^($C123-1))</f>
        <v/>
      </c>
      <c r="F123" s="35">
        <f>IF($A123&gt;NYears*12,"",IF($A123=1,InitInvest,$R122))</f>
        <v/>
      </c>
      <c r="G123" s="33">
        <f>IF($A123&gt;NYears*12,"",INT($F123/$E123))</f>
        <v/>
      </c>
      <c r="H123" s="35">
        <f>IF($A123&gt;NYears*12,"",$G123*$E123)</f>
        <v/>
      </c>
      <c r="I123" s="35">
        <f>IF($A123&gt;NYears*12,"",$F123-$H123)</f>
        <v/>
      </c>
      <c r="J123" s="35">
        <f>IF($A123&gt;NYears*12,"",$H123*RateD)</f>
        <v/>
      </c>
      <c r="K123" s="35">
        <f>IF($A123&gt;NYears*12,"",IF($D123=1,$J123,$K122+$J123))</f>
        <v/>
      </c>
      <c r="L123" s="35">
        <f>IF($A123&gt;NYears*12,"",IF(MOD($D123,3)=0,SUM($J121:$J123),0))</f>
        <v/>
      </c>
      <c r="M123" s="35">
        <f>IF($A123&gt;NYears*12,"",IF(TaxFreq="Quarterly",$K123*12/$D123,$K123))</f>
        <v/>
      </c>
      <c r="N123" s="36">
        <f>IF($A123&gt;NYears*12,"",LOOKUP($M123,TaxLower,TaxRate))</f>
        <v/>
      </c>
      <c r="O123" s="35">
        <f>IF($A123&gt;NYears*12,"",IF(TaxFreq="Quarterly",IF(MOD($D123,3)=0,$L123*$N123,0),IF($D123=12,$K123*$N123,0)))</f>
        <v/>
      </c>
      <c r="P123" s="35">
        <f>IF($A123&gt;NYears*12,"",IF($D123=1,$O123,$P122+$O123))</f>
        <v/>
      </c>
      <c r="Q123" s="35">
        <f>IF($A123&gt;NYears*12,"",IF($D123=12,MIN(WdrPct*IF(WdrBase="Post-tax profit",$K123-$P123,$K123),WdrCap),0))</f>
        <v/>
      </c>
      <c r="R123" s="35">
        <f>IF($A123&gt;NYears*12,"",$F123+$J123-$O123-$Q123)</f>
        <v/>
      </c>
      <c r="S123" s="33">
        <f>IF($A123&gt;NYears*12,"",INT($R123/$E123))</f>
        <v/>
      </c>
    </row>
    <row r="124">
      <c r="A124" s="37">
        <f>120</f>
        <v/>
      </c>
      <c r="B124" s="38">
        <f>IF($A124&gt;NYears*12,"",EDATE(StartMonth,$A124-1))</f>
        <v/>
      </c>
      <c r="C124" s="37">
        <f>IF($A124&gt;NYears*12,"",INT(($A124-1)/12)+1)</f>
        <v/>
      </c>
      <c r="D124" s="37">
        <f>IF($A124&gt;NYears*12,"",MOD($A124-1,12)+1)</f>
        <v/>
      </c>
      <c r="E124" s="39">
        <f>IF($A124&gt;NYears*12,"",LotValue0*(1+LotGrowth)^($C124-1))</f>
        <v/>
      </c>
      <c r="F124" s="39">
        <f>IF($A124&gt;NYears*12,"",IF($A124=1,InitInvest,$R123))</f>
        <v/>
      </c>
      <c r="G124" s="37">
        <f>IF($A124&gt;NYears*12,"",INT($F124/$E124))</f>
        <v/>
      </c>
      <c r="H124" s="39">
        <f>IF($A124&gt;NYears*12,"",$G124*$E124)</f>
        <v/>
      </c>
      <c r="I124" s="39">
        <f>IF($A124&gt;NYears*12,"",$F124-$H124)</f>
        <v/>
      </c>
      <c r="J124" s="39">
        <f>IF($A124&gt;NYears*12,"",$H124*RateD)</f>
        <v/>
      </c>
      <c r="K124" s="39">
        <f>IF($A124&gt;NYears*12,"",IF($D124=1,$J124,$K123+$J124))</f>
        <v/>
      </c>
      <c r="L124" s="39">
        <f>IF($A124&gt;NYears*12,"",IF(MOD($D124,3)=0,SUM($J122:$J124),0))</f>
        <v/>
      </c>
      <c r="M124" s="39">
        <f>IF($A124&gt;NYears*12,"",IF(TaxFreq="Quarterly",$K124*12/$D124,$K124))</f>
        <v/>
      </c>
      <c r="N124" s="40">
        <f>IF($A124&gt;NYears*12,"",LOOKUP($M124,TaxLower,TaxRate))</f>
        <v/>
      </c>
      <c r="O124" s="39">
        <f>IF($A124&gt;NYears*12,"",IF(TaxFreq="Quarterly",IF(MOD($D124,3)=0,$L124*$N124,0),IF($D124=12,$K124*$N124,0)))</f>
        <v/>
      </c>
      <c r="P124" s="39">
        <f>IF($A124&gt;NYears*12,"",IF($D124=1,$O124,$P123+$O124))</f>
        <v/>
      </c>
      <c r="Q124" s="39">
        <f>IF($A124&gt;NYears*12,"",IF($D124=12,MIN(WdrPct*IF(WdrBase="Post-tax profit",$K124-$P124,$K124),WdrCap),0))</f>
        <v/>
      </c>
      <c r="R124" s="39">
        <f>IF($A124&gt;NYears*12,"",$F124+$J124-$O124-$Q124)</f>
        <v/>
      </c>
      <c r="S124" s="37">
        <f>IF($A124&gt;NYears*12,"",INT($R124/$E124))</f>
        <v/>
      </c>
    </row>
    <row r="125">
      <c r="A125" s="33">
        <f>121</f>
        <v/>
      </c>
      <c r="B125" s="34">
        <f>IF($A125&gt;NYears*12,"",EDATE(StartMonth,$A125-1))</f>
        <v/>
      </c>
      <c r="C125" s="33">
        <f>IF($A125&gt;NYears*12,"",INT(($A125-1)/12)+1)</f>
        <v/>
      </c>
      <c r="D125" s="33">
        <f>IF($A125&gt;NYears*12,"",MOD($A125-1,12)+1)</f>
        <v/>
      </c>
      <c r="E125" s="35">
        <f>IF($A125&gt;NYears*12,"",LotValue0*(1+LotGrowth)^($C125-1))</f>
        <v/>
      </c>
      <c r="F125" s="35">
        <f>IF($A125&gt;NYears*12,"",IF($A125=1,InitInvest,$R124))</f>
        <v/>
      </c>
      <c r="G125" s="33">
        <f>IF($A125&gt;NYears*12,"",INT($F125/$E125))</f>
        <v/>
      </c>
      <c r="H125" s="35">
        <f>IF($A125&gt;NYears*12,"",$G125*$E125)</f>
        <v/>
      </c>
      <c r="I125" s="35">
        <f>IF($A125&gt;NYears*12,"",$F125-$H125)</f>
        <v/>
      </c>
      <c r="J125" s="35">
        <f>IF($A125&gt;NYears*12,"",$H125*RateD)</f>
        <v/>
      </c>
      <c r="K125" s="35">
        <f>IF($A125&gt;NYears*12,"",IF($D125=1,$J125,$K124+$J125))</f>
        <v/>
      </c>
      <c r="L125" s="35">
        <f>IF($A125&gt;NYears*12,"",IF(MOD($D125,3)=0,SUM($J123:$J125),0))</f>
        <v/>
      </c>
      <c r="M125" s="35">
        <f>IF($A125&gt;NYears*12,"",IF(TaxFreq="Quarterly",$K125*12/$D125,$K125))</f>
        <v/>
      </c>
      <c r="N125" s="36">
        <f>IF($A125&gt;NYears*12,"",LOOKUP($M125,TaxLower,TaxRate))</f>
        <v/>
      </c>
      <c r="O125" s="35">
        <f>IF($A125&gt;NYears*12,"",IF(TaxFreq="Quarterly",IF(MOD($D125,3)=0,$L125*$N125,0),IF($D125=12,$K125*$N125,0)))</f>
        <v/>
      </c>
      <c r="P125" s="35">
        <f>IF($A125&gt;NYears*12,"",IF($D125=1,$O125,$P124+$O125))</f>
        <v/>
      </c>
      <c r="Q125" s="35">
        <f>IF($A125&gt;NYears*12,"",IF($D125=12,MIN(WdrPct*IF(WdrBase="Post-tax profit",$K125-$P125,$K125),WdrCap),0))</f>
        <v/>
      </c>
      <c r="R125" s="35">
        <f>IF($A125&gt;NYears*12,"",$F125+$J125-$O125-$Q125)</f>
        <v/>
      </c>
      <c r="S125" s="33">
        <f>IF($A125&gt;NYears*12,"",INT($R125/$E125))</f>
        <v/>
      </c>
    </row>
    <row r="126">
      <c r="A126" s="33">
        <f>122</f>
        <v/>
      </c>
      <c r="B126" s="34">
        <f>IF($A126&gt;NYears*12,"",EDATE(StartMonth,$A126-1))</f>
        <v/>
      </c>
      <c r="C126" s="33">
        <f>IF($A126&gt;NYears*12,"",INT(($A126-1)/12)+1)</f>
        <v/>
      </c>
      <c r="D126" s="33">
        <f>IF($A126&gt;NYears*12,"",MOD($A126-1,12)+1)</f>
        <v/>
      </c>
      <c r="E126" s="35">
        <f>IF($A126&gt;NYears*12,"",LotValue0*(1+LotGrowth)^($C126-1))</f>
        <v/>
      </c>
      <c r="F126" s="35">
        <f>IF($A126&gt;NYears*12,"",IF($A126=1,InitInvest,$R125))</f>
        <v/>
      </c>
      <c r="G126" s="33">
        <f>IF($A126&gt;NYears*12,"",INT($F126/$E126))</f>
        <v/>
      </c>
      <c r="H126" s="35">
        <f>IF($A126&gt;NYears*12,"",$G126*$E126)</f>
        <v/>
      </c>
      <c r="I126" s="35">
        <f>IF($A126&gt;NYears*12,"",$F126-$H126)</f>
        <v/>
      </c>
      <c r="J126" s="35">
        <f>IF($A126&gt;NYears*12,"",$H126*RateD)</f>
        <v/>
      </c>
      <c r="K126" s="35">
        <f>IF($A126&gt;NYears*12,"",IF($D126=1,$J126,$K125+$J126))</f>
        <v/>
      </c>
      <c r="L126" s="35">
        <f>IF($A126&gt;NYears*12,"",IF(MOD($D126,3)=0,SUM($J124:$J126),0))</f>
        <v/>
      </c>
      <c r="M126" s="35">
        <f>IF($A126&gt;NYears*12,"",IF(TaxFreq="Quarterly",$K126*12/$D126,$K126))</f>
        <v/>
      </c>
      <c r="N126" s="36">
        <f>IF($A126&gt;NYears*12,"",LOOKUP($M126,TaxLower,TaxRate))</f>
        <v/>
      </c>
      <c r="O126" s="35">
        <f>IF($A126&gt;NYears*12,"",IF(TaxFreq="Quarterly",IF(MOD($D126,3)=0,$L126*$N126,0),IF($D126=12,$K126*$N126,0)))</f>
        <v/>
      </c>
      <c r="P126" s="35">
        <f>IF($A126&gt;NYears*12,"",IF($D126=1,$O126,$P125+$O126))</f>
        <v/>
      </c>
      <c r="Q126" s="35">
        <f>IF($A126&gt;NYears*12,"",IF($D126=12,MIN(WdrPct*IF(WdrBase="Post-tax profit",$K126-$P126,$K126),WdrCap),0))</f>
        <v/>
      </c>
      <c r="R126" s="35">
        <f>IF($A126&gt;NYears*12,"",$F126+$J126-$O126-$Q126)</f>
        <v/>
      </c>
      <c r="S126" s="33">
        <f>IF($A126&gt;NYears*12,"",INT($R126/$E126))</f>
        <v/>
      </c>
    </row>
    <row r="127">
      <c r="A127" s="33">
        <f>123</f>
        <v/>
      </c>
      <c r="B127" s="34">
        <f>IF($A127&gt;NYears*12,"",EDATE(StartMonth,$A127-1))</f>
        <v/>
      </c>
      <c r="C127" s="33">
        <f>IF($A127&gt;NYears*12,"",INT(($A127-1)/12)+1)</f>
        <v/>
      </c>
      <c r="D127" s="33">
        <f>IF($A127&gt;NYears*12,"",MOD($A127-1,12)+1)</f>
        <v/>
      </c>
      <c r="E127" s="35">
        <f>IF($A127&gt;NYears*12,"",LotValue0*(1+LotGrowth)^($C127-1))</f>
        <v/>
      </c>
      <c r="F127" s="35">
        <f>IF($A127&gt;NYears*12,"",IF($A127=1,InitInvest,$R126))</f>
        <v/>
      </c>
      <c r="G127" s="33">
        <f>IF($A127&gt;NYears*12,"",INT($F127/$E127))</f>
        <v/>
      </c>
      <c r="H127" s="35">
        <f>IF($A127&gt;NYears*12,"",$G127*$E127)</f>
        <v/>
      </c>
      <c r="I127" s="35">
        <f>IF($A127&gt;NYears*12,"",$F127-$H127)</f>
        <v/>
      </c>
      <c r="J127" s="35">
        <f>IF($A127&gt;NYears*12,"",$H127*RateD)</f>
        <v/>
      </c>
      <c r="K127" s="35">
        <f>IF($A127&gt;NYears*12,"",IF($D127=1,$J127,$K126+$J127))</f>
        <v/>
      </c>
      <c r="L127" s="35">
        <f>IF($A127&gt;NYears*12,"",IF(MOD($D127,3)=0,SUM($J125:$J127),0))</f>
        <v/>
      </c>
      <c r="M127" s="35">
        <f>IF($A127&gt;NYears*12,"",IF(TaxFreq="Quarterly",$K127*12/$D127,$K127))</f>
        <v/>
      </c>
      <c r="N127" s="36">
        <f>IF($A127&gt;NYears*12,"",LOOKUP($M127,TaxLower,TaxRate))</f>
        <v/>
      </c>
      <c r="O127" s="35">
        <f>IF($A127&gt;NYears*12,"",IF(TaxFreq="Quarterly",IF(MOD($D127,3)=0,$L127*$N127,0),IF($D127=12,$K127*$N127,0)))</f>
        <v/>
      </c>
      <c r="P127" s="35">
        <f>IF($A127&gt;NYears*12,"",IF($D127=1,$O127,$P126+$O127))</f>
        <v/>
      </c>
      <c r="Q127" s="35">
        <f>IF($A127&gt;NYears*12,"",IF($D127=12,MIN(WdrPct*IF(WdrBase="Post-tax profit",$K127-$P127,$K127),WdrCap),0))</f>
        <v/>
      </c>
      <c r="R127" s="35">
        <f>IF($A127&gt;NYears*12,"",$F127+$J127-$O127-$Q127)</f>
        <v/>
      </c>
      <c r="S127" s="33">
        <f>IF($A127&gt;NYears*12,"",INT($R127/$E127))</f>
        <v/>
      </c>
    </row>
    <row r="128">
      <c r="A128" s="33">
        <f>124</f>
        <v/>
      </c>
      <c r="B128" s="34">
        <f>IF($A128&gt;NYears*12,"",EDATE(StartMonth,$A128-1))</f>
        <v/>
      </c>
      <c r="C128" s="33">
        <f>IF($A128&gt;NYears*12,"",INT(($A128-1)/12)+1)</f>
        <v/>
      </c>
      <c r="D128" s="33">
        <f>IF($A128&gt;NYears*12,"",MOD($A128-1,12)+1)</f>
        <v/>
      </c>
      <c r="E128" s="35">
        <f>IF($A128&gt;NYears*12,"",LotValue0*(1+LotGrowth)^($C128-1))</f>
        <v/>
      </c>
      <c r="F128" s="35">
        <f>IF($A128&gt;NYears*12,"",IF($A128=1,InitInvest,$R127))</f>
        <v/>
      </c>
      <c r="G128" s="33">
        <f>IF($A128&gt;NYears*12,"",INT($F128/$E128))</f>
        <v/>
      </c>
      <c r="H128" s="35">
        <f>IF($A128&gt;NYears*12,"",$G128*$E128)</f>
        <v/>
      </c>
      <c r="I128" s="35">
        <f>IF($A128&gt;NYears*12,"",$F128-$H128)</f>
        <v/>
      </c>
      <c r="J128" s="35">
        <f>IF($A128&gt;NYears*12,"",$H128*RateD)</f>
        <v/>
      </c>
      <c r="K128" s="35">
        <f>IF($A128&gt;NYears*12,"",IF($D128=1,$J128,$K127+$J128))</f>
        <v/>
      </c>
      <c r="L128" s="35">
        <f>IF($A128&gt;NYears*12,"",IF(MOD($D128,3)=0,SUM($J126:$J128),0))</f>
        <v/>
      </c>
      <c r="M128" s="35">
        <f>IF($A128&gt;NYears*12,"",IF(TaxFreq="Quarterly",$K128*12/$D128,$K128))</f>
        <v/>
      </c>
      <c r="N128" s="36">
        <f>IF($A128&gt;NYears*12,"",LOOKUP($M128,TaxLower,TaxRate))</f>
        <v/>
      </c>
      <c r="O128" s="35">
        <f>IF($A128&gt;NYears*12,"",IF(TaxFreq="Quarterly",IF(MOD($D128,3)=0,$L128*$N128,0),IF($D128=12,$K128*$N128,0)))</f>
        <v/>
      </c>
      <c r="P128" s="35">
        <f>IF($A128&gt;NYears*12,"",IF($D128=1,$O128,$P127+$O128))</f>
        <v/>
      </c>
      <c r="Q128" s="35">
        <f>IF($A128&gt;NYears*12,"",IF($D128=12,MIN(WdrPct*IF(WdrBase="Post-tax profit",$K128-$P128,$K128),WdrCap),0))</f>
        <v/>
      </c>
      <c r="R128" s="35">
        <f>IF($A128&gt;NYears*12,"",$F128+$J128-$O128-$Q128)</f>
        <v/>
      </c>
      <c r="S128" s="33">
        <f>IF($A128&gt;NYears*12,"",INT($R128/$E128))</f>
        <v/>
      </c>
    </row>
    <row r="129">
      <c r="A129" s="33">
        <f>125</f>
        <v/>
      </c>
      <c r="B129" s="34">
        <f>IF($A129&gt;NYears*12,"",EDATE(StartMonth,$A129-1))</f>
        <v/>
      </c>
      <c r="C129" s="33">
        <f>IF($A129&gt;NYears*12,"",INT(($A129-1)/12)+1)</f>
        <v/>
      </c>
      <c r="D129" s="33">
        <f>IF($A129&gt;NYears*12,"",MOD($A129-1,12)+1)</f>
        <v/>
      </c>
      <c r="E129" s="35">
        <f>IF($A129&gt;NYears*12,"",LotValue0*(1+LotGrowth)^($C129-1))</f>
        <v/>
      </c>
      <c r="F129" s="35">
        <f>IF($A129&gt;NYears*12,"",IF($A129=1,InitInvest,$R128))</f>
        <v/>
      </c>
      <c r="G129" s="33">
        <f>IF($A129&gt;NYears*12,"",INT($F129/$E129))</f>
        <v/>
      </c>
      <c r="H129" s="35">
        <f>IF($A129&gt;NYears*12,"",$G129*$E129)</f>
        <v/>
      </c>
      <c r="I129" s="35">
        <f>IF($A129&gt;NYears*12,"",$F129-$H129)</f>
        <v/>
      </c>
      <c r="J129" s="35">
        <f>IF($A129&gt;NYears*12,"",$H129*RateD)</f>
        <v/>
      </c>
      <c r="K129" s="35">
        <f>IF($A129&gt;NYears*12,"",IF($D129=1,$J129,$K128+$J129))</f>
        <v/>
      </c>
      <c r="L129" s="35">
        <f>IF($A129&gt;NYears*12,"",IF(MOD($D129,3)=0,SUM($J127:$J129),0))</f>
        <v/>
      </c>
      <c r="M129" s="35">
        <f>IF($A129&gt;NYears*12,"",IF(TaxFreq="Quarterly",$K129*12/$D129,$K129))</f>
        <v/>
      </c>
      <c r="N129" s="36">
        <f>IF($A129&gt;NYears*12,"",LOOKUP($M129,TaxLower,TaxRate))</f>
        <v/>
      </c>
      <c r="O129" s="35">
        <f>IF($A129&gt;NYears*12,"",IF(TaxFreq="Quarterly",IF(MOD($D129,3)=0,$L129*$N129,0),IF($D129=12,$K129*$N129,0)))</f>
        <v/>
      </c>
      <c r="P129" s="35">
        <f>IF($A129&gt;NYears*12,"",IF($D129=1,$O129,$P128+$O129))</f>
        <v/>
      </c>
      <c r="Q129" s="35">
        <f>IF($A129&gt;NYears*12,"",IF($D129=12,MIN(WdrPct*IF(WdrBase="Post-tax profit",$K129-$P129,$K129),WdrCap),0))</f>
        <v/>
      </c>
      <c r="R129" s="35">
        <f>IF($A129&gt;NYears*12,"",$F129+$J129-$O129-$Q129)</f>
        <v/>
      </c>
      <c r="S129" s="33">
        <f>IF($A129&gt;NYears*12,"",INT($R129/$E129))</f>
        <v/>
      </c>
    </row>
    <row r="130">
      <c r="A130" s="33">
        <f>126</f>
        <v/>
      </c>
      <c r="B130" s="34">
        <f>IF($A130&gt;NYears*12,"",EDATE(StartMonth,$A130-1))</f>
        <v/>
      </c>
      <c r="C130" s="33">
        <f>IF($A130&gt;NYears*12,"",INT(($A130-1)/12)+1)</f>
        <v/>
      </c>
      <c r="D130" s="33">
        <f>IF($A130&gt;NYears*12,"",MOD($A130-1,12)+1)</f>
        <v/>
      </c>
      <c r="E130" s="35">
        <f>IF($A130&gt;NYears*12,"",LotValue0*(1+LotGrowth)^($C130-1))</f>
        <v/>
      </c>
      <c r="F130" s="35">
        <f>IF($A130&gt;NYears*12,"",IF($A130=1,InitInvest,$R129))</f>
        <v/>
      </c>
      <c r="G130" s="33">
        <f>IF($A130&gt;NYears*12,"",INT($F130/$E130))</f>
        <v/>
      </c>
      <c r="H130" s="35">
        <f>IF($A130&gt;NYears*12,"",$G130*$E130)</f>
        <v/>
      </c>
      <c r="I130" s="35">
        <f>IF($A130&gt;NYears*12,"",$F130-$H130)</f>
        <v/>
      </c>
      <c r="J130" s="35">
        <f>IF($A130&gt;NYears*12,"",$H130*RateD)</f>
        <v/>
      </c>
      <c r="K130" s="35">
        <f>IF($A130&gt;NYears*12,"",IF($D130=1,$J130,$K129+$J130))</f>
        <v/>
      </c>
      <c r="L130" s="35">
        <f>IF($A130&gt;NYears*12,"",IF(MOD($D130,3)=0,SUM($J128:$J130),0))</f>
        <v/>
      </c>
      <c r="M130" s="35">
        <f>IF($A130&gt;NYears*12,"",IF(TaxFreq="Quarterly",$K130*12/$D130,$K130))</f>
        <v/>
      </c>
      <c r="N130" s="36">
        <f>IF($A130&gt;NYears*12,"",LOOKUP($M130,TaxLower,TaxRate))</f>
        <v/>
      </c>
      <c r="O130" s="35">
        <f>IF($A130&gt;NYears*12,"",IF(TaxFreq="Quarterly",IF(MOD($D130,3)=0,$L130*$N130,0),IF($D130=12,$K130*$N130,0)))</f>
        <v/>
      </c>
      <c r="P130" s="35">
        <f>IF($A130&gt;NYears*12,"",IF($D130=1,$O130,$P129+$O130))</f>
        <v/>
      </c>
      <c r="Q130" s="35">
        <f>IF($A130&gt;NYears*12,"",IF($D130=12,MIN(WdrPct*IF(WdrBase="Post-tax profit",$K130-$P130,$K130),WdrCap),0))</f>
        <v/>
      </c>
      <c r="R130" s="35">
        <f>IF($A130&gt;NYears*12,"",$F130+$J130-$O130-$Q130)</f>
        <v/>
      </c>
      <c r="S130" s="33">
        <f>IF($A130&gt;NYears*12,"",INT($R130/$E130))</f>
        <v/>
      </c>
    </row>
    <row r="131">
      <c r="A131" s="33">
        <f>127</f>
        <v/>
      </c>
      <c r="B131" s="34">
        <f>IF($A131&gt;NYears*12,"",EDATE(StartMonth,$A131-1))</f>
        <v/>
      </c>
      <c r="C131" s="33">
        <f>IF($A131&gt;NYears*12,"",INT(($A131-1)/12)+1)</f>
        <v/>
      </c>
      <c r="D131" s="33">
        <f>IF($A131&gt;NYears*12,"",MOD($A131-1,12)+1)</f>
        <v/>
      </c>
      <c r="E131" s="35">
        <f>IF($A131&gt;NYears*12,"",LotValue0*(1+LotGrowth)^($C131-1))</f>
        <v/>
      </c>
      <c r="F131" s="35">
        <f>IF($A131&gt;NYears*12,"",IF($A131=1,InitInvest,$R130))</f>
        <v/>
      </c>
      <c r="G131" s="33">
        <f>IF($A131&gt;NYears*12,"",INT($F131/$E131))</f>
        <v/>
      </c>
      <c r="H131" s="35">
        <f>IF($A131&gt;NYears*12,"",$G131*$E131)</f>
        <v/>
      </c>
      <c r="I131" s="35">
        <f>IF($A131&gt;NYears*12,"",$F131-$H131)</f>
        <v/>
      </c>
      <c r="J131" s="35">
        <f>IF($A131&gt;NYears*12,"",$H131*RateD)</f>
        <v/>
      </c>
      <c r="K131" s="35">
        <f>IF($A131&gt;NYears*12,"",IF($D131=1,$J131,$K130+$J131))</f>
        <v/>
      </c>
      <c r="L131" s="35">
        <f>IF($A131&gt;NYears*12,"",IF(MOD($D131,3)=0,SUM($J129:$J131),0))</f>
        <v/>
      </c>
      <c r="M131" s="35">
        <f>IF($A131&gt;NYears*12,"",IF(TaxFreq="Quarterly",$K131*12/$D131,$K131))</f>
        <v/>
      </c>
      <c r="N131" s="36">
        <f>IF($A131&gt;NYears*12,"",LOOKUP($M131,TaxLower,TaxRate))</f>
        <v/>
      </c>
      <c r="O131" s="35">
        <f>IF($A131&gt;NYears*12,"",IF(TaxFreq="Quarterly",IF(MOD($D131,3)=0,$L131*$N131,0),IF($D131=12,$K131*$N131,0)))</f>
        <v/>
      </c>
      <c r="P131" s="35">
        <f>IF($A131&gt;NYears*12,"",IF($D131=1,$O131,$P130+$O131))</f>
        <v/>
      </c>
      <c r="Q131" s="35">
        <f>IF($A131&gt;NYears*12,"",IF($D131=12,MIN(WdrPct*IF(WdrBase="Post-tax profit",$K131-$P131,$K131),WdrCap),0))</f>
        <v/>
      </c>
      <c r="R131" s="35">
        <f>IF($A131&gt;NYears*12,"",$F131+$J131-$O131-$Q131)</f>
        <v/>
      </c>
      <c r="S131" s="33">
        <f>IF($A131&gt;NYears*12,"",INT($R131/$E131))</f>
        <v/>
      </c>
    </row>
    <row r="132">
      <c r="A132" s="33">
        <f>128</f>
        <v/>
      </c>
      <c r="B132" s="34">
        <f>IF($A132&gt;NYears*12,"",EDATE(StartMonth,$A132-1))</f>
        <v/>
      </c>
      <c r="C132" s="33">
        <f>IF($A132&gt;NYears*12,"",INT(($A132-1)/12)+1)</f>
        <v/>
      </c>
      <c r="D132" s="33">
        <f>IF($A132&gt;NYears*12,"",MOD($A132-1,12)+1)</f>
        <v/>
      </c>
      <c r="E132" s="35">
        <f>IF($A132&gt;NYears*12,"",LotValue0*(1+LotGrowth)^($C132-1))</f>
        <v/>
      </c>
      <c r="F132" s="35">
        <f>IF($A132&gt;NYears*12,"",IF($A132=1,InitInvest,$R131))</f>
        <v/>
      </c>
      <c r="G132" s="33">
        <f>IF($A132&gt;NYears*12,"",INT($F132/$E132))</f>
        <v/>
      </c>
      <c r="H132" s="35">
        <f>IF($A132&gt;NYears*12,"",$G132*$E132)</f>
        <v/>
      </c>
      <c r="I132" s="35">
        <f>IF($A132&gt;NYears*12,"",$F132-$H132)</f>
        <v/>
      </c>
      <c r="J132" s="35">
        <f>IF($A132&gt;NYears*12,"",$H132*RateD)</f>
        <v/>
      </c>
      <c r="K132" s="35">
        <f>IF($A132&gt;NYears*12,"",IF($D132=1,$J132,$K131+$J132))</f>
        <v/>
      </c>
      <c r="L132" s="35">
        <f>IF($A132&gt;NYears*12,"",IF(MOD($D132,3)=0,SUM($J130:$J132),0))</f>
        <v/>
      </c>
      <c r="M132" s="35">
        <f>IF($A132&gt;NYears*12,"",IF(TaxFreq="Quarterly",$K132*12/$D132,$K132))</f>
        <v/>
      </c>
      <c r="N132" s="36">
        <f>IF($A132&gt;NYears*12,"",LOOKUP($M132,TaxLower,TaxRate))</f>
        <v/>
      </c>
      <c r="O132" s="35">
        <f>IF($A132&gt;NYears*12,"",IF(TaxFreq="Quarterly",IF(MOD($D132,3)=0,$L132*$N132,0),IF($D132=12,$K132*$N132,0)))</f>
        <v/>
      </c>
      <c r="P132" s="35">
        <f>IF($A132&gt;NYears*12,"",IF($D132=1,$O132,$P131+$O132))</f>
        <v/>
      </c>
      <c r="Q132" s="35">
        <f>IF($A132&gt;NYears*12,"",IF($D132=12,MIN(WdrPct*IF(WdrBase="Post-tax profit",$K132-$P132,$K132),WdrCap),0))</f>
        <v/>
      </c>
      <c r="R132" s="35">
        <f>IF($A132&gt;NYears*12,"",$F132+$J132-$O132-$Q132)</f>
        <v/>
      </c>
      <c r="S132" s="33">
        <f>IF($A132&gt;NYears*12,"",INT($R132/$E132))</f>
        <v/>
      </c>
    </row>
    <row r="133">
      <c r="A133" s="33">
        <f>129</f>
        <v/>
      </c>
      <c r="B133" s="34">
        <f>IF($A133&gt;NYears*12,"",EDATE(StartMonth,$A133-1))</f>
        <v/>
      </c>
      <c r="C133" s="33">
        <f>IF($A133&gt;NYears*12,"",INT(($A133-1)/12)+1)</f>
        <v/>
      </c>
      <c r="D133" s="33">
        <f>IF($A133&gt;NYears*12,"",MOD($A133-1,12)+1)</f>
        <v/>
      </c>
      <c r="E133" s="35">
        <f>IF($A133&gt;NYears*12,"",LotValue0*(1+LotGrowth)^($C133-1))</f>
        <v/>
      </c>
      <c r="F133" s="35">
        <f>IF($A133&gt;NYears*12,"",IF($A133=1,InitInvest,$R132))</f>
        <v/>
      </c>
      <c r="G133" s="33">
        <f>IF($A133&gt;NYears*12,"",INT($F133/$E133))</f>
        <v/>
      </c>
      <c r="H133" s="35">
        <f>IF($A133&gt;NYears*12,"",$G133*$E133)</f>
        <v/>
      </c>
      <c r="I133" s="35">
        <f>IF($A133&gt;NYears*12,"",$F133-$H133)</f>
        <v/>
      </c>
      <c r="J133" s="35">
        <f>IF($A133&gt;NYears*12,"",$H133*RateD)</f>
        <v/>
      </c>
      <c r="K133" s="35">
        <f>IF($A133&gt;NYears*12,"",IF($D133=1,$J133,$K132+$J133))</f>
        <v/>
      </c>
      <c r="L133" s="35">
        <f>IF($A133&gt;NYears*12,"",IF(MOD($D133,3)=0,SUM($J131:$J133),0))</f>
        <v/>
      </c>
      <c r="M133" s="35">
        <f>IF($A133&gt;NYears*12,"",IF(TaxFreq="Quarterly",$K133*12/$D133,$K133))</f>
        <v/>
      </c>
      <c r="N133" s="36">
        <f>IF($A133&gt;NYears*12,"",LOOKUP($M133,TaxLower,TaxRate))</f>
        <v/>
      </c>
      <c r="O133" s="35">
        <f>IF($A133&gt;NYears*12,"",IF(TaxFreq="Quarterly",IF(MOD($D133,3)=0,$L133*$N133,0),IF($D133=12,$K133*$N133,0)))</f>
        <v/>
      </c>
      <c r="P133" s="35">
        <f>IF($A133&gt;NYears*12,"",IF($D133=1,$O133,$P132+$O133))</f>
        <v/>
      </c>
      <c r="Q133" s="35">
        <f>IF($A133&gt;NYears*12,"",IF($D133=12,MIN(WdrPct*IF(WdrBase="Post-tax profit",$K133-$P133,$K133),WdrCap),0))</f>
        <v/>
      </c>
      <c r="R133" s="35">
        <f>IF($A133&gt;NYears*12,"",$F133+$J133-$O133-$Q133)</f>
        <v/>
      </c>
      <c r="S133" s="33">
        <f>IF($A133&gt;NYears*12,"",INT($R133/$E133))</f>
        <v/>
      </c>
    </row>
    <row r="134">
      <c r="A134" s="33">
        <f>130</f>
        <v/>
      </c>
      <c r="B134" s="34">
        <f>IF($A134&gt;NYears*12,"",EDATE(StartMonth,$A134-1))</f>
        <v/>
      </c>
      <c r="C134" s="33">
        <f>IF($A134&gt;NYears*12,"",INT(($A134-1)/12)+1)</f>
        <v/>
      </c>
      <c r="D134" s="33">
        <f>IF($A134&gt;NYears*12,"",MOD($A134-1,12)+1)</f>
        <v/>
      </c>
      <c r="E134" s="35">
        <f>IF($A134&gt;NYears*12,"",LotValue0*(1+LotGrowth)^($C134-1))</f>
        <v/>
      </c>
      <c r="F134" s="35">
        <f>IF($A134&gt;NYears*12,"",IF($A134=1,InitInvest,$R133))</f>
        <v/>
      </c>
      <c r="G134" s="33">
        <f>IF($A134&gt;NYears*12,"",INT($F134/$E134))</f>
        <v/>
      </c>
      <c r="H134" s="35">
        <f>IF($A134&gt;NYears*12,"",$G134*$E134)</f>
        <v/>
      </c>
      <c r="I134" s="35">
        <f>IF($A134&gt;NYears*12,"",$F134-$H134)</f>
        <v/>
      </c>
      <c r="J134" s="35">
        <f>IF($A134&gt;NYears*12,"",$H134*RateD)</f>
        <v/>
      </c>
      <c r="K134" s="35">
        <f>IF($A134&gt;NYears*12,"",IF($D134=1,$J134,$K133+$J134))</f>
        <v/>
      </c>
      <c r="L134" s="35">
        <f>IF($A134&gt;NYears*12,"",IF(MOD($D134,3)=0,SUM($J132:$J134),0))</f>
        <v/>
      </c>
      <c r="M134" s="35">
        <f>IF($A134&gt;NYears*12,"",IF(TaxFreq="Quarterly",$K134*12/$D134,$K134))</f>
        <v/>
      </c>
      <c r="N134" s="36">
        <f>IF($A134&gt;NYears*12,"",LOOKUP($M134,TaxLower,TaxRate))</f>
        <v/>
      </c>
      <c r="O134" s="35">
        <f>IF($A134&gt;NYears*12,"",IF(TaxFreq="Quarterly",IF(MOD($D134,3)=0,$L134*$N134,0),IF($D134=12,$K134*$N134,0)))</f>
        <v/>
      </c>
      <c r="P134" s="35">
        <f>IF($A134&gt;NYears*12,"",IF($D134=1,$O134,$P133+$O134))</f>
        <v/>
      </c>
      <c r="Q134" s="35">
        <f>IF($A134&gt;NYears*12,"",IF($D134=12,MIN(WdrPct*IF(WdrBase="Post-tax profit",$K134-$P134,$K134),WdrCap),0))</f>
        <v/>
      </c>
      <c r="R134" s="35">
        <f>IF($A134&gt;NYears*12,"",$F134+$J134-$O134-$Q134)</f>
        <v/>
      </c>
      <c r="S134" s="33">
        <f>IF($A134&gt;NYears*12,"",INT($R134/$E134))</f>
        <v/>
      </c>
    </row>
    <row r="135">
      <c r="A135" s="33">
        <f>131</f>
        <v/>
      </c>
      <c r="B135" s="34">
        <f>IF($A135&gt;NYears*12,"",EDATE(StartMonth,$A135-1))</f>
        <v/>
      </c>
      <c r="C135" s="33">
        <f>IF($A135&gt;NYears*12,"",INT(($A135-1)/12)+1)</f>
        <v/>
      </c>
      <c r="D135" s="33">
        <f>IF($A135&gt;NYears*12,"",MOD($A135-1,12)+1)</f>
        <v/>
      </c>
      <c r="E135" s="35">
        <f>IF($A135&gt;NYears*12,"",LotValue0*(1+LotGrowth)^($C135-1))</f>
        <v/>
      </c>
      <c r="F135" s="35">
        <f>IF($A135&gt;NYears*12,"",IF($A135=1,InitInvest,$R134))</f>
        <v/>
      </c>
      <c r="G135" s="33">
        <f>IF($A135&gt;NYears*12,"",INT($F135/$E135))</f>
        <v/>
      </c>
      <c r="H135" s="35">
        <f>IF($A135&gt;NYears*12,"",$G135*$E135)</f>
        <v/>
      </c>
      <c r="I135" s="35">
        <f>IF($A135&gt;NYears*12,"",$F135-$H135)</f>
        <v/>
      </c>
      <c r="J135" s="35">
        <f>IF($A135&gt;NYears*12,"",$H135*RateD)</f>
        <v/>
      </c>
      <c r="K135" s="35">
        <f>IF($A135&gt;NYears*12,"",IF($D135=1,$J135,$K134+$J135))</f>
        <v/>
      </c>
      <c r="L135" s="35">
        <f>IF($A135&gt;NYears*12,"",IF(MOD($D135,3)=0,SUM($J133:$J135),0))</f>
        <v/>
      </c>
      <c r="M135" s="35">
        <f>IF($A135&gt;NYears*12,"",IF(TaxFreq="Quarterly",$K135*12/$D135,$K135))</f>
        <v/>
      </c>
      <c r="N135" s="36">
        <f>IF($A135&gt;NYears*12,"",LOOKUP($M135,TaxLower,TaxRate))</f>
        <v/>
      </c>
      <c r="O135" s="35">
        <f>IF($A135&gt;NYears*12,"",IF(TaxFreq="Quarterly",IF(MOD($D135,3)=0,$L135*$N135,0),IF($D135=12,$K135*$N135,0)))</f>
        <v/>
      </c>
      <c r="P135" s="35">
        <f>IF($A135&gt;NYears*12,"",IF($D135=1,$O135,$P134+$O135))</f>
        <v/>
      </c>
      <c r="Q135" s="35">
        <f>IF($A135&gt;NYears*12,"",IF($D135=12,MIN(WdrPct*IF(WdrBase="Post-tax profit",$K135-$P135,$K135),WdrCap),0))</f>
        <v/>
      </c>
      <c r="R135" s="35">
        <f>IF($A135&gt;NYears*12,"",$F135+$J135-$O135-$Q135)</f>
        <v/>
      </c>
      <c r="S135" s="33">
        <f>IF($A135&gt;NYears*12,"",INT($R135/$E135))</f>
        <v/>
      </c>
    </row>
    <row r="136">
      <c r="A136" s="37">
        <f>132</f>
        <v/>
      </c>
      <c r="B136" s="38">
        <f>IF($A136&gt;NYears*12,"",EDATE(StartMonth,$A136-1))</f>
        <v/>
      </c>
      <c r="C136" s="37">
        <f>IF($A136&gt;NYears*12,"",INT(($A136-1)/12)+1)</f>
        <v/>
      </c>
      <c r="D136" s="37">
        <f>IF($A136&gt;NYears*12,"",MOD($A136-1,12)+1)</f>
        <v/>
      </c>
      <c r="E136" s="39">
        <f>IF($A136&gt;NYears*12,"",LotValue0*(1+LotGrowth)^($C136-1))</f>
        <v/>
      </c>
      <c r="F136" s="39">
        <f>IF($A136&gt;NYears*12,"",IF($A136=1,InitInvest,$R135))</f>
        <v/>
      </c>
      <c r="G136" s="37">
        <f>IF($A136&gt;NYears*12,"",INT($F136/$E136))</f>
        <v/>
      </c>
      <c r="H136" s="39">
        <f>IF($A136&gt;NYears*12,"",$G136*$E136)</f>
        <v/>
      </c>
      <c r="I136" s="39">
        <f>IF($A136&gt;NYears*12,"",$F136-$H136)</f>
        <v/>
      </c>
      <c r="J136" s="39">
        <f>IF($A136&gt;NYears*12,"",$H136*RateD)</f>
        <v/>
      </c>
      <c r="K136" s="39">
        <f>IF($A136&gt;NYears*12,"",IF($D136=1,$J136,$K135+$J136))</f>
        <v/>
      </c>
      <c r="L136" s="39">
        <f>IF($A136&gt;NYears*12,"",IF(MOD($D136,3)=0,SUM($J134:$J136),0))</f>
        <v/>
      </c>
      <c r="M136" s="39">
        <f>IF($A136&gt;NYears*12,"",IF(TaxFreq="Quarterly",$K136*12/$D136,$K136))</f>
        <v/>
      </c>
      <c r="N136" s="40">
        <f>IF($A136&gt;NYears*12,"",LOOKUP($M136,TaxLower,TaxRate))</f>
        <v/>
      </c>
      <c r="O136" s="39">
        <f>IF($A136&gt;NYears*12,"",IF(TaxFreq="Quarterly",IF(MOD($D136,3)=0,$L136*$N136,0),IF($D136=12,$K136*$N136,0)))</f>
        <v/>
      </c>
      <c r="P136" s="39">
        <f>IF($A136&gt;NYears*12,"",IF($D136=1,$O136,$P135+$O136))</f>
        <v/>
      </c>
      <c r="Q136" s="39">
        <f>IF($A136&gt;NYears*12,"",IF($D136=12,MIN(WdrPct*IF(WdrBase="Post-tax profit",$K136-$P136,$K136),WdrCap),0))</f>
        <v/>
      </c>
      <c r="R136" s="39">
        <f>IF($A136&gt;NYears*12,"",$F136+$J136-$O136-$Q136)</f>
        <v/>
      </c>
      <c r="S136" s="37">
        <f>IF($A136&gt;NYears*12,"",INT($R136/$E136))</f>
        <v/>
      </c>
    </row>
    <row r="137">
      <c r="A137" s="33">
        <f>133</f>
        <v/>
      </c>
      <c r="B137" s="34">
        <f>IF($A137&gt;NYears*12,"",EDATE(StartMonth,$A137-1))</f>
        <v/>
      </c>
      <c r="C137" s="33">
        <f>IF($A137&gt;NYears*12,"",INT(($A137-1)/12)+1)</f>
        <v/>
      </c>
      <c r="D137" s="33">
        <f>IF($A137&gt;NYears*12,"",MOD($A137-1,12)+1)</f>
        <v/>
      </c>
      <c r="E137" s="35">
        <f>IF($A137&gt;NYears*12,"",LotValue0*(1+LotGrowth)^($C137-1))</f>
        <v/>
      </c>
      <c r="F137" s="35">
        <f>IF($A137&gt;NYears*12,"",IF($A137=1,InitInvest,$R136))</f>
        <v/>
      </c>
      <c r="G137" s="33">
        <f>IF($A137&gt;NYears*12,"",INT($F137/$E137))</f>
        <v/>
      </c>
      <c r="H137" s="35">
        <f>IF($A137&gt;NYears*12,"",$G137*$E137)</f>
        <v/>
      </c>
      <c r="I137" s="35">
        <f>IF($A137&gt;NYears*12,"",$F137-$H137)</f>
        <v/>
      </c>
      <c r="J137" s="35">
        <f>IF($A137&gt;NYears*12,"",$H137*RateD)</f>
        <v/>
      </c>
      <c r="K137" s="35">
        <f>IF($A137&gt;NYears*12,"",IF($D137=1,$J137,$K136+$J137))</f>
        <v/>
      </c>
      <c r="L137" s="35">
        <f>IF($A137&gt;NYears*12,"",IF(MOD($D137,3)=0,SUM($J135:$J137),0))</f>
        <v/>
      </c>
      <c r="M137" s="35">
        <f>IF($A137&gt;NYears*12,"",IF(TaxFreq="Quarterly",$K137*12/$D137,$K137))</f>
        <v/>
      </c>
      <c r="N137" s="36">
        <f>IF($A137&gt;NYears*12,"",LOOKUP($M137,TaxLower,TaxRate))</f>
        <v/>
      </c>
      <c r="O137" s="35">
        <f>IF($A137&gt;NYears*12,"",IF(TaxFreq="Quarterly",IF(MOD($D137,3)=0,$L137*$N137,0),IF($D137=12,$K137*$N137,0)))</f>
        <v/>
      </c>
      <c r="P137" s="35">
        <f>IF($A137&gt;NYears*12,"",IF($D137=1,$O137,$P136+$O137))</f>
        <v/>
      </c>
      <c r="Q137" s="35">
        <f>IF($A137&gt;NYears*12,"",IF($D137=12,MIN(WdrPct*IF(WdrBase="Post-tax profit",$K137-$P137,$K137),WdrCap),0))</f>
        <v/>
      </c>
      <c r="R137" s="35">
        <f>IF($A137&gt;NYears*12,"",$F137+$J137-$O137-$Q137)</f>
        <v/>
      </c>
      <c r="S137" s="33">
        <f>IF($A137&gt;NYears*12,"",INT($R137/$E137))</f>
        <v/>
      </c>
    </row>
    <row r="138">
      <c r="A138" s="33">
        <f>134</f>
        <v/>
      </c>
      <c r="B138" s="34">
        <f>IF($A138&gt;NYears*12,"",EDATE(StartMonth,$A138-1))</f>
        <v/>
      </c>
      <c r="C138" s="33">
        <f>IF($A138&gt;NYears*12,"",INT(($A138-1)/12)+1)</f>
        <v/>
      </c>
      <c r="D138" s="33">
        <f>IF($A138&gt;NYears*12,"",MOD($A138-1,12)+1)</f>
        <v/>
      </c>
      <c r="E138" s="35">
        <f>IF($A138&gt;NYears*12,"",LotValue0*(1+LotGrowth)^($C138-1))</f>
        <v/>
      </c>
      <c r="F138" s="35">
        <f>IF($A138&gt;NYears*12,"",IF($A138=1,InitInvest,$R137))</f>
        <v/>
      </c>
      <c r="G138" s="33">
        <f>IF($A138&gt;NYears*12,"",INT($F138/$E138))</f>
        <v/>
      </c>
      <c r="H138" s="35">
        <f>IF($A138&gt;NYears*12,"",$G138*$E138)</f>
        <v/>
      </c>
      <c r="I138" s="35">
        <f>IF($A138&gt;NYears*12,"",$F138-$H138)</f>
        <v/>
      </c>
      <c r="J138" s="35">
        <f>IF($A138&gt;NYears*12,"",$H138*RateD)</f>
        <v/>
      </c>
      <c r="K138" s="35">
        <f>IF($A138&gt;NYears*12,"",IF($D138=1,$J138,$K137+$J138))</f>
        <v/>
      </c>
      <c r="L138" s="35">
        <f>IF($A138&gt;NYears*12,"",IF(MOD($D138,3)=0,SUM($J136:$J138),0))</f>
        <v/>
      </c>
      <c r="M138" s="35">
        <f>IF($A138&gt;NYears*12,"",IF(TaxFreq="Quarterly",$K138*12/$D138,$K138))</f>
        <v/>
      </c>
      <c r="N138" s="36">
        <f>IF($A138&gt;NYears*12,"",LOOKUP($M138,TaxLower,TaxRate))</f>
        <v/>
      </c>
      <c r="O138" s="35">
        <f>IF($A138&gt;NYears*12,"",IF(TaxFreq="Quarterly",IF(MOD($D138,3)=0,$L138*$N138,0),IF($D138=12,$K138*$N138,0)))</f>
        <v/>
      </c>
      <c r="P138" s="35">
        <f>IF($A138&gt;NYears*12,"",IF($D138=1,$O138,$P137+$O138))</f>
        <v/>
      </c>
      <c r="Q138" s="35">
        <f>IF($A138&gt;NYears*12,"",IF($D138=12,MIN(WdrPct*IF(WdrBase="Post-tax profit",$K138-$P138,$K138),WdrCap),0))</f>
        <v/>
      </c>
      <c r="R138" s="35">
        <f>IF($A138&gt;NYears*12,"",$F138+$J138-$O138-$Q138)</f>
        <v/>
      </c>
      <c r="S138" s="33">
        <f>IF($A138&gt;NYears*12,"",INT($R138/$E138))</f>
        <v/>
      </c>
    </row>
    <row r="139">
      <c r="A139" s="33">
        <f>135</f>
        <v/>
      </c>
      <c r="B139" s="34">
        <f>IF($A139&gt;NYears*12,"",EDATE(StartMonth,$A139-1))</f>
        <v/>
      </c>
      <c r="C139" s="33">
        <f>IF($A139&gt;NYears*12,"",INT(($A139-1)/12)+1)</f>
        <v/>
      </c>
      <c r="D139" s="33">
        <f>IF($A139&gt;NYears*12,"",MOD($A139-1,12)+1)</f>
        <v/>
      </c>
      <c r="E139" s="35">
        <f>IF($A139&gt;NYears*12,"",LotValue0*(1+LotGrowth)^($C139-1))</f>
        <v/>
      </c>
      <c r="F139" s="35">
        <f>IF($A139&gt;NYears*12,"",IF($A139=1,InitInvest,$R138))</f>
        <v/>
      </c>
      <c r="G139" s="33">
        <f>IF($A139&gt;NYears*12,"",INT($F139/$E139))</f>
        <v/>
      </c>
      <c r="H139" s="35">
        <f>IF($A139&gt;NYears*12,"",$G139*$E139)</f>
        <v/>
      </c>
      <c r="I139" s="35">
        <f>IF($A139&gt;NYears*12,"",$F139-$H139)</f>
        <v/>
      </c>
      <c r="J139" s="35">
        <f>IF($A139&gt;NYears*12,"",$H139*RateD)</f>
        <v/>
      </c>
      <c r="K139" s="35">
        <f>IF($A139&gt;NYears*12,"",IF($D139=1,$J139,$K138+$J139))</f>
        <v/>
      </c>
      <c r="L139" s="35">
        <f>IF($A139&gt;NYears*12,"",IF(MOD($D139,3)=0,SUM($J137:$J139),0))</f>
        <v/>
      </c>
      <c r="M139" s="35">
        <f>IF($A139&gt;NYears*12,"",IF(TaxFreq="Quarterly",$K139*12/$D139,$K139))</f>
        <v/>
      </c>
      <c r="N139" s="36">
        <f>IF($A139&gt;NYears*12,"",LOOKUP($M139,TaxLower,TaxRate))</f>
        <v/>
      </c>
      <c r="O139" s="35">
        <f>IF($A139&gt;NYears*12,"",IF(TaxFreq="Quarterly",IF(MOD($D139,3)=0,$L139*$N139,0),IF($D139=12,$K139*$N139,0)))</f>
        <v/>
      </c>
      <c r="P139" s="35">
        <f>IF($A139&gt;NYears*12,"",IF($D139=1,$O139,$P138+$O139))</f>
        <v/>
      </c>
      <c r="Q139" s="35">
        <f>IF($A139&gt;NYears*12,"",IF($D139=12,MIN(WdrPct*IF(WdrBase="Post-tax profit",$K139-$P139,$K139),WdrCap),0))</f>
        <v/>
      </c>
      <c r="R139" s="35">
        <f>IF($A139&gt;NYears*12,"",$F139+$J139-$O139-$Q139)</f>
        <v/>
      </c>
      <c r="S139" s="33">
        <f>IF($A139&gt;NYears*12,"",INT($R139/$E139))</f>
        <v/>
      </c>
    </row>
    <row r="140">
      <c r="A140" s="33">
        <f>136</f>
        <v/>
      </c>
      <c r="B140" s="34">
        <f>IF($A140&gt;NYears*12,"",EDATE(StartMonth,$A140-1))</f>
        <v/>
      </c>
      <c r="C140" s="33">
        <f>IF($A140&gt;NYears*12,"",INT(($A140-1)/12)+1)</f>
        <v/>
      </c>
      <c r="D140" s="33">
        <f>IF($A140&gt;NYears*12,"",MOD($A140-1,12)+1)</f>
        <v/>
      </c>
      <c r="E140" s="35">
        <f>IF($A140&gt;NYears*12,"",LotValue0*(1+LotGrowth)^($C140-1))</f>
        <v/>
      </c>
      <c r="F140" s="35">
        <f>IF($A140&gt;NYears*12,"",IF($A140=1,InitInvest,$R139))</f>
        <v/>
      </c>
      <c r="G140" s="33">
        <f>IF($A140&gt;NYears*12,"",INT($F140/$E140))</f>
        <v/>
      </c>
      <c r="H140" s="35">
        <f>IF($A140&gt;NYears*12,"",$G140*$E140)</f>
        <v/>
      </c>
      <c r="I140" s="35">
        <f>IF($A140&gt;NYears*12,"",$F140-$H140)</f>
        <v/>
      </c>
      <c r="J140" s="35">
        <f>IF($A140&gt;NYears*12,"",$H140*RateD)</f>
        <v/>
      </c>
      <c r="K140" s="35">
        <f>IF($A140&gt;NYears*12,"",IF($D140=1,$J140,$K139+$J140))</f>
        <v/>
      </c>
      <c r="L140" s="35">
        <f>IF($A140&gt;NYears*12,"",IF(MOD($D140,3)=0,SUM($J138:$J140),0))</f>
        <v/>
      </c>
      <c r="M140" s="35">
        <f>IF($A140&gt;NYears*12,"",IF(TaxFreq="Quarterly",$K140*12/$D140,$K140))</f>
        <v/>
      </c>
      <c r="N140" s="36">
        <f>IF($A140&gt;NYears*12,"",LOOKUP($M140,TaxLower,TaxRate))</f>
        <v/>
      </c>
      <c r="O140" s="35">
        <f>IF($A140&gt;NYears*12,"",IF(TaxFreq="Quarterly",IF(MOD($D140,3)=0,$L140*$N140,0),IF($D140=12,$K140*$N140,0)))</f>
        <v/>
      </c>
      <c r="P140" s="35">
        <f>IF($A140&gt;NYears*12,"",IF($D140=1,$O140,$P139+$O140))</f>
        <v/>
      </c>
      <c r="Q140" s="35">
        <f>IF($A140&gt;NYears*12,"",IF($D140=12,MIN(WdrPct*IF(WdrBase="Post-tax profit",$K140-$P140,$K140),WdrCap),0))</f>
        <v/>
      </c>
      <c r="R140" s="35">
        <f>IF($A140&gt;NYears*12,"",$F140+$J140-$O140-$Q140)</f>
        <v/>
      </c>
      <c r="S140" s="33">
        <f>IF($A140&gt;NYears*12,"",INT($R140/$E140))</f>
        <v/>
      </c>
    </row>
    <row r="141">
      <c r="A141" s="33">
        <f>137</f>
        <v/>
      </c>
      <c r="B141" s="34">
        <f>IF($A141&gt;NYears*12,"",EDATE(StartMonth,$A141-1))</f>
        <v/>
      </c>
      <c r="C141" s="33">
        <f>IF($A141&gt;NYears*12,"",INT(($A141-1)/12)+1)</f>
        <v/>
      </c>
      <c r="D141" s="33">
        <f>IF($A141&gt;NYears*12,"",MOD($A141-1,12)+1)</f>
        <v/>
      </c>
      <c r="E141" s="35">
        <f>IF($A141&gt;NYears*12,"",LotValue0*(1+LotGrowth)^($C141-1))</f>
        <v/>
      </c>
      <c r="F141" s="35">
        <f>IF($A141&gt;NYears*12,"",IF($A141=1,InitInvest,$R140))</f>
        <v/>
      </c>
      <c r="G141" s="33">
        <f>IF($A141&gt;NYears*12,"",INT($F141/$E141))</f>
        <v/>
      </c>
      <c r="H141" s="35">
        <f>IF($A141&gt;NYears*12,"",$G141*$E141)</f>
        <v/>
      </c>
      <c r="I141" s="35">
        <f>IF($A141&gt;NYears*12,"",$F141-$H141)</f>
        <v/>
      </c>
      <c r="J141" s="35">
        <f>IF($A141&gt;NYears*12,"",$H141*RateD)</f>
        <v/>
      </c>
      <c r="K141" s="35">
        <f>IF($A141&gt;NYears*12,"",IF($D141=1,$J141,$K140+$J141))</f>
        <v/>
      </c>
      <c r="L141" s="35">
        <f>IF($A141&gt;NYears*12,"",IF(MOD($D141,3)=0,SUM($J139:$J141),0))</f>
        <v/>
      </c>
      <c r="M141" s="35">
        <f>IF($A141&gt;NYears*12,"",IF(TaxFreq="Quarterly",$K141*12/$D141,$K141))</f>
        <v/>
      </c>
      <c r="N141" s="36">
        <f>IF($A141&gt;NYears*12,"",LOOKUP($M141,TaxLower,TaxRate))</f>
        <v/>
      </c>
      <c r="O141" s="35">
        <f>IF($A141&gt;NYears*12,"",IF(TaxFreq="Quarterly",IF(MOD($D141,3)=0,$L141*$N141,0),IF($D141=12,$K141*$N141,0)))</f>
        <v/>
      </c>
      <c r="P141" s="35">
        <f>IF($A141&gt;NYears*12,"",IF($D141=1,$O141,$P140+$O141))</f>
        <v/>
      </c>
      <c r="Q141" s="35">
        <f>IF($A141&gt;NYears*12,"",IF($D141=12,MIN(WdrPct*IF(WdrBase="Post-tax profit",$K141-$P141,$K141),WdrCap),0))</f>
        <v/>
      </c>
      <c r="R141" s="35">
        <f>IF($A141&gt;NYears*12,"",$F141+$J141-$O141-$Q141)</f>
        <v/>
      </c>
      <c r="S141" s="33">
        <f>IF($A141&gt;NYears*12,"",INT($R141/$E141))</f>
        <v/>
      </c>
    </row>
    <row r="142">
      <c r="A142" s="33">
        <f>138</f>
        <v/>
      </c>
      <c r="B142" s="34">
        <f>IF($A142&gt;NYears*12,"",EDATE(StartMonth,$A142-1))</f>
        <v/>
      </c>
      <c r="C142" s="33">
        <f>IF($A142&gt;NYears*12,"",INT(($A142-1)/12)+1)</f>
        <v/>
      </c>
      <c r="D142" s="33">
        <f>IF($A142&gt;NYears*12,"",MOD($A142-1,12)+1)</f>
        <v/>
      </c>
      <c r="E142" s="35">
        <f>IF($A142&gt;NYears*12,"",LotValue0*(1+LotGrowth)^($C142-1))</f>
        <v/>
      </c>
      <c r="F142" s="35">
        <f>IF($A142&gt;NYears*12,"",IF($A142=1,InitInvest,$R141))</f>
        <v/>
      </c>
      <c r="G142" s="33">
        <f>IF($A142&gt;NYears*12,"",INT($F142/$E142))</f>
        <v/>
      </c>
      <c r="H142" s="35">
        <f>IF($A142&gt;NYears*12,"",$G142*$E142)</f>
        <v/>
      </c>
      <c r="I142" s="35">
        <f>IF($A142&gt;NYears*12,"",$F142-$H142)</f>
        <v/>
      </c>
      <c r="J142" s="35">
        <f>IF($A142&gt;NYears*12,"",$H142*RateD)</f>
        <v/>
      </c>
      <c r="K142" s="35">
        <f>IF($A142&gt;NYears*12,"",IF($D142=1,$J142,$K141+$J142))</f>
        <v/>
      </c>
      <c r="L142" s="35">
        <f>IF($A142&gt;NYears*12,"",IF(MOD($D142,3)=0,SUM($J140:$J142),0))</f>
        <v/>
      </c>
      <c r="M142" s="35">
        <f>IF($A142&gt;NYears*12,"",IF(TaxFreq="Quarterly",$K142*12/$D142,$K142))</f>
        <v/>
      </c>
      <c r="N142" s="36">
        <f>IF($A142&gt;NYears*12,"",LOOKUP($M142,TaxLower,TaxRate))</f>
        <v/>
      </c>
      <c r="O142" s="35">
        <f>IF($A142&gt;NYears*12,"",IF(TaxFreq="Quarterly",IF(MOD($D142,3)=0,$L142*$N142,0),IF($D142=12,$K142*$N142,0)))</f>
        <v/>
      </c>
      <c r="P142" s="35">
        <f>IF($A142&gt;NYears*12,"",IF($D142=1,$O142,$P141+$O142))</f>
        <v/>
      </c>
      <c r="Q142" s="35">
        <f>IF($A142&gt;NYears*12,"",IF($D142=12,MIN(WdrPct*IF(WdrBase="Post-tax profit",$K142-$P142,$K142),WdrCap),0))</f>
        <v/>
      </c>
      <c r="R142" s="35">
        <f>IF($A142&gt;NYears*12,"",$F142+$J142-$O142-$Q142)</f>
        <v/>
      </c>
      <c r="S142" s="33">
        <f>IF($A142&gt;NYears*12,"",INT($R142/$E142))</f>
        <v/>
      </c>
    </row>
    <row r="143">
      <c r="A143" s="33">
        <f>139</f>
        <v/>
      </c>
      <c r="B143" s="34">
        <f>IF($A143&gt;NYears*12,"",EDATE(StartMonth,$A143-1))</f>
        <v/>
      </c>
      <c r="C143" s="33">
        <f>IF($A143&gt;NYears*12,"",INT(($A143-1)/12)+1)</f>
        <v/>
      </c>
      <c r="D143" s="33">
        <f>IF($A143&gt;NYears*12,"",MOD($A143-1,12)+1)</f>
        <v/>
      </c>
      <c r="E143" s="35">
        <f>IF($A143&gt;NYears*12,"",LotValue0*(1+LotGrowth)^($C143-1))</f>
        <v/>
      </c>
      <c r="F143" s="35">
        <f>IF($A143&gt;NYears*12,"",IF($A143=1,InitInvest,$R142))</f>
        <v/>
      </c>
      <c r="G143" s="33">
        <f>IF($A143&gt;NYears*12,"",INT($F143/$E143))</f>
        <v/>
      </c>
      <c r="H143" s="35">
        <f>IF($A143&gt;NYears*12,"",$G143*$E143)</f>
        <v/>
      </c>
      <c r="I143" s="35">
        <f>IF($A143&gt;NYears*12,"",$F143-$H143)</f>
        <v/>
      </c>
      <c r="J143" s="35">
        <f>IF($A143&gt;NYears*12,"",$H143*RateD)</f>
        <v/>
      </c>
      <c r="K143" s="35">
        <f>IF($A143&gt;NYears*12,"",IF($D143=1,$J143,$K142+$J143))</f>
        <v/>
      </c>
      <c r="L143" s="35">
        <f>IF($A143&gt;NYears*12,"",IF(MOD($D143,3)=0,SUM($J141:$J143),0))</f>
        <v/>
      </c>
      <c r="M143" s="35">
        <f>IF($A143&gt;NYears*12,"",IF(TaxFreq="Quarterly",$K143*12/$D143,$K143))</f>
        <v/>
      </c>
      <c r="N143" s="36">
        <f>IF($A143&gt;NYears*12,"",LOOKUP($M143,TaxLower,TaxRate))</f>
        <v/>
      </c>
      <c r="O143" s="35">
        <f>IF($A143&gt;NYears*12,"",IF(TaxFreq="Quarterly",IF(MOD($D143,3)=0,$L143*$N143,0),IF($D143=12,$K143*$N143,0)))</f>
        <v/>
      </c>
      <c r="P143" s="35">
        <f>IF($A143&gt;NYears*12,"",IF($D143=1,$O143,$P142+$O143))</f>
        <v/>
      </c>
      <c r="Q143" s="35">
        <f>IF($A143&gt;NYears*12,"",IF($D143=12,MIN(WdrPct*IF(WdrBase="Post-tax profit",$K143-$P143,$K143),WdrCap),0))</f>
        <v/>
      </c>
      <c r="R143" s="35">
        <f>IF($A143&gt;NYears*12,"",$F143+$J143-$O143-$Q143)</f>
        <v/>
      </c>
      <c r="S143" s="33">
        <f>IF($A143&gt;NYears*12,"",INT($R143/$E143))</f>
        <v/>
      </c>
    </row>
    <row r="144">
      <c r="A144" s="33">
        <f>140</f>
        <v/>
      </c>
      <c r="B144" s="34">
        <f>IF($A144&gt;NYears*12,"",EDATE(StartMonth,$A144-1))</f>
        <v/>
      </c>
      <c r="C144" s="33">
        <f>IF($A144&gt;NYears*12,"",INT(($A144-1)/12)+1)</f>
        <v/>
      </c>
      <c r="D144" s="33">
        <f>IF($A144&gt;NYears*12,"",MOD($A144-1,12)+1)</f>
        <v/>
      </c>
      <c r="E144" s="35">
        <f>IF($A144&gt;NYears*12,"",LotValue0*(1+LotGrowth)^($C144-1))</f>
        <v/>
      </c>
      <c r="F144" s="35">
        <f>IF($A144&gt;NYears*12,"",IF($A144=1,InitInvest,$R143))</f>
        <v/>
      </c>
      <c r="G144" s="33">
        <f>IF($A144&gt;NYears*12,"",INT($F144/$E144))</f>
        <v/>
      </c>
      <c r="H144" s="35">
        <f>IF($A144&gt;NYears*12,"",$G144*$E144)</f>
        <v/>
      </c>
      <c r="I144" s="35">
        <f>IF($A144&gt;NYears*12,"",$F144-$H144)</f>
        <v/>
      </c>
      <c r="J144" s="35">
        <f>IF($A144&gt;NYears*12,"",$H144*RateD)</f>
        <v/>
      </c>
      <c r="K144" s="35">
        <f>IF($A144&gt;NYears*12,"",IF($D144=1,$J144,$K143+$J144))</f>
        <v/>
      </c>
      <c r="L144" s="35">
        <f>IF($A144&gt;NYears*12,"",IF(MOD($D144,3)=0,SUM($J142:$J144),0))</f>
        <v/>
      </c>
      <c r="M144" s="35">
        <f>IF($A144&gt;NYears*12,"",IF(TaxFreq="Quarterly",$K144*12/$D144,$K144))</f>
        <v/>
      </c>
      <c r="N144" s="36">
        <f>IF($A144&gt;NYears*12,"",LOOKUP($M144,TaxLower,TaxRate))</f>
        <v/>
      </c>
      <c r="O144" s="35">
        <f>IF($A144&gt;NYears*12,"",IF(TaxFreq="Quarterly",IF(MOD($D144,3)=0,$L144*$N144,0),IF($D144=12,$K144*$N144,0)))</f>
        <v/>
      </c>
      <c r="P144" s="35">
        <f>IF($A144&gt;NYears*12,"",IF($D144=1,$O144,$P143+$O144))</f>
        <v/>
      </c>
      <c r="Q144" s="35">
        <f>IF($A144&gt;NYears*12,"",IF($D144=12,MIN(WdrPct*IF(WdrBase="Post-tax profit",$K144-$P144,$K144),WdrCap),0))</f>
        <v/>
      </c>
      <c r="R144" s="35">
        <f>IF($A144&gt;NYears*12,"",$F144+$J144-$O144-$Q144)</f>
        <v/>
      </c>
      <c r="S144" s="33">
        <f>IF($A144&gt;NYears*12,"",INT($R144/$E144))</f>
        <v/>
      </c>
    </row>
    <row r="145">
      <c r="A145" s="33">
        <f>141</f>
        <v/>
      </c>
      <c r="B145" s="34">
        <f>IF($A145&gt;NYears*12,"",EDATE(StartMonth,$A145-1))</f>
        <v/>
      </c>
      <c r="C145" s="33">
        <f>IF($A145&gt;NYears*12,"",INT(($A145-1)/12)+1)</f>
        <v/>
      </c>
      <c r="D145" s="33">
        <f>IF($A145&gt;NYears*12,"",MOD($A145-1,12)+1)</f>
        <v/>
      </c>
      <c r="E145" s="35">
        <f>IF($A145&gt;NYears*12,"",LotValue0*(1+LotGrowth)^($C145-1))</f>
        <v/>
      </c>
      <c r="F145" s="35">
        <f>IF($A145&gt;NYears*12,"",IF($A145=1,InitInvest,$R144))</f>
        <v/>
      </c>
      <c r="G145" s="33">
        <f>IF($A145&gt;NYears*12,"",INT($F145/$E145))</f>
        <v/>
      </c>
      <c r="H145" s="35">
        <f>IF($A145&gt;NYears*12,"",$G145*$E145)</f>
        <v/>
      </c>
      <c r="I145" s="35">
        <f>IF($A145&gt;NYears*12,"",$F145-$H145)</f>
        <v/>
      </c>
      <c r="J145" s="35">
        <f>IF($A145&gt;NYears*12,"",$H145*RateD)</f>
        <v/>
      </c>
      <c r="K145" s="35">
        <f>IF($A145&gt;NYears*12,"",IF($D145=1,$J145,$K144+$J145))</f>
        <v/>
      </c>
      <c r="L145" s="35">
        <f>IF($A145&gt;NYears*12,"",IF(MOD($D145,3)=0,SUM($J143:$J145),0))</f>
        <v/>
      </c>
      <c r="M145" s="35">
        <f>IF($A145&gt;NYears*12,"",IF(TaxFreq="Quarterly",$K145*12/$D145,$K145))</f>
        <v/>
      </c>
      <c r="N145" s="36">
        <f>IF($A145&gt;NYears*12,"",LOOKUP($M145,TaxLower,TaxRate))</f>
        <v/>
      </c>
      <c r="O145" s="35">
        <f>IF($A145&gt;NYears*12,"",IF(TaxFreq="Quarterly",IF(MOD($D145,3)=0,$L145*$N145,0),IF($D145=12,$K145*$N145,0)))</f>
        <v/>
      </c>
      <c r="P145" s="35">
        <f>IF($A145&gt;NYears*12,"",IF($D145=1,$O145,$P144+$O145))</f>
        <v/>
      </c>
      <c r="Q145" s="35">
        <f>IF($A145&gt;NYears*12,"",IF($D145=12,MIN(WdrPct*IF(WdrBase="Post-tax profit",$K145-$P145,$K145),WdrCap),0))</f>
        <v/>
      </c>
      <c r="R145" s="35">
        <f>IF($A145&gt;NYears*12,"",$F145+$J145-$O145-$Q145)</f>
        <v/>
      </c>
      <c r="S145" s="33">
        <f>IF($A145&gt;NYears*12,"",INT($R145/$E145))</f>
        <v/>
      </c>
    </row>
    <row r="146">
      <c r="A146" s="33">
        <f>142</f>
        <v/>
      </c>
      <c r="B146" s="34">
        <f>IF($A146&gt;NYears*12,"",EDATE(StartMonth,$A146-1))</f>
        <v/>
      </c>
      <c r="C146" s="33">
        <f>IF($A146&gt;NYears*12,"",INT(($A146-1)/12)+1)</f>
        <v/>
      </c>
      <c r="D146" s="33">
        <f>IF($A146&gt;NYears*12,"",MOD($A146-1,12)+1)</f>
        <v/>
      </c>
      <c r="E146" s="35">
        <f>IF($A146&gt;NYears*12,"",LotValue0*(1+LotGrowth)^($C146-1))</f>
        <v/>
      </c>
      <c r="F146" s="35">
        <f>IF($A146&gt;NYears*12,"",IF($A146=1,InitInvest,$R145))</f>
        <v/>
      </c>
      <c r="G146" s="33">
        <f>IF($A146&gt;NYears*12,"",INT($F146/$E146))</f>
        <v/>
      </c>
      <c r="H146" s="35">
        <f>IF($A146&gt;NYears*12,"",$G146*$E146)</f>
        <v/>
      </c>
      <c r="I146" s="35">
        <f>IF($A146&gt;NYears*12,"",$F146-$H146)</f>
        <v/>
      </c>
      <c r="J146" s="35">
        <f>IF($A146&gt;NYears*12,"",$H146*RateD)</f>
        <v/>
      </c>
      <c r="K146" s="35">
        <f>IF($A146&gt;NYears*12,"",IF($D146=1,$J146,$K145+$J146))</f>
        <v/>
      </c>
      <c r="L146" s="35">
        <f>IF($A146&gt;NYears*12,"",IF(MOD($D146,3)=0,SUM($J144:$J146),0))</f>
        <v/>
      </c>
      <c r="M146" s="35">
        <f>IF($A146&gt;NYears*12,"",IF(TaxFreq="Quarterly",$K146*12/$D146,$K146))</f>
        <v/>
      </c>
      <c r="N146" s="36">
        <f>IF($A146&gt;NYears*12,"",LOOKUP($M146,TaxLower,TaxRate))</f>
        <v/>
      </c>
      <c r="O146" s="35">
        <f>IF($A146&gt;NYears*12,"",IF(TaxFreq="Quarterly",IF(MOD($D146,3)=0,$L146*$N146,0),IF($D146=12,$K146*$N146,0)))</f>
        <v/>
      </c>
      <c r="P146" s="35">
        <f>IF($A146&gt;NYears*12,"",IF($D146=1,$O146,$P145+$O146))</f>
        <v/>
      </c>
      <c r="Q146" s="35">
        <f>IF($A146&gt;NYears*12,"",IF($D146=12,MIN(WdrPct*IF(WdrBase="Post-tax profit",$K146-$P146,$K146),WdrCap),0))</f>
        <v/>
      </c>
      <c r="R146" s="35">
        <f>IF($A146&gt;NYears*12,"",$F146+$J146-$O146-$Q146)</f>
        <v/>
      </c>
      <c r="S146" s="33">
        <f>IF($A146&gt;NYears*12,"",INT($R146/$E146))</f>
        <v/>
      </c>
    </row>
    <row r="147">
      <c r="A147" s="33">
        <f>143</f>
        <v/>
      </c>
      <c r="B147" s="34">
        <f>IF($A147&gt;NYears*12,"",EDATE(StartMonth,$A147-1))</f>
        <v/>
      </c>
      <c r="C147" s="33">
        <f>IF($A147&gt;NYears*12,"",INT(($A147-1)/12)+1)</f>
        <v/>
      </c>
      <c r="D147" s="33">
        <f>IF($A147&gt;NYears*12,"",MOD($A147-1,12)+1)</f>
        <v/>
      </c>
      <c r="E147" s="35">
        <f>IF($A147&gt;NYears*12,"",LotValue0*(1+LotGrowth)^($C147-1))</f>
        <v/>
      </c>
      <c r="F147" s="35">
        <f>IF($A147&gt;NYears*12,"",IF($A147=1,InitInvest,$R146))</f>
        <v/>
      </c>
      <c r="G147" s="33">
        <f>IF($A147&gt;NYears*12,"",INT($F147/$E147))</f>
        <v/>
      </c>
      <c r="H147" s="35">
        <f>IF($A147&gt;NYears*12,"",$G147*$E147)</f>
        <v/>
      </c>
      <c r="I147" s="35">
        <f>IF($A147&gt;NYears*12,"",$F147-$H147)</f>
        <v/>
      </c>
      <c r="J147" s="35">
        <f>IF($A147&gt;NYears*12,"",$H147*RateD)</f>
        <v/>
      </c>
      <c r="K147" s="35">
        <f>IF($A147&gt;NYears*12,"",IF($D147=1,$J147,$K146+$J147))</f>
        <v/>
      </c>
      <c r="L147" s="35">
        <f>IF($A147&gt;NYears*12,"",IF(MOD($D147,3)=0,SUM($J145:$J147),0))</f>
        <v/>
      </c>
      <c r="M147" s="35">
        <f>IF($A147&gt;NYears*12,"",IF(TaxFreq="Quarterly",$K147*12/$D147,$K147))</f>
        <v/>
      </c>
      <c r="N147" s="36">
        <f>IF($A147&gt;NYears*12,"",LOOKUP($M147,TaxLower,TaxRate))</f>
        <v/>
      </c>
      <c r="O147" s="35">
        <f>IF($A147&gt;NYears*12,"",IF(TaxFreq="Quarterly",IF(MOD($D147,3)=0,$L147*$N147,0),IF($D147=12,$K147*$N147,0)))</f>
        <v/>
      </c>
      <c r="P147" s="35">
        <f>IF($A147&gt;NYears*12,"",IF($D147=1,$O147,$P146+$O147))</f>
        <v/>
      </c>
      <c r="Q147" s="35">
        <f>IF($A147&gt;NYears*12,"",IF($D147=12,MIN(WdrPct*IF(WdrBase="Post-tax profit",$K147-$P147,$K147),WdrCap),0))</f>
        <v/>
      </c>
      <c r="R147" s="35">
        <f>IF($A147&gt;NYears*12,"",$F147+$J147-$O147-$Q147)</f>
        <v/>
      </c>
      <c r="S147" s="33">
        <f>IF($A147&gt;NYears*12,"",INT($R147/$E147))</f>
        <v/>
      </c>
    </row>
    <row r="148">
      <c r="A148" s="37">
        <f>144</f>
        <v/>
      </c>
      <c r="B148" s="38">
        <f>IF($A148&gt;NYears*12,"",EDATE(StartMonth,$A148-1))</f>
        <v/>
      </c>
      <c r="C148" s="37">
        <f>IF($A148&gt;NYears*12,"",INT(($A148-1)/12)+1)</f>
        <v/>
      </c>
      <c r="D148" s="37">
        <f>IF($A148&gt;NYears*12,"",MOD($A148-1,12)+1)</f>
        <v/>
      </c>
      <c r="E148" s="39">
        <f>IF($A148&gt;NYears*12,"",LotValue0*(1+LotGrowth)^($C148-1))</f>
        <v/>
      </c>
      <c r="F148" s="39">
        <f>IF($A148&gt;NYears*12,"",IF($A148=1,InitInvest,$R147))</f>
        <v/>
      </c>
      <c r="G148" s="37">
        <f>IF($A148&gt;NYears*12,"",INT($F148/$E148))</f>
        <v/>
      </c>
      <c r="H148" s="39">
        <f>IF($A148&gt;NYears*12,"",$G148*$E148)</f>
        <v/>
      </c>
      <c r="I148" s="39">
        <f>IF($A148&gt;NYears*12,"",$F148-$H148)</f>
        <v/>
      </c>
      <c r="J148" s="39">
        <f>IF($A148&gt;NYears*12,"",$H148*RateD)</f>
        <v/>
      </c>
      <c r="K148" s="39">
        <f>IF($A148&gt;NYears*12,"",IF($D148=1,$J148,$K147+$J148))</f>
        <v/>
      </c>
      <c r="L148" s="39">
        <f>IF($A148&gt;NYears*12,"",IF(MOD($D148,3)=0,SUM($J146:$J148),0))</f>
        <v/>
      </c>
      <c r="M148" s="39">
        <f>IF($A148&gt;NYears*12,"",IF(TaxFreq="Quarterly",$K148*12/$D148,$K148))</f>
        <v/>
      </c>
      <c r="N148" s="40">
        <f>IF($A148&gt;NYears*12,"",LOOKUP($M148,TaxLower,TaxRate))</f>
        <v/>
      </c>
      <c r="O148" s="39">
        <f>IF($A148&gt;NYears*12,"",IF(TaxFreq="Quarterly",IF(MOD($D148,3)=0,$L148*$N148,0),IF($D148=12,$K148*$N148,0)))</f>
        <v/>
      </c>
      <c r="P148" s="39">
        <f>IF($A148&gt;NYears*12,"",IF($D148=1,$O148,$P147+$O148))</f>
        <v/>
      </c>
      <c r="Q148" s="39">
        <f>IF($A148&gt;NYears*12,"",IF($D148=12,MIN(WdrPct*IF(WdrBase="Post-tax profit",$K148-$P148,$K148),WdrCap),0))</f>
        <v/>
      </c>
      <c r="R148" s="39">
        <f>IF($A148&gt;NYears*12,"",$F148+$J148-$O148-$Q148)</f>
        <v/>
      </c>
      <c r="S148" s="37">
        <f>IF($A148&gt;NYears*12,"",INT($R148/$E148))</f>
        <v/>
      </c>
    </row>
    <row r="149">
      <c r="A149" s="33">
        <f>145</f>
        <v/>
      </c>
      <c r="B149" s="34">
        <f>IF($A149&gt;NYears*12,"",EDATE(StartMonth,$A149-1))</f>
        <v/>
      </c>
      <c r="C149" s="33">
        <f>IF($A149&gt;NYears*12,"",INT(($A149-1)/12)+1)</f>
        <v/>
      </c>
      <c r="D149" s="33">
        <f>IF($A149&gt;NYears*12,"",MOD($A149-1,12)+1)</f>
        <v/>
      </c>
      <c r="E149" s="35">
        <f>IF($A149&gt;NYears*12,"",LotValue0*(1+LotGrowth)^($C149-1))</f>
        <v/>
      </c>
      <c r="F149" s="35">
        <f>IF($A149&gt;NYears*12,"",IF($A149=1,InitInvest,$R148))</f>
        <v/>
      </c>
      <c r="G149" s="33">
        <f>IF($A149&gt;NYears*12,"",INT($F149/$E149))</f>
        <v/>
      </c>
      <c r="H149" s="35">
        <f>IF($A149&gt;NYears*12,"",$G149*$E149)</f>
        <v/>
      </c>
      <c r="I149" s="35">
        <f>IF($A149&gt;NYears*12,"",$F149-$H149)</f>
        <v/>
      </c>
      <c r="J149" s="35">
        <f>IF($A149&gt;NYears*12,"",$H149*RateD)</f>
        <v/>
      </c>
      <c r="K149" s="35">
        <f>IF($A149&gt;NYears*12,"",IF($D149=1,$J149,$K148+$J149))</f>
        <v/>
      </c>
      <c r="L149" s="35">
        <f>IF($A149&gt;NYears*12,"",IF(MOD($D149,3)=0,SUM($J147:$J149),0))</f>
        <v/>
      </c>
      <c r="M149" s="35">
        <f>IF($A149&gt;NYears*12,"",IF(TaxFreq="Quarterly",$K149*12/$D149,$K149))</f>
        <v/>
      </c>
      <c r="N149" s="36">
        <f>IF($A149&gt;NYears*12,"",LOOKUP($M149,TaxLower,TaxRate))</f>
        <v/>
      </c>
      <c r="O149" s="35">
        <f>IF($A149&gt;NYears*12,"",IF(TaxFreq="Quarterly",IF(MOD($D149,3)=0,$L149*$N149,0),IF($D149=12,$K149*$N149,0)))</f>
        <v/>
      </c>
      <c r="P149" s="35">
        <f>IF($A149&gt;NYears*12,"",IF($D149=1,$O149,$P148+$O149))</f>
        <v/>
      </c>
      <c r="Q149" s="35">
        <f>IF($A149&gt;NYears*12,"",IF($D149=12,MIN(WdrPct*IF(WdrBase="Post-tax profit",$K149-$P149,$K149),WdrCap),0))</f>
        <v/>
      </c>
      <c r="R149" s="35">
        <f>IF($A149&gt;NYears*12,"",$F149+$J149-$O149-$Q149)</f>
        <v/>
      </c>
      <c r="S149" s="33">
        <f>IF($A149&gt;NYears*12,"",INT($R149/$E149))</f>
        <v/>
      </c>
    </row>
    <row r="150">
      <c r="A150" s="33">
        <f>146</f>
        <v/>
      </c>
      <c r="B150" s="34">
        <f>IF($A150&gt;NYears*12,"",EDATE(StartMonth,$A150-1))</f>
        <v/>
      </c>
      <c r="C150" s="33">
        <f>IF($A150&gt;NYears*12,"",INT(($A150-1)/12)+1)</f>
        <v/>
      </c>
      <c r="D150" s="33">
        <f>IF($A150&gt;NYears*12,"",MOD($A150-1,12)+1)</f>
        <v/>
      </c>
      <c r="E150" s="35">
        <f>IF($A150&gt;NYears*12,"",LotValue0*(1+LotGrowth)^($C150-1))</f>
        <v/>
      </c>
      <c r="F150" s="35">
        <f>IF($A150&gt;NYears*12,"",IF($A150=1,InitInvest,$R149))</f>
        <v/>
      </c>
      <c r="G150" s="33">
        <f>IF($A150&gt;NYears*12,"",INT($F150/$E150))</f>
        <v/>
      </c>
      <c r="H150" s="35">
        <f>IF($A150&gt;NYears*12,"",$G150*$E150)</f>
        <v/>
      </c>
      <c r="I150" s="35">
        <f>IF($A150&gt;NYears*12,"",$F150-$H150)</f>
        <v/>
      </c>
      <c r="J150" s="35">
        <f>IF($A150&gt;NYears*12,"",$H150*RateD)</f>
        <v/>
      </c>
      <c r="K150" s="35">
        <f>IF($A150&gt;NYears*12,"",IF($D150=1,$J150,$K149+$J150))</f>
        <v/>
      </c>
      <c r="L150" s="35">
        <f>IF($A150&gt;NYears*12,"",IF(MOD($D150,3)=0,SUM($J148:$J150),0))</f>
        <v/>
      </c>
      <c r="M150" s="35">
        <f>IF($A150&gt;NYears*12,"",IF(TaxFreq="Quarterly",$K150*12/$D150,$K150))</f>
        <v/>
      </c>
      <c r="N150" s="36">
        <f>IF($A150&gt;NYears*12,"",LOOKUP($M150,TaxLower,TaxRate))</f>
        <v/>
      </c>
      <c r="O150" s="35">
        <f>IF($A150&gt;NYears*12,"",IF(TaxFreq="Quarterly",IF(MOD($D150,3)=0,$L150*$N150,0),IF($D150=12,$K150*$N150,0)))</f>
        <v/>
      </c>
      <c r="P150" s="35">
        <f>IF($A150&gt;NYears*12,"",IF($D150=1,$O150,$P149+$O150))</f>
        <v/>
      </c>
      <c r="Q150" s="35">
        <f>IF($A150&gt;NYears*12,"",IF($D150=12,MIN(WdrPct*IF(WdrBase="Post-tax profit",$K150-$P150,$K150),WdrCap),0))</f>
        <v/>
      </c>
      <c r="R150" s="35">
        <f>IF($A150&gt;NYears*12,"",$F150+$J150-$O150-$Q150)</f>
        <v/>
      </c>
      <c r="S150" s="33">
        <f>IF($A150&gt;NYears*12,"",INT($R150/$E150))</f>
        <v/>
      </c>
    </row>
    <row r="151">
      <c r="A151" s="33">
        <f>147</f>
        <v/>
      </c>
      <c r="B151" s="34">
        <f>IF($A151&gt;NYears*12,"",EDATE(StartMonth,$A151-1))</f>
        <v/>
      </c>
      <c r="C151" s="33">
        <f>IF($A151&gt;NYears*12,"",INT(($A151-1)/12)+1)</f>
        <v/>
      </c>
      <c r="D151" s="33">
        <f>IF($A151&gt;NYears*12,"",MOD($A151-1,12)+1)</f>
        <v/>
      </c>
      <c r="E151" s="35">
        <f>IF($A151&gt;NYears*12,"",LotValue0*(1+LotGrowth)^($C151-1))</f>
        <v/>
      </c>
      <c r="F151" s="35">
        <f>IF($A151&gt;NYears*12,"",IF($A151=1,InitInvest,$R150))</f>
        <v/>
      </c>
      <c r="G151" s="33">
        <f>IF($A151&gt;NYears*12,"",INT($F151/$E151))</f>
        <v/>
      </c>
      <c r="H151" s="35">
        <f>IF($A151&gt;NYears*12,"",$G151*$E151)</f>
        <v/>
      </c>
      <c r="I151" s="35">
        <f>IF($A151&gt;NYears*12,"",$F151-$H151)</f>
        <v/>
      </c>
      <c r="J151" s="35">
        <f>IF($A151&gt;NYears*12,"",$H151*RateD)</f>
        <v/>
      </c>
      <c r="K151" s="35">
        <f>IF($A151&gt;NYears*12,"",IF($D151=1,$J151,$K150+$J151))</f>
        <v/>
      </c>
      <c r="L151" s="35">
        <f>IF($A151&gt;NYears*12,"",IF(MOD($D151,3)=0,SUM($J149:$J151),0))</f>
        <v/>
      </c>
      <c r="M151" s="35">
        <f>IF($A151&gt;NYears*12,"",IF(TaxFreq="Quarterly",$K151*12/$D151,$K151))</f>
        <v/>
      </c>
      <c r="N151" s="36">
        <f>IF($A151&gt;NYears*12,"",LOOKUP($M151,TaxLower,TaxRate))</f>
        <v/>
      </c>
      <c r="O151" s="35">
        <f>IF($A151&gt;NYears*12,"",IF(TaxFreq="Quarterly",IF(MOD($D151,3)=0,$L151*$N151,0),IF($D151=12,$K151*$N151,0)))</f>
        <v/>
      </c>
      <c r="P151" s="35">
        <f>IF($A151&gt;NYears*12,"",IF($D151=1,$O151,$P150+$O151))</f>
        <v/>
      </c>
      <c r="Q151" s="35">
        <f>IF($A151&gt;NYears*12,"",IF($D151=12,MIN(WdrPct*IF(WdrBase="Post-tax profit",$K151-$P151,$K151),WdrCap),0))</f>
        <v/>
      </c>
      <c r="R151" s="35">
        <f>IF($A151&gt;NYears*12,"",$F151+$J151-$O151-$Q151)</f>
        <v/>
      </c>
      <c r="S151" s="33">
        <f>IF($A151&gt;NYears*12,"",INT($R151/$E151))</f>
        <v/>
      </c>
    </row>
    <row r="152">
      <c r="A152" s="33">
        <f>148</f>
        <v/>
      </c>
      <c r="B152" s="34">
        <f>IF($A152&gt;NYears*12,"",EDATE(StartMonth,$A152-1))</f>
        <v/>
      </c>
      <c r="C152" s="33">
        <f>IF($A152&gt;NYears*12,"",INT(($A152-1)/12)+1)</f>
        <v/>
      </c>
      <c r="D152" s="33">
        <f>IF($A152&gt;NYears*12,"",MOD($A152-1,12)+1)</f>
        <v/>
      </c>
      <c r="E152" s="35">
        <f>IF($A152&gt;NYears*12,"",LotValue0*(1+LotGrowth)^($C152-1))</f>
        <v/>
      </c>
      <c r="F152" s="35">
        <f>IF($A152&gt;NYears*12,"",IF($A152=1,InitInvest,$R151))</f>
        <v/>
      </c>
      <c r="G152" s="33">
        <f>IF($A152&gt;NYears*12,"",INT($F152/$E152))</f>
        <v/>
      </c>
      <c r="H152" s="35">
        <f>IF($A152&gt;NYears*12,"",$G152*$E152)</f>
        <v/>
      </c>
      <c r="I152" s="35">
        <f>IF($A152&gt;NYears*12,"",$F152-$H152)</f>
        <v/>
      </c>
      <c r="J152" s="35">
        <f>IF($A152&gt;NYears*12,"",$H152*RateD)</f>
        <v/>
      </c>
      <c r="K152" s="35">
        <f>IF($A152&gt;NYears*12,"",IF($D152=1,$J152,$K151+$J152))</f>
        <v/>
      </c>
      <c r="L152" s="35">
        <f>IF($A152&gt;NYears*12,"",IF(MOD($D152,3)=0,SUM($J150:$J152),0))</f>
        <v/>
      </c>
      <c r="M152" s="35">
        <f>IF($A152&gt;NYears*12,"",IF(TaxFreq="Quarterly",$K152*12/$D152,$K152))</f>
        <v/>
      </c>
      <c r="N152" s="36">
        <f>IF($A152&gt;NYears*12,"",LOOKUP($M152,TaxLower,TaxRate))</f>
        <v/>
      </c>
      <c r="O152" s="35">
        <f>IF($A152&gt;NYears*12,"",IF(TaxFreq="Quarterly",IF(MOD($D152,3)=0,$L152*$N152,0),IF($D152=12,$K152*$N152,0)))</f>
        <v/>
      </c>
      <c r="P152" s="35">
        <f>IF($A152&gt;NYears*12,"",IF($D152=1,$O152,$P151+$O152))</f>
        <v/>
      </c>
      <c r="Q152" s="35">
        <f>IF($A152&gt;NYears*12,"",IF($D152=12,MIN(WdrPct*IF(WdrBase="Post-tax profit",$K152-$P152,$K152),WdrCap),0))</f>
        <v/>
      </c>
      <c r="R152" s="35">
        <f>IF($A152&gt;NYears*12,"",$F152+$J152-$O152-$Q152)</f>
        <v/>
      </c>
      <c r="S152" s="33">
        <f>IF($A152&gt;NYears*12,"",INT($R152/$E152))</f>
        <v/>
      </c>
    </row>
    <row r="153">
      <c r="A153" s="33">
        <f>149</f>
        <v/>
      </c>
      <c r="B153" s="34">
        <f>IF($A153&gt;NYears*12,"",EDATE(StartMonth,$A153-1))</f>
        <v/>
      </c>
      <c r="C153" s="33">
        <f>IF($A153&gt;NYears*12,"",INT(($A153-1)/12)+1)</f>
        <v/>
      </c>
      <c r="D153" s="33">
        <f>IF($A153&gt;NYears*12,"",MOD($A153-1,12)+1)</f>
        <v/>
      </c>
      <c r="E153" s="35">
        <f>IF($A153&gt;NYears*12,"",LotValue0*(1+LotGrowth)^($C153-1))</f>
        <v/>
      </c>
      <c r="F153" s="35">
        <f>IF($A153&gt;NYears*12,"",IF($A153=1,InitInvest,$R152))</f>
        <v/>
      </c>
      <c r="G153" s="33">
        <f>IF($A153&gt;NYears*12,"",INT($F153/$E153))</f>
        <v/>
      </c>
      <c r="H153" s="35">
        <f>IF($A153&gt;NYears*12,"",$G153*$E153)</f>
        <v/>
      </c>
      <c r="I153" s="35">
        <f>IF($A153&gt;NYears*12,"",$F153-$H153)</f>
        <v/>
      </c>
      <c r="J153" s="35">
        <f>IF($A153&gt;NYears*12,"",$H153*RateD)</f>
        <v/>
      </c>
      <c r="K153" s="35">
        <f>IF($A153&gt;NYears*12,"",IF($D153=1,$J153,$K152+$J153))</f>
        <v/>
      </c>
      <c r="L153" s="35">
        <f>IF($A153&gt;NYears*12,"",IF(MOD($D153,3)=0,SUM($J151:$J153),0))</f>
        <v/>
      </c>
      <c r="M153" s="35">
        <f>IF($A153&gt;NYears*12,"",IF(TaxFreq="Quarterly",$K153*12/$D153,$K153))</f>
        <v/>
      </c>
      <c r="N153" s="36">
        <f>IF($A153&gt;NYears*12,"",LOOKUP($M153,TaxLower,TaxRate))</f>
        <v/>
      </c>
      <c r="O153" s="35">
        <f>IF($A153&gt;NYears*12,"",IF(TaxFreq="Quarterly",IF(MOD($D153,3)=0,$L153*$N153,0),IF($D153=12,$K153*$N153,0)))</f>
        <v/>
      </c>
      <c r="P153" s="35">
        <f>IF($A153&gt;NYears*12,"",IF($D153=1,$O153,$P152+$O153))</f>
        <v/>
      </c>
      <c r="Q153" s="35">
        <f>IF($A153&gt;NYears*12,"",IF($D153=12,MIN(WdrPct*IF(WdrBase="Post-tax profit",$K153-$P153,$K153),WdrCap),0))</f>
        <v/>
      </c>
      <c r="R153" s="35">
        <f>IF($A153&gt;NYears*12,"",$F153+$J153-$O153-$Q153)</f>
        <v/>
      </c>
      <c r="S153" s="33">
        <f>IF($A153&gt;NYears*12,"",INT($R153/$E153))</f>
        <v/>
      </c>
    </row>
    <row r="154">
      <c r="A154" s="33">
        <f>150</f>
        <v/>
      </c>
      <c r="B154" s="34">
        <f>IF($A154&gt;NYears*12,"",EDATE(StartMonth,$A154-1))</f>
        <v/>
      </c>
      <c r="C154" s="33">
        <f>IF($A154&gt;NYears*12,"",INT(($A154-1)/12)+1)</f>
        <v/>
      </c>
      <c r="D154" s="33">
        <f>IF($A154&gt;NYears*12,"",MOD($A154-1,12)+1)</f>
        <v/>
      </c>
      <c r="E154" s="35">
        <f>IF($A154&gt;NYears*12,"",LotValue0*(1+LotGrowth)^($C154-1))</f>
        <v/>
      </c>
      <c r="F154" s="35">
        <f>IF($A154&gt;NYears*12,"",IF($A154=1,InitInvest,$R153))</f>
        <v/>
      </c>
      <c r="G154" s="33">
        <f>IF($A154&gt;NYears*12,"",INT($F154/$E154))</f>
        <v/>
      </c>
      <c r="H154" s="35">
        <f>IF($A154&gt;NYears*12,"",$G154*$E154)</f>
        <v/>
      </c>
      <c r="I154" s="35">
        <f>IF($A154&gt;NYears*12,"",$F154-$H154)</f>
        <v/>
      </c>
      <c r="J154" s="35">
        <f>IF($A154&gt;NYears*12,"",$H154*RateD)</f>
        <v/>
      </c>
      <c r="K154" s="35">
        <f>IF($A154&gt;NYears*12,"",IF($D154=1,$J154,$K153+$J154))</f>
        <v/>
      </c>
      <c r="L154" s="35">
        <f>IF($A154&gt;NYears*12,"",IF(MOD($D154,3)=0,SUM($J152:$J154),0))</f>
        <v/>
      </c>
      <c r="M154" s="35">
        <f>IF($A154&gt;NYears*12,"",IF(TaxFreq="Quarterly",$K154*12/$D154,$K154))</f>
        <v/>
      </c>
      <c r="N154" s="36">
        <f>IF($A154&gt;NYears*12,"",LOOKUP($M154,TaxLower,TaxRate))</f>
        <v/>
      </c>
      <c r="O154" s="35">
        <f>IF($A154&gt;NYears*12,"",IF(TaxFreq="Quarterly",IF(MOD($D154,3)=0,$L154*$N154,0),IF($D154=12,$K154*$N154,0)))</f>
        <v/>
      </c>
      <c r="P154" s="35">
        <f>IF($A154&gt;NYears*12,"",IF($D154=1,$O154,$P153+$O154))</f>
        <v/>
      </c>
      <c r="Q154" s="35">
        <f>IF($A154&gt;NYears*12,"",IF($D154=12,MIN(WdrPct*IF(WdrBase="Post-tax profit",$K154-$P154,$K154),WdrCap),0))</f>
        <v/>
      </c>
      <c r="R154" s="35">
        <f>IF($A154&gt;NYears*12,"",$F154+$J154-$O154-$Q154)</f>
        <v/>
      </c>
      <c r="S154" s="33">
        <f>IF($A154&gt;NYears*12,"",INT($R154/$E154))</f>
        <v/>
      </c>
    </row>
    <row r="155">
      <c r="A155" s="33">
        <f>151</f>
        <v/>
      </c>
      <c r="B155" s="34">
        <f>IF($A155&gt;NYears*12,"",EDATE(StartMonth,$A155-1))</f>
        <v/>
      </c>
      <c r="C155" s="33">
        <f>IF($A155&gt;NYears*12,"",INT(($A155-1)/12)+1)</f>
        <v/>
      </c>
      <c r="D155" s="33">
        <f>IF($A155&gt;NYears*12,"",MOD($A155-1,12)+1)</f>
        <v/>
      </c>
      <c r="E155" s="35">
        <f>IF($A155&gt;NYears*12,"",LotValue0*(1+LotGrowth)^($C155-1))</f>
        <v/>
      </c>
      <c r="F155" s="35">
        <f>IF($A155&gt;NYears*12,"",IF($A155=1,InitInvest,$R154))</f>
        <v/>
      </c>
      <c r="G155" s="33">
        <f>IF($A155&gt;NYears*12,"",INT($F155/$E155))</f>
        <v/>
      </c>
      <c r="H155" s="35">
        <f>IF($A155&gt;NYears*12,"",$G155*$E155)</f>
        <v/>
      </c>
      <c r="I155" s="35">
        <f>IF($A155&gt;NYears*12,"",$F155-$H155)</f>
        <v/>
      </c>
      <c r="J155" s="35">
        <f>IF($A155&gt;NYears*12,"",$H155*RateD)</f>
        <v/>
      </c>
      <c r="K155" s="35">
        <f>IF($A155&gt;NYears*12,"",IF($D155=1,$J155,$K154+$J155))</f>
        <v/>
      </c>
      <c r="L155" s="35">
        <f>IF($A155&gt;NYears*12,"",IF(MOD($D155,3)=0,SUM($J153:$J155),0))</f>
        <v/>
      </c>
      <c r="M155" s="35">
        <f>IF($A155&gt;NYears*12,"",IF(TaxFreq="Quarterly",$K155*12/$D155,$K155))</f>
        <v/>
      </c>
      <c r="N155" s="36">
        <f>IF($A155&gt;NYears*12,"",LOOKUP($M155,TaxLower,TaxRate))</f>
        <v/>
      </c>
      <c r="O155" s="35">
        <f>IF($A155&gt;NYears*12,"",IF(TaxFreq="Quarterly",IF(MOD($D155,3)=0,$L155*$N155,0),IF($D155=12,$K155*$N155,0)))</f>
        <v/>
      </c>
      <c r="P155" s="35">
        <f>IF($A155&gt;NYears*12,"",IF($D155=1,$O155,$P154+$O155))</f>
        <v/>
      </c>
      <c r="Q155" s="35">
        <f>IF($A155&gt;NYears*12,"",IF($D155=12,MIN(WdrPct*IF(WdrBase="Post-tax profit",$K155-$P155,$K155),WdrCap),0))</f>
        <v/>
      </c>
      <c r="R155" s="35">
        <f>IF($A155&gt;NYears*12,"",$F155+$J155-$O155-$Q155)</f>
        <v/>
      </c>
      <c r="S155" s="33">
        <f>IF($A155&gt;NYears*12,"",INT($R155/$E155))</f>
        <v/>
      </c>
    </row>
    <row r="156">
      <c r="A156" s="33">
        <f>152</f>
        <v/>
      </c>
      <c r="B156" s="34">
        <f>IF($A156&gt;NYears*12,"",EDATE(StartMonth,$A156-1))</f>
        <v/>
      </c>
      <c r="C156" s="33">
        <f>IF($A156&gt;NYears*12,"",INT(($A156-1)/12)+1)</f>
        <v/>
      </c>
      <c r="D156" s="33">
        <f>IF($A156&gt;NYears*12,"",MOD($A156-1,12)+1)</f>
        <v/>
      </c>
      <c r="E156" s="35">
        <f>IF($A156&gt;NYears*12,"",LotValue0*(1+LotGrowth)^($C156-1))</f>
        <v/>
      </c>
      <c r="F156" s="35">
        <f>IF($A156&gt;NYears*12,"",IF($A156=1,InitInvest,$R155))</f>
        <v/>
      </c>
      <c r="G156" s="33">
        <f>IF($A156&gt;NYears*12,"",INT($F156/$E156))</f>
        <v/>
      </c>
      <c r="H156" s="35">
        <f>IF($A156&gt;NYears*12,"",$G156*$E156)</f>
        <v/>
      </c>
      <c r="I156" s="35">
        <f>IF($A156&gt;NYears*12,"",$F156-$H156)</f>
        <v/>
      </c>
      <c r="J156" s="35">
        <f>IF($A156&gt;NYears*12,"",$H156*RateD)</f>
        <v/>
      </c>
      <c r="K156" s="35">
        <f>IF($A156&gt;NYears*12,"",IF($D156=1,$J156,$K155+$J156))</f>
        <v/>
      </c>
      <c r="L156" s="35">
        <f>IF($A156&gt;NYears*12,"",IF(MOD($D156,3)=0,SUM($J154:$J156),0))</f>
        <v/>
      </c>
      <c r="M156" s="35">
        <f>IF($A156&gt;NYears*12,"",IF(TaxFreq="Quarterly",$K156*12/$D156,$K156))</f>
        <v/>
      </c>
      <c r="N156" s="36">
        <f>IF($A156&gt;NYears*12,"",LOOKUP($M156,TaxLower,TaxRate))</f>
        <v/>
      </c>
      <c r="O156" s="35">
        <f>IF($A156&gt;NYears*12,"",IF(TaxFreq="Quarterly",IF(MOD($D156,3)=0,$L156*$N156,0),IF($D156=12,$K156*$N156,0)))</f>
        <v/>
      </c>
      <c r="P156" s="35">
        <f>IF($A156&gt;NYears*12,"",IF($D156=1,$O156,$P155+$O156))</f>
        <v/>
      </c>
      <c r="Q156" s="35">
        <f>IF($A156&gt;NYears*12,"",IF($D156=12,MIN(WdrPct*IF(WdrBase="Post-tax profit",$K156-$P156,$K156),WdrCap),0))</f>
        <v/>
      </c>
      <c r="R156" s="35">
        <f>IF($A156&gt;NYears*12,"",$F156+$J156-$O156-$Q156)</f>
        <v/>
      </c>
      <c r="S156" s="33">
        <f>IF($A156&gt;NYears*12,"",INT($R156/$E156))</f>
        <v/>
      </c>
    </row>
    <row r="157">
      <c r="A157" s="33">
        <f>153</f>
        <v/>
      </c>
      <c r="B157" s="34">
        <f>IF($A157&gt;NYears*12,"",EDATE(StartMonth,$A157-1))</f>
        <v/>
      </c>
      <c r="C157" s="33">
        <f>IF($A157&gt;NYears*12,"",INT(($A157-1)/12)+1)</f>
        <v/>
      </c>
      <c r="D157" s="33">
        <f>IF($A157&gt;NYears*12,"",MOD($A157-1,12)+1)</f>
        <v/>
      </c>
      <c r="E157" s="35">
        <f>IF($A157&gt;NYears*12,"",LotValue0*(1+LotGrowth)^($C157-1))</f>
        <v/>
      </c>
      <c r="F157" s="35">
        <f>IF($A157&gt;NYears*12,"",IF($A157=1,InitInvest,$R156))</f>
        <v/>
      </c>
      <c r="G157" s="33">
        <f>IF($A157&gt;NYears*12,"",INT($F157/$E157))</f>
        <v/>
      </c>
      <c r="H157" s="35">
        <f>IF($A157&gt;NYears*12,"",$G157*$E157)</f>
        <v/>
      </c>
      <c r="I157" s="35">
        <f>IF($A157&gt;NYears*12,"",$F157-$H157)</f>
        <v/>
      </c>
      <c r="J157" s="35">
        <f>IF($A157&gt;NYears*12,"",$H157*RateD)</f>
        <v/>
      </c>
      <c r="K157" s="35">
        <f>IF($A157&gt;NYears*12,"",IF($D157=1,$J157,$K156+$J157))</f>
        <v/>
      </c>
      <c r="L157" s="35">
        <f>IF($A157&gt;NYears*12,"",IF(MOD($D157,3)=0,SUM($J155:$J157),0))</f>
        <v/>
      </c>
      <c r="M157" s="35">
        <f>IF($A157&gt;NYears*12,"",IF(TaxFreq="Quarterly",$K157*12/$D157,$K157))</f>
        <v/>
      </c>
      <c r="N157" s="36">
        <f>IF($A157&gt;NYears*12,"",LOOKUP($M157,TaxLower,TaxRate))</f>
        <v/>
      </c>
      <c r="O157" s="35">
        <f>IF($A157&gt;NYears*12,"",IF(TaxFreq="Quarterly",IF(MOD($D157,3)=0,$L157*$N157,0),IF($D157=12,$K157*$N157,0)))</f>
        <v/>
      </c>
      <c r="P157" s="35">
        <f>IF($A157&gt;NYears*12,"",IF($D157=1,$O157,$P156+$O157))</f>
        <v/>
      </c>
      <c r="Q157" s="35">
        <f>IF($A157&gt;NYears*12,"",IF($D157=12,MIN(WdrPct*IF(WdrBase="Post-tax profit",$K157-$P157,$K157),WdrCap),0))</f>
        <v/>
      </c>
      <c r="R157" s="35">
        <f>IF($A157&gt;NYears*12,"",$F157+$J157-$O157-$Q157)</f>
        <v/>
      </c>
      <c r="S157" s="33">
        <f>IF($A157&gt;NYears*12,"",INT($R157/$E157))</f>
        <v/>
      </c>
    </row>
    <row r="158">
      <c r="A158" s="33">
        <f>154</f>
        <v/>
      </c>
      <c r="B158" s="34">
        <f>IF($A158&gt;NYears*12,"",EDATE(StartMonth,$A158-1))</f>
        <v/>
      </c>
      <c r="C158" s="33">
        <f>IF($A158&gt;NYears*12,"",INT(($A158-1)/12)+1)</f>
        <v/>
      </c>
      <c r="D158" s="33">
        <f>IF($A158&gt;NYears*12,"",MOD($A158-1,12)+1)</f>
        <v/>
      </c>
      <c r="E158" s="35">
        <f>IF($A158&gt;NYears*12,"",LotValue0*(1+LotGrowth)^($C158-1))</f>
        <v/>
      </c>
      <c r="F158" s="35">
        <f>IF($A158&gt;NYears*12,"",IF($A158=1,InitInvest,$R157))</f>
        <v/>
      </c>
      <c r="G158" s="33">
        <f>IF($A158&gt;NYears*12,"",INT($F158/$E158))</f>
        <v/>
      </c>
      <c r="H158" s="35">
        <f>IF($A158&gt;NYears*12,"",$G158*$E158)</f>
        <v/>
      </c>
      <c r="I158" s="35">
        <f>IF($A158&gt;NYears*12,"",$F158-$H158)</f>
        <v/>
      </c>
      <c r="J158" s="35">
        <f>IF($A158&gt;NYears*12,"",$H158*RateD)</f>
        <v/>
      </c>
      <c r="K158" s="35">
        <f>IF($A158&gt;NYears*12,"",IF($D158=1,$J158,$K157+$J158))</f>
        <v/>
      </c>
      <c r="L158" s="35">
        <f>IF($A158&gt;NYears*12,"",IF(MOD($D158,3)=0,SUM($J156:$J158),0))</f>
        <v/>
      </c>
      <c r="M158" s="35">
        <f>IF($A158&gt;NYears*12,"",IF(TaxFreq="Quarterly",$K158*12/$D158,$K158))</f>
        <v/>
      </c>
      <c r="N158" s="36">
        <f>IF($A158&gt;NYears*12,"",LOOKUP($M158,TaxLower,TaxRate))</f>
        <v/>
      </c>
      <c r="O158" s="35">
        <f>IF($A158&gt;NYears*12,"",IF(TaxFreq="Quarterly",IF(MOD($D158,3)=0,$L158*$N158,0),IF($D158=12,$K158*$N158,0)))</f>
        <v/>
      </c>
      <c r="P158" s="35">
        <f>IF($A158&gt;NYears*12,"",IF($D158=1,$O158,$P157+$O158))</f>
        <v/>
      </c>
      <c r="Q158" s="35">
        <f>IF($A158&gt;NYears*12,"",IF($D158=12,MIN(WdrPct*IF(WdrBase="Post-tax profit",$K158-$P158,$K158),WdrCap),0))</f>
        <v/>
      </c>
      <c r="R158" s="35">
        <f>IF($A158&gt;NYears*12,"",$F158+$J158-$O158-$Q158)</f>
        <v/>
      </c>
      <c r="S158" s="33">
        <f>IF($A158&gt;NYears*12,"",INT($R158/$E158))</f>
        <v/>
      </c>
    </row>
    <row r="159">
      <c r="A159" s="33">
        <f>155</f>
        <v/>
      </c>
      <c r="B159" s="34">
        <f>IF($A159&gt;NYears*12,"",EDATE(StartMonth,$A159-1))</f>
        <v/>
      </c>
      <c r="C159" s="33">
        <f>IF($A159&gt;NYears*12,"",INT(($A159-1)/12)+1)</f>
        <v/>
      </c>
      <c r="D159" s="33">
        <f>IF($A159&gt;NYears*12,"",MOD($A159-1,12)+1)</f>
        <v/>
      </c>
      <c r="E159" s="35">
        <f>IF($A159&gt;NYears*12,"",LotValue0*(1+LotGrowth)^($C159-1))</f>
        <v/>
      </c>
      <c r="F159" s="35">
        <f>IF($A159&gt;NYears*12,"",IF($A159=1,InitInvest,$R158))</f>
        <v/>
      </c>
      <c r="G159" s="33">
        <f>IF($A159&gt;NYears*12,"",INT($F159/$E159))</f>
        <v/>
      </c>
      <c r="H159" s="35">
        <f>IF($A159&gt;NYears*12,"",$G159*$E159)</f>
        <v/>
      </c>
      <c r="I159" s="35">
        <f>IF($A159&gt;NYears*12,"",$F159-$H159)</f>
        <v/>
      </c>
      <c r="J159" s="35">
        <f>IF($A159&gt;NYears*12,"",$H159*RateD)</f>
        <v/>
      </c>
      <c r="K159" s="35">
        <f>IF($A159&gt;NYears*12,"",IF($D159=1,$J159,$K158+$J159))</f>
        <v/>
      </c>
      <c r="L159" s="35">
        <f>IF($A159&gt;NYears*12,"",IF(MOD($D159,3)=0,SUM($J157:$J159),0))</f>
        <v/>
      </c>
      <c r="M159" s="35">
        <f>IF($A159&gt;NYears*12,"",IF(TaxFreq="Quarterly",$K159*12/$D159,$K159))</f>
        <v/>
      </c>
      <c r="N159" s="36">
        <f>IF($A159&gt;NYears*12,"",LOOKUP($M159,TaxLower,TaxRate))</f>
        <v/>
      </c>
      <c r="O159" s="35">
        <f>IF($A159&gt;NYears*12,"",IF(TaxFreq="Quarterly",IF(MOD($D159,3)=0,$L159*$N159,0),IF($D159=12,$K159*$N159,0)))</f>
        <v/>
      </c>
      <c r="P159" s="35">
        <f>IF($A159&gt;NYears*12,"",IF($D159=1,$O159,$P158+$O159))</f>
        <v/>
      </c>
      <c r="Q159" s="35">
        <f>IF($A159&gt;NYears*12,"",IF($D159=12,MIN(WdrPct*IF(WdrBase="Post-tax profit",$K159-$P159,$K159),WdrCap),0))</f>
        <v/>
      </c>
      <c r="R159" s="35">
        <f>IF($A159&gt;NYears*12,"",$F159+$J159-$O159-$Q159)</f>
        <v/>
      </c>
      <c r="S159" s="33">
        <f>IF($A159&gt;NYears*12,"",INT($R159/$E159))</f>
        <v/>
      </c>
    </row>
    <row r="160">
      <c r="A160" s="37">
        <f>156</f>
        <v/>
      </c>
      <c r="B160" s="38">
        <f>IF($A160&gt;NYears*12,"",EDATE(StartMonth,$A160-1))</f>
        <v/>
      </c>
      <c r="C160" s="37">
        <f>IF($A160&gt;NYears*12,"",INT(($A160-1)/12)+1)</f>
        <v/>
      </c>
      <c r="D160" s="37">
        <f>IF($A160&gt;NYears*12,"",MOD($A160-1,12)+1)</f>
        <v/>
      </c>
      <c r="E160" s="39">
        <f>IF($A160&gt;NYears*12,"",LotValue0*(1+LotGrowth)^($C160-1))</f>
        <v/>
      </c>
      <c r="F160" s="39">
        <f>IF($A160&gt;NYears*12,"",IF($A160=1,InitInvest,$R159))</f>
        <v/>
      </c>
      <c r="G160" s="37">
        <f>IF($A160&gt;NYears*12,"",INT($F160/$E160))</f>
        <v/>
      </c>
      <c r="H160" s="39">
        <f>IF($A160&gt;NYears*12,"",$G160*$E160)</f>
        <v/>
      </c>
      <c r="I160" s="39">
        <f>IF($A160&gt;NYears*12,"",$F160-$H160)</f>
        <v/>
      </c>
      <c r="J160" s="39">
        <f>IF($A160&gt;NYears*12,"",$H160*RateD)</f>
        <v/>
      </c>
      <c r="K160" s="39">
        <f>IF($A160&gt;NYears*12,"",IF($D160=1,$J160,$K159+$J160))</f>
        <v/>
      </c>
      <c r="L160" s="39">
        <f>IF($A160&gt;NYears*12,"",IF(MOD($D160,3)=0,SUM($J158:$J160),0))</f>
        <v/>
      </c>
      <c r="M160" s="39">
        <f>IF($A160&gt;NYears*12,"",IF(TaxFreq="Quarterly",$K160*12/$D160,$K160))</f>
        <v/>
      </c>
      <c r="N160" s="40">
        <f>IF($A160&gt;NYears*12,"",LOOKUP($M160,TaxLower,TaxRate))</f>
        <v/>
      </c>
      <c r="O160" s="39">
        <f>IF($A160&gt;NYears*12,"",IF(TaxFreq="Quarterly",IF(MOD($D160,3)=0,$L160*$N160,0),IF($D160=12,$K160*$N160,0)))</f>
        <v/>
      </c>
      <c r="P160" s="39">
        <f>IF($A160&gt;NYears*12,"",IF($D160=1,$O160,$P159+$O160))</f>
        <v/>
      </c>
      <c r="Q160" s="39">
        <f>IF($A160&gt;NYears*12,"",IF($D160=12,MIN(WdrPct*IF(WdrBase="Post-tax profit",$K160-$P160,$K160),WdrCap),0))</f>
        <v/>
      </c>
      <c r="R160" s="39">
        <f>IF($A160&gt;NYears*12,"",$F160+$J160-$O160-$Q160)</f>
        <v/>
      </c>
      <c r="S160" s="37">
        <f>IF($A160&gt;NYears*12,"",INT($R160/$E160))</f>
        <v/>
      </c>
    </row>
    <row r="161">
      <c r="A161" s="33">
        <f>157</f>
        <v/>
      </c>
      <c r="B161" s="34">
        <f>IF($A161&gt;NYears*12,"",EDATE(StartMonth,$A161-1))</f>
        <v/>
      </c>
      <c r="C161" s="33">
        <f>IF($A161&gt;NYears*12,"",INT(($A161-1)/12)+1)</f>
        <v/>
      </c>
      <c r="D161" s="33">
        <f>IF($A161&gt;NYears*12,"",MOD($A161-1,12)+1)</f>
        <v/>
      </c>
      <c r="E161" s="35">
        <f>IF($A161&gt;NYears*12,"",LotValue0*(1+LotGrowth)^($C161-1))</f>
        <v/>
      </c>
      <c r="F161" s="35">
        <f>IF($A161&gt;NYears*12,"",IF($A161=1,InitInvest,$R160))</f>
        <v/>
      </c>
      <c r="G161" s="33">
        <f>IF($A161&gt;NYears*12,"",INT($F161/$E161))</f>
        <v/>
      </c>
      <c r="H161" s="35">
        <f>IF($A161&gt;NYears*12,"",$G161*$E161)</f>
        <v/>
      </c>
      <c r="I161" s="35">
        <f>IF($A161&gt;NYears*12,"",$F161-$H161)</f>
        <v/>
      </c>
      <c r="J161" s="35">
        <f>IF($A161&gt;NYears*12,"",$H161*RateD)</f>
        <v/>
      </c>
      <c r="K161" s="35">
        <f>IF($A161&gt;NYears*12,"",IF($D161=1,$J161,$K160+$J161))</f>
        <v/>
      </c>
      <c r="L161" s="35">
        <f>IF($A161&gt;NYears*12,"",IF(MOD($D161,3)=0,SUM($J159:$J161),0))</f>
        <v/>
      </c>
      <c r="M161" s="35">
        <f>IF($A161&gt;NYears*12,"",IF(TaxFreq="Quarterly",$K161*12/$D161,$K161))</f>
        <v/>
      </c>
      <c r="N161" s="36">
        <f>IF($A161&gt;NYears*12,"",LOOKUP($M161,TaxLower,TaxRate))</f>
        <v/>
      </c>
      <c r="O161" s="35">
        <f>IF($A161&gt;NYears*12,"",IF(TaxFreq="Quarterly",IF(MOD($D161,3)=0,$L161*$N161,0),IF($D161=12,$K161*$N161,0)))</f>
        <v/>
      </c>
      <c r="P161" s="35">
        <f>IF($A161&gt;NYears*12,"",IF($D161=1,$O161,$P160+$O161))</f>
        <v/>
      </c>
      <c r="Q161" s="35">
        <f>IF($A161&gt;NYears*12,"",IF($D161=12,MIN(WdrPct*IF(WdrBase="Post-tax profit",$K161-$P161,$K161),WdrCap),0))</f>
        <v/>
      </c>
      <c r="R161" s="35">
        <f>IF($A161&gt;NYears*12,"",$F161+$J161-$O161-$Q161)</f>
        <v/>
      </c>
      <c r="S161" s="33">
        <f>IF($A161&gt;NYears*12,"",INT($R161/$E161))</f>
        <v/>
      </c>
    </row>
    <row r="162">
      <c r="A162" s="33">
        <f>158</f>
        <v/>
      </c>
      <c r="B162" s="34">
        <f>IF($A162&gt;NYears*12,"",EDATE(StartMonth,$A162-1))</f>
        <v/>
      </c>
      <c r="C162" s="33">
        <f>IF($A162&gt;NYears*12,"",INT(($A162-1)/12)+1)</f>
        <v/>
      </c>
      <c r="D162" s="33">
        <f>IF($A162&gt;NYears*12,"",MOD($A162-1,12)+1)</f>
        <v/>
      </c>
      <c r="E162" s="35">
        <f>IF($A162&gt;NYears*12,"",LotValue0*(1+LotGrowth)^($C162-1))</f>
        <v/>
      </c>
      <c r="F162" s="35">
        <f>IF($A162&gt;NYears*12,"",IF($A162=1,InitInvest,$R161))</f>
        <v/>
      </c>
      <c r="G162" s="33">
        <f>IF($A162&gt;NYears*12,"",INT($F162/$E162))</f>
        <v/>
      </c>
      <c r="H162" s="35">
        <f>IF($A162&gt;NYears*12,"",$G162*$E162)</f>
        <v/>
      </c>
      <c r="I162" s="35">
        <f>IF($A162&gt;NYears*12,"",$F162-$H162)</f>
        <v/>
      </c>
      <c r="J162" s="35">
        <f>IF($A162&gt;NYears*12,"",$H162*RateD)</f>
        <v/>
      </c>
      <c r="K162" s="35">
        <f>IF($A162&gt;NYears*12,"",IF($D162=1,$J162,$K161+$J162))</f>
        <v/>
      </c>
      <c r="L162" s="35">
        <f>IF($A162&gt;NYears*12,"",IF(MOD($D162,3)=0,SUM($J160:$J162),0))</f>
        <v/>
      </c>
      <c r="M162" s="35">
        <f>IF($A162&gt;NYears*12,"",IF(TaxFreq="Quarterly",$K162*12/$D162,$K162))</f>
        <v/>
      </c>
      <c r="N162" s="36">
        <f>IF($A162&gt;NYears*12,"",LOOKUP($M162,TaxLower,TaxRate))</f>
        <v/>
      </c>
      <c r="O162" s="35">
        <f>IF($A162&gt;NYears*12,"",IF(TaxFreq="Quarterly",IF(MOD($D162,3)=0,$L162*$N162,0),IF($D162=12,$K162*$N162,0)))</f>
        <v/>
      </c>
      <c r="P162" s="35">
        <f>IF($A162&gt;NYears*12,"",IF($D162=1,$O162,$P161+$O162))</f>
        <v/>
      </c>
      <c r="Q162" s="35">
        <f>IF($A162&gt;NYears*12,"",IF($D162=12,MIN(WdrPct*IF(WdrBase="Post-tax profit",$K162-$P162,$K162),WdrCap),0))</f>
        <v/>
      </c>
      <c r="R162" s="35">
        <f>IF($A162&gt;NYears*12,"",$F162+$J162-$O162-$Q162)</f>
        <v/>
      </c>
      <c r="S162" s="33">
        <f>IF($A162&gt;NYears*12,"",INT($R162/$E162))</f>
        <v/>
      </c>
    </row>
    <row r="163">
      <c r="A163" s="33">
        <f>159</f>
        <v/>
      </c>
      <c r="B163" s="34">
        <f>IF($A163&gt;NYears*12,"",EDATE(StartMonth,$A163-1))</f>
        <v/>
      </c>
      <c r="C163" s="33">
        <f>IF($A163&gt;NYears*12,"",INT(($A163-1)/12)+1)</f>
        <v/>
      </c>
      <c r="D163" s="33">
        <f>IF($A163&gt;NYears*12,"",MOD($A163-1,12)+1)</f>
        <v/>
      </c>
      <c r="E163" s="35">
        <f>IF($A163&gt;NYears*12,"",LotValue0*(1+LotGrowth)^($C163-1))</f>
        <v/>
      </c>
      <c r="F163" s="35">
        <f>IF($A163&gt;NYears*12,"",IF($A163=1,InitInvest,$R162))</f>
        <v/>
      </c>
      <c r="G163" s="33">
        <f>IF($A163&gt;NYears*12,"",INT($F163/$E163))</f>
        <v/>
      </c>
      <c r="H163" s="35">
        <f>IF($A163&gt;NYears*12,"",$G163*$E163)</f>
        <v/>
      </c>
      <c r="I163" s="35">
        <f>IF($A163&gt;NYears*12,"",$F163-$H163)</f>
        <v/>
      </c>
      <c r="J163" s="35">
        <f>IF($A163&gt;NYears*12,"",$H163*RateD)</f>
        <v/>
      </c>
      <c r="K163" s="35">
        <f>IF($A163&gt;NYears*12,"",IF($D163=1,$J163,$K162+$J163))</f>
        <v/>
      </c>
      <c r="L163" s="35">
        <f>IF($A163&gt;NYears*12,"",IF(MOD($D163,3)=0,SUM($J161:$J163),0))</f>
        <v/>
      </c>
      <c r="M163" s="35">
        <f>IF($A163&gt;NYears*12,"",IF(TaxFreq="Quarterly",$K163*12/$D163,$K163))</f>
        <v/>
      </c>
      <c r="N163" s="36">
        <f>IF($A163&gt;NYears*12,"",LOOKUP($M163,TaxLower,TaxRate))</f>
        <v/>
      </c>
      <c r="O163" s="35">
        <f>IF($A163&gt;NYears*12,"",IF(TaxFreq="Quarterly",IF(MOD($D163,3)=0,$L163*$N163,0),IF($D163=12,$K163*$N163,0)))</f>
        <v/>
      </c>
      <c r="P163" s="35">
        <f>IF($A163&gt;NYears*12,"",IF($D163=1,$O163,$P162+$O163))</f>
        <v/>
      </c>
      <c r="Q163" s="35">
        <f>IF($A163&gt;NYears*12,"",IF($D163=12,MIN(WdrPct*IF(WdrBase="Post-tax profit",$K163-$P163,$K163),WdrCap),0))</f>
        <v/>
      </c>
      <c r="R163" s="35">
        <f>IF($A163&gt;NYears*12,"",$F163+$J163-$O163-$Q163)</f>
        <v/>
      </c>
      <c r="S163" s="33">
        <f>IF($A163&gt;NYears*12,"",INT($R163/$E163))</f>
        <v/>
      </c>
    </row>
    <row r="164">
      <c r="A164" s="33">
        <f>160</f>
        <v/>
      </c>
      <c r="B164" s="34">
        <f>IF($A164&gt;NYears*12,"",EDATE(StartMonth,$A164-1))</f>
        <v/>
      </c>
      <c r="C164" s="33">
        <f>IF($A164&gt;NYears*12,"",INT(($A164-1)/12)+1)</f>
        <v/>
      </c>
      <c r="D164" s="33">
        <f>IF($A164&gt;NYears*12,"",MOD($A164-1,12)+1)</f>
        <v/>
      </c>
      <c r="E164" s="35">
        <f>IF($A164&gt;NYears*12,"",LotValue0*(1+LotGrowth)^($C164-1))</f>
        <v/>
      </c>
      <c r="F164" s="35">
        <f>IF($A164&gt;NYears*12,"",IF($A164=1,InitInvest,$R163))</f>
        <v/>
      </c>
      <c r="G164" s="33">
        <f>IF($A164&gt;NYears*12,"",INT($F164/$E164))</f>
        <v/>
      </c>
      <c r="H164" s="35">
        <f>IF($A164&gt;NYears*12,"",$G164*$E164)</f>
        <v/>
      </c>
      <c r="I164" s="35">
        <f>IF($A164&gt;NYears*12,"",$F164-$H164)</f>
        <v/>
      </c>
      <c r="J164" s="35">
        <f>IF($A164&gt;NYears*12,"",$H164*RateD)</f>
        <v/>
      </c>
      <c r="K164" s="35">
        <f>IF($A164&gt;NYears*12,"",IF($D164=1,$J164,$K163+$J164))</f>
        <v/>
      </c>
      <c r="L164" s="35">
        <f>IF($A164&gt;NYears*12,"",IF(MOD($D164,3)=0,SUM($J162:$J164),0))</f>
        <v/>
      </c>
      <c r="M164" s="35">
        <f>IF($A164&gt;NYears*12,"",IF(TaxFreq="Quarterly",$K164*12/$D164,$K164))</f>
        <v/>
      </c>
      <c r="N164" s="36">
        <f>IF($A164&gt;NYears*12,"",LOOKUP($M164,TaxLower,TaxRate))</f>
        <v/>
      </c>
      <c r="O164" s="35">
        <f>IF($A164&gt;NYears*12,"",IF(TaxFreq="Quarterly",IF(MOD($D164,3)=0,$L164*$N164,0),IF($D164=12,$K164*$N164,0)))</f>
        <v/>
      </c>
      <c r="P164" s="35">
        <f>IF($A164&gt;NYears*12,"",IF($D164=1,$O164,$P163+$O164))</f>
        <v/>
      </c>
      <c r="Q164" s="35">
        <f>IF($A164&gt;NYears*12,"",IF($D164=12,MIN(WdrPct*IF(WdrBase="Post-tax profit",$K164-$P164,$K164),WdrCap),0))</f>
        <v/>
      </c>
      <c r="R164" s="35">
        <f>IF($A164&gt;NYears*12,"",$F164+$J164-$O164-$Q164)</f>
        <v/>
      </c>
      <c r="S164" s="33">
        <f>IF($A164&gt;NYears*12,"",INT($R164/$E164))</f>
        <v/>
      </c>
    </row>
    <row r="165">
      <c r="A165" s="33">
        <f>161</f>
        <v/>
      </c>
      <c r="B165" s="34">
        <f>IF($A165&gt;NYears*12,"",EDATE(StartMonth,$A165-1))</f>
        <v/>
      </c>
      <c r="C165" s="33">
        <f>IF($A165&gt;NYears*12,"",INT(($A165-1)/12)+1)</f>
        <v/>
      </c>
      <c r="D165" s="33">
        <f>IF($A165&gt;NYears*12,"",MOD($A165-1,12)+1)</f>
        <v/>
      </c>
      <c r="E165" s="35">
        <f>IF($A165&gt;NYears*12,"",LotValue0*(1+LotGrowth)^($C165-1))</f>
        <v/>
      </c>
      <c r="F165" s="35">
        <f>IF($A165&gt;NYears*12,"",IF($A165=1,InitInvest,$R164))</f>
        <v/>
      </c>
      <c r="G165" s="33">
        <f>IF($A165&gt;NYears*12,"",INT($F165/$E165))</f>
        <v/>
      </c>
      <c r="H165" s="35">
        <f>IF($A165&gt;NYears*12,"",$G165*$E165)</f>
        <v/>
      </c>
      <c r="I165" s="35">
        <f>IF($A165&gt;NYears*12,"",$F165-$H165)</f>
        <v/>
      </c>
      <c r="J165" s="35">
        <f>IF($A165&gt;NYears*12,"",$H165*RateD)</f>
        <v/>
      </c>
      <c r="K165" s="35">
        <f>IF($A165&gt;NYears*12,"",IF($D165=1,$J165,$K164+$J165))</f>
        <v/>
      </c>
      <c r="L165" s="35">
        <f>IF($A165&gt;NYears*12,"",IF(MOD($D165,3)=0,SUM($J163:$J165),0))</f>
        <v/>
      </c>
      <c r="M165" s="35">
        <f>IF($A165&gt;NYears*12,"",IF(TaxFreq="Quarterly",$K165*12/$D165,$K165))</f>
        <v/>
      </c>
      <c r="N165" s="36">
        <f>IF($A165&gt;NYears*12,"",LOOKUP($M165,TaxLower,TaxRate))</f>
        <v/>
      </c>
      <c r="O165" s="35">
        <f>IF($A165&gt;NYears*12,"",IF(TaxFreq="Quarterly",IF(MOD($D165,3)=0,$L165*$N165,0),IF($D165=12,$K165*$N165,0)))</f>
        <v/>
      </c>
      <c r="P165" s="35">
        <f>IF($A165&gt;NYears*12,"",IF($D165=1,$O165,$P164+$O165))</f>
        <v/>
      </c>
      <c r="Q165" s="35">
        <f>IF($A165&gt;NYears*12,"",IF($D165=12,MIN(WdrPct*IF(WdrBase="Post-tax profit",$K165-$P165,$K165),WdrCap),0))</f>
        <v/>
      </c>
      <c r="R165" s="35">
        <f>IF($A165&gt;NYears*12,"",$F165+$J165-$O165-$Q165)</f>
        <v/>
      </c>
      <c r="S165" s="33">
        <f>IF($A165&gt;NYears*12,"",INT($R165/$E165))</f>
        <v/>
      </c>
    </row>
    <row r="166">
      <c r="A166" s="33">
        <f>162</f>
        <v/>
      </c>
      <c r="B166" s="34">
        <f>IF($A166&gt;NYears*12,"",EDATE(StartMonth,$A166-1))</f>
        <v/>
      </c>
      <c r="C166" s="33">
        <f>IF($A166&gt;NYears*12,"",INT(($A166-1)/12)+1)</f>
        <v/>
      </c>
      <c r="D166" s="33">
        <f>IF($A166&gt;NYears*12,"",MOD($A166-1,12)+1)</f>
        <v/>
      </c>
      <c r="E166" s="35">
        <f>IF($A166&gt;NYears*12,"",LotValue0*(1+LotGrowth)^($C166-1))</f>
        <v/>
      </c>
      <c r="F166" s="35">
        <f>IF($A166&gt;NYears*12,"",IF($A166=1,InitInvest,$R165))</f>
        <v/>
      </c>
      <c r="G166" s="33">
        <f>IF($A166&gt;NYears*12,"",INT($F166/$E166))</f>
        <v/>
      </c>
      <c r="H166" s="35">
        <f>IF($A166&gt;NYears*12,"",$G166*$E166)</f>
        <v/>
      </c>
      <c r="I166" s="35">
        <f>IF($A166&gt;NYears*12,"",$F166-$H166)</f>
        <v/>
      </c>
      <c r="J166" s="35">
        <f>IF($A166&gt;NYears*12,"",$H166*RateD)</f>
        <v/>
      </c>
      <c r="K166" s="35">
        <f>IF($A166&gt;NYears*12,"",IF($D166=1,$J166,$K165+$J166))</f>
        <v/>
      </c>
      <c r="L166" s="35">
        <f>IF($A166&gt;NYears*12,"",IF(MOD($D166,3)=0,SUM($J164:$J166),0))</f>
        <v/>
      </c>
      <c r="M166" s="35">
        <f>IF($A166&gt;NYears*12,"",IF(TaxFreq="Quarterly",$K166*12/$D166,$K166))</f>
        <v/>
      </c>
      <c r="N166" s="36">
        <f>IF($A166&gt;NYears*12,"",LOOKUP($M166,TaxLower,TaxRate))</f>
        <v/>
      </c>
      <c r="O166" s="35">
        <f>IF($A166&gt;NYears*12,"",IF(TaxFreq="Quarterly",IF(MOD($D166,3)=0,$L166*$N166,0),IF($D166=12,$K166*$N166,0)))</f>
        <v/>
      </c>
      <c r="P166" s="35">
        <f>IF($A166&gt;NYears*12,"",IF($D166=1,$O166,$P165+$O166))</f>
        <v/>
      </c>
      <c r="Q166" s="35">
        <f>IF($A166&gt;NYears*12,"",IF($D166=12,MIN(WdrPct*IF(WdrBase="Post-tax profit",$K166-$P166,$K166),WdrCap),0))</f>
        <v/>
      </c>
      <c r="R166" s="35">
        <f>IF($A166&gt;NYears*12,"",$F166+$J166-$O166-$Q166)</f>
        <v/>
      </c>
      <c r="S166" s="33">
        <f>IF($A166&gt;NYears*12,"",INT($R166/$E166))</f>
        <v/>
      </c>
    </row>
    <row r="167">
      <c r="A167" s="33">
        <f>163</f>
        <v/>
      </c>
      <c r="B167" s="34">
        <f>IF($A167&gt;NYears*12,"",EDATE(StartMonth,$A167-1))</f>
        <v/>
      </c>
      <c r="C167" s="33">
        <f>IF($A167&gt;NYears*12,"",INT(($A167-1)/12)+1)</f>
        <v/>
      </c>
      <c r="D167" s="33">
        <f>IF($A167&gt;NYears*12,"",MOD($A167-1,12)+1)</f>
        <v/>
      </c>
      <c r="E167" s="35">
        <f>IF($A167&gt;NYears*12,"",LotValue0*(1+LotGrowth)^($C167-1))</f>
        <v/>
      </c>
      <c r="F167" s="35">
        <f>IF($A167&gt;NYears*12,"",IF($A167=1,InitInvest,$R166))</f>
        <v/>
      </c>
      <c r="G167" s="33">
        <f>IF($A167&gt;NYears*12,"",INT($F167/$E167))</f>
        <v/>
      </c>
      <c r="H167" s="35">
        <f>IF($A167&gt;NYears*12,"",$G167*$E167)</f>
        <v/>
      </c>
      <c r="I167" s="35">
        <f>IF($A167&gt;NYears*12,"",$F167-$H167)</f>
        <v/>
      </c>
      <c r="J167" s="35">
        <f>IF($A167&gt;NYears*12,"",$H167*RateD)</f>
        <v/>
      </c>
      <c r="K167" s="35">
        <f>IF($A167&gt;NYears*12,"",IF($D167=1,$J167,$K166+$J167))</f>
        <v/>
      </c>
      <c r="L167" s="35">
        <f>IF($A167&gt;NYears*12,"",IF(MOD($D167,3)=0,SUM($J165:$J167),0))</f>
        <v/>
      </c>
      <c r="M167" s="35">
        <f>IF($A167&gt;NYears*12,"",IF(TaxFreq="Quarterly",$K167*12/$D167,$K167))</f>
        <v/>
      </c>
      <c r="N167" s="36">
        <f>IF($A167&gt;NYears*12,"",LOOKUP($M167,TaxLower,TaxRate))</f>
        <v/>
      </c>
      <c r="O167" s="35">
        <f>IF($A167&gt;NYears*12,"",IF(TaxFreq="Quarterly",IF(MOD($D167,3)=0,$L167*$N167,0),IF($D167=12,$K167*$N167,0)))</f>
        <v/>
      </c>
      <c r="P167" s="35">
        <f>IF($A167&gt;NYears*12,"",IF($D167=1,$O167,$P166+$O167))</f>
        <v/>
      </c>
      <c r="Q167" s="35">
        <f>IF($A167&gt;NYears*12,"",IF($D167=12,MIN(WdrPct*IF(WdrBase="Post-tax profit",$K167-$P167,$K167),WdrCap),0))</f>
        <v/>
      </c>
      <c r="R167" s="35">
        <f>IF($A167&gt;NYears*12,"",$F167+$J167-$O167-$Q167)</f>
        <v/>
      </c>
      <c r="S167" s="33">
        <f>IF($A167&gt;NYears*12,"",INT($R167/$E167))</f>
        <v/>
      </c>
    </row>
    <row r="168">
      <c r="A168" s="33">
        <f>164</f>
        <v/>
      </c>
      <c r="B168" s="34">
        <f>IF($A168&gt;NYears*12,"",EDATE(StartMonth,$A168-1))</f>
        <v/>
      </c>
      <c r="C168" s="33">
        <f>IF($A168&gt;NYears*12,"",INT(($A168-1)/12)+1)</f>
        <v/>
      </c>
      <c r="D168" s="33">
        <f>IF($A168&gt;NYears*12,"",MOD($A168-1,12)+1)</f>
        <v/>
      </c>
      <c r="E168" s="35">
        <f>IF($A168&gt;NYears*12,"",LotValue0*(1+LotGrowth)^($C168-1))</f>
        <v/>
      </c>
      <c r="F168" s="35">
        <f>IF($A168&gt;NYears*12,"",IF($A168=1,InitInvest,$R167))</f>
        <v/>
      </c>
      <c r="G168" s="33">
        <f>IF($A168&gt;NYears*12,"",INT($F168/$E168))</f>
        <v/>
      </c>
      <c r="H168" s="35">
        <f>IF($A168&gt;NYears*12,"",$G168*$E168)</f>
        <v/>
      </c>
      <c r="I168" s="35">
        <f>IF($A168&gt;NYears*12,"",$F168-$H168)</f>
        <v/>
      </c>
      <c r="J168" s="35">
        <f>IF($A168&gt;NYears*12,"",$H168*RateD)</f>
        <v/>
      </c>
      <c r="K168" s="35">
        <f>IF($A168&gt;NYears*12,"",IF($D168=1,$J168,$K167+$J168))</f>
        <v/>
      </c>
      <c r="L168" s="35">
        <f>IF($A168&gt;NYears*12,"",IF(MOD($D168,3)=0,SUM($J166:$J168),0))</f>
        <v/>
      </c>
      <c r="M168" s="35">
        <f>IF($A168&gt;NYears*12,"",IF(TaxFreq="Quarterly",$K168*12/$D168,$K168))</f>
        <v/>
      </c>
      <c r="N168" s="36">
        <f>IF($A168&gt;NYears*12,"",LOOKUP($M168,TaxLower,TaxRate))</f>
        <v/>
      </c>
      <c r="O168" s="35">
        <f>IF($A168&gt;NYears*12,"",IF(TaxFreq="Quarterly",IF(MOD($D168,3)=0,$L168*$N168,0),IF($D168=12,$K168*$N168,0)))</f>
        <v/>
      </c>
      <c r="P168" s="35">
        <f>IF($A168&gt;NYears*12,"",IF($D168=1,$O168,$P167+$O168))</f>
        <v/>
      </c>
      <c r="Q168" s="35">
        <f>IF($A168&gt;NYears*12,"",IF($D168=12,MIN(WdrPct*IF(WdrBase="Post-tax profit",$K168-$P168,$K168),WdrCap),0))</f>
        <v/>
      </c>
      <c r="R168" s="35">
        <f>IF($A168&gt;NYears*12,"",$F168+$J168-$O168-$Q168)</f>
        <v/>
      </c>
      <c r="S168" s="33">
        <f>IF($A168&gt;NYears*12,"",INT($R168/$E168))</f>
        <v/>
      </c>
    </row>
    <row r="169">
      <c r="A169" s="33">
        <f>165</f>
        <v/>
      </c>
      <c r="B169" s="34">
        <f>IF($A169&gt;NYears*12,"",EDATE(StartMonth,$A169-1))</f>
        <v/>
      </c>
      <c r="C169" s="33">
        <f>IF($A169&gt;NYears*12,"",INT(($A169-1)/12)+1)</f>
        <v/>
      </c>
      <c r="D169" s="33">
        <f>IF($A169&gt;NYears*12,"",MOD($A169-1,12)+1)</f>
        <v/>
      </c>
      <c r="E169" s="35">
        <f>IF($A169&gt;NYears*12,"",LotValue0*(1+LotGrowth)^($C169-1))</f>
        <v/>
      </c>
      <c r="F169" s="35">
        <f>IF($A169&gt;NYears*12,"",IF($A169=1,InitInvest,$R168))</f>
        <v/>
      </c>
      <c r="G169" s="33">
        <f>IF($A169&gt;NYears*12,"",INT($F169/$E169))</f>
        <v/>
      </c>
      <c r="H169" s="35">
        <f>IF($A169&gt;NYears*12,"",$G169*$E169)</f>
        <v/>
      </c>
      <c r="I169" s="35">
        <f>IF($A169&gt;NYears*12,"",$F169-$H169)</f>
        <v/>
      </c>
      <c r="J169" s="35">
        <f>IF($A169&gt;NYears*12,"",$H169*RateD)</f>
        <v/>
      </c>
      <c r="K169" s="35">
        <f>IF($A169&gt;NYears*12,"",IF($D169=1,$J169,$K168+$J169))</f>
        <v/>
      </c>
      <c r="L169" s="35">
        <f>IF($A169&gt;NYears*12,"",IF(MOD($D169,3)=0,SUM($J167:$J169),0))</f>
        <v/>
      </c>
      <c r="M169" s="35">
        <f>IF($A169&gt;NYears*12,"",IF(TaxFreq="Quarterly",$K169*12/$D169,$K169))</f>
        <v/>
      </c>
      <c r="N169" s="36">
        <f>IF($A169&gt;NYears*12,"",LOOKUP($M169,TaxLower,TaxRate))</f>
        <v/>
      </c>
      <c r="O169" s="35">
        <f>IF($A169&gt;NYears*12,"",IF(TaxFreq="Quarterly",IF(MOD($D169,3)=0,$L169*$N169,0),IF($D169=12,$K169*$N169,0)))</f>
        <v/>
      </c>
      <c r="P169" s="35">
        <f>IF($A169&gt;NYears*12,"",IF($D169=1,$O169,$P168+$O169))</f>
        <v/>
      </c>
      <c r="Q169" s="35">
        <f>IF($A169&gt;NYears*12,"",IF($D169=12,MIN(WdrPct*IF(WdrBase="Post-tax profit",$K169-$P169,$K169),WdrCap),0))</f>
        <v/>
      </c>
      <c r="R169" s="35">
        <f>IF($A169&gt;NYears*12,"",$F169+$J169-$O169-$Q169)</f>
        <v/>
      </c>
      <c r="S169" s="33">
        <f>IF($A169&gt;NYears*12,"",INT($R169/$E169))</f>
        <v/>
      </c>
    </row>
    <row r="170">
      <c r="A170" s="33">
        <f>166</f>
        <v/>
      </c>
      <c r="B170" s="34">
        <f>IF($A170&gt;NYears*12,"",EDATE(StartMonth,$A170-1))</f>
        <v/>
      </c>
      <c r="C170" s="33">
        <f>IF($A170&gt;NYears*12,"",INT(($A170-1)/12)+1)</f>
        <v/>
      </c>
      <c r="D170" s="33">
        <f>IF($A170&gt;NYears*12,"",MOD($A170-1,12)+1)</f>
        <v/>
      </c>
      <c r="E170" s="35">
        <f>IF($A170&gt;NYears*12,"",LotValue0*(1+LotGrowth)^($C170-1))</f>
        <v/>
      </c>
      <c r="F170" s="35">
        <f>IF($A170&gt;NYears*12,"",IF($A170=1,InitInvest,$R169))</f>
        <v/>
      </c>
      <c r="G170" s="33">
        <f>IF($A170&gt;NYears*12,"",INT($F170/$E170))</f>
        <v/>
      </c>
      <c r="H170" s="35">
        <f>IF($A170&gt;NYears*12,"",$G170*$E170)</f>
        <v/>
      </c>
      <c r="I170" s="35">
        <f>IF($A170&gt;NYears*12,"",$F170-$H170)</f>
        <v/>
      </c>
      <c r="J170" s="35">
        <f>IF($A170&gt;NYears*12,"",$H170*RateD)</f>
        <v/>
      </c>
      <c r="K170" s="35">
        <f>IF($A170&gt;NYears*12,"",IF($D170=1,$J170,$K169+$J170))</f>
        <v/>
      </c>
      <c r="L170" s="35">
        <f>IF($A170&gt;NYears*12,"",IF(MOD($D170,3)=0,SUM($J168:$J170),0))</f>
        <v/>
      </c>
      <c r="M170" s="35">
        <f>IF($A170&gt;NYears*12,"",IF(TaxFreq="Quarterly",$K170*12/$D170,$K170))</f>
        <v/>
      </c>
      <c r="N170" s="36">
        <f>IF($A170&gt;NYears*12,"",LOOKUP($M170,TaxLower,TaxRate))</f>
        <v/>
      </c>
      <c r="O170" s="35">
        <f>IF($A170&gt;NYears*12,"",IF(TaxFreq="Quarterly",IF(MOD($D170,3)=0,$L170*$N170,0),IF($D170=12,$K170*$N170,0)))</f>
        <v/>
      </c>
      <c r="P170" s="35">
        <f>IF($A170&gt;NYears*12,"",IF($D170=1,$O170,$P169+$O170))</f>
        <v/>
      </c>
      <c r="Q170" s="35">
        <f>IF($A170&gt;NYears*12,"",IF($D170=12,MIN(WdrPct*IF(WdrBase="Post-tax profit",$K170-$P170,$K170),WdrCap),0))</f>
        <v/>
      </c>
      <c r="R170" s="35">
        <f>IF($A170&gt;NYears*12,"",$F170+$J170-$O170-$Q170)</f>
        <v/>
      </c>
      <c r="S170" s="33">
        <f>IF($A170&gt;NYears*12,"",INT($R170/$E170))</f>
        <v/>
      </c>
    </row>
    <row r="171">
      <c r="A171" s="33">
        <f>167</f>
        <v/>
      </c>
      <c r="B171" s="34">
        <f>IF($A171&gt;NYears*12,"",EDATE(StartMonth,$A171-1))</f>
        <v/>
      </c>
      <c r="C171" s="33">
        <f>IF($A171&gt;NYears*12,"",INT(($A171-1)/12)+1)</f>
        <v/>
      </c>
      <c r="D171" s="33">
        <f>IF($A171&gt;NYears*12,"",MOD($A171-1,12)+1)</f>
        <v/>
      </c>
      <c r="E171" s="35">
        <f>IF($A171&gt;NYears*12,"",LotValue0*(1+LotGrowth)^($C171-1))</f>
        <v/>
      </c>
      <c r="F171" s="35">
        <f>IF($A171&gt;NYears*12,"",IF($A171=1,InitInvest,$R170))</f>
        <v/>
      </c>
      <c r="G171" s="33">
        <f>IF($A171&gt;NYears*12,"",INT($F171/$E171))</f>
        <v/>
      </c>
      <c r="H171" s="35">
        <f>IF($A171&gt;NYears*12,"",$G171*$E171)</f>
        <v/>
      </c>
      <c r="I171" s="35">
        <f>IF($A171&gt;NYears*12,"",$F171-$H171)</f>
        <v/>
      </c>
      <c r="J171" s="35">
        <f>IF($A171&gt;NYears*12,"",$H171*RateD)</f>
        <v/>
      </c>
      <c r="K171" s="35">
        <f>IF($A171&gt;NYears*12,"",IF($D171=1,$J171,$K170+$J171))</f>
        <v/>
      </c>
      <c r="L171" s="35">
        <f>IF($A171&gt;NYears*12,"",IF(MOD($D171,3)=0,SUM($J169:$J171),0))</f>
        <v/>
      </c>
      <c r="M171" s="35">
        <f>IF($A171&gt;NYears*12,"",IF(TaxFreq="Quarterly",$K171*12/$D171,$K171))</f>
        <v/>
      </c>
      <c r="N171" s="36">
        <f>IF($A171&gt;NYears*12,"",LOOKUP($M171,TaxLower,TaxRate))</f>
        <v/>
      </c>
      <c r="O171" s="35">
        <f>IF($A171&gt;NYears*12,"",IF(TaxFreq="Quarterly",IF(MOD($D171,3)=0,$L171*$N171,0),IF($D171=12,$K171*$N171,0)))</f>
        <v/>
      </c>
      <c r="P171" s="35">
        <f>IF($A171&gt;NYears*12,"",IF($D171=1,$O171,$P170+$O171))</f>
        <v/>
      </c>
      <c r="Q171" s="35">
        <f>IF($A171&gt;NYears*12,"",IF($D171=12,MIN(WdrPct*IF(WdrBase="Post-tax profit",$K171-$P171,$K171),WdrCap),0))</f>
        <v/>
      </c>
      <c r="R171" s="35">
        <f>IF($A171&gt;NYears*12,"",$F171+$J171-$O171-$Q171)</f>
        <v/>
      </c>
      <c r="S171" s="33">
        <f>IF($A171&gt;NYears*12,"",INT($R171/$E171))</f>
        <v/>
      </c>
    </row>
    <row r="172">
      <c r="A172" s="37">
        <f>168</f>
        <v/>
      </c>
      <c r="B172" s="38">
        <f>IF($A172&gt;NYears*12,"",EDATE(StartMonth,$A172-1))</f>
        <v/>
      </c>
      <c r="C172" s="37">
        <f>IF($A172&gt;NYears*12,"",INT(($A172-1)/12)+1)</f>
        <v/>
      </c>
      <c r="D172" s="37">
        <f>IF($A172&gt;NYears*12,"",MOD($A172-1,12)+1)</f>
        <v/>
      </c>
      <c r="E172" s="39">
        <f>IF($A172&gt;NYears*12,"",LotValue0*(1+LotGrowth)^($C172-1))</f>
        <v/>
      </c>
      <c r="F172" s="39">
        <f>IF($A172&gt;NYears*12,"",IF($A172=1,InitInvest,$R171))</f>
        <v/>
      </c>
      <c r="G172" s="37">
        <f>IF($A172&gt;NYears*12,"",INT($F172/$E172))</f>
        <v/>
      </c>
      <c r="H172" s="39">
        <f>IF($A172&gt;NYears*12,"",$G172*$E172)</f>
        <v/>
      </c>
      <c r="I172" s="39">
        <f>IF($A172&gt;NYears*12,"",$F172-$H172)</f>
        <v/>
      </c>
      <c r="J172" s="39">
        <f>IF($A172&gt;NYears*12,"",$H172*RateD)</f>
        <v/>
      </c>
      <c r="K172" s="39">
        <f>IF($A172&gt;NYears*12,"",IF($D172=1,$J172,$K171+$J172))</f>
        <v/>
      </c>
      <c r="L172" s="39">
        <f>IF($A172&gt;NYears*12,"",IF(MOD($D172,3)=0,SUM($J170:$J172),0))</f>
        <v/>
      </c>
      <c r="M172" s="39">
        <f>IF($A172&gt;NYears*12,"",IF(TaxFreq="Quarterly",$K172*12/$D172,$K172))</f>
        <v/>
      </c>
      <c r="N172" s="40">
        <f>IF($A172&gt;NYears*12,"",LOOKUP($M172,TaxLower,TaxRate))</f>
        <v/>
      </c>
      <c r="O172" s="39">
        <f>IF($A172&gt;NYears*12,"",IF(TaxFreq="Quarterly",IF(MOD($D172,3)=0,$L172*$N172,0),IF($D172=12,$K172*$N172,0)))</f>
        <v/>
      </c>
      <c r="P172" s="39">
        <f>IF($A172&gt;NYears*12,"",IF($D172=1,$O172,$P171+$O172))</f>
        <v/>
      </c>
      <c r="Q172" s="39">
        <f>IF($A172&gt;NYears*12,"",IF($D172=12,MIN(WdrPct*IF(WdrBase="Post-tax profit",$K172-$P172,$K172),WdrCap),0))</f>
        <v/>
      </c>
      <c r="R172" s="39">
        <f>IF($A172&gt;NYears*12,"",$F172+$J172-$O172-$Q172)</f>
        <v/>
      </c>
      <c r="S172" s="37">
        <f>IF($A172&gt;NYears*12,"",INT($R172/$E172))</f>
        <v/>
      </c>
    </row>
    <row r="173">
      <c r="A173" s="33">
        <f>169</f>
        <v/>
      </c>
      <c r="B173" s="34">
        <f>IF($A173&gt;NYears*12,"",EDATE(StartMonth,$A173-1))</f>
        <v/>
      </c>
      <c r="C173" s="33">
        <f>IF($A173&gt;NYears*12,"",INT(($A173-1)/12)+1)</f>
        <v/>
      </c>
      <c r="D173" s="33">
        <f>IF($A173&gt;NYears*12,"",MOD($A173-1,12)+1)</f>
        <v/>
      </c>
      <c r="E173" s="35">
        <f>IF($A173&gt;NYears*12,"",LotValue0*(1+LotGrowth)^($C173-1))</f>
        <v/>
      </c>
      <c r="F173" s="35">
        <f>IF($A173&gt;NYears*12,"",IF($A173=1,InitInvest,$R172))</f>
        <v/>
      </c>
      <c r="G173" s="33">
        <f>IF($A173&gt;NYears*12,"",INT($F173/$E173))</f>
        <v/>
      </c>
      <c r="H173" s="35">
        <f>IF($A173&gt;NYears*12,"",$G173*$E173)</f>
        <v/>
      </c>
      <c r="I173" s="35">
        <f>IF($A173&gt;NYears*12,"",$F173-$H173)</f>
        <v/>
      </c>
      <c r="J173" s="35">
        <f>IF($A173&gt;NYears*12,"",$H173*RateD)</f>
        <v/>
      </c>
      <c r="K173" s="35">
        <f>IF($A173&gt;NYears*12,"",IF($D173=1,$J173,$K172+$J173))</f>
        <v/>
      </c>
      <c r="L173" s="35">
        <f>IF($A173&gt;NYears*12,"",IF(MOD($D173,3)=0,SUM($J171:$J173),0))</f>
        <v/>
      </c>
      <c r="M173" s="35">
        <f>IF($A173&gt;NYears*12,"",IF(TaxFreq="Quarterly",$K173*12/$D173,$K173))</f>
        <v/>
      </c>
      <c r="N173" s="36">
        <f>IF($A173&gt;NYears*12,"",LOOKUP($M173,TaxLower,TaxRate))</f>
        <v/>
      </c>
      <c r="O173" s="35">
        <f>IF($A173&gt;NYears*12,"",IF(TaxFreq="Quarterly",IF(MOD($D173,3)=0,$L173*$N173,0),IF($D173=12,$K173*$N173,0)))</f>
        <v/>
      </c>
      <c r="P173" s="35">
        <f>IF($A173&gt;NYears*12,"",IF($D173=1,$O173,$P172+$O173))</f>
        <v/>
      </c>
      <c r="Q173" s="35">
        <f>IF($A173&gt;NYears*12,"",IF($D173=12,MIN(WdrPct*IF(WdrBase="Post-tax profit",$K173-$P173,$K173),WdrCap),0))</f>
        <v/>
      </c>
      <c r="R173" s="35">
        <f>IF($A173&gt;NYears*12,"",$F173+$J173-$O173-$Q173)</f>
        <v/>
      </c>
      <c r="S173" s="33">
        <f>IF($A173&gt;NYears*12,"",INT($R173/$E173))</f>
        <v/>
      </c>
    </row>
    <row r="174">
      <c r="A174" s="33">
        <f>170</f>
        <v/>
      </c>
      <c r="B174" s="34">
        <f>IF($A174&gt;NYears*12,"",EDATE(StartMonth,$A174-1))</f>
        <v/>
      </c>
      <c r="C174" s="33">
        <f>IF($A174&gt;NYears*12,"",INT(($A174-1)/12)+1)</f>
        <v/>
      </c>
      <c r="D174" s="33">
        <f>IF($A174&gt;NYears*12,"",MOD($A174-1,12)+1)</f>
        <v/>
      </c>
      <c r="E174" s="35">
        <f>IF($A174&gt;NYears*12,"",LotValue0*(1+LotGrowth)^($C174-1))</f>
        <v/>
      </c>
      <c r="F174" s="35">
        <f>IF($A174&gt;NYears*12,"",IF($A174=1,InitInvest,$R173))</f>
        <v/>
      </c>
      <c r="G174" s="33">
        <f>IF($A174&gt;NYears*12,"",INT($F174/$E174))</f>
        <v/>
      </c>
      <c r="H174" s="35">
        <f>IF($A174&gt;NYears*12,"",$G174*$E174)</f>
        <v/>
      </c>
      <c r="I174" s="35">
        <f>IF($A174&gt;NYears*12,"",$F174-$H174)</f>
        <v/>
      </c>
      <c r="J174" s="35">
        <f>IF($A174&gt;NYears*12,"",$H174*RateD)</f>
        <v/>
      </c>
      <c r="K174" s="35">
        <f>IF($A174&gt;NYears*12,"",IF($D174=1,$J174,$K173+$J174))</f>
        <v/>
      </c>
      <c r="L174" s="35">
        <f>IF($A174&gt;NYears*12,"",IF(MOD($D174,3)=0,SUM($J172:$J174),0))</f>
        <v/>
      </c>
      <c r="M174" s="35">
        <f>IF($A174&gt;NYears*12,"",IF(TaxFreq="Quarterly",$K174*12/$D174,$K174))</f>
        <v/>
      </c>
      <c r="N174" s="36">
        <f>IF($A174&gt;NYears*12,"",LOOKUP($M174,TaxLower,TaxRate))</f>
        <v/>
      </c>
      <c r="O174" s="35">
        <f>IF($A174&gt;NYears*12,"",IF(TaxFreq="Quarterly",IF(MOD($D174,3)=0,$L174*$N174,0),IF($D174=12,$K174*$N174,0)))</f>
        <v/>
      </c>
      <c r="P174" s="35">
        <f>IF($A174&gt;NYears*12,"",IF($D174=1,$O174,$P173+$O174))</f>
        <v/>
      </c>
      <c r="Q174" s="35">
        <f>IF($A174&gt;NYears*12,"",IF($D174=12,MIN(WdrPct*IF(WdrBase="Post-tax profit",$K174-$P174,$K174),WdrCap),0))</f>
        <v/>
      </c>
      <c r="R174" s="35">
        <f>IF($A174&gt;NYears*12,"",$F174+$J174-$O174-$Q174)</f>
        <v/>
      </c>
      <c r="S174" s="33">
        <f>IF($A174&gt;NYears*12,"",INT($R174/$E174))</f>
        <v/>
      </c>
    </row>
    <row r="175">
      <c r="A175" s="33">
        <f>171</f>
        <v/>
      </c>
      <c r="B175" s="34">
        <f>IF($A175&gt;NYears*12,"",EDATE(StartMonth,$A175-1))</f>
        <v/>
      </c>
      <c r="C175" s="33">
        <f>IF($A175&gt;NYears*12,"",INT(($A175-1)/12)+1)</f>
        <v/>
      </c>
      <c r="D175" s="33">
        <f>IF($A175&gt;NYears*12,"",MOD($A175-1,12)+1)</f>
        <v/>
      </c>
      <c r="E175" s="35">
        <f>IF($A175&gt;NYears*12,"",LotValue0*(1+LotGrowth)^($C175-1))</f>
        <v/>
      </c>
      <c r="F175" s="35">
        <f>IF($A175&gt;NYears*12,"",IF($A175=1,InitInvest,$R174))</f>
        <v/>
      </c>
      <c r="G175" s="33">
        <f>IF($A175&gt;NYears*12,"",INT($F175/$E175))</f>
        <v/>
      </c>
      <c r="H175" s="35">
        <f>IF($A175&gt;NYears*12,"",$G175*$E175)</f>
        <v/>
      </c>
      <c r="I175" s="35">
        <f>IF($A175&gt;NYears*12,"",$F175-$H175)</f>
        <v/>
      </c>
      <c r="J175" s="35">
        <f>IF($A175&gt;NYears*12,"",$H175*RateD)</f>
        <v/>
      </c>
      <c r="K175" s="35">
        <f>IF($A175&gt;NYears*12,"",IF($D175=1,$J175,$K174+$J175))</f>
        <v/>
      </c>
      <c r="L175" s="35">
        <f>IF($A175&gt;NYears*12,"",IF(MOD($D175,3)=0,SUM($J173:$J175),0))</f>
        <v/>
      </c>
      <c r="M175" s="35">
        <f>IF($A175&gt;NYears*12,"",IF(TaxFreq="Quarterly",$K175*12/$D175,$K175))</f>
        <v/>
      </c>
      <c r="N175" s="36">
        <f>IF($A175&gt;NYears*12,"",LOOKUP($M175,TaxLower,TaxRate))</f>
        <v/>
      </c>
      <c r="O175" s="35">
        <f>IF($A175&gt;NYears*12,"",IF(TaxFreq="Quarterly",IF(MOD($D175,3)=0,$L175*$N175,0),IF($D175=12,$K175*$N175,0)))</f>
        <v/>
      </c>
      <c r="P175" s="35">
        <f>IF($A175&gt;NYears*12,"",IF($D175=1,$O175,$P174+$O175))</f>
        <v/>
      </c>
      <c r="Q175" s="35">
        <f>IF($A175&gt;NYears*12,"",IF($D175=12,MIN(WdrPct*IF(WdrBase="Post-tax profit",$K175-$P175,$K175),WdrCap),0))</f>
        <v/>
      </c>
      <c r="R175" s="35">
        <f>IF($A175&gt;NYears*12,"",$F175+$J175-$O175-$Q175)</f>
        <v/>
      </c>
      <c r="S175" s="33">
        <f>IF($A175&gt;NYears*12,"",INT($R175/$E175))</f>
        <v/>
      </c>
    </row>
    <row r="176">
      <c r="A176" s="33">
        <f>172</f>
        <v/>
      </c>
      <c r="B176" s="34">
        <f>IF($A176&gt;NYears*12,"",EDATE(StartMonth,$A176-1))</f>
        <v/>
      </c>
      <c r="C176" s="33">
        <f>IF($A176&gt;NYears*12,"",INT(($A176-1)/12)+1)</f>
        <v/>
      </c>
      <c r="D176" s="33">
        <f>IF($A176&gt;NYears*12,"",MOD($A176-1,12)+1)</f>
        <v/>
      </c>
      <c r="E176" s="35">
        <f>IF($A176&gt;NYears*12,"",LotValue0*(1+LotGrowth)^($C176-1))</f>
        <v/>
      </c>
      <c r="F176" s="35">
        <f>IF($A176&gt;NYears*12,"",IF($A176=1,InitInvest,$R175))</f>
        <v/>
      </c>
      <c r="G176" s="33">
        <f>IF($A176&gt;NYears*12,"",INT($F176/$E176))</f>
        <v/>
      </c>
      <c r="H176" s="35">
        <f>IF($A176&gt;NYears*12,"",$G176*$E176)</f>
        <v/>
      </c>
      <c r="I176" s="35">
        <f>IF($A176&gt;NYears*12,"",$F176-$H176)</f>
        <v/>
      </c>
      <c r="J176" s="35">
        <f>IF($A176&gt;NYears*12,"",$H176*RateD)</f>
        <v/>
      </c>
      <c r="K176" s="35">
        <f>IF($A176&gt;NYears*12,"",IF($D176=1,$J176,$K175+$J176))</f>
        <v/>
      </c>
      <c r="L176" s="35">
        <f>IF($A176&gt;NYears*12,"",IF(MOD($D176,3)=0,SUM($J174:$J176),0))</f>
        <v/>
      </c>
      <c r="M176" s="35">
        <f>IF($A176&gt;NYears*12,"",IF(TaxFreq="Quarterly",$K176*12/$D176,$K176))</f>
        <v/>
      </c>
      <c r="N176" s="36">
        <f>IF($A176&gt;NYears*12,"",LOOKUP($M176,TaxLower,TaxRate))</f>
        <v/>
      </c>
      <c r="O176" s="35">
        <f>IF($A176&gt;NYears*12,"",IF(TaxFreq="Quarterly",IF(MOD($D176,3)=0,$L176*$N176,0),IF($D176=12,$K176*$N176,0)))</f>
        <v/>
      </c>
      <c r="P176" s="35">
        <f>IF($A176&gt;NYears*12,"",IF($D176=1,$O176,$P175+$O176))</f>
        <v/>
      </c>
      <c r="Q176" s="35">
        <f>IF($A176&gt;NYears*12,"",IF($D176=12,MIN(WdrPct*IF(WdrBase="Post-tax profit",$K176-$P176,$K176),WdrCap),0))</f>
        <v/>
      </c>
      <c r="R176" s="35">
        <f>IF($A176&gt;NYears*12,"",$F176+$J176-$O176-$Q176)</f>
        <v/>
      </c>
      <c r="S176" s="33">
        <f>IF($A176&gt;NYears*12,"",INT($R176/$E176))</f>
        <v/>
      </c>
    </row>
    <row r="177">
      <c r="A177" s="33">
        <f>173</f>
        <v/>
      </c>
      <c r="B177" s="34">
        <f>IF($A177&gt;NYears*12,"",EDATE(StartMonth,$A177-1))</f>
        <v/>
      </c>
      <c r="C177" s="33">
        <f>IF($A177&gt;NYears*12,"",INT(($A177-1)/12)+1)</f>
        <v/>
      </c>
      <c r="D177" s="33">
        <f>IF($A177&gt;NYears*12,"",MOD($A177-1,12)+1)</f>
        <v/>
      </c>
      <c r="E177" s="35">
        <f>IF($A177&gt;NYears*12,"",LotValue0*(1+LotGrowth)^($C177-1))</f>
        <v/>
      </c>
      <c r="F177" s="35">
        <f>IF($A177&gt;NYears*12,"",IF($A177=1,InitInvest,$R176))</f>
        <v/>
      </c>
      <c r="G177" s="33">
        <f>IF($A177&gt;NYears*12,"",INT($F177/$E177))</f>
        <v/>
      </c>
      <c r="H177" s="35">
        <f>IF($A177&gt;NYears*12,"",$G177*$E177)</f>
        <v/>
      </c>
      <c r="I177" s="35">
        <f>IF($A177&gt;NYears*12,"",$F177-$H177)</f>
        <v/>
      </c>
      <c r="J177" s="35">
        <f>IF($A177&gt;NYears*12,"",$H177*RateD)</f>
        <v/>
      </c>
      <c r="K177" s="35">
        <f>IF($A177&gt;NYears*12,"",IF($D177=1,$J177,$K176+$J177))</f>
        <v/>
      </c>
      <c r="L177" s="35">
        <f>IF($A177&gt;NYears*12,"",IF(MOD($D177,3)=0,SUM($J175:$J177),0))</f>
        <v/>
      </c>
      <c r="M177" s="35">
        <f>IF($A177&gt;NYears*12,"",IF(TaxFreq="Quarterly",$K177*12/$D177,$K177))</f>
        <v/>
      </c>
      <c r="N177" s="36">
        <f>IF($A177&gt;NYears*12,"",LOOKUP($M177,TaxLower,TaxRate))</f>
        <v/>
      </c>
      <c r="O177" s="35">
        <f>IF($A177&gt;NYears*12,"",IF(TaxFreq="Quarterly",IF(MOD($D177,3)=0,$L177*$N177,0),IF($D177=12,$K177*$N177,0)))</f>
        <v/>
      </c>
      <c r="P177" s="35">
        <f>IF($A177&gt;NYears*12,"",IF($D177=1,$O177,$P176+$O177))</f>
        <v/>
      </c>
      <c r="Q177" s="35">
        <f>IF($A177&gt;NYears*12,"",IF($D177=12,MIN(WdrPct*IF(WdrBase="Post-tax profit",$K177-$P177,$K177),WdrCap),0))</f>
        <v/>
      </c>
      <c r="R177" s="35">
        <f>IF($A177&gt;NYears*12,"",$F177+$J177-$O177-$Q177)</f>
        <v/>
      </c>
      <c r="S177" s="33">
        <f>IF($A177&gt;NYears*12,"",INT($R177/$E177))</f>
        <v/>
      </c>
    </row>
    <row r="178">
      <c r="A178" s="33">
        <f>174</f>
        <v/>
      </c>
      <c r="B178" s="34">
        <f>IF($A178&gt;NYears*12,"",EDATE(StartMonth,$A178-1))</f>
        <v/>
      </c>
      <c r="C178" s="33">
        <f>IF($A178&gt;NYears*12,"",INT(($A178-1)/12)+1)</f>
        <v/>
      </c>
      <c r="D178" s="33">
        <f>IF($A178&gt;NYears*12,"",MOD($A178-1,12)+1)</f>
        <v/>
      </c>
      <c r="E178" s="35">
        <f>IF($A178&gt;NYears*12,"",LotValue0*(1+LotGrowth)^($C178-1))</f>
        <v/>
      </c>
      <c r="F178" s="35">
        <f>IF($A178&gt;NYears*12,"",IF($A178=1,InitInvest,$R177))</f>
        <v/>
      </c>
      <c r="G178" s="33">
        <f>IF($A178&gt;NYears*12,"",INT($F178/$E178))</f>
        <v/>
      </c>
      <c r="H178" s="35">
        <f>IF($A178&gt;NYears*12,"",$G178*$E178)</f>
        <v/>
      </c>
      <c r="I178" s="35">
        <f>IF($A178&gt;NYears*12,"",$F178-$H178)</f>
        <v/>
      </c>
      <c r="J178" s="35">
        <f>IF($A178&gt;NYears*12,"",$H178*RateD)</f>
        <v/>
      </c>
      <c r="K178" s="35">
        <f>IF($A178&gt;NYears*12,"",IF($D178=1,$J178,$K177+$J178))</f>
        <v/>
      </c>
      <c r="L178" s="35">
        <f>IF($A178&gt;NYears*12,"",IF(MOD($D178,3)=0,SUM($J176:$J178),0))</f>
        <v/>
      </c>
      <c r="M178" s="35">
        <f>IF($A178&gt;NYears*12,"",IF(TaxFreq="Quarterly",$K178*12/$D178,$K178))</f>
        <v/>
      </c>
      <c r="N178" s="36">
        <f>IF($A178&gt;NYears*12,"",LOOKUP($M178,TaxLower,TaxRate))</f>
        <v/>
      </c>
      <c r="O178" s="35">
        <f>IF($A178&gt;NYears*12,"",IF(TaxFreq="Quarterly",IF(MOD($D178,3)=0,$L178*$N178,0),IF($D178=12,$K178*$N178,0)))</f>
        <v/>
      </c>
      <c r="P178" s="35">
        <f>IF($A178&gt;NYears*12,"",IF($D178=1,$O178,$P177+$O178))</f>
        <v/>
      </c>
      <c r="Q178" s="35">
        <f>IF($A178&gt;NYears*12,"",IF($D178=12,MIN(WdrPct*IF(WdrBase="Post-tax profit",$K178-$P178,$K178),WdrCap),0))</f>
        <v/>
      </c>
      <c r="R178" s="35">
        <f>IF($A178&gt;NYears*12,"",$F178+$J178-$O178-$Q178)</f>
        <v/>
      </c>
      <c r="S178" s="33">
        <f>IF($A178&gt;NYears*12,"",INT($R178/$E178))</f>
        <v/>
      </c>
    </row>
    <row r="179">
      <c r="A179" s="33">
        <f>175</f>
        <v/>
      </c>
      <c r="B179" s="34">
        <f>IF($A179&gt;NYears*12,"",EDATE(StartMonth,$A179-1))</f>
        <v/>
      </c>
      <c r="C179" s="33">
        <f>IF($A179&gt;NYears*12,"",INT(($A179-1)/12)+1)</f>
        <v/>
      </c>
      <c r="D179" s="33">
        <f>IF($A179&gt;NYears*12,"",MOD($A179-1,12)+1)</f>
        <v/>
      </c>
      <c r="E179" s="35">
        <f>IF($A179&gt;NYears*12,"",LotValue0*(1+LotGrowth)^($C179-1))</f>
        <v/>
      </c>
      <c r="F179" s="35">
        <f>IF($A179&gt;NYears*12,"",IF($A179=1,InitInvest,$R178))</f>
        <v/>
      </c>
      <c r="G179" s="33">
        <f>IF($A179&gt;NYears*12,"",INT($F179/$E179))</f>
        <v/>
      </c>
      <c r="H179" s="35">
        <f>IF($A179&gt;NYears*12,"",$G179*$E179)</f>
        <v/>
      </c>
      <c r="I179" s="35">
        <f>IF($A179&gt;NYears*12,"",$F179-$H179)</f>
        <v/>
      </c>
      <c r="J179" s="35">
        <f>IF($A179&gt;NYears*12,"",$H179*RateD)</f>
        <v/>
      </c>
      <c r="K179" s="35">
        <f>IF($A179&gt;NYears*12,"",IF($D179=1,$J179,$K178+$J179))</f>
        <v/>
      </c>
      <c r="L179" s="35">
        <f>IF($A179&gt;NYears*12,"",IF(MOD($D179,3)=0,SUM($J177:$J179),0))</f>
        <v/>
      </c>
      <c r="M179" s="35">
        <f>IF($A179&gt;NYears*12,"",IF(TaxFreq="Quarterly",$K179*12/$D179,$K179))</f>
        <v/>
      </c>
      <c r="N179" s="36">
        <f>IF($A179&gt;NYears*12,"",LOOKUP($M179,TaxLower,TaxRate))</f>
        <v/>
      </c>
      <c r="O179" s="35">
        <f>IF($A179&gt;NYears*12,"",IF(TaxFreq="Quarterly",IF(MOD($D179,3)=0,$L179*$N179,0),IF($D179=12,$K179*$N179,0)))</f>
        <v/>
      </c>
      <c r="P179" s="35">
        <f>IF($A179&gt;NYears*12,"",IF($D179=1,$O179,$P178+$O179))</f>
        <v/>
      </c>
      <c r="Q179" s="35">
        <f>IF($A179&gt;NYears*12,"",IF($D179=12,MIN(WdrPct*IF(WdrBase="Post-tax profit",$K179-$P179,$K179),WdrCap),0))</f>
        <v/>
      </c>
      <c r="R179" s="35">
        <f>IF($A179&gt;NYears*12,"",$F179+$J179-$O179-$Q179)</f>
        <v/>
      </c>
      <c r="S179" s="33">
        <f>IF($A179&gt;NYears*12,"",INT($R179/$E179))</f>
        <v/>
      </c>
    </row>
    <row r="180">
      <c r="A180" s="33">
        <f>176</f>
        <v/>
      </c>
      <c r="B180" s="34">
        <f>IF($A180&gt;NYears*12,"",EDATE(StartMonth,$A180-1))</f>
        <v/>
      </c>
      <c r="C180" s="33">
        <f>IF($A180&gt;NYears*12,"",INT(($A180-1)/12)+1)</f>
        <v/>
      </c>
      <c r="D180" s="33">
        <f>IF($A180&gt;NYears*12,"",MOD($A180-1,12)+1)</f>
        <v/>
      </c>
      <c r="E180" s="35">
        <f>IF($A180&gt;NYears*12,"",LotValue0*(1+LotGrowth)^($C180-1))</f>
        <v/>
      </c>
      <c r="F180" s="35">
        <f>IF($A180&gt;NYears*12,"",IF($A180=1,InitInvest,$R179))</f>
        <v/>
      </c>
      <c r="G180" s="33">
        <f>IF($A180&gt;NYears*12,"",INT($F180/$E180))</f>
        <v/>
      </c>
      <c r="H180" s="35">
        <f>IF($A180&gt;NYears*12,"",$G180*$E180)</f>
        <v/>
      </c>
      <c r="I180" s="35">
        <f>IF($A180&gt;NYears*12,"",$F180-$H180)</f>
        <v/>
      </c>
      <c r="J180" s="35">
        <f>IF($A180&gt;NYears*12,"",$H180*RateD)</f>
        <v/>
      </c>
      <c r="K180" s="35">
        <f>IF($A180&gt;NYears*12,"",IF($D180=1,$J180,$K179+$J180))</f>
        <v/>
      </c>
      <c r="L180" s="35">
        <f>IF($A180&gt;NYears*12,"",IF(MOD($D180,3)=0,SUM($J178:$J180),0))</f>
        <v/>
      </c>
      <c r="M180" s="35">
        <f>IF($A180&gt;NYears*12,"",IF(TaxFreq="Quarterly",$K180*12/$D180,$K180))</f>
        <v/>
      </c>
      <c r="N180" s="36">
        <f>IF($A180&gt;NYears*12,"",LOOKUP($M180,TaxLower,TaxRate))</f>
        <v/>
      </c>
      <c r="O180" s="35">
        <f>IF($A180&gt;NYears*12,"",IF(TaxFreq="Quarterly",IF(MOD($D180,3)=0,$L180*$N180,0),IF($D180=12,$K180*$N180,0)))</f>
        <v/>
      </c>
      <c r="P180" s="35">
        <f>IF($A180&gt;NYears*12,"",IF($D180=1,$O180,$P179+$O180))</f>
        <v/>
      </c>
      <c r="Q180" s="35">
        <f>IF($A180&gt;NYears*12,"",IF($D180=12,MIN(WdrPct*IF(WdrBase="Post-tax profit",$K180-$P180,$K180),WdrCap),0))</f>
        <v/>
      </c>
      <c r="R180" s="35">
        <f>IF($A180&gt;NYears*12,"",$F180+$J180-$O180-$Q180)</f>
        <v/>
      </c>
      <c r="S180" s="33">
        <f>IF($A180&gt;NYears*12,"",INT($R180/$E180))</f>
        <v/>
      </c>
    </row>
    <row r="181">
      <c r="A181" s="33">
        <f>177</f>
        <v/>
      </c>
      <c r="B181" s="34">
        <f>IF($A181&gt;NYears*12,"",EDATE(StartMonth,$A181-1))</f>
        <v/>
      </c>
      <c r="C181" s="33">
        <f>IF($A181&gt;NYears*12,"",INT(($A181-1)/12)+1)</f>
        <v/>
      </c>
      <c r="D181" s="33">
        <f>IF($A181&gt;NYears*12,"",MOD($A181-1,12)+1)</f>
        <v/>
      </c>
      <c r="E181" s="35">
        <f>IF($A181&gt;NYears*12,"",LotValue0*(1+LotGrowth)^($C181-1))</f>
        <v/>
      </c>
      <c r="F181" s="35">
        <f>IF($A181&gt;NYears*12,"",IF($A181=1,InitInvest,$R180))</f>
        <v/>
      </c>
      <c r="G181" s="33">
        <f>IF($A181&gt;NYears*12,"",INT($F181/$E181))</f>
        <v/>
      </c>
      <c r="H181" s="35">
        <f>IF($A181&gt;NYears*12,"",$G181*$E181)</f>
        <v/>
      </c>
      <c r="I181" s="35">
        <f>IF($A181&gt;NYears*12,"",$F181-$H181)</f>
        <v/>
      </c>
      <c r="J181" s="35">
        <f>IF($A181&gt;NYears*12,"",$H181*RateD)</f>
        <v/>
      </c>
      <c r="K181" s="35">
        <f>IF($A181&gt;NYears*12,"",IF($D181=1,$J181,$K180+$J181))</f>
        <v/>
      </c>
      <c r="L181" s="35">
        <f>IF($A181&gt;NYears*12,"",IF(MOD($D181,3)=0,SUM($J179:$J181),0))</f>
        <v/>
      </c>
      <c r="M181" s="35">
        <f>IF($A181&gt;NYears*12,"",IF(TaxFreq="Quarterly",$K181*12/$D181,$K181))</f>
        <v/>
      </c>
      <c r="N181" s="36">
        <f>IF($A181&gt;NYears*12,"",LOOKUP($M181,TaxLower,TaxRate))</f>
        <v/>
      </c>
      <c r="O181" s="35">
        <f>IF($A181&gt;NYears*12,"",IF(TaxFreq="Quarterly",IF(MOD($D181,3)=0,$L181*$N181,0),IF($D181=12,$K181*$N181,0)))</f>
        <v/>
      </c>
      <c r="P181" s="35">
        <f>IF($A181&gt;NYears*12,"",IF($D181=1,$O181,$P180+$O181))</f>
        <v/>
      </c>
      <c r="Q181" s="35">
        <f>IF($A181&gt;NYears*12,"",IF($D181=12,MIN(WdrPct*IF(WdrBase="Post-tax profit",$K181-$P181,$K181),WdrCap),0))</f>
        <v/>
      </c>
      <c r="R181" s="35">
        <f>IF($A181&gt;NYears*12,"",$F181+$J181-$O181-$Q181)</f>
        <v/>
      </c>
      <c r="S181" s="33">
        <f>IF($A181&gt;NYears*12,"",INT($R181/$E181))</f>
        <v/>
      </c>
    </row>
    <row r="182">
      <c r="A182" s="33">
        <f>178</f>
        <v/>
      </c>
      <c r="B182" s="34">
        <f>IF($A182&gt;NYears*12,"",EDATE(StartMonth,$A182-1))</f>
        <v/>
      </c>
      <c r="C182" s="33">
        <f>IF($A182&gt;NYears*12,"",INT(($A182-1)/12)+1)</f>
        <v/>
      </c>
      <c r="D182" s="33">
        <f>IF($A182&gt;NYears*12,"",MOD($A182-1,12)+1)</f>
        <v/>
      </c>
      <c r="E182" s="35">
        <f>IF($A182&gt;NYears*12,"",LotValue0*(1+LotGrowth)^($C182-1))</f>
        <v/>
      </c>
      <c r="F182" s="35">
        <f>IF($A182&gt;NYears*12,"",IF($A182=1,InitInvest,$R181))</f>
        <v/>
      </c>
      <c r="G182" s="33">
        <f>IF($A182&gt;NYears*12,"",INT($F182/$E182))</f>
        <v/>
      </c>
      <c r="H182" s="35">
        <f>IF($A182&gt;NYears*12,"",$G182*$E182)</f>
        <v/>
      </c>
      <c r="I182" s="35">
        <f>IF($A182&gt;NYears*12,"",$F182-$H182)</f>
        <v/>
      </c>
      <c r="J182" s="35">
        <f>IF($A182&gt;NYears*12,"",$H182*RateD)</f>
        <v/>
      </c>
      <c r="K182" s="35">
        <f>IF($A182&gt;NYears*12,"",IF($D182=1,$J182,$K181+$J182))</f>
        <v/>
      </c>
      <c r="L182" s="35">
        <f>IF($A182&gt;NYears*12,"",IF(MOD($D182,3)=0,SUM($J180:$J182),0))</f>
        <v/>
      </c>
      <c r="M182" s="35">
        <f>IF($A182&gt;NYears*12,"",IF(TaxFreq="Quarterly",$K182*12/$D182,$K182))</f>
        <v/>
      </c>
      <c r="N182" s="36">
        <f>IF($A182&gt;NYears*12,"",LOOKUP($M182,TaxLower,TaxRate))</f>
        <v/>
      </c>
      <c r="O182" s="35">
        <f>IF($A182&gt;NYears*12,"",IF(TaxFreq="Quarterly",IF(MOD($D182,3)=0,$L182*$N182,0),IF($D182=12,$K182*$N182,0)))</f>
        <v/>
      </c>
      <c r="P182" s="35">
        <f>IF($A182&gt;NYears*12,"",IF($D182=1,$O182,$P181+$O182))</f>
        <v/>
      </c>
      <c r="Q182" s="35">
        <f>IF($A182&gt;NYears*12,"",IF($D182=12,MIN(WdrPct*IF(WdrBase="Post-tax profit",$K182-$P182,$K182),WdrCap),0))</f>
        <v/>
      </c>
      <c r="R182" s="35">
        <f>IF($A182&gt;NYears*12,"",$F182+$J182-$O182-$Q182)</f>
        <v/>
      </c>
      <c r="S182" s="33">
        <f>IF($A182&gt;NYears*12,"",INT($R182/$E182))</f>
        <v/>
      </c>
    </row>
    <row r="183">
      <c r="A183" s="33">
        <f>179</f>
        <v/>
      </c>
      <c r="B183" s="34">
        <f>IF($A183&gt;NYears*12,"",EDATE(StartMonth,$A183-1))</f>
        <v/>
      </c>
      <c r="C183" s="33">
        <f>IF($A183&gt;NYears*12,"",INT(($A183-1)/12)+1)</f>
        <v/>
      </c>
      <c r="D183" s="33">
        <f>IF($A183&gt;NYears*12,"",MOD($A183-1,12)+1)</f>
        <v/>
      </c>
      <c r="E183" s="35">
        <f>IF($A183&gt;NYears*12,"",LotValue0*(1+LotGrowth)^($C183-1))</f>
        <v/>
      </c>
      <c r="F183" s="35">
        <f>IF($A183&gt;NYears*12,"",IF($A183=1,InitInvest,$R182))</f>
        <v/>
      </c>
      <c r="G183" s="33">
        <f>IF($A183&gt;NYears*12,"",INT($F183/$E183))</f>
        <v/>
      </c>
      <c r="H183" s="35">
        <f>IF($A183&gt;NYears*12,"",$G183*$E183)</f>
        <v/>
      </c>
      <c r="I183" s="35">
        <f>IF($A183&gt;NYears*12,"",$F183-$H183)</f>
        <v/>
      </c>
      <c r="J183" s="35">
        <f>IF($A183&gt;NYears*12,"",$H183*RateD)</f>
        <v/>
      </c>
      <c r="K183" s="35">
        <f>IF($A183&gt;NYears*12,"",IF($D183=1,$J183,$K182+$J183))</f>
        <v/>
      </c>
      <c r="L183" s="35">
        <f>IF($A183&gt;NYears*12,"",IF(MOD($D183,3)=0,SUM($J181:$J183),0))</f>
        <v/>
      </c>
      <c r="M183" s="35">
        <f>IF($A183&gt;NYears*12,"",IF(TaxFreq="Quarterly",$K183*12/$D183,$K183))</f>
        <v/>
      </c>
      <c r="N183" s="36">
        <f>IF($A183&gt;NYears*12,"",LOOKUP($M183,TaxLower,TaxRate))</f>
        <v/>
      </c>
      <c r="O183" s="35">
        <f>IF($A183&gt;NYears*12,"",IF(TaxFreq="Quarterly",IF(MOD($D183,3)=0,$L183*$N183,0),IF($D183=12,$K183*$N183,0)))</f>
        <v/>
      </c>
      <c r="P183" s="35">
        <f>IF($A183&gt;NYears*12,"",IF($D183=1,$O183,$P182+$O183))</f>
        <v/>
      </c>
      <c r="Q183" s="35">
        <f>IF($A183&gt;NYears*12,"",IF($D183=12,MIN(WdrPct*IF(WdrBase="Post-tax profit",$K183-$P183,$K183),WdrCap),0))</f>
        <v/>
      </c>
      <c r="R183" s="35">
        <f>IF($A183&gt;NYears*12,"",$F183+$J183-$O183-$Q183)</f>
        <v/>
      </c>
      <c r="S183" s="33">
        <f>IF($A183&gt;NYears*12,"",INT($R183/$E183))</f>
        <v/>
      </c>
    </row>
    <row r="184">
      <c r="A184" s="37">
        <f>180</f>
        <v/>
      </c>
      <c r="B184" s="38">
        <f>IF($A184&gt;NYears*12,"",EDATE(StartMonth,$A184-1))</f>
        <v/>
      </c>
      <c r="C184" s="37">
        <f>IF($A184&gt;NYears*12,"",INT(($A184-1)/12)+1)</f>
        <v/>
      </c>
      <c r="D184" s="37">
        <f>IF($A184&gt;NYears*12,"",MOD($A184-1,12)+1)</f>
        <v/>
      </c>
      <c r="E184" s="39">
        <f>IF($A184&gt;NYears*12,"",LotValue0*(1+LotGrowth)^($C184-1))</f>
        <v/>
      </c>
      <c r="F184" s="39">
        <f>IF($A184&gt;NYears*12,"",IF($A184=1,InitInvest,$R183))</f>
        <v/>
      </c>
      <c r="G184" s="37">
        <f>IF($A184&gt;NYears*12,"",INT($F184/$E184))</f>
        <v/>
      </c>
      <c r="H184" s="39">
        <f>IF($A184&gt;NYears*12,"",$G184*$E184)</f>
        <v/>
      </c>
      <c r="I184" s="39">
        <f>IF($A184&gt;NYears*12,"",$F184-$H184)</f>
        <v/>
      </c>
      <c r="J184" s="39">
        <f>IF($A184&gt;NYears*12,"",$H184*RateD)</f>
        <v/>
      </c>
      <c r="K184" s="39">
        <f>IF($A184&gt;NYears*12,"",IF($D184=1,$J184,$K183+$J184))</f>
        <v/>
      </c>
      <c r="L184" s="39">
        <f>IF($A184&gt;NYears*12,"",IF(MOD($D184,3)=0,SUM($J182:$J184),0))</f>
        <v/>
      </c>
      <c r="M184" s="39">
        <f>IF($A184&gt;NYears*12,"",IF(TaxFreq="Quarterly",$K184*12/$D184,$K184))</f>
        <v/>
      </c>
      <c r="N184" s="40">
        <f>IF($A184&gt;NYears*12,"",LOOKUP($M184,TaxLower,TaxRate))</f>
        <v/>
      </c>
      <c r="O184" s="39">
        <f>IF($A184&gt;NYears*12,"",IF(TaxFreq="Quarterly",IF(MOD($D184,3)=0,$L184*$N184,0),IF($D184=12,$K184*$N184,0)))</f>
        <v/>
      </c>
      <c r="P184" s="39">
        <f>IF($A184&gt;NYears*12,"",IF($D184=1,$O184,$P183+$O184))</f>
        <v/>
      </c>
      <c r="Q184" s="39">
        <f>IF($A184&gt;NYears*12,"",IF($D184=12,MIN(WdrPct*IF(WdrBase="Post-tax profit",$K184-$P184,$K184),WdrCap),0))</f>
        <v/>
      </c>
      <c r="R184" s="39">
        <f>IF($A184&gt;NYears*12,"",$F184+$J184-$O184-$Q184)</f>
        <v/>
      </c>
      <c r="S184" s="37">
        <f>IF($A184&gt;NYears*12,"",INT($R184/$E184))</f>
        <v/>
      </c>
    </row>
    <row r="185">
      <c r="A185" s="33">
        <f>181</f>
        <v/>
      </c>
      <c r="B185" s="34">
        <f>IF($A185&gt;NYears*12,"",EDATE(StartMonth,$A185-1))</f>
        <v/>
      </c>
      <c r="C185" s="33">
        <f>IF($A185&gt;NYears*12,"",INT(($A185-1)/12)+1)</f>
        <v/>
      </c>
      <c r="D185" s="33">
        <f>IF($A185&gt;NYears*12,"",MOD($A185-1,12)+1)</f>
        <v/>
      </c>
      <c r="E185" s="35">
        <f>IF($A185&gt;NYears*12,"",LotValue0*(1+LotGrowth)^($C185-1))</f>
        <v/>
      </c>
      <c r="F185" s="35">
        <f>IF($A185&gt;NYears*12,"",IF($A185=1,InitInvest,$R184))</f>
        <v/>
      </c>
      <c r="G185" s="33">
        <f>IF($A185&gt;NYears*12,"",INT($F185/$E185))</f>
        <v/>
      </c>
      <c r="H185" s="35">
        <f>IF($A185&gt;NYears*12,"",$G185*$E185)</f>
        <v/>
      </c>
      <c r="I185" s="35">
        <f>IF($A185&gt;NYears*12,"",$F185-$H185)</f>
        <v/>
      </c>
      <c r="J185" s="35">
        <f>IF($A185&gt;NYears*12,"",$H185*RateD)</f>
        <v/>
      </c>
      <c r="K185" s="35">
        <f>IF($A185&gt;NYears*12,"",IF($D185=1,$J185,$K184+$J185))</f>
        <v/>
      </c>
      <c r="L185" s="35">
        <f>IF($A185&gt;NYears*12,"",IF(MOD($D185,3)=0,SUM($J183:$J185),0))</f>
        <v/>
      </c>
      <c r="M185" s="35">
        <f>IF($A185&gt;NYears*12,"",IF(TaxFreq="Quarterly",$K185*12/$D185,$K185))</f>
        <v/>
      </c>
      <c r="N185" s="36">
        <f>IF($A185&gt;NYears*12,"",LOOKUP($M185,TaxLower,TaxRate))</f>
        <v/>
      </c>
      <c r="O185" s="35">
        <f>IF($A185&gt;NYears*12,"",IF(TaxFreq="Quarterly",IF(MOD($D185,3)=0,$L185*$N185,0),IF($D185=12,$K185*$N185,0)))</f>
        <v/>
      </c>
      <c r="P185" s="35">
        <f>IF($A185&gt;NYears*12,"",IF($D185=1,$O185,$P184+$O185))</f>
        <v/>
      </c>
      <c r="Q185" s="35">
        <f>IF($A185&gt;NYears*12,"",IF($D185=12,MIN(WdrPct*IF(WdrBase="Post-tax profit",$K185-$P185,$K185),WdrCap),0))</f>
        <v/>
      </c>
      <c r="R185" s="35">
        <f>IF($A185&gt;NYears*12,"",$F185+$J185-$O185-$Q185)</f>
        <v/>
      </c>
      <c r="S185" s="33">
        <f>IF($A185&gt;NYears*12,"",INT($R185/$E185))</f>
        <v/>
      </c>
    </row>
    <row r="186">
      <c r="A186" s="33">
        <f>182</f>
        <v/>
      </c>
      <c r="B186" s="34">
        <f>IF($A186&gt;NYears*12,"",EDATE(StartMonth,$A186-1))</f>
        <v/>
      </c>
      <c r="C186" s="33">
        <f>IF($A186&gt;NYears*12,"",INT(($A186-1)/12)+1)</f>
        <v/>
      </c>
      <c r="D186" s="33">
        <f>IF($A186&gt;NYears*12,"",MOD($A186-1,12)+1)</f>
        <v/>
      </c>
      <c r="E186" s="35">
        <f>IF($A186&gt;NYears*12,"",LotValue0*(1+LotGrowth)^($C186-1))</f>
        <v/>
      </c>
      <c r="F186" s="35">
        <f>IF($A186&gt;NYears*12,"",IF($A186=1,InitInvest,$R185))</f>
        <v/>
      </c>
      <c r="G186" s="33">
        <f>IF($A186&gt;NYears*12,"",INT($F186/$E186))</f>
        <v/>
      </c>
      <c r="H186" s="35">
        <f>IF($A186&gt;NYears*12,"",$G186*$E186)</f>
        <v/>
      </c>
      <c r="I186" s="35">
        <f>IF($A186&gt;NYears*12,"",$F186-$H186)</f>
        <v/>
      </c>
      <c r="J186" s="35">
        <f>IF($A186&gt;NYears*12,"",$H186*RateD)</f>
        <v/>
      </c>
      <c r="K186" s="35">
        <f>IF($A186&gt;NYears*12,"",IF($D186=1,$J186,$K185+$J186))</f>
        <v/>
      </c>
      <c r="L186" s="35">
        <f>IF($A186&gt;NYears*12,"",IF(MOD($D186,3)=0,SUM($J184:$J186),0))</f>
        <v/>
      </c>
      <c r="M186" s="35">
        <f>IF($A186&gt;NYears*12,"",IF(TaxFreq="Quarterly",$K186*12/$D186,$K186))</f>
        <v/>
      </c>
      <c r="N186" s="36">
        <f>IF($A186&gt;NYears*12,"",LOOKUP($M186,TaxLower,TaxRate))</f>
        <v/>
      </c>
      <c r="O186" s="35">
        <f>IF($A186&gt;NYears*12,"",IF(TaxFreq="Quarterly",IF(MOD($D186,3)=0,$L186*$N186,0),IF($D186=12,$K186*$N186,0)))</f>
        <v/>
      </c>
      <c r="P186" s="35">
        <f>IF($A186&gt;NYears*12,"",IF($D186=1,$O186,$P185+$O186))</f>
        <v/>
      </c>
      <c r="Q186" s="35">
        <f>IF($A186&gt;NYears*12,"",IF($D186=12,MIN(WdrPct*IF(WdrBase="Post-tax profit",$K186-$P186,$K186),WdrCap),0))</f>
        <v/>
      </c>
      <c r="R186" s="35">
        <f>IF($A186&gt;NYears*12,"",$F186+$J186-$O186-$Q186)</f>
        <v/>
      </c>
      <c r="S186" s="33">
        <f>IF($A186&gt;NYears*12,"",INT($R186/$E186))</f>
        <v/>
      </c>
    </row>
    <row r="187">
      <c r="A187" s="33">
        <f>183</f>
        <v/>
      </c>
      <c r="B187" s="34">
        <f>IF($A187&gt;NYears*12,"",EDATE(StartMonth,$A187-1))</f>
        <v/>
      </c>
      <c r="C187" s="33">
        <f>IF($A187&gt;NYears*12,"",INT(($A187-1)/12)+1)</f>
        <v/>
      </c>
      <c r="D187" s="33">
        <f>IF($A187&gt;NYears*12,"",MOD($A187-1,12)+1)</f>
        <v/>
      </c>
      <c r="E187" s="35">
        <f>IF($A187&gt;NYears*12,"",LotValue0*(1+LotGrowth)^($C187-1))</f>
        <v/>
      </c>
      <c r="F187" s="35">
        <f>IF($A187&gt;NYears*12,"",IF($A187=1,InitInvest,$R186))</f>
        <v/>
      </c>
      <c r="G187" s="33">
        <f>IF($A187&gt;NYears*12,"",INT($F187/$E187))</f>
        <v/>
      </c>
      <c r="H187" s="35">
        <f>IF($A187&gt;NYears*12,"",$G187*$E187)</f>
        <v/>
      </c>
      <c r="I187" s="35">
        <f>IF($A187&gt;NYears*12,"",$F187-$H187)</f>
        <v/>
      </c>
      <c r="J187" s="35">
        <f>IF($A187&gt;NYears*12,"",$H187*RateD)</f>
        <v/>
      </c>
      <c r="K187" s="35">
        <f>IF($A187&gt;NYears*12,"",IF($D187=1,$J187,$K186+$J187))</f>
        <v/>
      </c>
      <c r="L187" s="35">
        <f>IF($A187&gt;NYears*12,"",IF(MOD($D187,3)=0,SUM($J185:$J187),0))</f>
        <v/>
      </c>
      <c r="M187" s="35">
        <f>IF($A187&gt;NYears*12,"",IF(TaxFreq="Quarterly",$K187*12/$D187,$K187))</f>
        <v/>
      </c>
      <c r="N187" s="36">
        <f>IF($A187&gt;NYears*12,"",LOOKUP($M187,TaxLower,TaxRate))</f>
        <v/>
      </c>
      <c r="O187" s="35">
        <f>IF($A187&gt;NYears*12,"",IF(TaxFreq="Quarterly",IF(MOD($D187,3)=0,$L187*$N187,0),IF($D187=12,$K187*$N187,0)))</f>
        <v/>
      </c>
      <c r="P187" s="35">
        <f>IF($A187&gt;NYears*12,"",IF($D187=1,$O187,$P186+$O187))</f>
        <v/>
      </c>
      <c r="Q187" s="35">
        <f>IF($A187&gt;NYears*12,"",IF($D187=12,MIN(WdrPct*IF(WdrBase="Post-tax profit",$K187-$P187,$K187),WdrCap),0))</f>
        <v/>
      </c>
      <c r="R187" s="35">
        <f>IF($A187&gt;NYears*12,"",$F187+$J187-$O187-$Q187)</f>
        <v/>
      </c>
      <c r="S187" s="33">
        <f>IF($A187&gt;NYears*12,"",INT($R187/$E187))</f>
        <v/>
      </c>
    </row>
    <row r="188">
      <c r="A188" s="33">
        <f>184</f>
        <v/>
      </c>
      <c r="B188" s="34">
        <f>IF($A188&gt;NYears*12,"",EDATE(StartMonth,$A188-1))</f>
        <v/>
      </c>
      <c r="C188" s="33">
        <f>IF($A188&gt;NYears*12,"",INT(($A188-1)/12)+1)</f>
        <v/>
      </c>
      <c r="D188" s="33">
        <f>IF($A188&gt;NYears*12,"",MOD($A188-1,12)+1)</f>
        <v/>
      </c>
      <c r="E188" s="35">
        <f>IF($A188&gt;NYears*12,"",LotValue0*(1+LotGrowth)^($C188-1))</f>
        <v/>
      </c>
      <c r="F188" s="35">
        <f>IF($A188&gt;NYears*12,"",IF($A188=1,InitInvest,$R187))</f>
        <v/>
      </c>
      <c r="G188" s="33">
        <f>IF($A188&gt;NYears*12,"",INT($F188/$E188))</f>
        <v/>
      </c>
      <c r="H188" s="35">
        <f>IF($A188&gt;NYears*12,"",$G188*$E188)</f>
        <v/>
      </c>
      <c r="I188" s="35">
        <f>IF($A188&gt;NYears*12,"",$F188-$H188)</f>
        <v/>
      </c>
      <c r="J188" s="35">
        <f>IF($A188&gt;NYears*12,"",$H188*RateD)</f>
        <v/>
      </c>
      <c r="K188" s="35">
        <f>IF($A188&gt;NYears*12,"",IF($D188=1,$J188,$K187+$J188))</f>
        <v/>
      </c>
      <c r="L188" s="35">
        <f>IF($A188&gt;NYears*12,"",IF(MOD($D188,3)=0,SUM($J186:$J188),0))</f>
        <v/>
      </c>
      <c r="M188" s="35">
        <f>IF($A188&gt;NYears*12,"",IF(TaxFreq="Quarterly",$K188*12/$D188,$K188))</f>
        <v/>
      </c>
      <c r="N188" s="36">
        <f>IF($A188&gt;NYears*12,"",LOOKUP($M188,TaxLower,TaxRate))</f>
        <v/>
      </c>
      <c r="O188" s="35">
        <f>IF($A188&gt;NYears*12,"",IF(TaxFreq="Quarterly",IF(MOD($D188,3)=0,$L188*$N188,0),IF($D188=12,$K188*$N188,0)))</f>
        <v/>
      </c>
      <c r="P188" s="35">
        <f>IF($A188&gt;NYears*12,"",IF($D188=1,$O188,$P187+$O188))</f>
        <v/>
      </c>
      <c r="Q188" s="35">
        <f>IF($A188&gt;NYears*12,"",IF($D188=12,MIN(WdrPct*IF(WdrBase="Post-tax profit",$K188-$P188,$K188),WdrCap),0))</f>
        <v/>
      </c>
      <c r="R188" s="35">
        <f>IF($A188&gt;NYears*12,"",$F188+$J188-$O188-$Q188)</f>
        <v/>
      </c>
      <c r="S188" s="33">
        <f>IF($A188&gt;NYears*12,"",INT($R188/$E188))</f>
        <v/>
      </c>
    </row>
    <row r="189">
      <c r="A189" s="33">
        <f>185</f>
        <v/>
      </c>
      <c r="B189" s="34">
        <f>IF($A189&gt;NYears*12,"",EDATE(StartMonth,$A189-1))</f>
        <v/>
      </c>
      <c r="C189" s="33">
        <f>IF($A189&gt;NYears*12,"",INT(($A189-1)/12)+1)</f>
        <v/>
      </c>
      <c r="D189" s="33">
        <f>IF($A189&gt;NYears*12,"",MOD($A189-1,12)+1)</f>
        <v/>
      </c>
      <c r="E189" s="35">
        <f>IF($A189&gt;NYears*12,"",LotValue0*(1+LotGrowth)^($C189-1))</f>
        <v/>
      </c>
      <c r="F189" s="35">
        <f>IF($A189&gt;NYears*12,"",IF($A189=1,InitInvest,$R188))</f>
        <v/>
      </c>
      <c r="G189" s="33">
        <f>IF($A189&gt;NYears*12,"",INT($F189/$E189))</f>
        <v/>
      </c>
      <c r="H189" s="35">
        <f>IF($A189&gt;NYears*12,"",$G189*$E189)</f>
        <v/>
      </c>
      <c r="I189" s="35">
        <f>IF($A189&gt;NYears*12,"",$F189-$H189)</f>
        <v/>
      </c>
      <c r="J189" s="35">
        <f>IF($A189&gt;NYears*12,"",$H189*RateD)</f>
        <v/>
      </c>
      <c r="K189" s="35">
        <f>IF($A189&gt;NYears*12,"",IF($D189=1,$J189,$K188+$J189))</f>
        <v/>
      </c>
      <c r="L189" s="35">
        <f>IF($A189&gt;NYears*12,"",IF(MOD($D189,3)=0,SUM($J187:$J189),0))</f>
        <v/>
      </c>
      <c r="M189" s="35">
        <f>IF($A189&gt;NYears*12,"",IF(TaxFreq="Quarterly",$K189*12/$D189,$K189))</f>
        <v/>
      </c>
      <c r="N189" s="36">
        <f>IF($A189&gt;NYears*12,"",LOOKUP($M189,TaxLower,TaxRate))</f>
        <v/>
      </c>
      <c r="O189" s="35">
        <f>IF($A189&gt;NYears*12,"",IF(TaxFreq="Quarterly",IF(MOD($D189,3)=0,$L189*$N189,0),IF($D189=12,$K189*$N189,0)))</f>
        <v/>
      </c>
      <c r="P189" s="35">
        <f>IF($A189&gt;NYears*12,"",IF($D189=1,$O189,$P188+$O189))</f>
        <v/>
      </c>
      <c r="Q189" s="35">
        <f>IF($A189&gt;NYears*12,"",IF($D189=12,MIN(WdrPct*IF(WdrBase="Post-tax profit",$K189-$P189,$K189),WdrCap),0))</f>
        <v/>
      </c>
      <c r="R189" s="35">
        <f>IF($A189&gt;NYears*12,"",$F189+$J189-$O189-$Q189)</f>
        <v/>
      </c>
      <c r="S189" s="33">
        <f>IF($A189&gt;NYears*12,"",INT($R189/$E189))</f>
        <v/>
      </c>
    </row>
    <row r="190">
      <c r="A190" s="33">
        <f>186</f>
        <v/>
      </c>
      <c r="B190" s="34">
        <f>IF($A190&gt;NYears*12,"",EDATE(StartMonth,$A190-1))</f>
        <v/>
      </c>
      <c r="C190" s="33">
        <f>IF($A190&gt;NYears*12,"",INT(($A190-1)/12)+1)</f>
        <v/>
      </c>
      <c r="D190" s="33">
        <f>IF($A190&gt;NYears*12,"",MOD($A190-1,12)+1)</f>
        <v/>
      </c>
      <c r="E190" s="35">
        <f>IF($A190&gt;NYears*12,"",LotValue0*(1+LotGrowth)^($C190-1))</f>
        <v/>
      </c>
      <c r="F190" s="35">
        <f>IF($A190&gt;NYears*12,"",IF($A190=1,InitInvest,$R189))</f>
        <v/>
      </c>
      <c r="G190" s="33">
        <f>IF($A190&gt;NYears*12,"",INT($F190/$E190))</f>
        <v/>
      </c>
      <c r="H190" s="35">
        <f>IF($A190&gt;NYears*12,"",$G190*$E190)</f>
        <v/>
      </c>
      <c r="I190" s="35">
        <f>IF($A190&gt;NYears*12,"",$F190-$H190)</f>
        <v/>
      </c>
      <c r="J190" s="35">
        <f>IF($A190&gt;NYears*12,"",$H190*RateD)</f>
        <v/>
      </c>
      <c r="K190" s="35">
        <f>IF($A190&gt;NYears*12,"",IF($D190=1,$J190,$K189+$J190))</f>
        <v/>
      </c>
      <c r="L190" s="35">
        <f>IF($A190&gt;NYears*12,"",IF(MOD($D190,3)=0,SUM($J188:$J190),0))</f>
        <v/>
      </c>
      <c r="M190" s="35">
        <f>IF($A190&gt;NYears*12,"",IF(TaxFreq="Quarterly",$K190*12/$D190,$K190))</f>
        <v/>
      </c>
      <c r="N190" s="36">
        <f>IF($A190&gt;NYears*12,"",LOOKUP($M190,TaxLower,TaxRate))</f>
        <v/>
      </c>
      <c r="O190" s="35">
        <f>IF($A190&gt;NYears*12,"",IF(TaxFreq="Quarterly",IF(MOD($D190,3)=0,$L190*$N190,0),IF($D190=12,$K190*$N190,0)))</f>
        <v/>
      </c>
      <c r="P190" s="35">
        <f>IF($A190&gt;NYears*12,"",IF($D190=1,$O190,$P189+$O190))</f>
        <v/>
      </c>
      <c r="Q190" s="35">
        <f>IF($A190&gt;NYears*12,"",IF($D190=12,MIN(WdrPct*IF(WdrBase="Post-tax profit",$K190-$P190,$K190),WdrCap),0))</f>
        <v/>
      </c>
      <c r="R190" s="35">
        <f>IF($A190&gt;NYears*12,"",$F190+$J190-$O190-$Q190)</f>
        <v/>
      </c>
      <c r="S190" s="33">
        <f>IF($A190&gt;NYears*12,"",INT($R190/$E190))</f>
        <v/>
      </c>
    </row>
    <row r="191">
      <c r="A191" s="33">
        <f>187</f>
        <v/>
      </c>
      <c r="B191" s="34">
        <f>IF($A191&gt;NYears*12,"",EDATE(StartMonth,$A191-1))</f>
        <v/>
      </c>
      <c r="C191" s="33">
        <f>IF($A191&gt;NYears*12,"",INT(($A191-1)/12)+1)</f>
        <v/>
      </c>
      <c r="D191" s="33">
        <f>IF($A191&gt;NYears*12,"",MOD($A191-1,12)+1)</f>
        <v/>
      </c>
      <c r="E191" s="35">
        <f>IF($A191&gt;NYears*12,"",LotValue0*(1+LotGrowth)^($C191-1))</f>
        <v/>
      </c>
      <c r="F191" s="35">
        <f>IF($A191&gt;NYears*12,"",IF($A191=1,InitInvest,$R190))</f>
        <v/>
      </c>
      <c r="G191" s="33">
        <f>IF($A191&gt;NYears*12,"",INT($F191/$E191))</f>
        <v/>
      </c>
      <c r="H191" s="35">
        <f>IF($A191&gt;NYears*12,"",$G191*$E191)</f>
        <v/>
      </c>
      <c r="I191" s="35">
        <f>IF($A191&gt;NYears*12,"",$F191-$H191)</f>
        <v/>
      </c>
      <c r="J191" s="35">
        <f>IF($A191&gt;NYears*12,"",$H191*RateD)</f>
        <v/>
      </c>
      <c r="K191" s="35">
        <f>IF($A191&gt;NYears*12,"",IF($D191=1,$J191,$K190+$J191))</f>
        <v/>
      </c>
      <c r="L191" s="35">
        <f>IF($A191&gt;NYears*12,"",IF(MOD($D191,3)=0,SUM($J189:$J191),0))</f>
        <v/>
      </c>
      <c r="M191" s="35">
        <f>IF($A191&gt;NYears*12,"",IF(TaxFreq="Quarterly",$K191*12/$D191,$K191))</f>
        <v/>
      </c>
      <c r="N191" s="36">
        <f>IF($A191&gt;NYears*12,"",LOOKUP($M191,TaxLower,TaxRate))</f>
        <v/>
      </c>
      <c r="O191" s="35">
        <f>IF($A191&gt;NYears*12,"",IF(TaxFreq="Quarterly",IF(MOD($D191,3)=0,$L191*$N191,0),IF($D191=12,$K191*$N191,0)))</f>
        <v/>
      </c>
      <c r="P191" s="35">
        <f>IF($A191&gt;NYears*12,"",IF($D191=1,$O191,$P190+$O191))</f>
        <v/>
      </c>
      <c r="Q191" s="35">
        <f>IF($A191&gt;NYears*12,"",IF($D191=12,MIN(WdrPct*IF(WdrBase="Post-tax profit",$K191-$P191,$K191),WdrCap),0))</f>
        <v/>
      </c>
      <c r="R191" s="35">
        <f>IF($A191&gt;NYears*12,"",$F191+$J191-$O191-$Q191)</f>
        <v/>
      </c>
      <c r="S191" s="33">
        <f>IF($A191&gt;NYears*12,"",INT($R191/$E191))</f>
        <v/>
      </c>
    </row>
    <row r="192">
      <c r="A192" s="33">
        <f>188</f>
        <v/>
      </c>
      <c r="B192" s="34">
        <f>IF($A192&gt;NYears*12,"",EDATE(StartMonth,$A192-1))</f>
        <v/>
      </c>
      <c r="C192" s="33">
        <f>IF($A192&gt;NYears*12,"",INT(($A192-1)/12)+1)</f>
        <v/>
      </c>
      <c r="D192" s="33">
        <f>IF($A192&gt;NYears*12,"",MOD($A192-1,12)+1)</f>
        <v/>
      </c>
      <c r="E192" s="35">
        <f>IF($A192&gt;NYears*12,"",LotValue0*(1+LotGrowth)^($C192-1))</f>
        <v/>
      </c>
      <c r="F192" s="35">
        <f>IF($A192&gt;NYears*12,"",IF($A192=1,InitInvest,$R191))</f>
        <v/>
      </c>
      <c r="G192" s="33">
        <f>IF($A192&gt;NYears*12,"",INT($F192/$E192))</f>
        <v/>
      </c>
      <c r="H192" s="35">
        <f>IF($A192&gt;NYears*12,"",$G192*$E192)</f>
        <v/>
      </c>
      <c r="I192" s="35">
        <f>IF($A192&gt;NYears*12,"",$F192-$H192)</f>
        <v/>
      </c>
      <c r="J192" s="35">
        <f>IF($A192&gt;NYears*12,"",$H192*RateD)</f>
        <v/>
      </c>
      <c r="K192" s="35">
        <f>IF($A192&gt;NYears*12,"",IF($D192=1,$J192,$K191+$J192))</f>
        <v/>
      </c>
      <c r="L192" s="35">
        <f>IF($A192&gt;NYears*12,"",IF(MOD($D192,3)=0,SUM($J190:$J192),0))</f>
        <v/>
      </c>
      <c r="M192" s="35">
        <f>IF($A192&gt;NYears*12,"",IF(TaxFreq="Quarterly",$K192*12/$D192,$K192))</f>
        <v/>
      </c>
      <c r="N192" s="36">
        <f>IF($A192&gt;NYears*12,"",LOOKUP($M192,TaxLower,TaxRate))</f>
        <v/>
      </c>
      <c r="O192" s="35">
        <f>IF($A192&gt;NYears*12,"",IF(TaxFreq="Quarterly",IF(MOD($D192,3)=0,$L192*$N192,0),IF($D192=12,$K192*$N192,0)))</f>
        <v/>
      </c>
      <c r="P192" s="35">
        <f>IF($A192&gt;NYears*12,"",IF($D192=1,$O192,$P191+$O192))</f>
        <v/>
      </c>
      <c r="Q192" s="35">
        <f>IF($A192&gt;NYears*12,"",IF($D192=12,MIN(WdrPct*IF(WdrBase="Post-tax profit",$K192-$P192,$K192),WdrCap),0))</f>
        <v/>
      </c>
      <c r="R192" s="35">
        <f>IF($A192&gt;NYears*12,"",$F192+$J192-$O192-$Q192)</f>
        <v/>
      </c>
      <c r="S192" s="33">
        <f>IF($A192&gt;NYears*12,"",INT($R192/$E192))</f>
        <v/>
      </c>
    </row>
    <row r="193">
      <c r="A193" s="33">
        <f>189</f>
        <v/>
      </c>
      <c r="B193" s="34">
        <f>IF($A193&gt;NYears*12,"",EDATE(StartMonth,$A193-1))</f>
        <v/>
      </c>
      <c r="C193" s="33">
        <f>IF($A193&gt;NYears*12,"",INT(($A193-1)/12)+1)</f>
        <v/>
      </c>
      <c r="D193" s="33">
        <f>IF($A193&gt;NYears*12,"",MOD($A193-1,12)+1)</f>
        <v/>
      </c>
      <c r="E193" s="35">
        <f>IF($A193&gt;NYears*12,"",LotValue0*(1+LotGrowth)^($C193-1))</f>
        <v/>
      </c>
      <c r="F193" s="35">
        <f>IF($A193&gt;NYears*12,"",IF($A193=1,InitInvest,$R192))</f>
        <v/>
      </c>
      <c r="G193" s="33">
        <f>IF($A193&gt;NYears*12,"",INT($F193/$E193))</f>
        <v/>
      </c>
      <c r="H193" s="35">
        <f>IF($A193&gt;NYears*12,"",$G193*$E193)</f>
        <v/>
      </c>
      <c r="I193" s="35">
        <f>IF($A193&gt;NYears*12,"",$F193-$H193)</f>
        <v/>
      </c>
      <c r="J193" s="35">
        <f>IF($A193&gt;NYears*12,"",$H193*RateD)</f>
        <v/>
      </c>
      <c r="K193" s="35">
        <f>IF($A193&gt;NYears*12,"",IF($D193=1,$J193,$K192+$J193))</f>
        <v/>
      </c>
      <c r="L193" s="35">
        <f>IF($A193&gt;NYears*12,"",IF(MOD($D193,3)=0,SUM($J191:$J193),0))</f>
        <v/>
      </c>
      <c r="M193" s="35">
        <f>IF($A193&gt;NYears*12,"",IF(TaxFreq="Quarterly",$K193*12/$D193,$K193))</f>
        <v/>
      </c>
      <c r="N193" s="36">
        <f>IF($A193&gt;NYears*12,"",LOOKUP($M193,TaxLower,TaxRate))</f>
        <v/>
      </c>
      <c r="O193" s="35">
        <f>IF($A193&gt;NYears*12,"",IF(TaxFreq="Quarterly",IF(MOD($D193,3)=0,$L193*$N193,0),IF($D193=12,$K193*$N193,0)))</f>
        <v/>
      </c>
      <c r="P193" s="35">
        <f>IF($A193&gt;NYears*12,"",IF($D193=1,$O193,$P192+$O193))</f>
        <v/>
      </c>
      <c r="Q193" s="35">
        <f>IF($A193&gt;NYears*12,"",IF($D193=12,MIN(WdrPct*IF(WdrBase="Post-tax profit",$K193-$P193,$K193),WdrCap),0))</f>
        <v/>
      </c>
      <c r="R193" s="35">
        <f>IF($A193&gt;NYears*12,"",$F193+$J193-$O193-$Q193)</f>
        <v/>
      </c>
      <c r="S193" s="33">
        <f>IF($A193&gt;NYears*12,"",INT($R193/$E193))</f>
        <v/>
      </c>
    </row>
    <row r="194">
      <c r="A194" s="33">
        <f>190</f>
        <v/>
      </c>
      <c r="B194" s="34">
        <f>IF($A194&gt;NYears*12,"",EDATE(StartMonth,$A194-1))</f>
        <v/>
      </c>
      <c r="C194" s="33">
        <f>IF($A194&gt;NYears*12,"",INT(($A194-1)/12)+1)</f>
        <v/>
      </c>
      <c r="D194" s="33">
        <f>IF($A194&gt;NYears*12,"",MOD($A194-1,12)+1)</f>
        <v/>
      </c>
      <c r="E194" s="35">
        <f>IF($A194&gt;NYears*12,"",LotValue0*(1+LotGrowth)^($C194-1))</f>
        <v/>
      </c>
      <c r="F194" s="35">
        <f>IF($A194&gt;NYears*12,"",IF($A194=1,InitInvest,$R193))</f>
        <v/>
      </c>
      <c r="G194" s="33">
        <f>IF($A194&gt;NYears*12,"",INT($F194/$E194))</f>
        <v/>
      </c>
      <c r="H194" s="35">
        <f>IF($A194&gt;NYears*12,"",$G194*$E194)</f>
        <v/>
      </c>
      <c r="I194" s="35">
        <f>IF($A194&gt;NYears*12,"",$F194-$H194)</f>
        <v/>
      </c>
      <c r="J194" s="35">
        <f>IF($A194&gt;NYears*12,"",$H194*RateD)</f>
        <v/>
      </c>
      <c r="K194" s="35">
        <f>IF($A194&gt;NYears*12,"",IF($D194=1,$J194,$K193+$J194))</f>
        <v/>
      </c>
      <c r="L194" s="35">
        <f>IF($A194&gt;NYears*12,"",IF(MOD($D194,3)=0,SUM($J192:$J194),0))</f>
        <v/>
      </c>
      <c r="M194" s="35">
        <f>IF($A194&gt;NYears*12,"",IF(TaxFreq="Quarterly",$K194*12/$D194,$K194))</f>
        <v/>
      </c>
      <c r="N194" s="36">
        <f>IF($A194&gt;NYears*12,"",LOOKUP($M194,TaxLower,TaxRate))</f>
        <v/>
      </c>
      <c r="O194" s="35">
        <f>IF($A194&gt;NYears*12,"",IF(TaxFreq="Quarterly",IF(MOD($D194,3)=0,$L194*$N194,0),IF($D194=12,$K194*$N194,0)))</f>
        <v/>
      </c>
      <c r="P194" s="35">
        <f>IF($A194&gt;NYears*12,"",IF($D194=1,$O194,$P193+$O194))</f>
        <v/>
      </c>
      <c r="Q194" s="35">
        <f>IF($A194&gt;NYears*12,"",IF($D194=12,MIN(WdrPct*IF(WdrBase="Post-tax profit",$K194-$P194,$K194),WdrCap),0))</f>
        <v/>
      </c>
      <c r="R194" s="35">
        <f>IF($A194&gt;NYears*12,"",$F194+$J194-$O194-$Q194)</f>
        <v/>
      </c>
      <c r="S194" s="33">
        <f>IF($A194&gt;NYears*12,"",INT($R194/$E194))</f>
        <v/>
      </c>
    </row>
    <row r="195">
      <c r="A195" s="33">
        <f>191</f>
        <v/>
      </c>
      <c r="B195" s="34">
        <f>IF($A195&gt;NYears*12,"",EDATE(StartMonth,$A195-1))</f>
        <v/>
      </c>
      <c r="C195" s="33">
        <f>IF($A195&gt;NYears*12,"",INT(($A195-1)/12)+1)</f>
        <v/>
      </c>
      <c r="D195" s="33">
        <f>IF($A195&gt;NYears*12,"",MOD($A195-1,12)+1)</f>
        <v/>
      </c>
      <c r="E195" s="35">
        <f>IF($A195&gt;NYears*12,"",LotValue0*(1+LotGrowth)^($C195-1))</f>
        <v/>
      </c>
      <c r="F195" s="35">
        <f>IF($A195&gt;NYears*12,"",IF($A195=1,InitInvest,$R194))</f>
        <v/>
      </c>
      <c r="G195" s="33">
        <f>IF($A195&gt;NYears*12,"",INT($F195/$E195))</f>
        <v/>
      </c>
      <c r="H195" s="35">
        <f>IF($A195&gt;NYears*12,"",$G195*$E195)</f>
        <v/>
      </c>
      <c r="I195" s="35">
        <f>IF($A195&gt;NYears*12,"",$F195-$H195)</f>
        <v/>
      </c>
      <c r="J195" s="35">
        <f>IF($A195&gt;NYears*12,"",$H195*RateD)</f>
        <v/>
      </c>
      <c r="K195" s="35">
        <f>IF($A195&gt;NYears*12,"",IF($D195=1,$J195,$K194+$J195))</f>
        <v/>
      </c>
      <c r="L195" s="35">
        <f>IF($A195&gt;NYears*12,"",IF(MOD($D195,3)=0,SUM($J193:$J195),0))</f>
        <v/>
      </c>
      <c r="M195" s="35">
        <f>IF($A195&gt;NYears*12,"",IF(TaxFreq="Quarterly",$K195*12/$D195,$K195))</f>
        <v/>
      </c>
      <c r="N195" s="36">
        <f>IF($A195&gt;NYears*12,"",LOOKUP($M195,TaxLower,TaxRate))</f>
        <v/>
      </c>
      <c r="O195" s="35">
        <f>IF($A195&gt;NYears*12,"",IF(TaxFreq="Quarterly",IF(MOD($D195,3)=0,$L195*$N195,0),IF($D195=12,$K195*$N195,0)))</f>
        <v/>
      </c>
      <c r="P195" s="35">
        <f>IF($A195&gt;NYears*12,"",IF($D195=1,$O195,$P194+$O195))</f>
        <v/>
      </c>
      <c r="Q195" s="35">
        <f>IF($A195&gt;NYears*12,"",IF($D195=12,MIN(WdrPct*IF(WdrBase="Post-tax profit",$K195-$P195,$K195),WdrCap),0))</f>
        <v/>
      </c>
      <c r="R195" s="35">
        <f>IF($A195&gt;NYears*12,"",$F195+$J195-$O195-$Q195)</f>
        <v/>
      </c>
      <c r="S195" s="33">
        <f>IF($A195&gt;NYears*12,"",INT($R195/$E195))</f>
        <v/>
      </c>
    </row>
    <row r="196">
      <c r="A196" s="37">
        <f>192</f>
        <v/>
      </c>
      <c r="B196" s="38">
        <f>IF($A196&gt;NYears*12,"",EDATE(StartMonth,$A196-1))</f>
        <v/>
      </c>
      <c r="C196" s="37">
        <f>IF($A196&gt;NYears*12,"",INT(($A196-1)/12)+1)</f>
        <v/>
      </c>
      <c r="D196" s="37">
        <f>IF($A196&gt;NYears*12,"",MOD($A196-1,12)+1)</f>
        <v/>
      </c>
      <c r="E196" s="39">
        <f>IF($A196&gt;NYears*12,"",LotValue0*(1+LotGrowth)^($C196-1))</f>
        <v/>
      </c>
      <c r="F196" s="39">
        <f>IF($A196&gt;NYears*12,"",IF($A196=1,InitInvest,$R195))</f>
        <v/>
      </c>
      <c r="G196" s="37">
        <f>IF($A196&gt;NYears*12,"",INT($F196/$E196))</f>
        <v/>
      </c>
      <c r="H196" s="39">
        <f>IF($A196&gt;NYears*12,"",$G196*$E196)</f>
        <v/>
      </c>
      <c r="I196" s="39">
        <f>IF($A196&gt;NYears*12,"",$F196-$H196)</f>
        <v/>
      </c>
      <c r="J196" s="39">
        <f>IF($A196&gt;NYears*12,"",$H196*RateD)</f>
        <v/>
      </c>
      <c r="K196" s="39">
        <f>IF($A196&gt;NYears*12,"",IF($D196=1,$J196,$K195+$J196))</f>
        <v/>
      </c>
      <c r="L196" s="39">
        <f>IF($A196&gt;NYears*12,"",IF(MOD($D196,3)=0,SUM($J194:$J196),0))</f>
        <v/>
      </c>
      <c r="M196" s="39">
        <f>IF($A196&gt;NYears*12,"",IF(TaxFreq="Quarterly",$K196*12/$D196,$K196))</f>
        <v/>
      </c>
      <c r="N196" s="40">
        <f>IF($A196&gt;NYears*12,"",LOOKUP($M196,TaxLower,TaxRate))</f>
        <v/>
      </c>
      <c r="O196" s="39">
        <f>IF($A196&gt;NYears*12,"",IF(TaxFreq="Quarterly",IF(MOD($D196,3)=0,$L196*$N196,0),IF($D196=12,$K196*$N196,0)))</f>
        <v/>
      </c>
      <c r="P196" s="39">
        <f>IF($A196&gt;NYears*12,"",IF($D196=1,$O196,$P195+$O196))</f>
        <v/>
      </c>
      <c r="Q196" s="39">
        <f>IF($A196&gt;NYears*12,"",IF($D196=12,MIN(WdrPct*IF(WdrBase="Post-tax profit",$K196-$P196,$K196),WdrCap),0))</f>
        <v/>
      </c>
      <c r="R196" s="39">
        <f>IF($A196&gt;NYears*12,"",$F196+$J196-$O196-$Q196)</f>
        <v/>
      </c>
      <c r="S196" s="37">
        <f>IF($A196&gt;NYears*12,"",INT($R196/$E196))</f>
        <v/>
      </c>
    </row>
    <row r="197">
      <c r="A197" s="33">
        <f>193</f>
        <v/>
      </c>
      <c r="B197" s="34">
        <f>IF($A197&gt;NYears*12,"",EDATE(StartMonth,$A197-1))</f>
        <v/>
      </c>
      <c r="C197" s="33">
        <f>IF($A197&gt;NYears*12,"",INT(($A197-1)/12)+1)</f>
        <v/>
      </c>
      <c r="D197" s="33">
        <f>IF($A197&gt;NYears*12,"",MOD($A197-1,12)+1)</f>
        <v/>
      </c>
      <c r="E197" s="35">
        <f>IF($A197&gt;NYears*12,"",LotValue0*(1+LotGrowth)^($C197-1))</f>
        <v/>
      </c>
      <c r="F197" s="35">
        <f>IF($A197&gt;NYears*12,"",IF($A197=1,InitInvest,$R196))</f>
        <v/>
      </c>
      <c r="G197" s="33">
        <f>IF($A197&gt;NYears*12,"",INT($F197/$E197))</f>
        <v/>
      </c>
      <c r="H197" s="35">
        <f>IF($A197&gt;NYears*12,"",$G197*$E197)</f>
        <v/>
      </c>
      <c r="I197" s="35">
        <f>IF($A197&gt;NYears*12,"",$F197-$H197)</f>
        <v/>
      </c>
      <c r="J197" s="35">
        <f>IF($A197&gt;NYears*12,"",$H197*RateD)</f>
        <v/>
      </c>
      <c r="K197" s="35">
        <f>IF($A197&gt;NYears*12,"",IF($D197=1,$J197,$K196+$J197))</f>
        <v/>
      </c>
      <c r="L197" s="35">
        <f>IF($A197&gt;NYears*12,"",IF(MOD($D197,3)=0,SUM($J195:$J197),0))</f>
        <v/>
      </c>
      <c r="M197" s="35">
        <f>IF($A197&gt;NYears*12,"",IF(TaxFreq="Quarterly",$K197*12/$D197,$K197))</f>
        <v/>
      </c>
      <c r="N197" s="36">
        <f>IF($A197&gt;NYears*12,"",LOOKUP($M197,TaxLower,TaxRate))</f>
        <v/>
      </c>
      <c r="O197" s="35">
        <f>IF($A197&gt;NYears*12,"",IF(TaxFreq="Quarterly",IF(MOD($D197,3)=0,$L197*$N197,0),IF($D197=12,$K197*$N197,0)))</f>
        <v/>
      </c>
      <c r="P197" s="35">
        <f>IF($A197&gt;NYears*12,"",IF($D197=1,$O197,$P196+$O197))</f>
        <v/>
      </c>
      <c r="Q197" s="35">
        <f>IF($A197&gt;NYears*12,"",IF($D197=12,MIN(WdrPct*IF(WdrBase="Post-tax profit",$K197-$P197,$K197),WdrCap),0))</f>
        <v/>
      </c>
      <c r="R197" s="35">
        <f>IF($A197&gt;NYears*12,"",$F197+$J197-$O197-$Q197)</f>
        <v/>
      </c>
      <c r="S197" s="33">
        <f>IF($A197&gt;NYears*12,"",INT($R197/$E197))</f>
        <v/>
      </c>
    </row>
    <row r="198">
      <c r="A198" s="33">
        <f>194</f>
        <v/>
      </c>
      <c r="B198" s="34">
        <f>IF($A198&gt;NYears*12,"",EDATE(StartMonth,$A198-1))</f>
        <v/>
      </c>
      <c r="C198" s="33">
        <f>IF($A198&gt;NYears*12,"",INT(($A198-1)/12)+1)</f>
        <v/>
      </c>
      <c r="D198" s="33">
        <f>IF($A198&gt;NYears*12,"",MOD($A198-1,12)+1)</f>
        <v/>
      </c>
      <c r="E198" s="35">
        <f>IF($A198&gt;NYears*12,"",LotValue0*(1+LotGrowth)^($C198-1))</f>
        <v/>
      </c>
      <c r="F198" s="35">
        <f>IF($A198&gt;NYears*12,"",IF($A198=1,InitInvest,$R197))</f>
        <v/>
      </c>
      <c r="G198" s="33">
        <f>IF($A198&gt;NYears*12,"",INT($F198/$E198))</f>
        <v/>
      </c>
      <c r="H198" s="35">
        <f>IF($A198&gt;NYears*12,"",$G198*$E198)</f>
        <v/>
      </c>
      <c r="I198" s="35">
        <f>IF($A198&gt;NYears*12,"",$F198-$H198)</f>
        <v/>
      </c>
      <c r="J198" s="35">
        <f>IF($A198&gt;NYears*12,"",$H198*RateD)</f>
        <v/>
      </c>
      <c r="K198" s="35">
        <f>IF($A198&gt;NYears*12,"",IF($D198=1,$J198,$K197+$J198))</f>
        <v/>
      </c>
      <c r="L198" s="35">
        <f>IF($A198&gt;NYears*12,"",IF(MOD($D198,3)=0,SUM($J196:$J198),0))</f>
        <v/>
      </c>
      <c r="M198" s="35">
        <f>IF($A198&gt;NYears*12,"",IF(TaxFreq="Quarterly",$K198*12/$D198,$K198))</f>
        <v/>
      </c>
      <c r="N198" s="36">
        <f>IF($A198&gt;NYears*12,"",LOOKUP($M198,TaxLower,TaxRate))</f>
        <v/>
      </c>
      <c r="O198" s="35">
        <f>IF($A198&gt;NYears*12,"",IF(TaxFreq="Quarterly",IF(MOD($D198,3)=0,$L198*$N198,0),IF($D198=12,$K198*$N198,0)))</f>
        <v/>
      </c>
      <c r="P198" s="35">
        <f>IF($A198&gt;NYears*12,"",IF($D198=1,$O198,$P197+$O198))</f>
        <v/>
      </c>
      <c r="Q198" s="35">
        <f>IF($A198&gt;NYears*12,"",IF($D198=12,MIN(WdrPct*IF(WdrBase="Post-tax profit",$K198-$P198,$K198),WdrCap),0))</f>
        <v/>
      </c>
      <c r="R198" s="35">
        <f>IF($A198&gt;NYears*12,"",$F198+$J198-$O198-$Q198)</f>
        <v/>
      </c>
      <c r="S198" s="33">
        <f>IF($A198&gt;NYears*12,"",INT($R198/$E198))</f>
        <v/>
      </c>
    </row>
    <row r="199">
      <c r="A199" s="33">
        <f>195</f>
        <v/>
      </c>
      <c r="B199" s="34">
        <f>IF($A199&gt;NYears*12,"",EDATE(StartMonth,$A199-1))</f>
        <v/>
      </c>
      <c r="C199" s="33">
        <f>IF($A199&gt;NYears*12,"",INT(($A199-1)/12)+1)</f>
        <v/>
      </c>
      <c r="D199" s="33">
        <f>IF($A199&gt;NYears*12,"",MOD($A199-1,12)+1)</f>
        <v/>
      </c>
      <c r="E199" s="35">
        <f>IF($A199&gt;NYears*12,"",LotValue0*(1+LotGrowth)^($C199-1))</f>
        <v/>
      </c>
      <c r="F199" s="35">
        <f>IF($A199&gt;NYears*12,"",IF($A199=1,InitInvest,$R198))</f>
        <v/>
      </c>
      <c r="G199" s="33">
        <f>IF($A199&gt;NYears*12,"",INT($F199/$E199))</f>
        <v/>
      </c>
      <c r="H199" s="35">
        <f>IF($A199&gt;NYears*12,"",$G199*$E199)</f>
        <v/>
      </c>
      <c r="I199" s="35">
        <f>IF($A199&gt;NYears*12,"",$F199-$H199)</f>
        <v/>
      </c>
      <c r="J199" s="35">
        <f>IF($A199&gt;NYears*12,"",$H199*RateD)</f>
        <v/>
      </c>
      <c r="K199" s="35">
        <f>IF($A199&gt;NYears*12,"",IF($D199=1,$J199,$K198+$J199))</f>
        <v/>
      </c>
      <c r="L199" s="35">
        <f>IF($A199&gt;NYears*12,"",IF(MOD($D199,3)=0,SUM($J197:$J199),0))</f>
        <v/>
      </c>
      <c r="M199" s="35">
        <f>IF($A199&gt;NYears*12,"",IF(TaxFreq="Quarterly",$K199*12/$D199,$K199))</f>
        <v/>
      </c>
      <c r="N199" s="36">
        <f>IF($A199&gt;NYears*12,"",LOOKUP($M199,TaxLower,TaxRate))</f>
        <v/>
      </c>
      <c r="O199" s="35">
        <f>IF($A199&gt;NYears*12,"",IF(TaxFreq="Quarterly",IF(MOD($D199,3)=0,$L199*$N199,0),IF($D199=12,$K199*$N199,0)))</f>
        <v/>
      </c>
      <c r="P199" s="35">
        <f>IF($A199&gt;NYears*12,"",IF($D199=1,$O199,$P198+$O199))</f>
        <v/>
      </c>
      <c r="Q199" s="35">
        <f>IF($A199&gt;NYears*12,"",IF($D199=12,MIN(WdrPct*IF(WdrBase="Post-tax profit",$K199-$P199,$K199),WdrCap),0))</f>
        <v/>
      </c>
      <c r="R199" s="35">
        <f>IF($A199&gt;NYears*12,"",$F199+$J199-$O199-$Q199)</f>
        <v/>
      </c>
      <c r="S199" s="33">
        <f>IF($A199&gt;NYears*12,"",INT($R199/$E199))</f>
        <v/>
      </c>
    </row>
    <row r="200">
      <c r="A200" s="33">
        <f>196</f>
        <v/>
      </c>
      <c r="B200" s="34">
        <f>IF($A200&gt;NYears*12,"",EDATE(StartMonth,$A200-1))</f>
        <v/>
      </c>
      <c r="C200" s="33">
        <f>IF($A200&gt;NYears*12,"",INT(($A200-1)/12)+1)</f>
        <v/>
      </c>
      <c r="D200" s="33">
        <f>IF($A200&gt;NYears*12,"",MOD($A200-1,12)+1)</f>
        <v/>
      </c>
      <c r="E200" s="35">
        <f>IF($A200&gt;NYears*12,"",LotValue0*(1+LotGrowth)^($C200-1))</f>
        <v/>
      </c>
      <c r="F200" s="35">
        <f>IF($A200&gt;NYears*12,"",IF($A200=1,InitInvest,$R199))</f>
        <v/>
      </c>
      <c r="G200" s="33">
        <f>IF($A200&gt;NYears*12,"",INT($F200/$E200))</f>
        <v/>
      </c>
      <c r="H200" s="35">
        <f>IF($A200&gt;NYears*12,"",$G200*$E200)</f>
        <v/>
      </c>
      <c r="I200" s="35">
        <f>IF($A200&gt;NYears*12,"",$F200-$H200)</f>
        <v/>
      </c>
      <c r="J200" s="35">
        <f>IF($A200&gt;NYears*12,"",$H200*RateD)</f>
        <v/>
      </c>
      <c r="K200" s="35">
        <f>IF($A200&gt;NYears*12,"",IF($D200=1,$J200,$K199+$J200))</f>
        <v/>
      </c>
      <c r="L200" s="35">
        <f>IF($A200&gt;NYears*12,"",IF(MOD($D200,3)=0,SUM($J198:$J200),0))</f>
        <v/>
      </c>
      <c r="M200" s="35">
        <f>IF($A200&gt;NYears*12,"",IF(TaxFreq="Quarterly",$K200*12/$D200,$K200))</f>
        <v/>
      </c>
      <c r="N200" s="36">
        <f>IF($A200&gt;NYears*12,"",LOOKUP($M200,TaxLower,TaxRate))</f>
        <v/>
      </c>
      <c r="O200" s="35">
        <f>IF($A200&gt;NYears*12,"",IF(TaxFreq="Quarterly",IF(MOD($D200,3)=0,$L200*$N200,0),IF($D200=12,$K200*$N200,0)))</f>
        <v/>
      </c>
      <c r="P200" s="35">
        <f>IF($A200&gt;NYears*12,"",IF($D200=1,$O200,$P199+$O200))</f>
        <v/>
      </c>
      <c r="Q200" s="35">
        <f>IF($A200&gt;NYears*12,"",IF($D200=12,MIN(WdrPct*IF(WdrBase="Post-tax profit",$K200-$P200,$K200),WdrCap),0))</f>
        <v/>
      </c>
      <c r="R200" s="35">
        <f>IF($A200&gt;NYears*12,"",$F200+$J200-$O200-$Q200)</f>
        <v/>
      </c>
      <c r="S200" s="33">
        <f>IF($A200&gt;NYears*12,"",INT($R200/$E200))</f>
        <v/>
      </c>
    </row>
    <row r="201">
      <c r="A201" s="33">
        <f>197</f>
        <v/>
      </c>
      <c r="B201" s="34">
        <f>IF($A201&gt;NYears*12,"",EDATE(StartMonth,$A201-1))</f>
        <v/>
      </c>
      <c r="C201" s="33">
        <f>IF($A201&gt;NYears*12,"",INT(($A201-1)/12)+1)</f>
        <v/>
      </c>
      <c r="D201" s="33">
        <f>IF($A201&gt;NYears*12,"",MOD($A201-1,12)+1)</f>
        <v/>
      </c>
      <c r="E201" s="35">
        <f>IF($A201&gt;NYears*12,"",LotValue0*(1+LotGrowth)^($C201-1))</f>
        <v/>
      </c>
      <c r="F201" s="35">
        <f>IF($A201&gt;NYears*12,"",IF($A201=1,InitInvest,$R200))</f>
        <v/>
      </c>
      <c r="G201" s="33">
        <f>IF($A201&gt;NYears*12,"",INT($F201/$E201))</f>
        <v/>
      </c>
      <c r="H201" s="35">
        <f>IF($A201&gt;NYears*12,"",$G201*$E201)</f>
        <v/>
      </c>
      <c r="I201" s="35">
        <f>IF($A201&gt;NYears*12,"",$F201-$H201)</f>
        <v/>
      </c>
      <c r="J201" s="35">
        <f>IF($A201&gt;NYears*12,"",$H201*RateD)</f>
        <v/>
      </c>
      <c r="K201" s="35">
        <f>IF($A201&gt;NYears*12,"",IF($D201=1,$J201,$K200+$J201))</f>
        <v/>
      </c>
      <c r="L201" s="35">
        <f>IF($A201&gt;NYears*12,"",IF(MOD($D201,3)=0,SUM($J199:$J201),0))</f>
        <v/>
      </c>
      <c r="M201" s="35">
        <f>IF($A201&gt;NYears*12,"",IF(TaxFreq="Quarterly",$K201*12/$D201,$K201))</f>
        <v/>
      </c>
      <c r="N201" s="36">
        <f>IF($A201&gt;NYears*12,"",LOOKUP($M201,TaxLower,TaxRate))</f>
        <v/>
      </c>
      <c r="O201" s="35">
        <f>IF($A201&gt;NYears*12,"",IF(TaxFreq="Quarterly",IF(MOD($D201,3)=0,$L201*$N201,0),IF($D201=12,$K201*$N201,0)))</f>
        <v/>
      </c>
      <c r="P201" s="35">
        <f>IF($A201&gt;NYears*12,"",IF($D201=1,$O201,$P200+$O201))</f>
        <v/>
      </c>
      <c r="Q201" s="35">
        <f>IF($A201&gt;NYears*12,"",IF($D201=12,MIN(WdrPct*IF(WdrBase="Post-tax profit",$K201-$P201,$K201),WdrCap),0))</f>
        <v/>
      </c>
      <c r="R201" s="35">
        <f>IF($A201&gt;NYears*12,"",$F201+$J201-$O201-$Q201)</f>
        <v/>
      </c>
      <c r="S201" s="33">
        <f>IF($A201&gt;NYears*12,"",INT($R201/$E201))</f>
        <v/>
      </c>
    </row>
    <row r="202">
      <c r="A202" s="33">
        <f>198</f>
        <v/>
      </c>
      <c r="B202" s="34">
        <f>IF($A202&gt;NYears*12,"",EDATE(StartMonth,$A202-1))</f>
        <v/>
      </c>
      <c r="C202" s="33">
        <f>IF($A202&gt;NYears*12,"",INT(($A202-1)/12)+1)</f>
        <v/>
      </c>
      <c r="D202" s="33">
        <f>IF($A202&gt;NYears*12,"",MOD($A202-1,12)+1)</f>
        <v/>
      </c>
      <c r="E202" s="35">
        <f>IF($A202&gt;NYears*12,"",LotValue0*(1+LotGrowth)^($C202-1))</f>
        <v/>
      </c>
      <c r="F202" s="35">
        <f>IF($A202&gt;NYears*12,"",IF($A202=1,InitInvest,$R201))</f>
        <v/>
      </c>
      <c r="G202" s="33">
        <f>IF($A202&gt;NYears*12,"",INT($F202/$E202))</f>
        <v/>
      </c>
      <c r="H202" s="35">
        <f>IF($A202&gt;NYears*12,"",$G202*$E202)</f>
        <v/>
      </c>
      <c r="I202" s="35">
        <f>IF($A202&gt;NYears*12,"",$F202-$H202)</f>
        <v/>
      </c>
      <c r="J202" s="35">
        <f>IF($A202&gt;NYears*12,"",$H202*RateD)</f>
        <v/>
      </c>
      <c r="K202" s="35">
        <f>IF($A202&gt;NYears*12,"",IF($D202=1,$J202,$K201+$J202))</f>
        <v/>
      </c>
      <c r="L202" s="35">
        <f>IF($A202&gt;NYears*12,"",IF(MOD($D202,3)=0,SUM($J200:$J202),0))</f>
        <v/>
      </c>
      <c r="M202" s="35">
        <f>IF($A202&gt;NYears*12,"",IF(TaxFreq="Quarterly",$K202*12/$D202,$K202))</f>
        <v/>
      </c>
      <c r="N202" s="36">
        <f>IF($A202&gt;NYears*12,"",LOOKUP($M202,TaxLower,TaxRate))</f>
        <v/>
      </c>
      <c r="O202" s="35">
        <f>IF($A202&gt;NYears*12,"",IF(TaxFreq="Quarterly",IF(MOD($D202,3)=0,$L202*$N202,0),IF($D202=12,$K202*$N202,0)))</f>
        <v/>
      </c>
      <c r="P202" s="35">
        <f>IF($A202&gt;NYears*12,"",IF($D202=1,$O202,$P201+$O202))</f>
        <v/>
      </c>
      <c r="Q202" s="35">
        <f>IF($A202&gt;NYears*12,"",IF($D202=12,MIN(WdrPct*IF(WdrBase="Post-tax profit",$K202-$P202,$K202),WdrCap),0))</f>
        <v/>
      </c>
      <c r="R202" s="35">
        <f>IF($A202&gt;NYears*12,"",$F202+$J202-$O202-$Q202)</f>
        <v/>
      </c>
      <c r="S202" s="33">
        <f>IF($A202&gt;NYears*12,"",INT($R202/$E202))</f>
        <v/>
      </c>
    </row>
    <row r="203">
      <c r="A203" s="33">
        <f>199</f>
        <v/>
      </c>
      <c r="B203" s="34">
        <f>IF($A203&gt;NYears*12,"",EDATE(StartMonth,$A203-1))</f>
        <v/>
      </c>
      <c r="C203" s="33">
        <f>IF($A203&gt;NYears*12,"",INT(($A203-1)/12)+1)</f>
        <v/>
      </c>
      <c r="D203" s="33">
        <f>IF($A203&gt;NYears*12,"",MOD($A203-1,12)+1)</f>
        <v/>
      </c>
      <c r="E203" s="35">
        <f>IF($A203&gt;NYears*12,"",LotValue0*(1+LotGrowth)^($C203-1))</f>
        <v/>
      </c>
      <c r="F203" s="35">
        <f>IF($A203&gt;NYears*12,"",IF($A203=1,InitInvest,$R202))</f>
        <v/>
      </c>
      <c r="G203" s="33">
        <f>IF($A203&gt;NYears*12,"",INT($F203/$E203))</f>
        <v/>
      </c>
      <c r="H203" s="35">
        <f>IF($A203&gt;NYears*12,"",$G203*$E203)</f>
        <v/>
      </c>
      <c r="I203" s="35">
        <f>IF($A203&gt;NYears*12,"",$F203-$H203)</f>
        <v/>
      </c>
      <c r="J203" s="35">
        <f>IF($A203&gt;NYears*12,"",$H203*RateD)</f>
        <v/>
      </c>
      <c r="K203" s="35">
        <f>IF($A203&gt;NYears*12,"",IF($D203=1,$J203,$K202+$J203))</f>
        <v/>
      </c>
      <c r="L203" s="35">
        <f>IF($A203&gt;NYears*12,"",IF(MOD($D203,3)=0,SUM($J201:$J203),0))</f>
        <v/>
      </c>
      <c r="M203" s="35">
        <f>IF($A203&gt;NYears*12,"",IF(TaxFreq="Quarterly",$K203*12/$D203,$K203))</f>
        <v/>
      </c>
      <c r="N203" s="36">
        <f>IF($A203&gt;NYears*12,"",LOOKUP($M203,TaxLower,TaxRate))</f>
        <v/>
      </c>
      <c r="O203" s="35">
        <f>IF($A203&gt;NYears*12,"",IF(TaxFreq="Quarterly",IF(MOD($D203,3)=0,$L203*$N203,0),IF($D203=12,$K203*$N203,0)))</f>
        <v/>
      </c>
      <c r="P203" s="35">
        <f>IF($A203&gt;NYears*12,"",IF($D203=1,$O203,$P202+$O203))</f>
        <v/>
      </c>
      <c r="Q203" s="35">
        <f>IF($A203&gt;NYears*12,"",IF($D203=12,MIN(WdrPct*IF(WdrBase="Post-tax profit",$K203-$P203,$K203),WdrCap),0))</f>
        <v/>
      </c>
      <c r="R203" s="35">
        <f>IF($A203&gt;NYears*12,"",$F203+$J203-$O203-$Q203)</f>
        <v/>
      </c>
      <c r="S203" s="33">
        <f>IF($A203&gt;NYears*12,"",INT($R203/$E203))</f>
        <v/>
      </c>
    </row>
    <row r="204">
      <c r="A204" s="33">
        <f>200</f>
        <v/>
      </c>
      <c r="B204" s="34">
        <f>IF($A204&gt;NYears*12,"",EDATE(StartMonth,$A204-1))</f>
        <v/>
      </c>
      <c r="C204" s="33">
        <f>IF($A204&gt;NYears*12,"",INT(($A204-1)/12)+1)</f>
        <v/>
      </c>
      <c r="D204" s="33">
        <f>IF($A204&gt;NYears*12,"",MOD($A204-1,12)+1)</f>
        <v/>
      </c>
      <c r="E204" s="35">
        <f>IF($A204&gt;NYears*12,"",LotValue0*(1+LotGrowth)^($C204-1))</f>
        <v/>
      </c>
      <c r="F204" s="35">
        <f>IF($A204&gt;NYears*12,"",IF($A204=1,InitInvest,$R203))</f>
        <v/>
      </c>
      <c r="G204" s="33">
        <f>IF($A204&gt;NYears*12,"",INT($F204/$E204))</f>
        <v/>
      </c>
      <c r="H204" s="35">
        <f>IF($A204&gt;NYears*12,"",$G204*$E204)</f>
        <v/>
      </c>
      <c r="I204" s="35">
        <f>IF($A204&gt;NYears*12,"",$F204-$H204)</f>
        <v/>
      </c>
      <c r="J204" s="35">
        <f>IF($A204&gt;NYears*12,"",$H204*RateD)</f>
        <v/>
      </c>
      <c r="K204" s="35">
        <f>IF($A204&gt;NYears*12,"",IF($D204=1,$J204,$K203+$J204))</f>
        <v/>
      </c>
      <c r="L204" s="35">
        <f>IF($A204&gt;NYears*12,"",IF(MOD($D204,3)=0,SUM($J202:$J204),0))</f>
        <v/>
      </c>
      <c r="M204" s="35">
        <f>IF($A204&gt;NYears*12,"",IF(TaxFreq="Quarterly",$K204*12/$D204,$K204))</f>
        <v/>
      </c>
      <c r="N204" s="36">
        <f>IF($A204&gt;NYears*12,"",LOOKUP($M204,TaxLower,TaxRate))</f>
        <v/>
      </c>
      <c r="O204" s="35">
        <f>IF($A204&gt;NYears*12,"",IF(TaxFreq="Quarterly",IF(MOD($D204,3)=0,$L204*$N204,0),IF($D204=12,$K204*$N204,0)))</f>
        <v/>
      </c>
      <c r="P204" s="35">
        <f>IF($A204&gt;NYears*12,"",IF($D204=1,$O204,$P203+$O204))</f>
        <v/>
      </c>
      <c r="Q204" s="35">
        <f>IF($A204&gt;NYears*12,"",IF($D204=12,MIN(WdrPct*IF(WdrBase="Post-tax profit",$K204-$P204,$K204),WdrCap),0))</f>
        <v/>
      </c>
      <c r="R204" s="35">
        <f>IF($A204&gt;NYears*12,"",$F204+$J204-$O204-$Q204)</f>
        <v/>
      </c>
      <c r="S204" s="33">
        <f>IF($A204&gt;NYears*12,"",INT($R204/$E204))</f>
        <v/>
      </c>
    </row>
    <row r="205">
      <c r="A205" s="33">
        <f>201</f>
        <v/>
      </c>
      <c r="B205" s="34">
        <f>IF($A205&gt;NYears*12,"",EDATE(StartMonth,$A205-1))</f>
        <v/>
      </c>
      <c r="C205" s="33">
        <f>IF($A205&gt;NYears*12,"",INT(($A205-1)/12)+1)</f>
        <v/>
      </c>
      <c r="D205" s="33">
        <f>IF($A205&gt;NYears*12,"",MOD($A205-1,12)+1)</f>
        <v/>
      </c>
      <c r="E205" s="35">
        <f>IF($A205&gt;NYears*12,"",LotValue0*(1+LotGrowth)^($C205-1))</f>
        <v/>
      </c>
      <c r="F205" s="35">
        <f>IF($A205&gt;NYears*12,"",IF($A205=1,InitInvest,$R204))</f>
        <v/>
      </c>
      <c r="G205" s="33">
        <f>IF($A205&gt;NYears*12,"",INT($F205/$E205))</f>
        <v/>
      </c>
      <c r="H205" s="35">
        <f>IF($A205&gt;NYears*12,"",$G205*$E205)</f>
        <v/>
      </c>
      <c r="I205" s="35">
        <f>IF($A205&gt;NYears*12,"",$F205-$H205)</f>
        <v/>
      </c>
      <c r="J205" s="35">
        <f>IF($A205&gt;NYears*12,"",$H205*RateD)</f>
        <v/>
      </c>
      <c r="K205" s="35">
        <f>IF($A205&gt;NYears*12,"",IF($D205=1,$J205,$K204+$J205))</f>
        <v/>
      </c>
      <c r="L205" s="35">
        <f>IF($A205&gt;NYears*12,"",IF(MOD($D205,3)=0,SUM($J203:$J205),0))</f>
        <v/>
      </c>
      <c r="M205" s="35">
        <f>IF($A205&gt;NYears*12,"",IF(TaxFreq="Quarterly",$K205*12/$D205,$K205))</f>
        <v/>
      </c>
      <c r="N205" s="36">
        <f>IF($A205&gt;NYears*12,"",LOOKUP($M205,TaxLower,TaxRate))</f>
        <v/>
      </c>
      <c r="O205" s="35">
        <f>IF($A205&gt;NYears*12,"",IF(TaxFreq="Quarterly",IF(MOD($D205,3)=0,$L205*$N205,0),IF($D205=12,$K205*$N205,0)))</f>
        <v/>
      </c>
      <c r="P205" s="35">
        <f>IF($A205&gt;NYears*12,"",IF($D205=1,$O205,$P204+$O205))</f>
        <v/>
      </c>
      <c r="Q205" s="35">
        <f>IF($A205&gt;NYears*12,"",IF($D205=12,MIN(WdrPct*IF(WdrBase="Post-tax profit",$K205-$P205,$K205),WdrCap),0))</f>
        <v/>
      </c>
      <c r="R205" s="35">
        <f>IF($A205&gt;NYears*12,"",$F205+$J205-$O205-$Q205)</f>
        <v/>
      </c>
      <c r="S205" s="33">
        <f>IF($A205&gt;NYears*12,"",INT($R205/$E205))</f>
        <v/>
      </c>
    </row>
    <row r="206">
      <c r="A206" s="33">
        <f>202</f>
        <v/>
      </c>
      <c r="B206" s="34">
        <f>IF($A206&gt;NYears*12,"",EDATE(StartMonth,$A206-1))</f>
        <v/>
      </c>
      <c r="C206" s="33">
        <f>IF($A206&gt;NYears*12,"",INT(($A206-1)/12)+1)</f>
        <v/>
      </c>
      <c r="D206" s="33">
        <f>IF($A206&gt;NYears*12,"",MOD($A206-1,12)+1)</f>
        <v/>
      </c>
      <c r="E206" s="35">
        <f>IF($A206&gt;NYears*12,"",LotValue0*(1+LotGrowth)^($C206-1))</f>
        <v/>
      </c>
      <c r="F206" s="35">
        <f>IF($A206&gt;NYears*12,"",IF($A206=1,InitInvest,$R205))</f>
        <v/>
      </c>
      <c r="G206" s="33">
        <f>IF($A206&gt;NYears*12,"",INT($F206/$E206))</f>
        <v/>
      </c>
      <c r="H206" s="35">
        <f>IF($A206&gt;NYears*12,"",$G206*$E206)</f>
        <v/>
      </c>
      <c r="I206" s="35">
        <f>IF($A206&gt;NYears*12,"",$F206-$H206)</f>
        <v/>
      </c>
      <c r="J206" s="35">
        <f>IF($A206&gt;NYears*12,"",$H206*RateD)</f>
        <v/>
      </c>
      <c r="K206" s="35">
        <f>IF($A206&gt;NYears*12,"",IF($D206=1,$J206,$K205+$J206))</f>
        <v/>
      </c>
      <c r="L206" s="35">
        <f>IF($A206&gt;NYears*12,"",IF(MOD($D206,3)=0,SUM($J204:$J206),0))</f>
        <v/>
      </c>
      <c r="M206" s="35">
        <f>IF($A206&gt;NYears*12,"",IF(TaxFreq="Quarterly",$K206*12/$D206,$K206))</f>
        <v/>
      </c>
      <c r="N206" s="36">
        <f>IF($A206&gt;NYears*12,"",LOOKUP($M206,TaxLower,TaxRate))</f>
        <v/>
      </c>
      <c r="O206" s="35">
        <f>IF($A206&gt;NYears*12,"",IF(TaxFreq="Quarterly",IF(MOD($D206,3)=0,$L206*$N206,0),IF($D206=12,$K206*$N206,0)))</f>
        <v/>
      </c>
      <c r="P206" s="35">
        <f>IF($A206&gt;NYears*12,"",IF($D206=1,$O206,$P205+$O206))</f>
        <v/>
      </c>
      <c r="Q206" s="35">
        <f>IF($A206&gt;NYears*12,"",IF($D206=12,MIN(WdrPct*IF(WdrBase="Post-tax profit",$K206-$P206,$K206),WdrCap),0))</f>
        <v/>
      </c>
      <c r="R206" s="35">
        <f>IF($A206&gt;NYears*12,"",$F206+$J206-$O206-$Q206)</f>
        <v/>
      </c>
      <c r="S206" s="33">
        <f>IF($A206&gt;NYears*12,"",INT($R206/$E206))</f>
        <v/>
      </c>
    </row>
    <row r="207">
      <c r="A207" s="33">
        <f>203</f>
        <v/>
      </c>
      <c r="B207" s="34">
        <f>IF($A207&gt;NYears*12,"",EDATE(StartMonth,$A207-1))</f>
        <v/>
      </c>
      <c r="C207" s="33">
        <f>IF($A207&gt;NYears*12,"",INT(($A207-1)/12)+1)</f>
        <v/>
      </c>
      <c r="D207" s="33">
        <f>IF($A207&gt;NYears*12,"",MOD($A207-1,12)+1)</f>
        <v/>
      </c>
      <c r="E207" s="35">
        <f>IF($A207&gt;NYears*12,"",LotValue0*(1+LotGrowth)^($C207-1))</f>
        <v/>
      </c>
      <c r="F207" s="35">
        <f>IF($A207&gt;NYears*12,"",IF($A207=1,InitInvest,$R206))</f>
        <v/>
      </c>
      <c r="G207" s="33">
        <f>IF($A207&gt;NYears*12,"",INT($F207/$E207))</f>
        <v/>
      </c>
      <c r="H207" s="35">
        <f>IF($A207&gt;NYears*12,"",$G207*$E207)</f>
        <v/>
      </c>
      <c r="I207" s="35">
        <f>IF($A207&gt;NYears*12,"",$F207-$H207)</f>
        <v/>
      </c>
      <c r="J207" s="35">
        <f>IF($A207&gt;NYears*12,"",$H207*RateD)</f>
        <v/>
      </c>
      <c r="K207" s="35">
        <f>IF($A207&gt;NYears*12,"",IF($D207=1,$J207,$K206+$J207))</f>
        <v/>
      </c>
      <c r="L207" s="35">
        <f>IF($A207&gt;NYears*12,"",IF(MOD($D207,3)=0,SUM($J205:$J207),0))</f>
        <v/>
      </c>
      <c r="M207" s="35">
        <f>IF($A207&gt;NYears*12,"",IF(TaxFreq="Quarterly",$K207*12/$D207,$K207))</f>
        <v/>
      </c>
      <c r="N207" s="36">
        <f>IF($A207&gt;NYears*12,"",LOOKUP($M207,TaxLower,TaxRate))</f>
        <v/>
      </c>
      <c r="O207" s="35">
        <f>IF($A207&gt;NYears*12,"",IF(TaxFreq="Quarterly",IF(MOD($D207,3)=0,$L207*$N207,0),IF($D207=12,$K207*$N207,0)))</f>
        <v/>
      </c>
      <c r="P207" s="35">
        <f>IF($A207&gt;NYears*12,"",IF($D207=1,$O207,$P206+$O207))</f>
        <v/>
      </c>
      <c r="Q207" s="35">
        <f>IF($A207&gt;NYears*12,"",IF($D207=12,MIN(WdrPct*IF(WdrBase="Post-tax profit",$K207-$P207,$K207),WdrCap),0))</f>
        <v/>
      </c>
      <c r="R207" s="35">
        <f>IF($A207&gt;NYears*12,"",$F207+$J207-$O207-$Q207)</f>
        <v/>
      </c>
      <c r="S207" s="33">
        <f>IF($A207&gt;NYears*12,"",INT($R207/$E207))</f>
        <v/>
      </c>
    </row>
    <row r="208">
      <c r="A208" s="37">
        <f>204</f>
        <v/>
      </c>
      <c r="B208" s="38">
        <f>IF($A208&gt;NYears*12,"",EDATE(StartMonth,$A208-1))</f>
        <v/>
      </c>
      <c r="C208" s="37">
        <f>IF($A208&gt;NYears*12,"",INT(($A208-1)/12)+1)</f>
        <v/>
      </c>
      <c r="D208" s="37">
        <f>IF($A208&gt;NYears*12,"",MOD($A208-1,12)+1)</f>
        <v/>
      </c>
      <c r="E208" s="39">
        <f>IF($A208&gt;NYears*12,"",LotValue0*(1+LotGrowth)^($C208-1))</f>
        <v/>
      </c>
      <c r="F208" s="39">
        <f>IF($A208&gt;NYears*12,"",IF($A208=1,InitInvest,$R207))</f>
        <v/>
      </c>
      <c r="G208" s="37">
        <f>IF($A208&gt;NYears*12,"",INT($F208/$E208))</f>
        <v/>
      </c>
      <c r="H208" s="39">
        <f>IF($A208&gt;NYears*12,"",$G208*$E208)</f>
        <v/>
      </c>
      <c r="I208" s="39">
        <f>IF($A208&gt;NYears*12,"",$F208-$H208)</f>
        <v/>
      </c>
      <c r="J208" s="39">
        <f>IF($A208&gt;NYears*12,"",$H208*RateD)</f>
        <v/>
      </c>
      <c r="K208" s="39">
        <f>IF($A208&gt;NYears*12,"",IF($D208=1,$J208,$K207+$J208))</f>
        <v/>
      </c>
      <c r="L208" s="39">
        <f>IF($A208&gt;NYears*12,"",IF(MOD($D208,3)=0,SUM($J206:$J208),0))</f>
        <v/>
      </c>
      <c r="M208" s="39">
        <f>IF($A208&gt;NYears*12,"",IF(TaxFreq="Quarterly",$K208*12/$D208,$K208))</f>
        <v/>
      </c>
      <c r="N208" s="40">
        <f>IF($A208&gt;NYears*12,"",LOOKUP($M208,TaxLower,TaxRate))</f>
        <v/>
      </c>
      <c r="O208" s="39">
        <f>IF($A208&gt;NYears*12,"",IF(TaxFreq="Quarterly",IF(MOD($D208,3)=0,$L208*$N208,0),IF($D208=12,$K208*$N208,0)))</f>
        <v/>
      </c>
      <c r="P208" s="39">
        <f>IF($A208&gt;NYears*12,"",IF($D208=1,$O208,$P207+$O208))</f>
        <v/>
      </c>
      <c r="Q208" s="39">
        <f>IF($A208&gt;NYears*12,"",IF($D208=12,MIN(WdrPct*IF(WdrBase="Post-tax profit",$K208-$P208,$K208),WdrCap),0))</f>
        <v/>
      </c>
      <c r="R208" s="39">
        <f>IF($A208&gt;NYears*12,"",$F208+$J208-$O208-$Q208)</f>
        <v/>
      </c>
      <c r="S208" s="37">
        <f>IF($A208&gt;NYears*12,"",INT($R208/$E208))</f>
        <v/>
      </c>
    </row>
    <row r="209">
      <c r="A209" s="33">
        <f>205</f>
        <v/>
      </c>
      <c r="B209" s="34">
        <f>IF($A209&gt;NYears*12,"",EDATE(StartMonth,$A209-1))</f>
        <v/>
      </c>
      <c r="C209" s="33">
        <f>IF($A209&gt;NYears*12,"",INT(($A209-1)/12)+1)</f>
        <v/>
      </c>
      <c r="D209" s="33">
        <f>IF($A209&gt;NYears*12,"",MOD($A209-1,12)+1)</f>
        <v/>
      </c>
      <c r="E209" s="35">
        <f>IF($A209&gt;NYears*12,"",LotValue0*(1+LotGrowth)^($C209-1))</f>
        <v/>
      </c>
      <c r="F209" s="35">
        <f>IF($A209&gt;NYears*12,"",IF($A209=1,InitInvest,$R208))</f>
        <v/>
      </c>
      <c r="G209" s="33">
        <f>IF($A209&gt;NYears*12,"",INT($F209/$E209))</f>
        <v/>
      </c>
      <c r="H209" s="35">
        <f>IF($A209&gt;NYears*12,"",$G209*$E209)</f>
        <v/>
      </c>
      <c r="I209" s="35">
        <f>IF($A209&gt;NYears*12,"",$F209-$H209)</f>
        <v/>
      </c>
      <c r="J209" s="35">
        <f>IF($A209&gt;NYears*12,"",$H209*RateD)</f>
        <v/>
      </c>
      <c r="K209" s="35">
        <f>IF($A209&gt;NYears*12,"",IF($D209=1,$J209,$K208+$J209))</f>
        <v/>
      </c>
      <c r="L209" s="35">
        <f>IF($A209&gt;NYears*12,"",IF(MOD($D209,3)=0,SUM($J207:$J209),0))</f>
        <v/>
      </c>
      <c r="M209" s="35">
        <f>IF($A209&gt;NYears*12,"",IF(TaxFreq="Quarterly",$K209*12/$D209,$K209))</f>
        <v/>
      </c>
      <c r="N209" s="36">
        <f>IF($A209&gt;NYears*12,"",LOOKUP($M209,TaxLower,TaxRate))</f>
        <v/>
      </c>
      <c r="O209" s="35">
        <f>IF($A209&gt;NYears*12,"",IF(TaxFreq="Quarterly",IF(MOD($D209,3)=0,$L209*$N209,0),IF($D209=12,$K209*$N209,0)))</f>
        <v/>
      </c>
      <c r="P209" s="35">
        <f>IF($A209&gt;NYears*12,"",IF($D209=1,$O209,$P208+$O209))</f>
        <v/>
      </c>
      <c r="Q209" s="35">
        <f>IF($A209&gt;NYears*12,"",IF($D209=12,MIN(WdrPct*IF(WdrBase="Post-tax profit",$K209-$P209,$K209),WdrCap),0))</f>
        <v/>
      </c>
      <c r="R209" s="35">
        <f>IF($A209&gt;NYears*12,"",$F209+$J209-$O209-$Q209)</f>
        <v/>
      </c>
      <c r="S209" s="33">
        <f>IF($A209&gt;NYears*12,"",INT($R209/$E209))</f>
        <v/>
      </c>
    </row>
    <row r="210">
      <c r="A210" s="33">
        <f>206</f>
        <v/>
      </c>
      <c r="B210" s="34">
        <f>IF($A210&gt;NYears*12,"",EDATE(StartMonth,$A210-1))</f>
        <v/>
      </c>
      <c r="C210" s="33">
        <f>IF($A210&gt;NYears*12,"",INT(($A210-1)/12)+1)</f>
        <v/>
      </c>
      <c r="D210" s="33">
        <f>IF($A210&gt;NYears*12,"",MOD($A210-1,12)+1)</f>
        <v/>
      </c>
      <c r="E210" s="35">
        <f>IF($A210&gt;NYears*12,"",LotValue0*(1+LotGrowth)^($C210-1))</f>
        <v/>
      </c>
      <c r="F210" s="35">
        <f>IF($A210&gt;NYears*12,"",IF($A210=1,InitInvest,$R209))</f>
        <v/>
      </c>
      <c r="G210" s="33">
        <f>IF($A210&gt;NYears*12,"",INT($F210/$E210))</f>
        <v/>
      </c>
      <c r="H210" s="35">
        <f>IF($A210&gt;NYears*12,"",$G210*$E210)</f>
        <v/>
      </c>
      <c r="I210" s="35">
        <f>IF($A210&gt;NYears*12,"",$F210-$H210)</f>
        <v/>
      </c>
      <c r="J210" s="35">
        <f>IF($A210&gt;NYears*12,"",$H210*RateD)</f>
        <v/>
      </c>
      <c r="K210" s="35">
        <f>IF($A210&gt;NYears*12,"",IF($D210=1,$J210,$K209+$J210))</f>
        <v/>
      </c>
      <c r="L210" s="35">
        <f>IF($A210&gt;NYears*12,"",IF(MOD($D210,3)=0,SUM($J208:$J210),0))</f>
        <v/>
      </c>
      <c r="M210" s="35">
        <f>IF($A210&gt;NYears*12,"",IF(TaxFreq="Quarterly",$K210*12/$D210,$K210))</f>
        <v/>
      </c>
      <c r="N210" s="36">
        <f>IF($A210&gt;NYears*12,"",LOOKUP($M210,TaxLower,TaxRate))</f>
        <v/>
      </c>
      <c r="O210" s="35">
        <f>IF($A210&gt;NYears*12,"",IF(TaxFreq="Quarterly",IF(MOD($D210,3)=0,$L210*$N210,0),IF($D210=12,$K210*$N210,0)))</f>
        <v/>
      </c>
      <c r="P210" s="35">
        <f>IF($A210&gt;NYears*12,"",IF($D210=1,$O210,$P209+$O210))</f>
        <v/>
      </c>
      <c r="Q210" s="35">
        <f>IF($A210&gt;NYears*12,"",IF($D210=12,MIN(WdrPct*IF(WdrBase="Post-tax profit",$K210-$P210,$K210),WdrCap),0))</f>
        <v/>
      </c>
      <c r="R210" s="35">
        <f>IF($A210&gt;NYears*12,"",$F210+$J210-$O210-$Q210)</f>
        <v/>
      </c>
      <c r="S210" s="33">
        <f>IF($A210&gt;NYears*12,"",INT($R210/$E210))</f>
        <v/>
      </c>
    </row>
    <row r="211">
      <c r="A211" s="33">
        <f>207</f>
        <v/>
      </c>
      <c r="B211" s="34">
        <f>IF($A211&gt;NYears*12,"",EDATE(StartMonth,$A211-1))</f>
        <v/>
      </c>
      <c r="C211" s="33">
        <f>IF($A211&gt;NYears*12,"",INT(($A211-1)/12)+1)</f>
        <v/>
      </c>
      <c r="D211" s="33">
        <f>IF($A211&gt;NYears*12,"",MOD($A211-1,12)+1)</f>
        <v/>
      </c>
      <c r="E211" s="35">
        <f>IF($A211&gt;NYears*12,"",LotValue0*(1+LotGrowth)^($C211-1))</f>
        <v/>
      </c>
      <c r="F211" s="35">
        <f>IF($A211&gt;NYears*12,"",IF($A211=1,InitInvest,$R210))</f>
        <v/>
      </c>
      <c r="G211" s="33">
        <f>IF($A211&gt;NYears*12,"",INT($F211/$E211))</f>
        <v/>
      </c>
      <c r="H211" s="35">
        <f>IF($A211&gt;NYears*12,"",$G211*$E211)</f>
        <v/>
      </c>
      <c r="I211" s="35">
        <f>IF($A211&gt;NYears*12,"",$F211-$H211)</f>
        <v/>
      </c>
      <c r="J211" s="35">
        <f>IF($A211&gt;NYears*12,"",$H211*RateD)</f>
        <v/>
      </c>
      <c r="K211" s="35">
        <f>IF($A211&gt;NYears*12,"",IF($D211=1,$J211,$K210+$J211))</f>
        <v/>
      </c>
      <c r="L211" s="35">
        <f>IF($A211&gt;NYears*12,"",IF(MOD($D211,3)=0,SUM($J209:$J211),0))</f>
        <v/>
      </c>
      <c r="M211" s="35">
        <f>IF($A211&gt;NYears*12,"",IF(TaxFreq="Quarterly",$K211*12/$D211,$K211))</f>
        <v/>
      </c>
      <c r="N211" s="36">
        <f>IF($A211&gt;NYears*12,"",LOOKUP($M211,TaxLower,TaxRate))</f>
        <v/>
      </c>
      <c r="O211" s="35">
        <f>IF($A211&gt;NYears*12,"",IF(TaxFreq="Quarterly",IF(MOD($D211,3)=0,$L211*$N211,0),IF($D211=12,$K211*$N211,0)))</f>
        <v/>
      </c>
      <c r="P211" s="35">
        <f>IF($A211&gt;NYears*12,"",IF($D211=1,$O211,$P210+$O211))</f>
        <v/>
      </c>
      <c r="Q211" s="35">
        <f>IF($A211&gt;NYears*12,"",IF($D211=12,MIN(WdrPct*IF(WdrBase="Post-tax profit",$K211-$P211,$K211),WdrCap),0))</f>
        <v/>
      </c>
      <c r="R211" s="35">
        <f>IF($A211&gt;NYears*12,"",$F211+$J211-$O211-$Q211)</f>
        <v/>
      </c>
      <c r="S211" s="33">
        <f>IF($A211&gt;NYears*12,"",INT($R211/$E211))</f>
        <v/>
      </c>
    </row>
    <row r="212">
      <c r="A212" s="33">
        <f>208</f>
        <v/>
      </c>
      <c r="B212" s="34">
        <f>IF($A212&gt;NYears*12,"",EDATE(StartMonth,$A212-1))</f>
        <v/>
      </c>
      <c r="C212" s="33">
        <f>IF($A212&gt;NYears*12,"",INT(($A212-1)/12)+1)</f>
        <v/>
      </c>
      <c r="D212" s="33">
        <f>IF($A212&gt;NYears*12,"",MOD($A212-1,12)+1)</f>
        <v/>
      </c>
      <c r="E212" s="35">
        <f>IF($A212&gt;NYears*12,"",LotValue0*(1+LotGrowth)^($C212-1))</f>
        <v/>
      </c>
      <c r="F212" s="35">
        <f>IF($A212&gt;NYears*12,"",IF($A212=1,InitInvest,$R211))</f>
        <v/>
      </c>
      <c r="G212" s="33">
        <f>IF($A212&gt;NYears*12,"",INT($F212/$E212))</f>
        <v/>
      </c>
      <c r="H212" s="35">
        <f>IF($A212&gt;NYears*12,"",$G212*$E212)</f>
        <v/>
      </c>
      <c r="I212" s="35">
        <f>IF($A212&gt;NYears*12,"",$F212-$H212)</f>
        <v/>
      </c>
      <c r="J212" s="35">
        <f>IF($A212&gt;NYears*12,"",$H212*RateD)</f>
        <v/>
      </c>
      <c r="K212" s="35">
        <f>IF($A212&gt;NYears*12,"",IF($D212=1,$J212,$K211+$J212))</f>
        <v/>
      </c>
      <c r="L212" s="35">
        <f>IF($A212&gt;NYears*12,"",IF(MOD($D212,3)=0,SUM($J210:$J212),0))</f>
        <v/>
      </c>
      <c r="M212" s="35">
        <f>IF($A212&gt;NYears*12,"",IF(TaxFreq="Quarterly",$K212*12/$D212,$K212))</f>
        <v/>
      </c>
      <c r="N212" s="36">
        <f>IF($A212&gt;NYears*12,"",LOOKUP($M212,TaxLower,TaxRate))</f>
        <v/>
      </c>
      <c r="O212" s="35">
        <f>IF($A212&gt;NYears*12,"",IF(TaxFreq="Quarterly",IF(MOD($D212,3)=0,$L212*$N212,0),IF($D212=12,$K212*$N212,0)))</f>
        <v/>
      </c>
      <c r="P212" s="35">
        <f>IF($A212&gt;NYears*12,"",IF($D212=1,$O212,$P211+$O212))</f>
        <v/>
      </c>
      <c r="Q212" s="35">
        <f>IF($A212&gt;NYears*12,"",IF($D212=12,MIN(WdrPct*IF(WdrBase="Post-tax profit",$K212-$P212,$K212),WdrCap),0))</f>
        <v/>
      </c>
      <c r="R212" s="35">
        <f>IF($A212&gt;NYears*12,"",$F212+$J212-$O212-$Q212)</f>
        <v/>
      </c>
      <c r="S212" s="33">
        <f>IF($A212&gt;NYears*12,"",INT($R212/$E212))</f>
        <v/>
      </c>
    </row>
    <row r="213">
      <c r="A213" s="33">
        <f>209</f>
        <v/>
      </c>
      <c r="B213" s="34">
        <f>IF($A213&gt;NYears*12,"",EDATE(StartMonth,$A213-1))</f>
        <v/>
      </c>
      <c r="C213" s="33">
        <f>IF($A213&gt;NYears*12,"",INT(($A213-1)/12)+1)</f>
        <v/>
      </c>
      <c r="D213" s="33">
        <f>IF($A213&gt;NYears*12,"",MOD($A213-1,12)+1)</f>
        <v/>
      </c>
      <c r="E213" s="35">
        <f>IF($A213&gt;NYears*12,"",LotValue0*(1+LotGrowth)^($C213-1))</f>
        <v/>
      </c>
      <c r="F213" s="35">
        <f>IF($A213&gt;NYears*12,"",IF($A213=1,InitInvest,$R212))</f>
        <v/>
      </c>
      <c r="G213" s="33">
        <f>IF($A213&gt;NYears*12,"",INT($F213/$E213))</f>
        <v/>
      </c>
      <c r="H213" s="35">
        <f>IF($A213&gt;NYears*12,"",$G213*$E213)</f>
        <v/>
      </c>
      <c r="I213" s="35">
        <f>IF($A213&gt;NYears*12,"",$F213-$H213)</f>
        <v/>
      </c>
      <c r="J213" s="35">
        <f>IF($A213&gt;NYears*12,"",$H213*RateD)</f>
        <v/>
      </c>
      <c r="K213" s="35">
        <f>IF($A213&gt;NYears*12,"",IF($D213=1,$J213,$K212+$J213))</f>
        <v/>
      </c>
      <c r="L213" s="35">
        <f>IF($A213&gt;NYears*12,"",IF(MOD($D213,3)=0,SUM($J211:$J213),0))</f>
        <v/>
      </c>
      <c r="M213" s="35">
        <f>IF($A213&gt;NYears*12,"",IF(TaxFreq="Quarterly",$K213*12/$D213,$K213))</f>
        <v/>
      </c>
      <c r="N213" s="36">
        <f>IF($A213&gt;NYears*12,"",LOOKUP($M213,TaxLower,TaxRate))</f>
        <v/>
      </c>
      <c r="O213" s="35">
        <f>IF($A213&gt;NYears*12,"",IF(TaxFreq="Quarterly",IF(MOD($D213,3)=0,$L213*$N213,0),IF($D213=12,$K213*$N213,0)))</f>
        <v/>
      </c>
      <c r="P213" s="35">
        <f>IF($A213&gt;NYears*12,"",IF($D213=1,$O213,$P212+$O213))</f>
        <v/>
      </c>
      <c r="Q213" s="35">
        <f>IF($A213&gt;NYears*12,"",IF($D213=12,MIN(WdrPct*IF(WdrBase="Post-tax profit",$K213-$P213,$K213),WdrCap),0))</f>
        <v/>
      </c>
      <c r="R213" s="35">
        <f>IF($A213&gt;NYears*12,"",$F213+$J213-$O213-$Q213)</f>
        <v/>
      </c>
      <c r="S213" s="33">
        <f>IF($A213&gt;NYears*12,"",INT($R213/$E213))</f>
        <v/>
      </c>
    </row>
    <row r="214">
      <c r="A214" s="33">
        <f>210</f>
        <v/>
      </c>
      <c r="B214" s="34">
        <f>IF($A214&gt;NYears*12,"",EDATE(StartMonth,$A214-1))</f>
        <v/>
      </c>
      <c r="C214" s="33">
        <f>IF($A214&gt;NYears*12,"",INT(($A214-1)/12)+1)</f>
        <v/>
      </c>
      <c r="D214" s="33">
        <f>IF($A214&gt;NYears*12,"",MOD($A214-1,12)+1)</f>
        <v/>
      </c>
      <c r="E214" s="35">
        <f>IF($A214&gt;NYears*12,"",LotValue0*(1+LotGrowth)^($C214-1))</f>
        <v/>
      </c>
      <c r="F214" s="35">
        <f>IF($A214&gt;NYears*12,"",IF($A214=1,InitInvest,$R213))</f>
        <v/>
      </c>
      <c r="G214" s="33">
        <f>IF($A214&gt;NYears*12,"",INT($F214/$E214))</f>
        <v/>
      </c>
      <c r="H214" s="35">
        <f>IF($A214&gt;NYears*12,"",$G214*$E214)</f>
        <v/>
      </c>
      <c r="I214" s="35">
        <f>IF($A214&gt;NYears*12,"",$F214-$H214)</f>
        <v/>
      </c>
      <c r="J214" s="35">
        <f>IF($A214&gt;NYears*12,"",$H214*RateD)</f>
        <v/>
      </c>
      <c r="K214" s="35">
        <f>IF($A214&gt;NYears*12,"",IF($D214=1,$J214,$K213+$J214))</f>
        <v/>
      </c>
      <c r="L214" s="35">
        <f>IF($A214&gt;NYears*12,"",IF(MOD($D214,3)=0,SUM($J212:$J214),0))</f>
        <v/>
      </c>
      <c r="M214" s="35">
        <f>IF($A214&gt;NYears*12,"",IF(TaxFreq="Quarterly",$K214*12/$D214,$K214))</f>
        <v/>
      </c>
      <c r="N214" s="36">
        <f>IF($A214&gt;NYears*12,"",LOOKUP($M214,TaxLower,TaxRate))</f>
        <v/>
      </c>
      <c r="O214" s="35">
        <f>IF($A214&gt;NYears*12,"",IF(TaxFreq="Quarterly",IF(MOD($D214,3)=0,$L214*$N214,0),IF($D214=12,$K214*$N214,0)))</f>
        <v/>
      </c>
      <c r="P214" s="35">
        <f>IF($A214&gt;NYears*12,"",IF($D214=1,$O214,$P213+$O214))</f>
        <v/>
      </c>
      <c r="Q214" s="35">
        <f>IF($A214&gt;NYears*12,"",IF($D214=12,MIN(WdrPct*IF(WdrBase="Post-tax profit",$K214-$P214,$K214),WdrCap),0))</f>
        <v/>
      </c>
      <c r="R214" s="35">
        <f>IF($A214&gt;NYears*12,"",$F214+$J214-$O214-$Q214)</f>
        <v/>
      </c>
      <c r="S214" s="33">
        <f>IF($A214&gt;NYears*12,"",INT($R214/$E214))</f>
        <v/>
      </c>
    </row>
    <row r="215">
      <c r="A215" s="33">
        <f>211</f>
        <v/>
      </c>
      <c r="B215" s="34">
        <f>IF($A215&gt;NYears*12,"",EDATE(StartMonth,$A215-1))</f>
        <v/>
      </c>
      <c r="C215" s="33">
        <f>IF($A215&gt;NYears*12,"",INT(($A215-1)/12)+1)</f>
        <v/>
      </c>
      <c r="D215" s="33">
        <f>IF($A215&gt;NYears*12,"",MOD($A215-1,12)+1)</f>
        <v/>
      </c>
      <c r="E215" s="35">
        <f>IF($A215&gt;NYears*12,"",LotValue0*(1+LotGrowth)^($C215-1))</f>
        <v/>
      </c>
      <c r="F215" s="35">
        <f>IF($A215&gt;NYears*12,"",IF($A215=1,InitInvest,$R214))</f>
        <v/>
      </c>
      <c r="G215" s="33">
        <f>IF($A215&gt;NYears*12,"",INT($F215/$E215))</f>
        <v/>
      </c>
      <c r="H215" s="35">
        <f>IF($A215&gt;NYears*12,"",$G215*$E215)</f>
        <v/>
      </c>
      <c r="I215" s="35">
        <f>IF($A215&gt;NYears*12,"",$F215-$H215)</f>
        <v/>
      </c>
      <c r="J215" s="35">
        <f>IF($A215&gt;NYears*12,"",$H215*RateD)</f>
        <v/>
      </c>
      <c r="K215" s="35">
        <f>IF($A215&gt;NYears*12,"",IF($D215=1,$J215,$K214+$J215))</f>
        <v/>
      </c>
      <c r="L215" s="35">
        <f>IF($A215&gt;NYears*12,"",IF(MOD($D215,3)=0,SUM($J213:$J215),0))</f>
        <v/>
      </c>
      <c r="M215" s="35">
        <f>IF($A215&gt;NYears*12,"",IF(TaxFreq="Quarterly",$K215*12/$D215,$K215))</f>
        <v/>
      </c>
      <c r="N215" s="36">
        <f>IF($A215&gt;NYears*12,"",LOOKUP($M215,TaxLower,TaxRate))</f>
        <v/>
      </c>
      <c r="O215" s="35">
        <f>IF($A215&gt;NYears*12,"",IF(TaxFreq="Quarterly",IF(MOD($D215,3)=0,$L215*$N215,0),IF($D215=12,$K215*$N215,0)))</f>
        <v/>
      </c>
      <c r="P215" s="35">
        <f>IF($A215&gt;NYears*12,"",IF($D215=1,$O215,$P214+$O215))</f>
        <v/>
      </c>
      <c r="Q215" s="35">
        <f>IF($A215&gt;NYears*12,"",IF($D215=12,MIN(WdrPct*IF(WdrBase="Post-tax profit",$K215-$P215,$K215),WdrCap),0))</f>
        <v/>
      </c>
      <c r="R215" s="35">
        <f>IF($A215&gt;NYears*12,"",$F215+$J215-$O215-$Q215)</f>
        <v/>
      </c>
      <c r="S215" s="33">
        <f>IF($A215&gt;NYears*12,"",INT($R215/$E215))</f>
        <v/>
      </c>
    </row>
    <row r="216">
      <c r="A216" s="33">
        <f>212</f>
        <v/>
      </c>
      <c r="B216" s="34">
        <f>IF($A216&gt;NYears*12,"",EDATE(StartMonth,$A216-1))</f>
        <v/>
      </c>
      <c r="C216" s="33">
        <f>IF($A216&gt;NYears*12,"",INT(($A216-1)/12)+1)</f>
        <v/>
      </c>
      <c r="D216" s="33">
        <f>IF($A216&gt;NYears*12,"",MOD($A216-1,12)+1)</f>
        <v/>
      </c>
      <c r="E216" s="35">
        <f>IF($A216&gt;NYears*12,"",LotValue0*(1+LotGrowth)^($C216-1))</f>
        <v/>
      </c>
      <c r="F216" s="35">
        <f>IF($A216&gt;NYears*12,"",IF($A216=1,InitInvest,$R215))</f>
        <v/>
      </c>
      <c r="G216" s="33">
        <f>IF($A216&gt;NYears*12,"",INT($F216/$E216))</f>
        <v/>
      </c>
      <c r="H216" s="35">
        <f>IF($A216&gt;NYears*12,"",$G216*$E216)</f>
        <v/>
      </c>
      <c r="I216" s="35">
        <f>IF($A216&gt;NYears*12,"",$F216-$H216)</f>
        <v/>
      </c>
      <c r="J216" s="35">
        <f>IF($A216&gt;NYears*12,"",$H216*RateD)</f>
        <v/>
      </c>
      <c r="K216" s="35">
        <f>IF($A216&gt;NYears*12,"",IF($D216=1,$J216,$K215+$J216))</f>
        <v/>
      </c>
      <c r="L216" s="35">
        <f>IF($A216&gt;NYears*12,"",IF(MOD($D216,3)=0,SUM($J214:$J216),0))</f>
        <v/>
      </c>
      <c r="M216" s="35">
        <f>IF($A216&gt;NYears*12,"",IF(TaxFreq="Quarterly",$K216*12/$D216,$K216))</f>
        <v/>
      </c>
      <c r="N216" s="36">
        <f>IF($A216&gt;NYears*12,"",LOOKUP($M216,TaxLower,TaxRate))</f>
        <v/>
      </c>
      <c r="O216" s="35">
        <f>IF($A216&gt;NYears*12,"",IF(TaxFreq="Quarterly",IF(MOD($D216,3)=0,$L216*$N216,0),IF($D216=12,$K216*$N216,0)))</f>
        <v/>
      </c>
      <c r="P216" s="35">
        <f>IF($A216&gt;NYears*12,"",IF($D216=1,$O216,$P215+$O216))</f>
        <v/>
      </c>
      <c r="Q216" s="35">
        <f>IF($A216&gt;NYears*12,"",IF($D216=12,MIN(WdrPct*IF(WdrBase="Post-tax profit",$K216-$P216,$K216),WdrCap),0))</f>
        <v/>
      </c>
      <c r="R216" s="35">
        <f>IF($A216&gt;NYears*12,"",$F216+$J216-$O216-$Q216)</f>
        <v/>
      </c>
      <c r="S216" s="33">
        <f>IF($A216&gt;NYears*12,"",INT($R216/$E216))</f>
        <v/>
      </c>
    </row>
    <row r="217">
      <c r="A217" s="33">
        <f>213</f>
        <v/>
      </c>
      <c r="B217" s="34">
        <f>IF($A217&gt;NYears*12,"",EDATE(StartMonth,$A217-1))</f>
        <v/>
      </c>
      <c r="C217" s="33">
        <f>IF($A217&gt;NYears*12,"",INT(($A217-1)/12)+1)</f>
        <v/>
      </c>
      <c r="D217" s="33">
        <f>IF($A217&gt;NYears*12,"",MOD($A217-1,12)+1)</f>
        <v/>
      </c>
      <c r="E217" s="35">
        <f>IF($A217&gt;NYears*12,"",LotValue0*(1+LotGrowth)^($C217-1))</f>
        <v/>
      </c>
      <c r="F217" s="35">
        <f>IF($A217&gt;NYears*12,"",IF($A217=1,InitInvest,$R216))</f>
        <v/>
      </c>
      <c r="G217" s="33">
        <f>IF($A217&gt;NYears*12,"",INT($F217/$E217))</f>
        <v/>
      </c>
      <c r="H217" s="35">
        <f>IF($A217&gt;NYears*12,"",$G217*$E217)</f>
        <v/>
      </c>
      <c r="I217" s="35">
        <f>IF($A217&gt;NYears*12,"",$F217-$H217)</f>
        <v/>
      </c>
      <c r="J217" s="35">
        <f>IF($A217&gt;NYears*12,"",$H217*RateD)</f>
        <v/>
      </c>
      <c r="K217" s="35">
        <f>IF($A217&gt;NYears*12,"",IF($D217=1,$J217,$K216+$J217))</f>
        <v/>
      </c>
      <c r="L217" s="35">
        <f>IF($A217&gt;NYears*12,"",IF(MOD($D217,3)=0,SUM($J215:$J217),0))</f>
        <v/>
      </c>
      <c r="M217" s="35">
        <f>IF($A217&gt;NYears*12,"",IF(TaxFreq="Quarterly",$K217*12/$D217,$K217))</f>
        <v/>
      </c>
      <c r="N217" s="36">
        <f>IF($A217&gt;NYears*12,"",LOOKUP($M217,TaxLower,TaxRate))</f>
        <v/>
      </c>
      <c r="O217" s="35">
        <f>IF($A217&gt;NYears*12,"",IF(TaxFreq="Quarterly",IF(MOD($D217,3)=0,$L217*$N217,0),IF($D217=12,$K217*$N217,0)))</f>
        <v/>
      </c>
      <c r="P217" s="35">
        <f>IF($A217&gt;NYears*12,"",IF($D217=1,$O217,$P216+$O217))</f>
        <v/>
      </c>
      <c r="Q217" s="35">
        <f>IF($A217&gt;NYears*12,"",IF($D217=12,MIN(WdrPct*IF(WdrBase="Post-tax profit",$K217-$P217,$K217),WdrCap),0))</f>
        <v/>
      </c>
      <c r="R217" s="35">
        <f>IF($A217&gt;NYears*12,"",$F217+$J217-$O217-$Q217)</f>
        <v/>
      </c>
      <c r="S217" s="33">
        <f>IF($A217&gt;NYears*12,"",INT($R217/$E217))</f>
        <v/>
      </c>
    </row>
    <row r="218">
      <c r="A218" s="33">
        <f>214</f>
        <v/>
      </c>
      <c r="B218" s="34">
        <f>IF($A218&gt;NYears*12,"",EDATE(StartMonth,$A218-1))</f>
        <v/>
      </c>
      <c r="C218" s="33">
        <f>IF($A218&gt;NYears*12,"",INT(($A218-1)/12)+1)</f>
        <v/>
      </c>
      <c r="D218" s="33">
        <f>IF($A218&gt;NYears*12,"",MOD($A218-1,12)+1)</f>
        <v/>
      </c>
      <c r="E218" s="35">
        <f>IF($A218&gt;NYears*12,"",LotValue0*(1+LotGrowth)^($C218-1))</f>
        <v/>
      </c>
      <c r="F218" s="35">
        <f>IF($A218&gt;NYears*12,"",IF($A218=1,InitInvest,$R217))</f>
        <v/>
      </c>
      <c r="G218" s="33">
        <f>IF($A218&gt;NYears*12,"",INT($F218/$E218))</f>
        <v/>
      </c>
      <c r="H218" s="35">
        <f>IF($A218&gt;NYears*12,"",$G218*$E218)</f>
        <v/>
      </c>
      <c r="I218" s="35">
        <f>IF($A218&gt;NYears*12,"",$F218-$H218)</f>
        <v/>
      </c>
      <c r="J218" s="35">
        <f>IF($A218&gt;NYears*12,"",$H218*RateD)</f>
        <v/>
      </c>
      <c r="K218" s="35">
        <f>IF($A218&gt;NYears*12,"",IF($D218=1,$J218,$K217+$J218))</f>
        <v/>
      </c>
      <c r="L218" s="35">
        <f>IF($A218&gt;NYears*12,"",IF(MOD($D218,3)=0,SUM($J216:$J218),0))</f>
        <v/>
      </c>
      <c r="M218" s="35">
        <f>IF($A218&gt;NYears*12,"",IF(TaxFreq="Quarterly",$K218*12/$D218,$K218))</f>
        <v/>
      </c>
      <c r="N218" s="36">
        <f>IF($A218&gt;NYears*12,"",LOOKUP($M218,TaxLower,TaxRate))</f>
        <v/>
      </c>
      <c r="O218" s="35">
        <f>IF($A218&gt;NYears*12,"",IF(TaxFreq="Quarterly",IF(MOD($D218,3)=0,$L218*$N218,0),IF($D218=12,$K218*$N218,0)))</f>
        <v/>
      </c>
      <c r="P218" s="35">
        <f>IF($A218&gt;NYears*12,"",IF($D218=1,$O218,$P217+$O218))</f>
        <v/>
      </c>
      <c r="Q218" s="35">
        <f>IF($A218&gt;NYears*12,"",IF($D218=12,MIN(WdrPct*IF(WdrBase="Post-tax profit",$K218-$P218,$K218),WdrCap),0))</f>
        <v/>
      </c>
      <c r="R218" s="35">
        <f>IF($A218&gt;NYears*12,"",$F218+$J218-$O218-$Q218)</f>
        <v/>
      </c>
      <c r="S218" s="33">
        <f>IF($A218&gt;NYears*12,"",INT($R218/$E218))</f>
        <v/>
      </c>
    </row>
    <row r="219">
      <c r="A219" s="33">
        <f>215</f>
        <v/>
      </c>
      <c r="B219" s="34">
        <f>IF($A219&gt;NYears*12,"",EDATE(StartMonth,$A219-1))</f>
        <v/>
      </c>
      <c r="C219" s="33">
        <f>IF($A219&gt;NYears*12,"",INT(($A219-1)/12)+1)</f>
        <v/>
      </c>
      <c r="D219" s="33">
        <f>IF($A219&gt;NYears*12,"",MOD($A219-1,12)+1)</f>
        <v/>
      </c>
      <c r="E219" s="35">
        <f>IF($A219&gt;NYears*12,"",LotValue0*(1+LotGrowth)^($C219-1))</f>
        <v/>
      </c>
      <c r="F219" s="35">
        <f>IF($A219&gt;NYears*12,"",IF($A219=1,InitInvest,$R218))</f>
        <v/>
      </c>
      <c r="G219" s="33">
        <f>IF($A219&gt;NYears*12,"",INT($F219/$E219))</f>
        <v/>
      </c>
      <c r="H219" s="35">
        <f>IF($A219&gt;NYears*12,"",$G219*$E219)</f>
        <v/>
      </c>
      <c r="I219" s="35">
        <f>IF($A219&gt;NYears*12,"",$F219-$H219)</f>
        <v/>
      </c>
      <c r="J219" s="35">
        <f>IF($A219&gt;NYears*12,"",$H219*RateD)</f>
        <v/>
      </c>
      <c r="K219" s="35">
        <f>IF($A219&gt;NYears*12,"",IF($D219=1,$J219,$K218+$J219))</f>
        <v/>
      </c>
      <c r="L219" s="35">
        <f>IF($A219&gt;NYears*12,"",IF(MOD($D219,3)=0,SUM($J217:$J219),0))</f>
        <v/>
      </c>
      <c r="M219" s="35">
        <f>IF($A219&gt;NYears*12,"",IF(TaxFreq="Quarterly",$K219*12/$D219,$K219))</f>
        <v/>
      </c>
      <c r="N219" s="36">
        <f>IF($A219&gt;NYears*12,"",LOOKUP($M219,TaxLower,TaxRate))</f>
        <v/>
      </c>
      <c r="O219" s="35">
        <f>IF($A219&gt;NYears*12,"",IF(TaxFreq="Quarterly",IF(MOD($D219,3)=0,$L219*$N219,0),IF($D219=12,$K219*$N219,0)))</f>
        <v/>
      </c>
      <c r="P219" s="35">
        <f>IF($A219&gt;NYears*12,"",IF($D219=1,$O219,$P218+$O219))</f>
        <v/>
      </c>
      <c r="Q219" s="35">
        <f>IF($A219&gt;NYears*12,"",IF($D219=12,MIN(WdrPct*IF(WdrBase="Post-tax profit",$K219-$P219,$K219),WdrCap),0))</f>
        <v/>
      </c>
      <c r="R219" s="35">
        <f>IF($A219&gt;NYears*12,"",$F219+$J219-$O219-$Q219)</f>
        <v/>
      </c>
      <c r="S219" s="33">
        <f>IF($A219&gt;NYears*12,"",INT($R219/$E219))</f>
        <v/>
      </c>
    </row>
    <row r="220">
      <c r="A220" s="37">
        <f>216</f>
        <v/>
      </c>
      <c r="B220" s="38">
        <f>IF($A220&gt;NYears*12,"",EDATE(StartMonth,$A220-1))</f>
        <v/>
      </c>
      <c r="C220" s="37">
        <f>IF($A220&gt;NYears*12,"",INT(($A220-1)/12)+1)</f>
        <v/>
      </c>
      <c r="D220" s="37">
        <f>IF($A220&gt;NYears*12,"",MOD($A220-1,12)+1)</f>
        <v/>
      </c>
      <c r="E220" s="39">
        <f>IF($A220&gt;NYears*12,"",LotValue0*(1+LotGrowth)^($C220-1))</f>
        <v/>
      </c>
      <c r="F220" s="39">
        <f>IF($A220&gt;NYears*12,"",IF($A220=1,InitInvest,$R219))</f>
        <v/>
      </c>
      <c r="G220" s="37">
        <f>IF($A220&gt;NYears*12,"",INT($F220/$E220))</f>
        <v/>
      </c>
      <c r="H220" s="39">
        <f>IF($A220&gt;NYears*12,"",$G220*$E220)</f>
        <v/>
      </c>
      <c r="I220" s="39">
        <f>IF($A220&gt;NYears*12,"",$F220-$H220)</f>
        <v/>
      </c>
      <c r="J220" s="39">
        <f>IF($A220&gt;NYears*12,"",$H220*RateD)</f>
        <v/>
      </c>
      <c r="K220" s="39">
        <f>IF($A220&gt;NYears*12,"",IF($D220=1,$J220,$K219+$J220))</f>
        <v/>
      </c>
      <c r="L220" s="39">
        <f>IF($A220&gt;NYears*12,"",IF(MOD($D220,3)=0,SUM($J218:$J220),0))</f>
        <v/>
      </c>
      <c r="M220" s="39">
        <f>IF($A220&gt;NYears*12,"",IF(TaxFreq="Quarterly",$K220*12/$D220,$K220))</f>
        <v/>
      </c>
      <c r="N220" s="40">
        <f>IF($A220&gt;NYears*12,"",LOOKUP($M220,TaxLower,TaxRate))</f>
        <v/>
      </c>
      <c r="O220" s="39">
        <f>IF($A220&gt;NYears*12,"",IF(TaxFreq="Quarterly",IF(MOD($D220,3)=0,$L220*$N220,0),IF($D220=12,$K220*$N220,0)))</f>
        <v/>
      </c>
      <c r="P220" s="39">
        <f>IF($A220&gt;NYears*12,"",IF($D220=1,$O220,$P219+$O220))</f>
        <v/>
      </c>
      <c r="Q220" s="39">
        <f>IF($A220&gt;NYears*12,"",IF($D220=12,MIN(WdrPct*IF(WdrBase="Post-tax profit",$K220-$P220,$K220),WdrCap),0))</f>
        <v/>
      </c>
      <c r="R220" s="39">
        <f>IF($A220&gt;NYears*12,"",$F220+$J220-$O220-$Q220)</f>
        <v/>
      </c>
      <c r="S220" s="37">
        <f>IF($A220&gt;NYears*12,"",INT($R220/$E220))</f>
        <v/>
      </c>
    </row>
    <row r="221">
      <c r="A221" s="33">
        <f>217</f>
        <v/>
      </c>
      <c r="B221" s="34">
        <f>IF($A221&gt;NYears*12,"",EDATE(StartMonth,$A221-1))</f>
        <v/>
      </c>
      <c r="C221" s="33">
        <f>IF($A221&gt;NYears*12,"",INT(($A221-1)/12)+1)</f>
        <v/>
      </c>
      <c r="D221" s="33">
        <f>IF($A221&gt;NYears*12,"",MOD($A221-1,12)+1)</f>
        <v/>
      </c>
      <c r="E221" s="35">
        <f>IF($A221&gt;NYears*12,"",LotValue0*(1+LotGrowth)^($C221-1))</f>
        <v/>
      </c>
      <c r="F221" s="35">
        <f>IF($A221&gt;NYears*12,"",IF($A221=1,InitInvest,$R220))</f>
        <v/>
      </c>
      <c r="G221" s="33">
        <f>IF($A221&gt;NYears*12,"",INT($F221/$E221))</f>
        <v/>
      </c>
      <c r="H221" s="35">
        <f>IF($A221&gt;NYears*12,"",$G221*$E221)</f>
        <v/>
      </c>
      <c r="I221" s="35">
        <f>IF($A221&gt;NYears*12,"",$F221-$H221)</f>
        <v/>
      </c>
      <c r="J221" s="35">
        <f>IF($A221&gt;NYears*12,"",$H221*RateD)</f>
        <v/>
      </c>
      <c r="K221" s="35">
        <f>IF($A221&gt;NYears*12,"",IF($D221=1,$J221,$K220+$J221))</f>
        <v/>
      </c>
      <c r="L221" s="35">
        <f>IF($A221&gt;NYears*12,"",IF(MOD($D221,3)=0,SUM($J219:$J221),0))</f>
        <v/>
      </c>
      <c r="M221" s="35">
        <f>IF($A221&gt;NYears*12,"",IF(TaxFreq="Quarterly",$K221*12/$D221,$K221))</f>
        <v/>
      </c>
      <c r="N221" s="36">
        <f>IF($A221&gt;NYears*12,"",LOOKUP($M221,TaxLower,TaxRate))</f>
        <v/>
      </c>
      <c r="O221" s="35">
        <f>IF($A221&gt;NYears*12,"",IF(TaxFreq="Quarterly",IF(MOD($D221,3)=0,$L221*$N221,0),IF($D221=12,$K221*$N221,0)))</f>
        <v/>
      </c>
      <c r="P221" s="35">
        <f>IF($A221&gt;NYears*12,"",IF($D221=1,$O221,$P220+$O221))</f>
        <v/>
      </c>
      <c r="Q221" s="35">
        <f>IF($A221&gt;NYears*12,"",IF($D221=12,MIN(WdrPct*IF(WdrBase="Post-tax profit",$K221-$P221,$K221),WdrCap),0))</f>
        <v/>
      </c>
      <c r="R221" s="35">
        <f>IF($A221&gt;NYears*12,"",$F221+$J221-$O221-$Q221)</f>
        <v/>
      </c>
      <c r="S221" s="33">
        <f>IF($A221&gt;NYears*12,"",INT($R221/$E221))</f>
        <v/>
      </c>
    </row>
    <row r="222">
      <c r="A222" s="33">
        <f>218</f>
        <v/>
      </c>
      <c r="B222" s="34">
        <f>IF($A222&gt;NYears*12,"",EDATE(StartMonth,$A222-1))</f>
        <v/>
      </c>
      <c r="C222" s="33">
        <f>IF($A222&gt;NYears*12,"",INT(($A222-1)/12)+1)</f>
        <v/>
      </c>
      <c r="D222" s="33">
        <f>IF($A222&gt;NYears*12,"",MOD($A222-1,12)+1)</f>
        <v/>
      </c>
      <c r="E222" s="35">
        <f>IF($A222&gt;NYears*12,"",LotValue0*(1+LotGrowth)^($C222-1))</f>
        <v/>
      </c>
      <c r="F222" s="35">
        <f>IF($A222&gt;NYears*12,"",IF($A222=1,InitInvest,$R221))</f>
        <v/>
      </c>
      <c r="G222" s="33">
        <f>IF($A222&gt;NYears*12,"",INT($F222/$E222))</f>
        <v/>
      </c>
      <c r="H222" s="35">
        <f>IF($A222&gt;NYears*12,"",$G222*$E222)</f>
        <v/>
      </c>
      <c r="I222" s="35">
        <f>IF($A222&gt;NYears*12,"",$F222-$H222)</f>
        <v/>
      </c>
      <c r="J222" s="35">
        <f>IF($A222&gt;NYears*12,"",$H222*RateD)</f>
        <v/>
      </c>
      <c r="K222" s="35">
        <f>IF($A222&gt;NYears*12,"",IF($D222=1,$J222,$K221+$J222))</f>
        <v/>
      </c>
      <c r="L222" s="35">
        <f>IF($A222&gt;NYears*12,"",IF(MOD($D222,3)=0,SUM($J220:$J222),0))</f>
        <v/>
      </c>
      <c r="M222" s="35">
        <f>IF($A222&gt;NYears*12,"",IF(TaxFreq="Quarterly",$K222*12/$D222,$K222))</f>
        <v/>
      </c>
      <c r="N222" s="36">
        <f>IF($A222&gt;NYears*12,"",LOOKUP($M222,TaxLower,TaxRate))</f>
        <v/>
      </c>
      <c r="O222" s="35">
        <f>IF($A222&gt;NYears*12,"",IF(TaxFreq="Quarterly",IF(MOD($D222,3)=0,$L222*$N222,0),IF($D222=12,$K222*$N222,0)))</f>
        <v/>
      </c>
      <c r="P222" s="35">
        <f>IF($A222&gt;NYears*12,"",IF($D222=1,$O222,$P221+$O222))</f>
        <v/>
      </c>
      <c r="Q222" s="35">
        <f>IF($A222&gt;NYears*12,"",IF($D222=12,MIN(WdrPct*IF(WdrBase="Post-tax profit",$K222-$P222,$K222),WdrCap),0))</f>
        <v/>
      </c>
      <c r="R222" s="35">
        <f>IF($A222&gt;NYears*12,"",$F222+$J222-$O222-$Q222)</f>
        <v/>
      </c>
      <c r="S222" s="33">
        <f>IF($A222&gt;NYears*12,"",INT($R222/$E222))</f>
        <v/>
      </c>
    </row>
    <row r="223">
      <c r="A223" s="33">
        <f>219</f>
        <v/>
      </c>
      <c r="B223" s="34">
        <f>IF($A223&gt;NYears*12,"",EDATE(StartMonth,$A223-1))</f>
        <v/>
      </c>
      <c r="C223" s="33">
        <f>IF($A223&gt;NYears*12,"",INT(($A223-1)/12)+1)</f>
        <v/>
      </c>
      <c r="D223" s="33">
        <f>IF($A223&gt;NYears*12,"",MOD($A223-1,12)+1)</f>
        <v/>
      </c>
      <c r="E223" s="35">
        <f>IF($A223&gt;NYears*12,"",LotValue0*(1+LotGrowth)^($C223-1))</f>
        <v/>
      </c>
      <c r="F223" s="35">
        <f>IF($A223&gt;NYears*12,"",IF($A223=1,InitInvest,$R222))</f>
        <v/>
      </c>
      <c r="G223" s="33">
        <f>IF($A223&gt;NYears*12,"",INT($F223/$E223))</f>
        <v/>
      </c>
      <c r="H223" s="35">
        <f>IF($A223&gt;NYears*12,"",$G223*$E223)</f>
        <v/>
      </c>
      <c r="I223" s="35">
        <f>IF($A223&gt;NYears*12,"",$F223-$H223)</f>
        <v/>
      </c>
      <c r="J223" s="35">
        <f>IF($A223&gt;NYears*12,"",$H223*RateD)</f>
        <v/>
      </c>
      <c r="K223" s="35">
        <f>IF($A223&gt;NYears*12,"",IF($D223=1,$J223,$K222+$J223))</f>
        <v/>
      </c>
      <c r="L223" s="35">
        <f>IF($A223&gt;NYears*12,"",IF(MOD($D223,3)=0,SUM($J221:$J223),0))</f>
        <v/>
      </c>
      <c r="M223" s="35">
        <f>IF($A223&gt;NYears*12,"",IF(TaxFreq="Quarterly",$K223*12/$D223,$K223))</f>
        <v/>
      </c>
      <c r="N223" s="36">
        <f>IF($A223&gt;NYears*12,"",LOOKUP($M223,TaxLower,TaxRate))</f>
        <v/>
      </c>
      <c r="O223" s="35">
        <f>IF($A223&gt;NYears*12,"",IF(TaxFreq="Quarterly",IF(MOD($D223,3)=0,$L223*$N223,0),IF($D223=12,$K223*$N223,0)))</f>
        <v/>
      </c>
      <c r="P223" s="35">
        <f>IF($A223&gt;NYears*12,"",IF($D223=1,$O223,$P222+$O223))</f>
        <v/>
      </c>
      <c r="Q223" s="35">
        <f>IF($A223&gt;NYears*12,"",IF($D223=12,MIN(WdrPct*IF(WdrBase="Post-tax profit",$K223-$P223,$K223),WdrCap),0))</f>
        <v/>
      </c>
      <c r="R223" s="35">
        <f>IF($A223&gt;NYears*12,"",$F223+$J223-$O223-$Q223)</f>
        <v/>
      </c>
      <c r="S223" s="33">
        <f>IF($A223&gt;NYears*12,"",INT($R223/$E223))</f>
        <v/>
      </c>
    </row>
    <row r="224">
      <c r="A224" s="33">
        <f>220</f>
        <v/>
      </c>
      <c r="B224" s="34">
        <f>IF($A224&gt;NYears*12,"",EDATE(StartMonth,$A224-1))</f>
        <v/>
      </c>
      <c r="C224" s="33">
        <f>IF($A224&gt;NYears*12,"",INT(($A224-1)/12)+1)</f>
        <v/>
      </c>
      <c r="D224" s="33">
        <f>IF($A224&gt;NYears*12,"",MOD($A224-1,12)+1)</f>
        <v/>
      </c>
      <c r="E224" s="35">
        <f>IF($A224&gt;NYears*12,"",LotValue0*(1+LotGrowth)^($C224-1))</f>
        <v/>
      </c>
      <c r="F224" s="35">
        <f>IF($A224&gt;NYears*12,"",IF($A224=1,InitInvest,$R223))</f>
        <v/>
      </c>
      <c r="G224" s="33">
        <f>IF($A224&gt;NYears*12,"",INT($F224/$E224))</f>
        <v/>
      </c>
      <c r="H224" s="35">
        <f>IF($A224&gt;NYears*12,"",$G224*$E224)</f>
        <v/>
      </c>
      <c r="I224" s="35">
        <f>IF($A224&gt;NYears*12,"",$F224-$H224)</f>
        <v/>
      </c>
      <c r="J224" s="35">
        <f>IF($A224&gt;NYears*12,"",$H224*RateD)</f>
        <v/>
      </c>
      <c r="K224" s="35">
        <f>IF($A224&gt;NYears*12,"",IF($D224=1,$J224,$K223+$J224))</f>
        <v/>
      </c>
      <c r="L224" s="35">
        <f>IF($A224&gt;NYears*12,"",IF(MOD($D224,3)=0,SUM($J222:$J224),0))</f>
        <v/>
      </c>
      <c r="M224" s="35">
        <f>IF($A224&gt;NYears*12,"",IF(TaxFreq="Quarterly",$K224*12/$D224,$K224))</f>
        <v/>
      </c>
      <c r="N224" s="36">
        <f>IF($A224&gt;NYears*12,"",LOOKUP($M224,TaxLower,TaxRate))</f>
        <v/>
      </c>
      <c r="O224" s="35">
        <f>IF($A224&gt;NYears*12,"",IF(TaxFreq="Quarterly",IF(MOD($D224,3)=0,$L224*$N224,0),IF($D224=12,$K224*$N224,0)))</f>
        <v/>
      </c>
      <c r="P224" s="35">
        <f>IF($A224&gt;NYears*12,"",IF($D224=1,$O224,$P223+$O224))</f>
        <v/>
      </c>
      <c r="Q224" s="35">
        <f>IF($A224&gt;NYears*12,"",IF($D224=12,MIN(WdrPct*IF(WdrBase="Post-tax profit",$K224-$P224,$K224),WdrCap),0))</f>
        <v/>
      </c>
      <c r="R224" s="35">
        <f>IF($A224&gt;NYears*12,"",$F224+$J224-$O224-$Q224)</f>
        <v/>
      </c>
      <c r="S224" s="33">
        <f>IF($A224&gt;NYears*12,"",INT($R224/$E224))</f>
        <v/>
      </c>
    </row>
    <row r="225">
      <c r="A225" s="33">
        <f>221</f>
        <v/>
      </c>
      <c r="B225" s="34">
        <f>IF($A225&gt;NYears*12,"",EDATE(StartMonth,$A225-1))</f>
        <v/>
      </c>
      <c r="C225" s="33">
        <f>IF($A225&gt;NYears*12,"",INT(($A225-1)/12)+1)</f>
        <v/>
      </c>
      <c r="D225" s="33">
        <f>IF($A225&gt;NYears*12,"",MOD($A225-1,12)+1)</f>
        <v/>
      </c>
      <c r="E225" s="35">
        <f>IF($A225&gt;NYears*12,"",LotValue0*(1+LotGrowth)^($C225-1))</f>
        <v/>
      </c>
      <c r="F225" s="35">
        <f>IF($A225&gt;NYears*12,"",IF($A225=1,InitInvest,$R224))</f>
        <v/>
      </c>
      <c r="G225" s="33">
        <f>IF($A225&gt;NYears*12,"",INT($F225/$E225))</f>
        <v/>
      </c>
      <c r="H225" s="35">
        <f>IF($A225&gt;NYears*12,"",$G225*$E225)</f>
        <v/>
      </c>
      <c r="I225" s="35">
        <f>IF($A225&gt;NYears*12,"",$F225-$H225)</f>
        <v/>
      </c>
      <c r="J225" s="35">
        <f>IF($A225&gt;NYears*12,"",$H225*RateD)</f>
        <v/>
      </c>
      <c r="K225" s="35">
        <f>IF($A225&gt;NYears*12,"",IF($D225=1,$J225,$K224+$J225))</f>
        <v/>
      </c>
      <c r="L225" s="35">
        <f>IF($A225&gt;NYears*12,"",IF(MOD($D225,3)=0,SUM($J223:$J225),0))</f>
        <v/>
      </c>
      <c r="M225" s="35">
        <f>IF($A225&gt;NYears*12,"",IF(TaxFreq="Quarterly",$K225*12/$D225,$K225))</f>
        <v/>
      </c>
      <c r="N225" s="36">
        <f>IF($A225&gt;NYears*12,"",LOOKUP($M225,TaxLower,TaxRate))</f>
        <v/>
      </c>
      <c r="O225" s="35">
        <f>IF($A225&gt;NYears*12,"",IF(TaxFreq="Quarterly",IF(MOD($D225,3)=0,$L225*$N225,0),IF($D225=12,$K225*$N225,0)))</f>
        <v/>
      </c>
      <c r="P225" s="35">
        <f>IF($A225&gt;NYears*12,"",IF($D225=1,$O225,$P224+$O225))</f>
        <v/>
      </c>
      <c r="Q225" s="35">
        <f>IF($A225&gt;NYears*12,"",IF($D225=12,MIN(WdrPct*IF(WdrBase="Post-tax profit",$K225-$P225,$K225),WdrCap),0))</f>
        <v/>
      </c>
      <c r="R225" s="35">
        <f>IF($A225&gt;NYears*12,"",$F225+$J225-$O225-$Q225)</f>
        <v/>
      </c>
      <c r="S225" s="33">
        <f>IF($A225&gt;NYears*12,"",INT($R225/$E225))</f>
        <v/>
      </c>
    </row>
    <row r="226">
      <c r="A226" s="33">
        <f>222</f>
        <v/>
      </c>
      <c r="B226" s="34">
        <f>IF($A226&gt;NYears*12,"",EDATE(StartMonth,$A226-1))</f>
        <v/>
      </c>
      <c r="C226" s="33">
        <f>IF($A226&gt;NYears*12,"",INT(($A226-1)/12)+1)</f>
        <v/>
      </c>
      <c r="D226" s="33">
        <f>IF($A226&gt;NYears*12,"",MOD($A226-1,12)+1)</f>
        <v/>
      </c>
      <c r="E226" s="35">
        <f>IF($A226&gt;NYears*12,"",LotValue0*(1+LotGrowth)^($C226-1))</f>
        <v/>
      </c>
      <c r="F226" s="35">
        <f>IF($A226&gt;NYears*12,"",IF($A226=1,InitInvest,$R225))</f>
        <v/>
      </c>
      <c r="G226" s="33">
        <f>IF($A226&gt;NYears*12,"",INT($F226/$E226))</f>
        <v/>
      </c>
      <c r="H226" s="35">
        <f>IF($A226&gt;NYears*12,"",$G226*$E226)</f>
        <v/>
      </c>
      <c r="I226" s="35">
        <f>IF($A226&gt;NYears*12,"",$F226-$H226)</f>
        <v/>
      </c>
      <c r="J226" s="35">
        <f>IF($A226&gt;NYears*12,"",$H226*RateD)</f>
        <v/>
      </c>
      <c r="K226" s="35">
        <f>IF($A226&gt;NYears*12,"",IF($D226=1,$J226,$K225+$J226))</f>
        <v/>
      </c>
      <c r="L226" s="35">
        <f>IF($A226&gt;NYears*12,"",IF(MOD($D226,3)=0,SUM($J224:$J226),0))</f>
        <v/>
      </c>
      <c r="M226" s="35">
        <f>IF($A226&gt;NYears*12,"",IF(TaxFreq="Quarterly",$K226*12/$D226,$K226))</f>
        <v/>
      </c>
      <c r="N226" s="36">
        <f>IF($A226&gt;NYears*12,"",LOOKUP($M226,TaxLower,TaxRate))</f>
        <v/>
      </c>
      <c r="O226" s="35">
        <f>IF($A226&gt;NYears*12,"",IF(TaxFreq="Quarterly",IF(MOD($D226,3)=0,$L226*$N226,0),IF($D226=12,$K226*$N226,0)))</f>
        <v/>
      </c>
      <c r="P226" s="35">
        <f>IF($A226&gt;NYears*12,"",IF($D226=1,$O226,$P225+$O226))</f>
        <v/>
      </c>
      <c r="Q226" s="35">
        <f>IF($A226&gt;NYears*12,"",IF($D226=12,MIN(WdrPct*IF(WdrBase="Post-tax profit",$K226-$P226,$K226),WdrCap),0))</f>
        <v/>
      </c>
      <c r="R226" s="35">
        <f>IF($A226&gt;NYears*12,"",$F226+$J226-$O226-$Q226)</f>
        <v/>
      </c>
      <c r="S226" s="33">
        <f>IF($A226&gt;NYears*12,"",INT($R226/$E226))</f>
        <v/>
      </c>
    </row>
    <row r="227">
      <c r="A227" s="33">
        <f>223</f>
        <v/>
      </c>
      <c r="B227" s="34">
        <f>IF($A227&gt;NYears*12,"",EDATE(StartMonth,$A227-1))</f>
        <v/>
      </c>
      <c r="C227" s="33">
        <f>IF($A227&gt;NYears*12,"",INT(($A227-1)/12)+1)</f>
        <v/>
      </c>
      <c r="D227" s="33">
        <f>IF($A227&gt;NYears*12,"",MOD($A227-1,12)+1)</f>
        <v/>
      </c>
      <c r="E227" s="35">
        <f>IF($A227&gt;NYears*12,"",LotValue0*(1+LotGrowth)^($C227-1))</f>
        <v/>
      </c>
      <c r="F227" s="35">
        <f>IF($A227&gt;NYears*12,"",IF($A227=1,InitInvest,$R226))</f>
        <v/>
      </c>
      <c r="G227" s="33">
        <f>IF($A227&gt;NYears*12,"",INT($F227/$E227))</f>
        <v/>
      </c>
      <c r="H227" s="35">
        <f>IF($A227&gt;NYears*12,"",$G227*$E227)</f>
        <v/>
      </c>
      <c r="I227" s="35">
        <f>IF($A227&gt;NYears*12,"",$F227-$H227)</f>
        <v/>
      </c>
      <c r="J227" s="35">
        <f>IF($A227&gt;NYears*12,"",$H227*RateD)</f>
        <v/>
      </c>
      <c r="K227" s="35">
        <f>IF($A227&gt;NYears*12,"",IF($D227=1,$J227,$K226+$J227))</f>
        <v/>
      </c>
      <c r="L227" s="35">
        <f>IF($A227&gt;NYears*12,"",IF(MOD($D227,3)=0,SUM($J225:$J227),0))</f>
        <v/>
      </c>
      <c r="M227" s="35">
        <f>IF($A227&gt;NYears*12,"",IF(TaxFreq="Quarterly",$K227*12/$D227,$K227))</f>
        <v/>
      </c>
      <c r="N227" s="36">
        <f>IF($A227&gt;NYears*12,"",LOOKUP($M227,TaxLower,TaxRate))</f>
        <v/>
      </c>
      <c r="O227" s="35">
        <f>IF($A227&gt;NYears*12,"",IF(TaxFreq="Quarterly",IF(MOD($D227,3)=0,$L227*$N227,0),IF($D227=12,$K227*$N227,0)))</f>
        <v/>
      </c>
      <c r="P227" s="35">
        <f>IF($A227&gt;NYears*12,"",IF($D227=1,$O227,$P226+$O227))</f>
        <v/>
      </c>
      <c r="Q227" s="35">
        <f>IF($A227&gt;NYears*12,"",IF($D227=12,MIN(WdrPct*IF(WdrBase="Post-tax profit",$K227-$P227,$K227),WdrCap),0))</f>
        <v/>
      </c>
      <c r="R227" s="35">
        <f>IF($A227&gt;NYears*12,"",$F227+$J227-$O227-$Q227)</f>
        <v/>
      </c>
      <c r="S227" s="33">
        <f>IF($A227&gt;NYears*12,"",INT($R227/$E227))</f>
        <v/>
      </c>
    </row>
    <row r="228">
      <c r="A228" s="33">
        <f>224</f>
        <v/>
      </c>
      <c r="B228" s="34">
        <f>IF($A228&gt;NYears*12,"",EDATE(StartMonth,$A228-1))</f>
        <v/>
      </c>
      <c r="C228" s="33">
        <f>IF($A228&gt;NYears*12,"",INT(($A228-1)/12)+1)</f>
        <v/>
      </c>
      <c r="D228" s="33">
        <f>IF($A228&gt;NYears*12,"",MOD($A228-1,12)+1)</f>
        <v/>
      </c>
      <c r="E228" s="35">
        <f>IF($A228&gt;NYears*12,"",LotValue0*(1+LotGrowth)^($C228-1))</f>
        <v/>
      </c>
      <c r="F228" s="35">
        <f>IF($A228&gt;NYears*12,"",IF($A228=1,InitInvest,$R227))</f>
        <v/>
      </c>
      <c r="G228" s="33">
        <f>IF($A228&gt;NYears*12,"",INT($F228/$E228))</f>
        <v/>
      </c>
      <c r="H228" s="35">
        <f>IF($A228&gt;NYears*12,"",$G228*$E228)</f>
        <v/>
      </c>
      <c r="I228" s="35">
        <f>IF($A228&gt;NYears*12,"",$F228-$H228)</f>
        <v/>
      </c>
      <c r="J228" s="35">
        <f>IF($A228&gt;NYears*12,"",$H228*RateD)</f>
        <v/>
      </c>
      <c r="K228" s="35">
        <f>IF($A228&gt;NYears*12,"",IF($D228=1,$J228,$K227+$J228))</f>
        <v/>
      </c>
      <c r="L228" s="35">
        <f>IF($A228&gt;NYears*12,"",IF(MOD($D228,3)=0,SUM($J226:$J228),0))</f>
        <v/>
      </c>
      <c r="M228" s="35">
        <f>IF($A228&gt;NYears*12,"",IF(TaxFreq="Quarterly",$K228*12/$D228,$K228))</f>
        <v/>
      </c>
      <c r="N228" s="36">
        <f>IF($A228&gt;NYears*12,"",LOOKUP($M228,TaxLower,TaxRate))</f>
        <v/>
      </c>
      <c r="O228" s="35">
        <f>IF($A228&gt;NYears*12,"",IF(TaxFreq="Quarterly",IF(MOD($D228,3)=0,$L228*$N228,0),IF($D228=12,$K228*$N228,0)))</f>
        <v/>
      </c>
      <c r="P228" s="35">
        <f>IF($A228&gt;NYears*12,"",IF($D228=1,$O228,$P227+$O228))</f>
        <v/>
      </c>
      <c r="Q228" s="35">
        <f>IF($A228&gt;NYears*12,"",IF($D228=12,MIN(WdrPct*IF(WdrBase="Post-tax profit",$K228-$P228,$K228),WdrCap),0))</f>
        <v/>
      </c>
      <c r="R228" s="35">
        <f>IF($A228&gt;NYears*12,"",$F228+$J228-$O228-$Q228)</f>
        <v/>
      </c>
      <c r="S228" s="33">
        <f>IF($A228&gt;NYears*12,"",INT($R228/$E228))</f>
        <v/>
      </c>
    </row>
    <row r="229">
      <c r="A229" s="33">
        <f>225</f>
        <v/>
      </c>
      <c r="B229" s="34">
        <f>IF($A229&gt;NYears*12,"",EDATE(StartMonth,$A229-1))</f>
        <v/>
      </c>
      <c r="C229" s="33">
        <f>IF($A229&gt;NYears*12,"",INT(($A229-1)/12)+1)</f>
        <v/>
      </c>
      <c r="D229" s="33">
        <f>IF($A229&gt;NYears*12,"",MOD($A229-1,12)+1)</f>
        <v/>
      </c>
      <c r="E229" s="35">
        <f>IF($A229&gt;NYears*12,"",LotValue0*(1+LotGrowth)^($C229-1))</f>
        <v/>
      </c>
      <c r="F229" s="35">
        <f>IF($A229&gt;NYears*12,"",IF($A229=1,InitInvest,$R228))</f>
        <v/>
      </c>
      <c r="G229" s="33">
        <f>IF($A229&gt;NYears*12,"",INT($F229/$E229))</f>
        <v/>
      </c>
      <c r="H229" s="35">
        <f>IF($A229&gt;NYears*12,"",$G229*$E229)</f>
        <v/>
      </c>
      <c r="I229" s="35">
        <f>IF($A229&gt;NYears*12,"",$F229-$H229)</f>
        <v/>
      </c>
      <c r="J229" s="35">
        <f>IF($A229&gt;NYears*12,"",$H229*RateD)</f>
        <v/>
      </c>
      <c r="K229" s="35">
        <f>IF($A229&gt;NYears*12,"",IF($D229=1,$J229,$K228+$J229))</f>
        <v/>
      </c>
      <c r="L229" s="35">
        <f>IF($A229&gt;NYears*12,"",IF(MOD($D229,3)=0,SUM($J227:$J229),0))</f>
        <v/>
      </c>
      <c r="M229" s="35">
        <f>IF($A229&gt;NYears*12,"",IF(TaxFreq="Quarterly",$K229*12/$D229,$K229))</f>
        <v/>
      </c>
      <c r="N229" s="36">
        <f>IF($A229&gt;NYears*12,"",LOOKUP($M229,TaxLower,TaxRate))</f>
        <v/>
      </c>
      <c r="O229" s="35">
        <f>IF($A229&gt;NYears*12,"",IF(TaxFreq="Quarterly",IF(MOD($D229,3)=0,$L229*$N229,0),IF($D229=12,$K229*$N229,0)))</f>
        <v/>
      </c>
      <c r="P229" s="35">
        <f>IF($A229&gt;NYears*12,"",IF($D229=1,$O229,$P228+$O229))</f>
        <v/>
      </c>
      <c r="Q229" s="35">
        <f>IF($A229&gt;NYears*12,"",IF($D229=12,MIN(WdrPct*IF(WdrBase="Post-tax profit",$K229-$P229,$K229),WdrCap),0))</f>
        <v/>
      </c>
      <c r="R229" s="35">
        <f>IF($A229&gt;NYears*12,"",$F229+$J229-$O229-$Q229)</f>
        <v/>
      </c>
      <c r="S229" s="33">
        <f>IF($A229&gt;NYears*12,"",INT($R229/$E229))</f>
        <v/>
      </c>
    </row>
    <row r="230">
      <c r="A230" s="33">
        <f>226</f>
        <v/>
      </c>
      <c r="B230" s="34">
        <f>IF($A230&gt;NYears*12,"",EDATE(StartMonth,$A230-1))</f>
        <v/>
      </c>
      <c r="C230" s="33">
        <f>IF($A230&gt;NYears*12,"",INT(($A230-1)/12)+1)</f>
        <v/>
      </c>
      <c r="D230" s="33">
        <f>IF($A230&gt;NYears*12,"",MOD($A230-1,12)+1)</f>
        <v/>
      </c>
      <c r="E230" s="35">
        <f>IF($A230&gt;NYears*12,"",LotValue0*(1+LotGrowth)^($C230-1))</f>
        <v/>
      </c>
      <c r="F230" s="35">
        <f>IF($A230&gt;NYears*12,"",IF($A230=1,InitInvest,$R229))</f>
        <v/>
      </c>
      <c r="G230" s="33">
        <f>IF($A230&gt;NYears*12,"",INT($F230/$E230))</f>
        <v/>
      </c>
      <c r="H230" s="35">
        <f>IF($A230&gt;NYears*12,"",$G230*$E230)</f>
        <v/>
      </c>
      <c r="I230" s="35">
        <f>IF($A230&gt;NYears*12,"",$F230-$H230)</f>
        <v/>
      </c>
      <c r="J230" s="35">
        <f>IF($A230&gt;NYears*12,"",$H230*RateD)</f>
        <v/>
      </c>
      <c r="K230" s="35">
        <f>IF($A230&gt;NYears*12,"",IF($D230=1,$J230,$K229+$J230))</f>
        <v/>
      </c>
      <c r="L230" s="35">
        <f>IF($A230&gt;NYears*12,"",IF(MOD($D230,3)=0,SUM($J228:$J230),0))</f>
        <v/>
      </c>
      <c r="M230" s="35">
        <f>IF($A230&gt;NYears*12,"",IF(TaxFreq="Quarterly",$K230*12/$D230,$K230))</f>
        <v/>
      </c>
      <c r="N230" s="36">
        <f>IF($A230&gt;NYears*12,"",LOOKUP($M230,TaxLower,TaxRate))</f>
        <v/>
      </c>
      <c r="O230" s="35">
        <f>IF($A230&gt;NYears*12,"",IF(TaxFreq="Quarterly",IF(MOD($D230,3)=0,$L230*$N230,0),IF($D230=12,$K230*$N230,0)))</f>
        <v/>
      </c>
      <c r="P230" s="35">
        <f>IF($A230&gt;NYears*12,"",IF($D230=1,$O230,$P229+$O230))</f>
        <v/>
      </c>
      <c r="Q230" s="35">
        <f>IF($A230&gt;NYears*12,"",IF($D230=12,MIN(WdrPct*IF(WdrBase="Post-tax profit",$K230-$P230,$K230),WdrCap),0))</f>
        <v/>
      </c>
      <c r="R230" s="35">
        <f>IF($A230&gt;NYears*12,"",$F230+$J230-$O230-$Q230)</f>
        <v/>
      </c>
      <c r="S230" s="33">
        <f>IF($A230&gt;NYears*12,"",INT($R230/$E230))</f>
        <v/>
      </c>
    </row>
    <row r="231">
      <c r="A231" s="33">
        <f>227</f>
        <v/>
      </c>
      <c r="B231" s="34">
        <f>IF($A231&gt;NYears*12,"",EDATE(StartMonth,$A231-1))</f>
        <v/>
      </c>
      <c r="C231" s="33">
        <f>IF($A231&gt;NYears*12,"",INT(($A231-1)/12)+1)</f>
        <v/>
      </c>
      <c r="D231" s="33">
        <f>IF($A231&gt;NYears*12,"",MOD($A231-1,12)+1)</f>
        <v/>
      </c>
      <c r="E231" s="35">
        <f>IF($A231&gt;NYears*12,"",LotValue0*(1+LotGrowth)^($C231-1))</f>
        <v/>
      </c>
      <c r="F231" s="35">
        <f>IF($A231&gt;NYears*12,"",IF($A231=1,InitInvest,$R230))</f>
        <v/>
      </c>
      <c r="G231" s="33">
        <f>IF($A231&gt;NYears*12,"",INT($F231/$E231))</f>
        <v/>
      </c>
      <c r="H231" s="35">
        <f>IF($A231&gt;NYears*12,"",$G231*$E231)</f>
        <v/>
      </c>
      <c r="I231" s="35">
        <f>IF($A231&gt;NYears*12,"",$F231-$H231)</f>
        <v/>
      </c>
      <c r="J231" s="35">
        <f>IF($A231&gt;NYears*12,"",$H231*RateD)</f>
        <v/>
      </c>
      <c r="K231" s="35">
        <f>IF($A231&gt;NYears*12,"",IF($D231=1,$J231,$K230+$J231))</f>
        <v/>
      </c>
      <c r="L231" s="35">
        <f>IF($A231&gt;NYears*12,"",IF(MOD($D231,3)=0,SUM($J229:$J231),0))</f>
        <v/>
      </c>
      <c r="M231" s="35">
        <f>IF($A231&gt;NYears*12,"",IF(TaxFreq="Quarterly",$K231*12/$D231,$K231))</f>
        <v/>
      </c>
      <c r="N231" s="36">
        <f>IF($A231&gt;NYears*12,"",LOOKUP($M231,TaxLower,TaxRate))</f>
        <v/>
      </c>
      <c r="O231" s="35">
        <f>IF($A231&gt;NYears*12,"",IF(TaxFreq="Quarterly",IF(MOD($D231,3)=0,$L231*$N231,0),IF($D231=12,$K231*$N231,0)))</f>
        <v/>
      </c>
      <c r="P231" s="35">
        <f>IF($A231&gt;NYears*12,"",IF($D231=1,$O231,$P230+$O231))</f>
        <v/>
      </c>
      <c r="Q231" s="35">
        <f>IF($A231&gt;NYears*12,"",IF($D231=12,MIN(WdrPct*IF(WdrBase="Post-tax profit",$K231-$P231,$K231),WdrCap),0))</f>
        <v/>
      </c>
      <c r="R231" s="35">
        <f>IF($A231&gt;NYears*12,"",$F231+$J231-$O231-$Q231)</f>
        <v/>
      </c>
      <c r="S231" s="33">
        <f>IF($A231&gt;NYears*12,"",INT($R231/$E231))</f>
        <v/>
      </c>
    </row>
    <row r="232">
      <c r="A232" s="37">
        <f>228</f>
        <v/>
      </c>
      <c r="B232" s="38">
        <f>IF($A232&gt;NYears*12,"",EDATE(StartMonth,$A232-1))</f>
        <v/>
      </c>
      <c r="C232" s="37">
        <f>IF($A232&gt;NYears*12,"",INT(($A232-1)/12)+1)</f>
        <v/>
      </c>
      <c r="D232" s="37">
        <f>IF($A232&gt;NYears*12,"",MOD($A232-1,12)+1)</f>
        <v/>
      </c>
      <c r="E232" s="39">
        <f>IF($A232&gt;NYears*12,"",LotValue0*(1+LotGrowth)^($C232-1))</f>
        <v/>
      </c>
      <c r="F232" s="39">
        <f>IF($A232&gt;NYears*12,"",IF($A232=1,InitInvest,$R231))</f>
        <v/>
      </c>
      <c r="G232" s="37">
        <f>IF($A232&gt;NYears*12,"",INT($F232/$E232))</f>
        <v/>
      </c>
      <c r="H232" s="39">
        <f>IF($A232&gt;NYears*12,"",$G232*$E232)</f>
        <v/>
      </c>
      <c r="I232" s="39">
        <f>IF($A232&gt;NYears*12,"",$F232-$H232)</f>
        <v/>
      </c>
      <c r="J232" s="39">
        <f>IF($A232&gt;NYears*12,"",$H232*RateD)</f>
        <v/>
      </c>
      <c r="K232" s="39">
        <f>IF($A232&gt;NYears*12,"",IF($D232=1,$J232,$K231+$J232))</f>
        <v/>
      </c>
      <c r="L232" s="39">
        <f>IF($A232&gt;NYears*12,"",IF(MOD($D232,3)=0,SUM($J230:$J232),0))</f>
        <v/>
      </c>
      <c r="M232" s="39">
        <f>IF($A232&gt;NYears*12,"",IF(TaxFreq="Quarterly",$K232*12/$D232,$K232))</f>
        <v/>
      </c>
      <c r="N232" s="40">
        <f>IF($A232&gt;NYears*12,"",LOOKUP($M232,TaxLower,TaxRate))</f>
        <v/>
      </c>
      <c r="O232" s="39">
        <f>IF($A232&gt;NYears*12,"",IF(TaxFreq="Quarterly",IF(MOD($D232,3)=0,$L232*$N232,0),IF($D232=12,$K232*$N232,0)))</f>
        <v/>
      </c>
      <c r="P232" s="39">
        <f>IF($A232&gt;NYears*12,"",IF($D232=1,$O232,$P231+$O232))</f>
        <v/>
      </c>
      <c r="Q232" s="39">
        <f>IF($A232&gt;NYears*12,"",IF($D232=12,MIN(WdrPct*IF(WdrBase="Post-tax profit",$K232-$P232,$K232),WdrCap),0))</f>
        <v/>
      </c>
      <c r="R232" s="39">
        <f>IF($A232&gt;NYears*12,"",$F232+$J232-$O232-$Q232)</f>
        <v/>
      </c>
      <c r="S232" s="37">
        <f>IF($A232&gt;NYears*12,"",INT($R232/$E232))</f>
        <v/>
      </c>
    </row>
    <row r="233">
      <c r="A233" s="33">
        <f>229</f>
        <v/>
      </c>
      <c r="B233" s="34">
        <f>IF($A233&gt;NYears*12,"",EDATE(StartMonth,$A233-1))</f>
        <v/>
      </c>
      <c r="C233" s="33">
        <f>IF($A233&gt;NYears*12,"",INT(($A233-1)/12)+1)</f>
        <v/>
      </c>
      <c r="D233" s="33">
        <f>IF($A233&gt;NYears*12,"",MOD($A233-1,12)+1)</f>
        <v/>
      </c>
      <c r="E233" s="35">
        <f>IF($A233&gt;NYears*12,"",LotValue0*(1+LotGrowth)^($C233-1))</f>
        <v/>
      </c>
      <c r="F233" s="35">
        <f>IF($A233&gt;NYears*12,"",IF($A233=1,InitInvest,$R232))</f>
        <v/>
      </c>
      <c r="G233" s="33">
        <f>IF($A233&gt;NYears*12,"",INT($F233/$E233))</f>
        <v/>
      </c>
      <c r="H233" s="35">
        <f>IF($A233&gt;NYears*12,"",$G233*$E233)</f>
        <v/>
      </c>
      <c r="I233" s="35">
        <f>IF($A233&gt;NYears*12,"",$F233-$H233)</f>
        <v/>
      </c>
      <c r="J233" s="35">
        <f>IF($A233&gt;NYears*12,"",$H233*RateD)</f>
        <v/>
      </c>
      <c r="K233" s="35">
        <f>IF($A233&gt;NYears*12,"",IF($D233=1,$J233,$K232+$J233))</f>
        <v/>
      </c>
      <c r="L233" s="35">
        <f>IF($A233&gt;NYears*12,"",IF(MOD($D233,3)=0,SUM($J231:$J233),0))</f>
        <v/>
      </c>
      <c r="M233" s="35">
        <f>IF($A233&gt;NYears*12,"",IF(TaxFreq="Quarterly",$K233*12/$D233,$K233))</f>
        <v/>
      </c>
      <c r="N233" s="36">
        <f>IF($A233&gt;NYears*12,"",LOOKUP($M233,TaxLower,TaxRate))</f>
        <v/>
      </c>
      <c r="O233" s="35">
        <f>IF($A233&gt;NYears*12,"",IF(TaxFreq="Quarterly",IF(MOD($D233,3)=0,$L233*$N233,0),IF($D233=12,$K233*$N233,0)))</f>
        <v/>
      </c>
      <c r="P233" s="35">
        <f>IF($A233&gt;NYears*12,"",IF($D233=1,$O233,$P232+$O233))</f>
        <v/>
      </c>
      <c r="Q233" s="35">
        <f>IF($A233&gt;NYears*12,"",IF($D233=12,MIN(WdrPct*IF(WdrBase="Post-tax profit",$K233-$P233,$K233),WdrCap),0))</f>
        <v/>
      </c>
      <c r="R233" s="35">
        <f>IF($A233&gt;NYears*12,"",$F233+$J233-$O233-$Q233)</f>
        <v/>
      </c>
      <c r="S233" s="33">
        <f>IF($A233&gt;NYears*12,"",INT($R233/$E233))</f>
        <v/>
      </c>
    </row>
    <row r="234">
      <c r="A234" s="33">
        <f>230</f>
        <v/>
      </c>
      <c r="B234" s="34">
        <f>IF($A234&gt;NYears*12,"",EDATE(StartMonth,$A234-1))</f>
        <v/>
      </c>
      <c r="C234" s="33">
        <f>IF($A234&gt;NYears*12,"",INT(($A234-1)/12)+1)</f>
        <v/>
      </c>
      <c r="D234" s="33">
        <f>IF($A234&gt;NYears*12,"",MOD($A234-1,12)+1)</f>
        <v/>
      </c>
      <c r="E234" s="35">
        <f>IF($A234&gt;NYears*12,"",LotValue0*(1+LotGrowth)^($C234-1))</f>
        <v/>
      </c>
      <c r="F234" s="35">
        <f>IF($A234&gt;NYears*12,"",IF($A234=1,InitInvest,$R233))</f>
        <v/>
      </c>
      <c r="G234" s="33">
        <f>IF($A234&gt;NYears*12,"",INT($F234/$E234))</f>
        <v/>
      </c>
      <c r="H234" s="35">
        <f>IF($A234&gt;NYears*12,"",$G234*$E234)</f>
        <v/>
      </c>
      <c r="I234" s="35">
        <f>IF($A234&gt;NYears*12,"",$F234-$H234)</f>
        <v/>
      </c>
      <c r="J234" s="35">
        <f>IF($A234&gt;NYears*12,"",$H234*RateD)</f>
        <v/>
      </c>
      <c r="K234" s="35">
        <f>IF($A234&gt;NYears*12,"",IF($D234=1,$J234,$K233+$J234))</f>
        <v/>
      </c>
      <c r="L234" s="35">
        <f>IF($A234&gt;NYears*12,"",IF(MOD($D234,3)=0,SUM($J232:$J234),0))</f>
        <v/>
      </c>
      <c r="M234" s="35">
        <f>IF($A234&gt;NYears*12,"",IF(TaxFreq="Quarterly",$K234*12/$D234,$K234))</f>
        <v/>
      </c>
      <c r="N234" s="36">
        <f>IF($A234&gt;NYears*12,"",LOOKUP($M234,TaxLower,TaxRate))</f>
        <v/>
      </c>
      <c r="O234" s="35">
        <f>IF($A234&gt;NYears*12,"",IF(TaxFreq="Quarterly",IF(MOD($D234,3)=0,$L234*$N234,0),IF($D234=12,$K234*$N234,0)))</f>
        <v/>
      </c>
      <c r="P234" s="35">
        <f>IF($A234&gt;NYears*12,"",IF($D234=1,$O234,$P233+$O234))</f>
        <v/>
      </c>
      <c r="Q234" s="35">
        <f>IF($A234&gt;NYears*12,"",IF($D234=12,MIN(WdrPct*IF(WdrBase="Post-tax profit",$K234-$P234,$K234),WdrCap),0))</f>
        <v/>
      </c>
      <c r="R234" s="35">
        <f>IF($A234&gt;NYears*12,"",$F234+$J234-$O234-$Q234)</f>
        <v/>
      </c>
      <c r="S234" s="33">
        <f>IF($A234&gt;NYears*12,"",INT($R234/$E234))</f>
        <v/>
      </c>
    </row>
    <row r="235">
      <c r="A235" s="33">
        <f>231</f>
        <v/>
      </c>
      <c r="B235" s="34">
        <f>IF($A235&gt;NYears*12,"",EDATE(StartMonth,$A235-1))</f>
        <v/>
      </c>
      <c r="C235" s="33">
        <f>IF($A235&gt;NYears*12,"",INT(($A235-1)/12)+1)</f>
        <v/>
      </c>
      <c r="D235" s="33">
        <f>IF($A235&gt;NYears*12,"",MOD($A235-1,12)+1)</f>
        <v/>
      </c>
      <c r="E235" s="35">
        <f>IF($A235&gt;NYears*12,"",LotValue0*(1+LotGrowth)^($C235-1))</f>
        <v/>
      </c>
      <c r="F235" s="35">
        <f>IF($A235&gt;NYears*12,"",IF($A235=1,InitInvest,$R234))</f>
        <v/>
      </c>
      <c r="G235" s="33">
        <f>IF($A235&gt;NYears*12,"",INT($F235/$E235))</f>
        <v/>
      </c>
      <c r="H235" s="35">
        <f>IF($A235&gt;NYears*12,"",$G235*$E235)</f>
        <v/>
      </c>
      <c r="I235" s="35">
        <f>IF($A235&gt;NYears*12,"",$F235-$H235)</f>
        <v/>
      </c>
      <c r="J235" s="35">
        <f>IF($A235&gt;NYears*12,"",$H235*RateD)</f>
        <v/>
      </c>
      <c r="K235" s="35">
        <f>IF($A235&gt;NYears*12,"",IF($D235=1,$J235,$K234+$J235))</f>
        <v/>
      </c>
      <c r="L235" s="35">
        <f>IF($A235&gt;NYears*12,"",IF(MOD($D235,3)=0,SUM($J233:$J235),0))</f>
        <v/>
      </c>
      <c r="M235" s="35">
        <f>IF($A235&gt;NYears*12,"",IF(TaxFreq="Quarterly",$K235*12/$D235,$K235))</f>
        <v/>
      </c>
      <c r="N235" s="36">
        <f>IF($A235&gt;NYears*12,"",LOOKUP($M235,TaxLower,TaxRate))</f>
        <v/>
      </c>
      <c r="O235" s="35">
        <f>IF($A235&gt;NYears*12,"",IF(TaxFreq="Quarterly",IF(MOD($D235,3)=0,$L235*$N235,0),IF($D235=12,$K235*$N235,0)))</f>
        <v/>
      </c>
      <c r="P235" s="35">
        <f>IF($A235&gt;NYears*12,"",IF($D235=1,$O235,$P234+$O235))</f>
        <v/>
      </c>
      <c r="Q235" s="35">
        <f>IF($A235&gt;NYears*12,"",IF($D235=12,MIN(WdrPct*IF(WdrBase="Post-tax profit",$K235-$P235,$K235),WdrCap),0))</f>
        <v/>
      </c>
      <c r="R235" s="35">
        <f>IF($A235&gt;NYears*12,"",$F235+$J235-$O235-$Q235)</f>
        <v/>
      </c>
      <c r="S235" s="33">
        <f>IF($A235&gt;NYears*12,"",INT($R235/$E235))</f>
        <v/>
      </c>
    </row>
    <row r="236">
      <c r="A236" s="33">
        <f>232</f>
        <v/>
      </c>
      <c r="B236" s="34">
        <f>IF($A236&gt;NYears*12,"",EDATE(StartMonth,$A236-1))</f>
        <v/>
      </c>
      <c r="C236" s="33">
        <f>IF($A236&gt;NYears*12,"",INT(($A236-1)/12)+1)</f>
        <v/>
      </c>
      <c r="D236" s="33">
        <f>IF($A236&gt;NYears*12,"",MOD($A236-1,12)+1)</f>
        <v/>
      </c>
      <c r="E236" s="35">
        <f>IF($A236&gt;NYears*12,"",LotValue0*(1+LotGrowth)^($C236-1))</f>
        <v/>
      </c>
      <c r="F236" s="35">
        <f>IF($A236&gt;NYears*12,"",IF($A236=1,InitInvest,$R235))</f>
        <v/>
      </c>
      <c r="G236" s="33">
        <f>IF($A236&gt;NYears*12,"",INT($F236/$E236))</f>
        <v/>
      </c>
      <c r="H236" s="35">
        <f>IF($A236&gt;NYears*12,"",$G236*$E236)</f>
        <v/>
      </c>
      <c r="I236" s="35">
        <f>IF($A236&gt;NYears*12,"",$F236-$H236)</f>
        <v/>
      </c>
      <c r="J236" s="35">
        <f>IF($A236&gt;NYears*12,"",$H236*RateD)</f>
        <v/>
      </c>
      <c r="K236" s="35">
        <f>IF($A236&gt;NYears*12,"",IF($D236=1,$J236,$K235+$J236))</f>
        <v/>
      </c>
      <c r="L236" s="35">
        <f>IF($A236&gt;NYears*12,"",IF(MOD($D236,3)=0,SUM($J234:$J236),0))</f>
        <v/>
      </c>
      <c r="M236" s="35">
        <f>IF($A236&gt;NYears*12,"",IF(TaxFreq="Quarterly",$K236*12/$D236,$K236))</f>
        <v/>
      </c>
      <c r="N236" s="36">
        <f>IF($A236&gt;NYears*12,"",LOOKUP($M236,TaxLower,TaxRate))</f>
        <v/>
      </c>
      <c r="O236" s="35">
        <f>IF($A236&gt;NYears*12,"",IF(TaxFreq="Quarterly",IF(MOD($D236,3)=0,$L236*$N236,0),IF($D236=12,$K236*$N236,0)))</f>
        <v/>
      </c>
      <c r="P236" s="35">
        <f>IF($A236&gt;NYears*12,"",IF($D236=1,$O236,$P235+$O236))</f>
        <v/>
      </c>
      <c r="Q236" s="35">
        <f>IF($A236&gt;NYears*12,"",IF($D236=12,MIN(WdrPct*IF(WdrBase="Post-tax profit",$K236-$P236,$K236),WdrCap),0))</f>
        <v/>
      </c>
      <c r="R236" s="35">
        <f>IF($A236&gt;NYears*12,"",$F236+$J236-$O236-$Q236)</f>
        <v/>
      </c>
      <c r="S236" s="33">
        <f>IF($A236&gt;NYears*12,"",INT($R236/$E236))</f>
        <v/>
      </c>
    </row>
    <row r="237">
      <c r="A237" s="33">
        <f>233</f>
        <v/>
      </c>
      <c r="B237" s="34">
        <f>IF($A237&gt;NYears*12,"",EDATE(StartMonth,$A237-1))</f>
        <v/>
      </c>
      <c r="C237" s="33">
        <f>IF($A237&gt;NYears*12,"",INT(($A237-1)/12)+1)</f>
        <v/>
      </c>
      <c r="D237" s="33">
        <f>IF($A237&gt;NYears*12,"",MOD($A237-1,12)+1)</f>
        <v/>
      </c>
      <c r="E237" s="35">
        <f>IF($A237&gt;NYears*12,"",LotValue0*(1+LotGrowth)^($C237-1))</f>
        <v/>
      </c>
      <c r="F237" s="35">
        <f>IF($A237&gt;NYears*12,"",IF($A237=1,InitInvest,$R236))</f>
        <v/>
      </c>
      <c r="G237" s="33">
        <f>IF($A237&gt;NYears*12,"",INT($F237/$E237))</f>
        <v/>
      </c>
      <c r="H237" s="35">
        <f>IF($A237&gt;NYears*12,"",$G237*$E237)</f>
        <v/>
      </c>
      <c r="I237" s="35">
        <f>IF($A237&gt;NYears*12,"",$F237-$H237)</f>
        <v/>
      </c>
      <c r="J237" s="35">
        <f>IF($A237&gt;NYears*12,"",$H237*RateD)</f>
        <v/>
      </c>
      <c r="K237" s="35">
        <f>IF($A237&gt;NYears*12,"",IF($D237=1,$J237,$K236+$J237))</f>
        <v/>
      </c>
      <c r="L237" s="35">
        <f>IF($A237&gt;NYears*12,"",IF(MOD($D237,3)=0,SUM($J235:$J237),0))</f>
        <v/>
      </c>
      <c r="M237" s="35">
        <f>IF($A237&gt;NYears*12,"",IF(TaxFreq="Quarterly",$K237*12/$D237,$K237))</f>
        <v/>
      </c>
      <c r="N237" s="36">
        <f>IF($A237&gt;NYears*12,"",LOOKUP($M237,TaxLower,TaxRate))</f>
        <v/>
      </c>
      <c r="O237" s="35">
        <f>IF($A237&gt;NYears*12,"",IF(TaxFreq="Quarterly",IF(MOD($D237,3)=0,$L237*$N237,0),IF($D237=12,$K237*$N237,0)))</f>
        <v/>
      </c>
      <c r="P237" s="35">
        <f>IF($A237&gt;NYears*12,"",IF($D237=1,$O237,$P236+$O237))</f>
        <v/>
      </c>
      <c r="Q237" s="35">
        <f>IF($A237&gt;NYears*12,"",IF($D237=12,MIN(WdrPct*IF(WdrBase="Post-tax profit",$K237-$P237,$K237),WdrCap),0))</f>
        <v/>
      </c>
      <c r="R237" s="35">
        <f>IF($A237&gt;NYears*12,"",$F237+$J237-$O237-$Q237)</f>
        <v/>
      </c>
      <c r="S237" s="33">
        <f>IF($A237&gt;NYears*12,"",INT($R237/$E237))</f>
        <v/>
      </c>
    </row>
    <row r="238">
      <c r="A238" s="33">
        <f>234</f>
        <v/>
      </c>
      <c r="B238" s="34">
        <f>IF($A238&gt;NYears*12,"",EDATE(StartMonth,$A238-1))</f>
        <v/>
      </c>
      <c r="C238" s="33">
        <f>IF($A238&gt;NYears*12,"",INT(($A238-1)/12)+1)</f>
        <v/>
      </c>
      <c r="D238" s="33">
        <f>IF($A238&gt;NYears*12,"",MOD($A238-1,12)+1)</f>
        <v/>
      </c>
      <c r="E238" s="35">
        <f>IF($A238&gt;NYears*12,"",LotValue0*(1+LotGrowth)^($C238-1))</f>
        <v/>
      </c>
      <c r="F238" s="35">
        <f>IF($A238&gt;NYears*12,"",IF($A238=1,InitInvest,$R237))</f>
        <v/>
      </c>
      <c r="G238" s="33">
        <f>IF($A238&gt;NYears*12,"",INT($F238/$E238))</f>
        <v/>
      </c>
      <c r="H238" s="35">
        <f>IF($A238&gt;NYears*12,"",$G238*$E238)</f>
        <v/>
      </c>
      <c r="I238" s="35">
        <f>IF($A238&gt;NYears*12,"",$F238-$H238)</f>
        <v/>
      </c>
      <c r="J238" s="35">
        <f>IF($A238&gt;NYears*12,"",$H238*RateD)</f>
        <v/>
      </c>
      <c r="K238" s="35">
        <f>IF($A238&gt;NYears*12,"",IF($D238=1,$J238,$K237+$J238))</f>
        <v/>
      </c>
      <c r="L238" s="35">
        <f>IF($A238&gt;NYears*12,"",IF(MOD($D238,3)=0,SUM($J236:$J238),0))</f>
        <v/>
      </c>
      <c r="M238" s="35">
        <f>IF($A238&gt;NYears*12,"",IF(TaxFreq="Quarterly",$K238*12/$D238,$K238))</f>
        <v/>
      </c>
      <c r="N238" s="36">
        <f>IF($A238&gt;NYears*12,"",LOOKUP($M238,TaxLower,TaxRate))</f>
        <v/>
      </c>
      <c r="O238" s="35">
        <f>IF($A238&gt;NYears*12,"",IF(TaxFreq="Quarterly",IF(MOD($D238,3)=0,$L238*$N238,0),IF($D238=12,$K238*$N238,0)))</f>
        <v/>
      </c>
      <c r="P238" s="35">
        <f>IF($A238&gt;NYears*12,"",IF($D238=1,$O238,$P237+$O238))</f>
        <v/>
      </c>
      <c r="Q238" s="35">
        <f>IF($A238&gt;NYears*12,"",IF($D238=12,MIN(WdrPct*IF(WdrBase="Post-tax profit",$K238-$P238,$K238),WdrCap),0))</f>
        <v/>
      </c>
      <c r="R238" s="35">
        <f>IF($A238&gt;NYears*12,"",$F238+$J238-$O238-$Q238)</f>
        <v/>
      </c>
      <c r="S238" s="33">
        <f>IF($A238&gt;NYears*12,"",INT($R238/$E238))</f>
        <v/>
      </c>
    </row>
    <row r="239">
      <c r="A239" s="33">
        <f>235</f>
        <v/>
      </c>
      <c r="B239" s="34">
        <f>IF($A239&gt;NYears*12,"",EDATE(StartMonth,$A239-1))</f>
        <v/>
      </c>
      <c r="C239" s="33">
        <f>IF($A239&gt;NYears*12,"",INT(($A239-1)/12)+1)</f>
        <v/>
      </c>
      <c r="D239" s="33">
        <f>IF($A239&gt;NYears*12,"",MOD($A239-1,12)+1)</f>
        <v/>
      </c>
      <c r="E239" s="35">
        <f>IF($A239&gt;NYears*12,"",LotValue0*(1+LotGrowth)^($C239-1))</f>
        <v/>
      </c>
      <c r="F239" s="35">
        <f>IF($A239&gt;NYears*12,"",IF($A239=1,InitInvest,$R238))</f>
        <v/>
      </c>
      <c r="G239" s="33">
        <f>IF($A239&gt;NYears*12,"",INT($F239/$E239))</f>
        <v/>
      </c>
      <c r="H239" s="35">
        <f>IF($A239&gt;NYears*12,"",$G239*$E239)</f>
        <v/>
      </c>
      <c r="I239" s="35">
        <f>IF($A239&gt;NYears*12,"",$F239-$H239)</f>
        <v/>
      </c>
      <c r="J239" s="35">
        <f>IF($A239&gt;NYears*12,"",$H239*RateD)</f>
        <v/>
      </c>
      <c r="K239" s="35">
        <f>IF($A239&gt;NYears*12,"",IF($D239=1,$J239,$K238+$J239))</f>
        <v/>
      </c>
      <c r="L239" s="35">
        <f>IF($A239&gt;NYears*12,"",IF(MOD($D239,3)=0,SUM($J237:$J239),0))</f>
        <v/>
      </c>
      <c r="M239" s="35">
        <f>IF($A239&gt;NYears*12,"",IF(TaxFreq="Quarterly",$K239*12/$D239,$K239))</f>
        <v/>
      </c>
      <c r="N239" s="36">
        <f>IF($A239&gt;NYears*12,"",LOOKUP($M239,TaxLower,TaxRate))</f>
        <v/>
      </c>
      <c r="O239" s="35">
        <f>IF($A239&gt;NYears*12,"",IF(TaxFreq="Quarterly",IF(MOD($D239,3)=0,$L239*$N239,0),IF($D239=12,$K239*$N239,0)))</f>
        <v/>
      </c>
      <c r="P239" s="35">
        <f>IF($A239&gt;NYears*12,"",IF($D239=1,$O239,$P238+$O239))</f>
        <v/>
      </c>
      <c r="Q239" s="35">
        <f>IF($A239&gt;NYears*12,"",IF($D239=12,MIN(WdrPct*IF(WdrBase="Post-tax profit",$K239-$P239,$K239),WdrCap),0))</f>
        <v/>
      </c>
      <c r="R239" s="35">
        <f>IF($A239&gt;NYears*12,"",$F239+$J239-$O239-$Q239)</f>
        <v/>
      </c>
      <c r="S239" s="33">
        <f>IF($A239&gt;NYears*12,"",INT($R239/$E239))</f>
        <v/>
      </c>
    </row>
    <row r="240">
      <c r="A240" s="33">
        <f>236</f>
        <v/>
      </c>
      <c r="B240" s="34">
        <f>IF($A240&gt;NYears*12,"",EDATE(StartMonth,$A240-1))</f>
        <v/>
      </c>
      <c r="C240" s="33">
        <f>IF($A240&gt;NYears*12,"",INT(($A240-1)/12)+1)</f>
        <v/>
      </c>
      <c r="D240" s="33">
        <f>IF($A240&gt;NYears*12,"",MOD($A240-1,12)+1)</f>
        <v/>
      </c>
      <c r="E240" s="35">
        <f>IF($A240&gt;NYears*12,"",LotValue0*(1+LotGrowth)^($C240-1))</f>
        <v/>
      </c>
      <c r="F240" s="35">
        <f>IF($A240&gt;NYears*12,"",IF($A240=1,InitInvest,$R239))</f>
        <v/>
      </c>
      <c r="G240" s="33">
        <f>IF($A240&gt;NYears*12,"",INT($F240/$E240))</f>
        <v/>
      </c>
      <c r="H240" s="35">
        <f>IF($A240&gt;NYears*12,"",$G240*$E240)</f>
        <v/>
      </c>
      <c r="I240" s="35">
        <f>IF($A240&gt;NYears*12,"",$F240-$H240)</f>
        <v/>
      </c>
      <c r="J240" s="35">
        <f>IF($A240&gt;NYears*12,"",$H240*RateD)</f>
        <v/>
      </c>
      <c r="K240" s="35">
        <f>IF($A240&gt;NYears*12,"",IF($D240=1,$J240,$K239+$J240))</f>
        <v/>
      </c>
      <c r="L240" s="35">
        <f>IF($A240&gt;NYears*12,"",IF(MOD($D240,3)=0,SUM($J238:$J240),0))</f>
        <v/>
      </c>
      <c r="M240" s="35">
        <f>IF($A240&gt;NYears*12,"",IF(TaxFreq="Quarterly",$K240*12/$D240,$K240))</f>
        <v/>
      </c>
      <c r="N240" s="36">
        <f>IF($A240&gt;NYears*12,"",LOOKUP($M240,TaxLower,TaxRate))</f>
        <v/>
      </c>
      <c r="O240" s="35">
        <f>IF($A240&gt;NYears*12,"",IF(TaxFreq="Quarterly",IF(MOD($D240,3)=0,$L240*$N240,0),IF($D240=12,$K240*$N240,0)))</f>
        <v/>
      </c>
      <c r="P240" s="35">
        <f>IF($A240&gt;NYears*12,"",IF($D240=1,$O240,$P239+$O240))</f>
        <v/>
      </c>
      <c r="Q240" s="35">
        <f>IF($A240&gt;NYears*12,"",IF($D240=12,MIN(WdrPct*IF(WdrBase="Post-tax profit",$K240-$P240,$K240),WdrCap),0))</f>
        <v/>
      </c>
      <c r="R240" s="35">
        <f>IF($A240&gt;NYears*12,"",$F240+$J240-$O240-$Q240)</f>
        <v/>
      </c>
      <c r="S240" s="33">
        <f>IF($A240&gt;NYears*12,"",INT($R240/$E240))</f>
        <v/>
      </c>
    </row>
    <row r="241">
      <c r="A241" s="33">
        <f>237</f>
        <v/>
      </c>
      <c r="B241" s="34">
        <f>IF($A241&gt;NYears*12,"",EDATE(StartMonth,$A241-1))</f>
        <v/>
      </c>
      <c r="C241" s="33">
        <f>IF($A241&gt;NYears*12,"",INT(($A241-1)/12)+1)</f>
        <v/>
      </c>
      <c r="D241" s="33">
        <f>IF($A241&gt;NYears*12,"",MOD($A241-1,12)+1)</f>
        <v/>
      </c>
      <c r="E241" s="35">
        <f>IF($A241&gt;NYears*12,"",LotValue0*(1+LotGrowth)^($C241-1))</f>
        <v/>
      </c>
      <c r="F241" s="35">
        <f>IF($A241&gt;NYears*12,"",IF($A241=1,InitInvest,$R240))</f>
        <v/>
      </c>
      <c r="G241" s="33">
        <f>IF($A241&gt;NYears*12,"",INT($F241/$E241))</f>
        <v/>
      </c>
      <c r="H241" s="35">
        <f>IF($A241&gt;NYears*12,"",$G241*$E241)</f>
        <v/>
      </c>
      <c r="I241" s="35">
        <f>IF($A241&gt;NYears*12,"",$F241-$H241)</f>
        <v/>
      </c>
      <c r="J241" s="35">
        <f>IF($A241&gt;NYears*12,"",$H241*RateD)</f>
        <v/>
      </c>
      <c r="K241" s="35">
        <f>IF($A241&gt;NYears*12,"",IF($D241=1,$J241,$K240+$J241))</f>
        <v/>
      </c>
      <c r="L241" s="35">
        <f>IF($A241&gt;NYears*12,"",IF(MOD($D241,3)=0,SUM($J239:$J241),0))</f>
        <v/>
      </c>
      <c r="M241" s="35">
        <f>IF($A241&gt;NYears*12,"",IF(TaxFreq="Quarterly",$K241*12/$D241,$K241))</f>
        <v/>
      </c>
      <c r="N241" s="36">
        <f>IF($A241&gt;NYears*12,"",LOOKUP($M241,TaxLower,TaxRate))</f>
        <v/>
      </c>
      <c r="O241" s="35">
        <f>IF($A241&gt;NYears*12,"",IF(TaxFreq="Quarterly",IF(MOD($D241,3)=0,$L241*$N241,0),IF($D241=12,$K241*$N241,0)))</f>
        <v/>
      </c>
      <c r="P241" s="35">
        <f>IF($A241&gt;NYears*12,"",IF($D241=1,$O241,$P240+$O241))</f>
        <v/>
      </c>
      <c r="Q241" s="35">
        <f>IF($A241&gt;NYears*12,"",IF($D241=12,MIN(WdrPct*IF(WdrBase="Post-tax profit",$K241-$P241,$K241),WdrCap),0))</f>
        <v/>
      </c>
      <c r="R241" s="35">
        <f>IF($A241&gt;NYears*12,"",$F241+$J241-$O241-$Q241)</f>
        <v/>
      </c>
      <c r="S241" s="33">
        <f>IF($A241&gt;NYears*12,"",INT($R241/$E241))</f>
        <v/>
      </c>
    </row>
    <row r="242">
      <c r="A242" s="33">
        <f>238</f>
        <v/>
      </c>
      <c r="B242" s="34">
        <f>IF($A242&gt;NYears*12,"",EDATE(StartMonth,$A242-1))</f>
        <v/>
      </c>
      <c r="C242" s="33">
        <f>IF($A242&gt;NYears*12,"",INT(($A242-1)/12)+1)</f>
        <v/>
      </c>
      <c r="D242" s="33">
        <f>IF($A242&gt;NYears*12,"",MOD($A242-1,12)+1)</f>
        <v/>
      </c>
      <c r="E242" s="35">
        <f>IF($A242&gt;NYears*12,"",LotValue0*(1+LotGrowth)^($C242-1))</f>
        <v/>
      </c>
      <c r="F242" s="35">
        <f>IF($A242&gt;NYears*12,"",IF($A242=1,InitInvest,$R241))</f>
        <v/>
      </c>
      <c r="G242" s="33">
        <f>IF($A242&gt;NYears*12,"",INT($F242/$E242))</f>
        <v/>
      </c>
      <c r="H242" s="35">
        <f>IF($A242&gt;NYears*12,"",$G242*$E242)</f>
        <v/>
      </c>
      <c r="I242" s="35">
        <f>IF($A242&gt;NYears*12,"",$F242-$H242)</f>
        <v/>
      </c>
      <c r="J242" s="35">
        <f>IF($A242&gt;NYears*12,"",$H242*RateD)</f>
        <v/>
      </c>
      <c r="K242" s="35">
        <f>IF($A242&gt;NYears*12,"",IF($D242=1,$J242,$K241+$J242))</f>
        <v/>
      </c>
      <c r="L242" s="35">
        <f>IF($A242&gt;NYears*12,"",IF(MOD($D242,3)=0,SUM($J240:$J242),0))</f>
        <v/>
      </c>
      <c r="M242" s="35">
        <f>IF($A242&gt;NYears*12,"",IF(TaxFreq="Quarterly",$K242*12/$D242,$K242))</f>
        <v/>
      </c>
      <c r="N242" s="36">
        <f>IF($A242&gt;NYears*12,"",LOOKUP($M242,TaxLower,TaxRate))</f>
        <v/>
      </c>
      <c r="O242" s="35">
        <f>IF($A242&gt;NYears*12,"",IF(TaxFreq="Quarterly",IF(MOD($D242,3)=0,$L242*$N242,0),IF($D242=12,$K242*$N242,0)))</f>
        <v/>
      </c>
      <c r="P242" s="35">
        <f>IF($A242&gt;NYears*12,"",IF($D242=1,$O242,$P241+$O242))</f>
        <v/>
      </c>
      <c r="Q242" s="35">
        <f>IF($A242&gt;NYears*12,"",IF($D242=12,MIN(WdrPct*IF(WdrBase="Post-tax profit",$K242-$P242,$K242),WdrCap),0))</f>
        <v/>
      </c>
      <c r="R242" s="35">
        <f>IF($A242&gt;NYears*12,"",$F242+$J242-$O242-$Q242)</f>
        <v/>
      </c>
      <c r="S242" s="33">
        <f>IF($A242&gt;NYears*12,"",INT($R242/$E242))</f>
        <v/>
      </c>
    </row>
    <row r="243">
      <c r="A243" s="33">
        <f>239</f>
        <v/>
      </c>
      <c r="B243" s="34">
        <f>IF($A243&gt;NYears*12,"",EDATE(StartMonth,$A243-1))</f>
        <v/>
      </c>
      <c r="C243" s="33">
        <f>IF($A243&gt;NYears*12,"",INT(($A243-1)/12)+1)</f>
        <v/>
      </c>
      <c r="D243" s="33">
        <f>IF($A243&gt;NYears*12,"",MOD($A243-1,12)+1)</f>
        <v/>
      </c>
      <c r="E243" s="35">
        <f>IF($A243&gt;NYears*12,"",LotValue0*(1+LotGrowth)^($C243-1))</f>
        <v/>
      </c>
      <c r="F243" s="35">
        <f>IF($A243&gt;NYears*12,"",IF($A243=1,InitInvest,$R242))</f>
        <v/>
      </c>
      <c r="G243" s="33">
        <f>IF($A243&gt;NYears*12,"",INT($F243/$E243))</f>
        <v/>
      </c>
      <c r="H243" s="35">
        <f>IF($A243&gt;NYears*12,"",$G243*$E243)</f>
        <v/>
      </c>
      <c r="I243" s="35">
        <f>IF($A243&gt;NYears*12,"",$F243-$H243)</f>
        <v/>
      </c>
      <c r="J243" s="35">
        <f>IF($A243&gt;NYears*12,"",$H243*RateD)</f>
        <v/>
      </c>
      <c r="K243" s="35">
        <f>IF($A243&gt;NYears*12,"",IF($D243=1,$J243,$K242+$J243))</f>
        <v/>
      </c>
      <c r="L243" s="35">
        <f>IF($A243&gt;NYears*12,"",IF(MOD($D243,3)=0,SUM($J241:$J243),0))</f>
        <v/>
      </c>
      <c r="M243" s="35">
        <f>IF($A243&gt;NYears*12,"",IF(TaxFreq="Quarterly",$K243*12/$D243,$K243))</f>
        <v/>
      </c>
      <c r="N243" s="36">
        <f>IF($A243&gt;NYears*12,"",LOOKUP($M243,TaxLower,TaxRate))</f>
        <v/>
      </c>
      <c r="O243" s="35">
        <f>IF($A243&gt;NYears*12,"",IF(TaxFreq="Quarterly",IF(MOD($D243,3)=0,$L243*$N243,0),IF($D243=12,$K243*$N243,0)))</f>
        <v/>
      </c>
      <c r="P243" s="35">
        <f>IF($A243&gt;NYears*12,"",IF($D243=1,$O243,$P242+$O243))</f>
        <v/>
      </c>
      <c r="Q243" s="35">
        <f>IF($A243&gt;NYears*12,"",IF($D243=12,MIN(WdrPct*IF(WdrBase="Post-tax profit",$K243-$P243,$K243),WdrCap),0))</f>
        <v/>
      </c>
      <c r="R243" s="35">
        <f>IF($A243&gt;NYears*12,"",$F243+$J243-$O243-$Q243)</f>
        <v/>
      </c>
      <c r="S243" s="33">
        <f>IF($A243&gt;NYears*12,"",INT($R243/$E243))</f>
        <v/>
      </c>
    </row>
    <row r="244">
      <c r="A244" s="37">
        <f>240</f>
        <v/>
      </c>
      <c r="B244" s="38">
        <f>IF($A244&gt;NYears*12,"",EDATE(StartMonth,$A244-1))</f>
        <v/>
      </c>
      <c r="C244" s="37">
        <f>IF($A244&gt;NYears*12,"",INT(($A244-1)/12)+1)</f>
        <v/>
      </c>
      <c r="D244" s="37">
        <f>IF($A244&gt;NYears*12,"",MOD($A244-1,12)+1)</f>
        <v/>
      </c>
      <c r="E244" s="39">
        <f>IF($A244&gt;NYears*12,"",LotValue0*(1+LotGrowth)^($C244-1))</f>
        <v/>
      </c>
      <c r="F244" s="39">
        <f>IF($A244&gt;NYears*12,"",IF($A244=1,InitInvest,$R243))</f>
        <v/>
      </c>
      <c r="G244" s="37">
        <f>IF($A244&gt;NYears*12,"",INT($F244/$E244))</f>
        <v/>
      </c>
      <c r="H244" s="39">
        <f>IF($A244&gt;NYears*12,"",$G244*$E244)</f>
        <v/>
      </c>
      <c r="I244" s="39">
        <f>IF($A244&gt;NYears*12,"",$F244-$H244)</f>
        <v/>
      </c>
      <c r="J244" s="39">
        <f>IF($A244&gt;NYears*12,"",$H244*RateD)</f>
        <v/>
      </c>
      <c r="K244" s="39">
        <f>IF($A244&gt;NYears*12,"",IF($D244=1,$J244,$K243+$J244))</f>
        <v/>
      </c>
      <c r="L244" s="39">
        <f>IF($A244&gt;NYears*12,"",IF(MOD($D244,3)=0,SUM($J242:$J244),0))</f>
        <v/>
      </c>
      <c r="M244" s="39">
        <f>IF($A244&gt;NYears*12,"",IF(TaxFreq="Quarterly",$K244*12/$D244,$K244))</f>
        <v/>
      </c>
      <c r="N244" s="40">
        <f>IF($A244&gt;NYears*12,"",LOOKUP($M244,TaxLower,TaxRate))</f>
        <v/>
      </c>
      <c r="O244" s="39">
        <f>IF($A244&gt;NYears*12,"",IF(TaxFreq="Quarterly",IF(MOD($D244,3)=0,$L244*$N244,0),IF($D244=12,$K244*$N244,0)))</f>
        <v/>
      </c>
      <c r="P244" s="39">
        <f>IF($A244&gt;NYears*12,"",IF($D244=1,$O244,$P243+$O244))</f>
        <v/>
      </c>
      <c r="Q244" s="39">
        <f>IF($A244&gt;NYears*12,"",IF($D244=12,MIN(WdrPct*IF(WdrBase="Post-tax profit",$K244-$P244,$K244),WdrCap),0))</f>
        <v/>
      </c>
      <c r="R244" s="39">
        <f>IF($A244&gt;NYears*12,"",$F244+$J244-$O244-$Q244)</f>
        <v/>
      </c>
      <c r="S244" s="37">
        <f>IF($A244&gt;NYears*12,"",INT($R244/$E244))</f>
        <v/>
      </c>
    </row>
    <row r="245">
      <c r="A245" s="33">
        <f>241</f>
        <v/>
      </c>
      <c r="B245" s="34">
        <f>IF($A245&gt;NYears*12,"",EDATE(StartMonth,$A245-1))</f>
        <v/>
      </c>
      <c r="C245" s="33">
        <f>IF($A245&gt;NYears*12,"",INT(($A245-1)/12)+1)</f>
        <v/>
      </c>
      <c r="D245" s="33">
        <f>IF($A245&gt;NYears*12,"",MOD($A245-1,12)+1)</f>
        <v/>
      </c>
      <c r="E245" s="35">
        <f>IF($A245&gt;NYears*12,"",LotValue0*(1+LotGrowth)^($C245-1))</f>
        <v/>
      </c>
      <c r="F245" s="35">
        <f>IF($A245&gt;NYears*12,"",IF($A245=1,InitInvest,$R244))</f>
        <v/>
      </c>
      <c r="G245" s="33">
        <f>IF($A245&gt;NYears*12,"",INT($F245/$E245))</f>
        <v/>
      </c>
      <c r="H245" s="35">
        <f>IF($A245&gt;NYears*12,"",$G245*$E245)</f>
        <v/>
      </c>
      <c r="I245" s="35">
        <f>IF($A245&gt;NYears*12,"",$F245-$H245)</f>
        <v/>
      </c>
      <c r="J245" s="35">
        <f>IF($A245&gt;NYears*12,"",$H245*RateD)</f>
        <v/>
      </c>
      <c r="K245" s="35">
        <f>IF($A245&gt;NYears*12,"",IF($D245=1,$J245,$K244+$J245))</f>
        <v/>
      </c>
      <c r="L245" s="35">
        <f>IF($A245&gt;NYears*12,"",IF(MOD($D245,3)=0,SUM($J243:$J245),0))</f>
        <v/>
      </c>
      <c r="M245" s="35">
        <f>IF($A245&gt;NYears*12,"",IF(TaxFreq="Quarterly",$K245*12/$D245,$K245))</f>
        <v/>
      </c>
      <c r="N245" s="36">
        <f>IF($A245&gt;NYears*12,"",LOOKUP($M245,TaxLower,TaxRate))</f>
        <v/>
      </c>
      <c r="O245" s="35">
        <f>IF($A245&gt;NYears*12,"",IF(TaxFreq="Quarterly",IF(MOD($D245,3)=0,$L245*$N245,0),IF($D245=12,$K245*$N245,0)))</f>
        <v/>
      </c>
      <c r="P245" s="35">
        <f>IF($A245&gt;NYears*12,"",IF($D245=1,$O245,$P244+$O245))</f>
        <v/>
      </c>
      <c r="Q245" s="35">
        <f>IF($A245&gt;NYears*12,"",IF($D245=12,MIN(WdrPct*IF(WdrBase="Post-tax profit",$K245-$P245,$K245),WdrCap),0))</f>
        <v/>
      </c>
      <c r="R245" s="35">
        <f>IF($A245&gt;NYears*12,"",$F245+$J245-$O245-$Q245)</f>
        <v/>
      </c>
      <c r="S245" s="33">
        <f>IF($A245&gt;NYears*12,"",INT($R245/$E245))</f>
        <v/>
      </c>
    </row>
    <row r="246">
      <c r="A246" s="33">
        <f>242</f>
        <v/>
      </c>
      <c r="B246" s="34">
        <f>IF($A246&gt;NYears*12,"",EDATE(StartMonth,$A246-1))</f>
        <v/>
      </c>
      <c r="C246" s="33">
        <f>IF($A246&gt;NYears*12,"",INT(($A246-1)/12)+1)</f>
        <v/>
      </c>
      <c r="D246" s="33">
        <f>IF($A246&gt;NYears*12,"",MOD($A246-1,12)+1)</f>
        <v/>
      </c>
      <c r="E246" s="35">
        <f>IF($A246&gt;NYears*12,"",LotValue0*(1+LotGrowth)^($C246-1))</f>
        <v/>
      </c>
      <c r="F246" s="35">
        <f>IF($A246&gt;NYears*12,"",IF($A246=1,InitInvest,$R245))</f>
        <v/>
      </c>
      <c r="G246" s="33">
        <f>IF($A246&gt;NYears*12,"",INT($F246/$E246))</f>
        <v/>
      </c>
      <c r="H246" s="35">
        <f>IF($A246&gt;NYears*12,"",$G246*$E246)</f>
        <v/>
      </c>
      <c r="I246" s="35">
        <f>IF($A246&gt;NYears*12,"",$F246-$H246)</f>
        <v/>
      </c>
      <c r="J246" s="35">
        <f>IF($A246&gt;NYears*12,"",$H246*RateD)</f>
        <v/>
      </c>
      <c r="K246" s="35">
        <f>IF($A246&gt;NYears*12,"",IF($D246=1,$J246,$K245+$J246))</f>
        <v/>
      </c>
      <c r="L246" s="35">
        <f>IF($A246&gt;NYears*12,"",IF(MOD($D246,3)=0,SUM($J244:$J246),0))</f>
        <v/>
      </c>
      <c r="M246" s="35">
        <f>IF($A246&gt;NYears*12,"",IF(TaxFreq="Quarterly",$K246*12/$D246,$K246))</f>
        <v/>
      </c>
      <c r="N246" s="36">
        <f>IF($A246&gt;NYears*12,"",LOOKUP($M246,TaxLower,TaxRate))</f>
        <v/>
      </c>
      <c r="O246" s="35">
        <f>IF($A246&gt;NYears*12,"",IF(TaxFreq="Quarterly",IF(MOD($D246,3)=0,$L246*$N246,0),IF($D246=12,$K246*$N246,0)))</f>
        <v/>
      </c>
      <c r="P246" s="35">
        <f>IF($A246&gt;NYears*12,"",IF($D246=1,$O246,$P245+$O246))</f>
        <v/>
      </c>
      <c r="Q246" s="35">
        <f>IF($A246&gt;NYears*12,"",IF($D246=12,MIN(WdrPct*IF(WdrBase="Post-tax profit",$K246-$P246,$K246),WdrCap),0))</f>
        <v/>
      </c>
      <c r="R246" s="35">
        <f>IF($A246&gt;NYears*12,"",$F246+$J246-$O246-$Q246)</f>
        <v/>
      </c>
      <c r="S246" s="33">
        <f>IF($A246&gt;NYears*12,"",INT($R246/$E246))</f>
        <v/>
      </c>
    </row>
    <row r="247">
      <c r="A247" s="33">
        <f>243</f>
        <v/>
      </c>
      <c r="B247" s="34">
        <f>IF($A247&gt;NYears*12,"",EDATE(StartMonth,$A247-1))</f>
        <v/>
      </c>
      <c r="C247" s="33">
        <f>IF($A247&gt;NYears*12,"",INT(($A247-1)/12)+1)</f>
        <v/>
      </c>
      <c r="D247" s="33">
        <f>IF($A247&gt;NYears*12,"",MOD($A247-1,12)+1)</f>
        <v/>
      </c>
      <c r="E247" s="35">
        <f>IF($A247&gt;NYears*12,"",LotValue0*(1+LotGrowth)^($C247-1))</f>
        <v/>
      </c>
      <c r="F247" s="35">
        <f>IF($A247&gt;NYears*12,"",IF($A247=1,InitInvest,$R246))</f>
        <v/>
      </c>
      <c r="G247" s="33">
        <f>IF($A247&gt;NYears*12,"",INT($F247/$E247))</f>
        <v/>
      </c>
      <c r="H247" s="35">
        <f>IF($A247&gt;NYears*12,"",$G247*$E247)</f>
        <v/>
      </c>
      <c r="I247" s="35">
        <f>IF($A247&gt;NYears*12,"",$F247-$H247)</f>
        <v/>
      </c>
      <c r="J247" s="35">
        <f>IF($A247&gt;NYears*12,"",$H247*RateD)</f>
        <v/>
      </c>
      <c r="K247" s="35">
        <f>IF($A247&gt;NYears*12,"",IF($D247=1,$J247,$K246+$J247))</f>
        <v/>
      </c>
      <c r="L247" s="35">
        <f>IF($A247&gt;NYears*12,"",IF(MOD($D247,3)=0,SUM($J245:$J247),0))</f>
        <v/>
      </c>
      <c r="M247" s="35">
        <f>IF($A247&gt;NYears*12,"",IF(TaxFreq="Quarterly",$K247*12/$D247,$K247))</f>
        <v/>
      </c>
      <c r="N247" s="36">
        <f>IF($A247&gt;NYears*12,"",LOOKUP($M247,TaxLower,TaxRate))</f>
        <v/>
      </c>
      <c r="O247" s="35">
        <f>IF($A247&gt;NYears*12,"",IF(TaxFreq="Quarterly",IF(MOD($D247,3)=0,$L247*$N247,0),IF($D247=12,$K247*$N247,0)))</f>
        <v/>
      </c>
      <c r="P247" s="35">
        <f>IF($A247&gt;NYears*12,"",IF($D247=1,$O247,$P246+$O247))</f>
        <v/>
      </c>
      <c r="Q247" s="35">
        <f>IF($A247&gt;NYears*12,"",IF($D247=12,MIN(WdrPct*IF(WdrBase="Post-tax profit",$K247-$P247,$K247),WdrCap),0))</f>
        <v/>
      </c>
      <c r="R247" s="35">
        <f>IF($A247&gt;NYears*12,"",$F247+$J247-$O247-$Q247)</f>
        <v/>
      </c>
      <c r="S247" s="33">
        <f>IF($A247&gt;NYears*12,"",INT($R247/$E247))</f>
        <v/>
      </c>
    </row>
    <row r="248">
      <c r="A248" s="33">
        <f>244</f>
        <v/>
      </c>
      <c r="B248" s="34">
        <f>IF($A248&gt;NYears*12,"",EDATE(StartMonth,$A248-1))</f>
        <v/>
      </c>
      <c r="C248" s="33">
        <f>IF($A248&gt;NYears*12,"",INT(($A248-1)/12)+1)</f>
        <v/>
      </c>
      <c r="D248" s="33">
        <f>IF($A248&gt;NYears*12,"",MOD($A248-1,12)+1)</f>
        <v/>
      </c>
      <c r="E248" s="35">
        <f>IF($A248&gt;NYears*12,"",LotValue0*(1+LotGrowth)^($C248-1))</f>
        <v/>
      </c>
      <c r="F248" s="35">
        <f>IF($A248&gt;NYears*12,"",IF($A248=1,InitInvest,$R247))</f>
        <v/>
      </c>
      <c r="G248" s="33">
        <f>IF($A248&gt;NYears*12,"",INT($F248/$E248))</f>
        <v/>
      </c>
      <c r="H248" s="35">
        <f>IF($A248&gt;NYears*12,"",$G248*$E248)</f>
        <v/>
      </c>
      <c r="I248" s="35">
        <f>IF($A248&gt;NYears*12,"",$F248-$H248)</f>
        <v/>
      </c>
      <c r="J248" s="35">
        <f>IF($A248&gt;NYears*12,"",$H248*RateD)</f>
        <v/>
      </c>
      <c r="K248" s="35">
        <f>IF($A248&gt;NYears*12,"",IF($D248=1,$J248,$K247+$J248))</f>
        <v/>
      </c>
      <c r="L248" s="35">
        <f>IF($A248&gt;NYears*12,"",IF(MOD($D248,3)=0,SUM($J246:$J248),0))</f>
        <v/>
      </c>
      <c r="M248" s="35">
        <f>IF($A248&gt;NYears*12,"",IF(TaxFreq="Quarterly",$K248*12/$D248,$K248))</f>
        <v/>
      </c>
      <c r="N248" s="36">
        <f>IF($A248&gt;NYears*12,"",LOOKUP($M248,TaxLower,TaxRate))</f>
        <v/>
      </c>
      <c r="O248" s="35">
        <f>IF($A248&gt;NYears*12,"",IF(TaxFreq="Quarterly",IF(MOD($D248,3)=0,$L248*$N248,0),IF($D248=12,$K248*$N248,0)))</f>
        <v/>
      </c>
      <c r="P248" s="35">
        <f>IF($A248&gt;NYears*12,"",IF($D248=1,$O248,$P247+$O248))</f>
        <v/>
      </c>
      <c r="Q248" s="35">
        <f>IF($A248&gt;NYears*12,"",IF($D248=12,MIN(WdrPct*IF(WdrBase="Post-tax profit",$K248-$P248,$K248),WdrCap),0))</f>
        <v/>
      </c>
      <c r="R248" s="35">
        <f>IF($A248&gt;NYears*12,"",$F248+$J248-$O248-$Q248)</f>
        <v/>
      </c>
      <c r="S248" s="33">
        <f>IF($A248&gt;NYears*12,"",INT($R248/$E248))</f>
        <v/>
      </c>
    </row>
    <row r="249">
      <c r="A249" s="33">
        <f>245</f>
        <v/>
      </c>
      <c r="B249" s="34">
        <f>IF($A249&gt;NYears*12,"",EDATE(StartMonth,$A249-1))</f>
        <v/>
      </c>
      <c r="C249" s="33">
        <f>IF($A249&gt;NYears*12,"",INT(($A249-1)/12)+1)</f>
        <v/>
      </c>
      <c r="D249" s="33">
        <f>IF($A249&gt;NYears*12,"",MOD($A249-1,12)+1)</f>
        <v/>
      </c>
      <c r="E249" s="35">
        <f>IF($A249&gt;NYears*12,"",LotValue0*(1+LotGrowth)^($C249-1))</f>
        <v/>
      </c>
      <c r="F249" s="35">
        <f>IF($A249&gt;NYears*12,"",IF($A249=1,InitInvest,$R248))</f>
        <v/>
      </c>
      <c r="G249" s="33">
        <f>IF($A249&gt;NYears*12,"",INT($F249/$E249))</f>
        <v/>
      </c>
      <c r="H249" s="35">
        <f>IF($A249&gt;NYears*12,"",$G249*$E249)</f>
        <v/>
      </c>
      <c r="I249" s="35">
        <f>IF($A249&gt;NYears*12,"",$F249-$H249)</f>
        <v/>
      </c>
      <c r="J249" s="35">
        <f>IF($A249&gt;NYears*12,"",$H249*RateD)</f>
        <v/>
      </c>
      <c r="K249" s="35">
        <f>IF($A249&gt;NYears*12,"",IF($D249=1,$J249,$K248+$J249))</f>
        <v/>
      </c>
      <c r="L249" s="35">
        <f>IF($A249&gt;NYears*12,"",IF(MOD($D249,3)=0,SUM($J247:$J249),0))</f>
        <v/>
      </c>
      <c r="M249" s="35">
        <f>IF($A249&gt;NYears*12,"",IF(TaxFreq="Quarterly",$K249*12/$D249,$K249))</f>
        <v/>
      </c>
      <c r="N249" s="36">
        <f>IF($A249&gt;NYears*12,"",LOOKUP($M249,TaxLower,TaxRate))</f>
        <v/>
      </c>
      <c r="O249" s="35">
        <f>IF($A249&gt;NYears*12,"",IF(TaxFreq="Quarterly",IF(MOD($D249,3)=0,$L249*$N249,0),IF($D249=12,$K249*$N249,0)))</f>
        <v/>
      </c>
      <c r="P249" s="35">
        <f>IF($A249&gt;NYears*12,"",IF($D249=1,$O249,$P248+$O249))</f>
        <v/>
      </c>
      <c r="Q249" s="35">
        <f>IF($A249&gt;NYears*12,"",IF($D249=12,MIN(WdrPct*IF(WdrBase="Post-tax profit",$K249-$P249,$K249),WdrCap),0))</f>
        <v/>
      </c>
      <c r="R249" s="35">
        <f>IF($A249&gt;NYears*12,"",$F249+$J249-$O249-$Q249)</f>
        <v/>
      </c>
      <c r="S249" s="33">
        <f>IF($A249&gt;NYears*12,"",INT($R249/$E249))</f>
        <v/>
      </c>
    </row>
    <row r="250">
      <c r="A250" s="33">
        <f>246</f>
        <v/>
      </c>
      <c r="B250" s="34">
        <f>IF($A250&gt;NYears*12,"",EDATE(StartMonth,$A250-1))</f>
        <v/>
      </c>
      <c r="C250" s="33">
        <f>IF($A250&gt;NYears*12,"",INT(($A250-1)/12)+1)</f>
        <v/>
      </c>
      <c r="D250" s="33">
        <f>IF($A250&gt;NYears*12,"",MOD($A250-1,12)+1)</f>
        <v/>
      </c>
      <c r="E250" s="35">
        <f>IF($A250&gt;NYears*12,"",LotValue0*(1+LotGrowth)^($C250-1))</f>
        <v/>
      </c>
      <c r="F250" s="35">
        <f>IF($A250&gt;NYears*12,"",IF($A250=1,InitInvest,$R249))</f>
        <v/>
      </c>
      <c r="G250" s="33">
        <f>IF($A250&gt;NYears*12,"",INT($F250/$E250))</f>
        <v/>
      </c>
      <c r="H250" s="35">
        <f>IF($A250&gt;NYears*12,"",$G250*$E250)</f>
        <v/>
      </c>
      <c r="I250" s="35">
        <f>IF($A250&gt;NYears*12,"",$F250-$H250)</f>
        <v/>
      </c>
      <c r="J250" s="35">
        <f>IF($A250&gt;NYears*12,"",$H250*RateD)</f>
        <v/>
      </c>
      <c r="K250" s="35">
        <f>IF($A250&gt;NYears*12,"",IF($D250=1,$J250,$K249+$J250))</f>
        <v/>
      </c>
      <c r="L250" s="35">
        <f>IF($A250&gt;NYears*12,"",IF(MOD($D250,3)=0,SUM($J248:$J250),0))</f>
        <v/>
      </c>
      <c r="M250" s="35">
        <f>IF($A250&gt;NYears*12,"",IF(TaxFreq="Quarterly",$K250*12/$D250,$K250))</f>
        <v/>
      </c>
      <c r="N250" s="36">
        <f>IF($A250&gt;NYears*12,"",LOOKUP($M250,TaxLower,TaxRate))</f>
        <v/>
      </c>
      <c r="O250" s="35">
        <f>IF($A250&gt;NYears*12,"",IF(TaxFreq="Quarterly",IF(MOD($D250,3)=0,$L250*$N250,0),IF($D250=12,$K250*$N250,0)))</f>
        <v/>
      </c>
      <c r="P250" s="35">
        <f>IF($A250&gt;NYears*12,"",IF($D250=1,$O250,$P249+$O250))</f>
        <v/>
      </c>
      <c r="Q250" s="35">
        <f>IF($A250&gt;NYears*12,"",IF($D250=12,MIN(WdrPct*IF(WdrBase="Post-tax profit",$K250-$P250,$K250),WdrCap),0))</f>
        <v/>
      </c>
      <c r="R250" s="35">
        <f>IF($A250&gt;NYears*12,"",$F250+$J250-$O250-$Q250)</f>
        <v/>
      </c>
      <c r="S250" s="33">
        <f>IF($A250&gt;NYears*12,"",INT($R250/$E250))</f>
        <v/>
      </c>
    </row>
    <row r="251">
      <c r="A251" s="33">
        <f>247</f>
        <v/>
      </c>
      <c r="B251" s="34">
        <f>IF($A251&gt;NYears*12,"",EDATE(StartMonth,$A251-1))</f>
        <v/>
      </c>
      <c r="C251" s="33">
        <f>IF($A251&gt;NYears*12,"",INT(($A251-1)/12)+1)</f>
        <v/>
      </c>
      <c r="D251" s="33">
        <f>IF($A251&gt;NYears*12,"",MOD($A251-1,12)+1)</f>
        <v/>
      </c>
      <c r="E251" s="35">
        <f>IF($A251&gt;NYears*12,"",LotValue0*(1+LotGrowth)^($C251-1))</f>
        <v/>
      </c>
      <c r="F251" s="35">
        <f>IF($A251&gt;NYears*12,"",IF($A251=1,InitInvest,$R250))</f>
        <v/>
      </c>
      <c r="G251" s="33">
        <f>IF($A251&gt;NYears*12,"",INT($F251/$E251))</f>
        <v/>
      </c>
      <c r="H251" s="35">
        <f>IF($A251&gt;NYears*12,"",$G251*$E251)</f>
        <v/>
      </c>
      <c r="I251" s="35">
        <f>IF($A251&gt;NYears*12,"",$F251-$H251)</f>
        <v/>
      </c>
      <c r="J251" s="35">
        <f>IF($A251&gt;NYears*12,"",$H251*RateD)</f>
        <v/>
      </c>
      <c r="K251" s="35">
        <f>IF($A251&gt;NYears*12,"",IF($D251=1,$J251,$K250+$J251))</f>
        <v/>
      </c>
      <c r="L251" s="35">
        <f>IF($A251&gt;NYears*12,"",IF(MOD($D251,3)=0,SUM($J249:$J251),0))</f>
        <v/>
      </c>
      <c r="M251" s="35">
        <f>IF($A251&gt;NYears*12,"",IF(TaxFreq="Quarterly",$K251*12/$D251,$K251))</f>
        <v/>
      </c>
      <c r="N251" s="36">
        <f>IF($A251&gt;NYears*12,"",LOOKUP($M251,TaxLower,TaxRate))</f>
        <v/>
      </c>
      <c r="O251" s="35">
        <f>IF($A251&gt;NYears*12,"",IF(TaxFreq="Quarterly",IF(MOD($D251,3)=0,$L251*$N251,0),IF($D251=12,$K251*$N251,0)))</f>
        <v/>
      </c>
      <c r="P251" s="35">
        <f>IF($A251&gt;NYears*12,"",IF($D251=1,$O251,$P250+$O251))</f>
        <v/>
      </c>
      <c r="Q251" s="35">
        <f>IF($A251&gt;NYears*12,"",IF($D251=12,MIN(WdrPct*IF(WdrBase="Post-tax profit",$K251-$P251,$K251),WdrCap),0))</f>
        <v/>
      </c>
      <c r="R251" s="35">
        <f>IF($A251&gt;NYears*12,"",$F251+$J251-$O251-$Q251)</f>
        <v/>
      </c>
      <c r="S251" s="33">
        <f>IF($A251&gt;NYears*12,"",INT($R251/$E251))</f>
        <v/>
      </c>
    </row>
    <row r="252">
      <c r="A252" s="33">
        <f>248</f>
        <v/>
      </c>
      <c r="B252" s="34">
        <f>IF($A252&gt;NYears*12,"",EDATE(StartMonth,$A252-1))</f>
        <v/>
      </c>
      <c r="C252" s="33">
        <f>IF($A252&gt;NYears*12,"",INT(($A252-1)/12)+1)</f>
        <v/>
      </c>
      <c r="D252" s="33">
        <f>IF($A252&gt;NYears*12,"",MOD($A252-1,12)+1)</f>
        <v/>
      </c>
      <c r="E252" s="35">
        <f>IF($A252&gt;NYears*12,"",LotValue0*(1+LotGrowth)^($C252-1))</f>
        <v/>
      </c>
      <c r="F252" s="35">
        <f>IF($A252&gt;NYears*12,"",IF($A252=1,InitInvest,$R251))</f>
        <v/>
      </c>
      <c r="G252" s="33">
        <f>IF($A252&gt;NYears*12,"",INT($F252/$E252))</f>
        <v/>
      </c>
      <c r="H252" s="35">
        <f>IF($A252&gt;NYears*12,"",$G252*$E252)</f>
        <v/>
      </c>
      <c r="I252" s="35">
        <f>IF($A252&gt;NYears*12,"",$F252-$H252)</f>
        <v/>
      </c>
      <c r="J252" s="35">
        <f>IF($A252&gt;NYears*12,"",$H252*RateD)</f>
        <v/>
      </c>
      <c r="K252" s="35">
        <f>IF($A252&gt;NYears*12,"",IF($D252=1,$J252,$K251+$J252))</f>
        <v/>
      </c>
      <c r="L252" s="35">
        <f>IF($A252&gt;NYears*12,"",IF(MOD($D252,3)=0,SUM($J250:$J252),0))</f>
        <v/>
      </c>
      <c r="M252" s="35">
        <f>IF($A252&gt;NYears*12,"",IF(TaxFreq="Quarterly",$K252*12/$D252,$K252))</f>
        <v/>
      </c>
      <c r="N252" s="36">
        <f>IF($A252&gt;NYears*12,"",LOOKUP($M252,TaxLower,TaxRate))</f>
        <v/>
      </c>
      <c r="O252" s="35">
        <f>IF($A252&gt;NYears*12,"",IF(TaxFreq="Quarterly",IF(MOD($D252,3)=0,$L252*$N252,0),IF($D252=12,$K252*$N252,0)))</f>
        <v/>
      </c>
      <c r="P252" s="35">
        <f>IF($A252&gt;NYears*12,"",IF($D252=1,$O252,$P251+$O252))</f>
        <v/>
      </c>
      <c r="Q252" s="35">
        <f>IF($A252&gt;NYears*12,"",IF($D252=12,MIN(WdrPct*IF(WdrBase="Post-tax profit",$K252-$P252,$K252),WdrCap),0))</f>
        <v/>
      </c>
      <c r="R252" s="35">
        <f>IF($A252&gt;NYears*12,"",$F252+$J252-$O252-$Q252)</f>
        <v/>
      </c>
      <c r="S252" s="33">
        <f>IF($A252&gt;NYears*12,"",INT($R252/$E252))</f>
        <v/>
      </c>
    </row>
    <row r="253">
      <c r="A253" s="33">
        <f>249</f>
        <v/>
      </c>
      <c r="B253" s="34">
        <f>IF($A253&gt;NYears*12,"",EDATE(StartMonth,$A253-1))</f>
        <v/>
      </c>
      <c r="C253" s="33">
        <f>IF($A253&gt;NYears*12,"",INT(($A253-1)/12)+1)</f>
        <v/>
      </c>
      <c r="D253" s="33">
        <f>IF($A253&gt;NYears*12,"",MOD($A253-1,12)+1)</f>
        <v/>
      </c>
      <c r="E253" s="35">
        <f>IF($A253&gt;NYears*12,"",LotValue0*(1+LotGrowth)^($C253-1))</f>
        <v/>
      </c>
      <c r="F253" s="35">
        <f>IF($A253&gt;NYears*12,"",IF($A253=1,InitInvest,$R252))</f>
        <v/>
      </c>
      <c r="G253" s="33">
        <f>IF($A253&gt;NYears*12,"",INT($F253/$E253))</f>
        <v/>
      </c>
      <c r="H253" s="35">
        <f>IF($A253&gt;NYears*12,"",$G253*$E253)</f>
        <v/>
      </c>
      <c r="I253" s="35">
        <f>IF($A253&gt;NYears*12,"",$F253-$H253)</f>
        <v/>
      </c>
      <c r="J253" s="35">
        <f>IF($A253&gt;NYears*12,"",$H253*RateD)</f>
        <v/>
      </c>
      <c r="K253" s="35">
        <f>IF($A253&gt;NYears*12,"",IF($D253=1,$J253,$K252+$J253))</f>
        <v/>
      </c>
      <c r="L253" s="35">
        <f>IF($A253&gt;NYears*12,"",IF(MOD($D253,3)=0,SUM($J251:$J253),0))</f>
        <v/>
      </c>
      <c r="M253" s="35">
        <f>IF($A253&gt;NYears*12,"",IF(TaxFreq="Quarterly",$K253*12/$D253,$K253))</f>
        <v/>
      </c>
      <c r="N253" s="36">
        <f>IF($A253&gt;NYears*12,"",LOOKUP($M253,TaxLower,TaxRate))</f>
        <v/>
      </c>
      <c r="O253" s="35">
        <f>IF($A253&gt;NYears*12,"",IF(TaxFreq="Quarterly",IF(MOD($D253,3)=0,$L253*$N253,0),IF($D253=12,$K253*$N253,0)))</f>
        <v/>
      </c>
      <c r="P253" s="35">
        <f>IF($A253&gt;NYears*12,"",IF($D253=1,$O253,$P252+$O253))</f>
        <v/>
      </c>
      <c r="Q253" s="35">
        <f>IF($A253&gt;NYears*12,"",IF($D253=12,MIN(WdrPct*IF(WdrBase="Post-tax profit",$K253-$P253,$K253),WdrCap),0))</f>
        <v/>
      </c>
      <c r="R253" s="35">
        <f>IF($A253&gt;NYears*12,"",$F253+$J253-$O253-$Q253)</f>
        <v/>
      </c>
      <c r="S253" s="33">
        <f>IF($A253&gt;NYears*12,"",INT($R253/$E253))</f>
        <v/>
      </c>
    </row>
    <row r="254">
      <c r="A254" s="33">
        <f>250</f>
        <v/>
      </c>
      <c r="B254" s="34">
        <f>IF($A254&gt;NYears*12,"",EDATE(StartMonth,$A254-1))</f>
        <v/>
      </c>
      <c r="C254" s="33">
        <f>IF($A254&gt;NYears*12,"",INT(($A254-1)/12)+1)</f>
        <v/>
      </c>
      <c r="D254" s="33">
        <f>IF($A254&gt;NYears*12,"",MOD($A254-1,12)+1)</f>
        <v/>
      </c>
      <c r="E254" s="35">
        <f>IF($A254&gt;NYears*12,"",LotValue0*(1+LotGrowth)^($C254-1))</f>
        <v/>
      </c>
      <c r="F254" s="35">
        <f>IF($A254&gt;NYears*12,"",IF($A254=1,InitInvest,$R253))</f>
        <v/>
      </c>
      <c r="G254" s="33">
        <f>IF($A254&gt;NYears*12,"",INT($F254/$E254))</f>
        <v/>
      </c>
      <c r="H254" s="35">
        <f>IF($A254&gt;NYears*12,"",$G254*$E254)</f>
        <v/>
      </c>
      <c r="I254" s="35">
        <f>IF($A254&gt;NYears*12,"",$F254-$H254)</f>
        <v/>
      </c>
      <c r="J254" s="35">
        <f>IF($A254&gt;NYears*12,"",$H254*RateD)</f>
        <v/>
      </c>
      <c r="K254" s="35">
        <f>IF($A254&gt;NYears*12,"",IF($D254=1,$J254,$K253+$J254))</f>
        <v/>
      </c>
      <c r="L254" s="35">
        <f>IF($A254&gt;NYears*12,"",IF(MOD($D254,3)=0,SUM($J252:$J254),0))</f>
        <v/>
      </c>
      <c r="M254" s="35">
        <f>IF($A254&gt;NYears*12,"",IF(TaxFreq="Quarterly",$K254*12/$D254,$K254))</f>
        <v/>
      </c>
      <c r="N254" s="36">
        <f>IF($A254&gt;NYears*12,"",LOOKUP($M254,TaxLower,TaxRate))</f>
        <v/>
      </c>
      <c r="O254" s="35">
        <f>IF($A254&gt;NYears*12,"",IF(TaxFreq="Quarterly",IF(MOD($D254,3)=0,$L254*$N254,0),IF($D254=12,$K254*$N254,0)))</f>
        <v/>
      </c>
      <c r="P254" s="35">
        <f>IF($A254&gt;NYears*12,"",IF($D254=1,$O254,$P253+$O254))</f>
        <v/>
      </c>
      <c r="Q254" s="35">
        <f>IF($A254&gt;NYears*12,"",IF($D254=12,MIN(WdrPct*IF(WdrBase="Post-tax profit",$K254-$P254,$K254),WdrCap),0))</f>
        <v/>
      </c>
      <c r="R254" s="35">
        <f>IF($A254&gt;NYears*12,"",$F254+$J254-$O254-$Q254)</f>
        <v/>
      </c>
      <c r="S254" s="33">
        <f>IF($A254&gt;NYears*12,"",INT($R254/$E254))</f>
        <v/>
      </c>
    </row>
    <row r="255">
      <c r="A255" s="33">
        <f>251</f>
        <v/>
      </c>
      <c r="B255" s="34">
        <f>IF($A255&gt;NYears*12,"",EDATE(StartMonth,$A255-1))</f>
        <v/>
      </c>
      <c r="C255" s="33">
        <f>IF($A255&gt;NYears*12,"",INT(($A255-1)/12)+1)</f>
        <v/>
      </c>
      <c r="D255" s="33">
        <f>IF($A255&gt;NYears*12,"",MOD($A255-1,12)+1)</f>
        <v/>
      </c>
      <c r="E255" s="35">
        <f>IF($A255&gt;NYears*12,"",LotValue0*(1+LotGrowth)^($C255-1))</f>
        <v/>
      </c>
      <c r="F255" s="35">
        <f>IF($A255&gt;NYears*12,"",IF($A255=1,InitInvest,$R254))</f>
        <v/>
      </c>
      <c r="G255" s="33">
        <f>IF($A255&gt;NYears*12,"",INT($F255/$E255))</f>
        <v/>
      </c>
      <c r="H255" s="35">
        <f>IF($A255&gt;NYears*12,"",$G255*$E255)</f>
        <v/>
      </c>
      <c r="I255" s="35">
        <f>IF($A255&gt;NYears*12,"",$F255-$H255)</f>
        <v/>
      </c>
      <c r="J255" s="35">
        <f>IF($A255&gt;NYears*12,"",$H255*RateD)</f>
        <v/>
      </c>
      <c r="K255" s="35">
        <f>IF($A255&gt;NYears*12,"",IF($D255=1,$J255,$K254+$J255))</f>
        <v/>
      </c>
      <c r="L255" s="35">
        <f>IF($A255&gt;NYears*12,"",IF(MOD($D255,3)=0,SUM($J253:$J255),0))</f>
        <v/>
      </c>
      <c r="M255" s="35">
        <f>IF($A255&gt;NYears*12,"",IF(TaxFreq="Quarterly",$K255*12/$D255,$K255))</f>
        <v/>
      </c>
      <c r="N255" s="36">
        <f>IF($A255&gt;NYears*12,"",LOOKUP($M255,TaxLower,TaxRate))</f>
        <v/>
      </c>
      <c r="O255" s="35">
        <f>IF($A255&gt;NYears*12,"",IF(TaxFreq="Quarterly",IF(MOD($D255,3)=0,$L255*$N255,0),IF($D255=12,$K255*$N255,0)))</f>
        <v/>
      </c>
      <c r="P255" s="35">
        <f>IF($A255&gt;NYears*12,"",IF($D255=1,$O255,$P254+$O255))</f>
        <v/>
      </c>
      <c r="Q255" s="35">
        <f>IF($A255&gt;NYears*12,"",IF($D255=12,MIN(WdrPct*IF(WdrBase="Post-tax profit",$K255-$P255,$K255),WdrCap),0))</f>
        <v/>
      </c>
      <c r="R255" s="35">
        <f>IF($A255&gt;NYears*12,"",$F255+$J255-$O255-$Q255)</f>
        <v/>
      </c>
      <c r="S255" s="33">
        <f>IF($A255&gt;NYears*12,"",INT($R255/$E255))</f>
        <v/>
      </c>
    </row>
    <row r="256">
      <c r="A256" s="37">
        <f>252</f>
        <v/>
      </c>
      <c r="B256" s="38">
        <f>IF($A256&gt;NYears*12,"",EDATE(StartMonth,$A256-1))</f>
        <v/>
      </c>
      <c r="C256" s="37">
        <f>IF($A256&gt;NYears*12,"",INT(($A256-1)/12)+1)</f>
        <v/>
      </c>
      <c r="D256" s="37">
        <f>IF($A256&gt;NYears*12,"",MOD($A256-1,12)+1)</f>
        <v/>
      </c>
      <c r="E256" s="39">
        <f>IF($A256&gt;NYears*12,"",LotValue0*(1+LotGrowth)^($C256-1))</f>
        <v/>
      </c>
      <c r="F256" s="39">
        <f>IF($A256&gt;NYears*12,"",IF($A256=1,InitInvest,$R255))</f>
        <v/>
      </c>
      <c r="G256" s="37">
        <f>IF($A256&gt;NYears*12,"",INT($F256/$E256))</f>
        <v/>
      </c>
      <c r="H256" s="39">
        <f>IF($A256&gt;NYears*12,"",$G256*$E256)</f>
        <v/>
      </c>
      <c r="I256" s="39">
        <f>IF($A256&gt;NYears*12,"",$F256-$H256)</f>
        <v/>
      </c>
      <c r="J256" s="39">
        <f>IF($A256&gt;NYears*12,"",$H256*RateD)</f>
        <v/>
      </c>
      <c r="K256" s="39">
        <f>IF($A256&gt;NYears*12,"",IF($D256=1,$J256,$K255+$J256))</f>
        <v/>
      </c>
      <c r="L256" s="39">
        <f>IF($A256&gt;NYears*12,"",IF(MOD($D256,3)=0,SUM($J254:$J256),0))</f>
        <v/>
      </c>
      <c r="M256" s="39">
        <f>IF($A256&gt;NYears*12,"",IF(TaxFreq="Quarterly",$K256*12/$D256,$K256))</f>
        <v/>
      </c>
      <c r="N256" s="40">
        <f>IF($A256&gt;NYears*12,"",LOOKUP($M256,TaxLower,TaxRate))</f>
        <v/>
      </c>
      <c r="O256" s="39">
        <f>IF($A256&gt;NYears*12,"",IF(TaxFreq="Quarterly",IF(MOD($D256,3)=0,$L256*$N256,0),IF($D256=12,$K256*$N256,0)))</f>
        <v/>
      </c>
      <c r="P256" s="39">
        <f>IF($A256&gt;NYears*12,"",IF($D256=1,$O256,$P255+$O256))</f>
        <v/>
      </c>
      <c r="Q256" s="39">
        <f>IF($A256&gt;NYears*12,"",IF($D256=12,MIN(WdrPct*IF(WdrBase="Post-tax profit",$K256-$P256,$K256),WdrCap),0))</f>
        <v/>
      </c>
      <c r="R256" s="39">
        <f>IF($A256&gt;NYears*12,"",$F256+$J256-$O256-$Q256)</f>
        <v/>
      </c>
      <c r="S256" s="37">
        <f>IF($A256&gt;NYears*12,"",INT($R256/$E256))</f>
        <v/>
      </c>
    </row>
    <row r="257">
      <c r="A257" s="33">
        <f>253</f>
        <v/>
      </c>
      <c r="B257" s="34">
        <f>IF($A257&gt;NYears*12,"",EDATE(StartMonth,$A257-1))</f>
        <v/>
      </c>
      <c r="C257" s="33">
        <f>IF($A257&gt;NYears*12,"",INT(($A257-1)/12)+1)</f>
        <v/>
      </c>
      <c r="D257" s="33">
        <f>IF($A257&gt;NYears*12,"",MOD($A257-1,12)+1)</f>
        <v/>
      </c>
      <c r="E257" s="35">
        <f>IF($A257&gt;NYears*12,"",LotValue0*(1+LotGrowth)^($C257-1))</f>
        <v/>
      </c>
      <c r="F257" s="35">
        <f>IF($A257&gt;NYears*12,"",IF($A257=1,InitInvest,$R256))</f>
        <v/>
      </c>
      <c r="G257" s="33">
        <f>IF($A257&gt;NYears*12,"",INT($F257/$E257))</f>
        <v/>
      </c>
      <c r="H257" s="35">
        <f>IF($A257&gt;NYears*12,"",$G257*$E257)</f>
        <v/>
      </c>
      <c r="I257" s="35">
        <f>IF($A257&gt;NYears*12,"",$F257-$H257)</f>
        <v/>
      </c>
      <c r="J257" s="35">
        <f>IF($A257&gt;NYears*12,"",$H257*RateD)</f>
        <v/>
      </c>
      <c r="K257" s="35">
        <f>IF($A257&gt;NYears*12,"",IF($D257=1,$J257,$K256+$J257))</f>
        <v/>
      </c>
      <c r="L257" s="35">
        <f>IF($A257&gt;NYears*12,"",IF(MOD($D257,3)=0,SUM($J255:$J257),0))</f>
        <v/>
      </c>
      <c r="M257" s="35">
        <f>IF($A257&gt;NYears*12,"",IF(TaxFreq="Quarterly",$K257*12/$D257,$K257))</f>
        <v/>
      </c>
      <c r="N257" s="36">
        <f>IF($A257&gt;NYears*12,"",LOOKUP($M257,TaxLower,TaxRate))</f>
        <v/>
      </c>
      <c r="O257" s="35">
        <f>IF($A257&gt;NYears*12,"",IF(TaxFreq="Quarterly",IF(MOD($D257,3)=0,$L257*$N257,0),IF($D257=12,$K257*$N257,0)))</f>
        <v/>
      </c>
      <c r="P257" s="35">
        <f>IF($A257&gt;NYears*12,"",IF($D257=1,$O257,$P256+$O257))</f>
        <v/>
      </c>
      <c r="Q257" s="35">
        <f>IF($A257&gt;NYears*12,"",IF($D257=12,MIN(WdrPct*IF(WdrBase="Post-tax profit",$K257-$P257,$K257),WdrCap),0))</f>
        <v/>
      </c>
      <c r="R257" s="35">
        <f>IF($A257&gt;NYears*12,"",$F257+$J257-$O257-$Q257)</f>
        <v/>
      </c>
      <c r="S257" s="33">
        <f>IF($A257&gt;NYears*12,"",INT($R257/$E257))</f>
        <v/>
      </c>
    </row>
    <row r="258">
      <c r="A258" s="33">
        <f>254</f>
        <v/>
      </c>
      <c r="B258" s="34">
        <f>IF($A258&gt;NYears*12,"",EDATE(StartMonth,$A258-1))</f>
        <v/>
      </c>
      <c r="C258" s="33">
        <f>IF($A258&gt;NYears*12,"",INT(($A258-1)/12)+1)</f>
        <v/>
      </c>
      <c r="D258" s="33">
        <f>IF($A258&gt;NYears*12,"",MOD($A258-1,12)+1)</f>
        <v/>
      </c>
      <c r="E258" s="35">
        <f>IF($A258&gt;NYears*12,"",LotValue0*(1+LotGrowth)^($C258-1))</f>
        <v/>
      </c>
      <c r="F258" s="35">
        <f>IF($A258&gt;NYears*12,"",IF($A258=1,InitInvest,$R257))</f>
        <v/>
      </c>
      <c r="G258" s="33">
        <f>IF($A258&gt;NYears*12,"",INT($F258/$E258))</f>
        <v/>
      </c>
      <c r="H258" s="35">
        <f>IF($A258&gt;NYears*12,"",$G258*$E258)</f>
        <v/>
      </c>
      <c r="I258" s="35">
        <f>IF($A258&gt;NYears*12,"",$F258-$H258)</f>
        <v/>
      </c>
      <c r="J258" s="35">
        <f>IF($A258&gt;NYears*12,"",$H258*RateD)</f>
        <v/>
      </c>
      <c r="K258" s="35">
        <f>IF($A258&gt;NYears*12,"",IF($D258=1,$J258,$K257+$J258))</f>
        <v/>
      </c>
      <c r="L258" s="35">
        <f>IF($A258&gt;NYears*12,"",IF(MOD($D258,3)=0,SUM($J256:$J258),0))</f>
        <v/>
      </c>
      <c r="M258" s="35">
        <f>IF($A258&gt;NYears*12,"",IF(TaxFreq="Quarterly",$K258*12/$D258,$K258))</f>
        <v/>
      </c>
      <c r="N258" s="36">
        <f>IF($A258&gt;NYears*12,"",LOOKUP($M258,TaxLower,TaxRate))</f>
        <v/>
      </c>
      <c r="O258" s="35">
        <f>IF($A258&gt;NYears*12,"",IF(TaxFreq="Quarterly",IF(MOD($D258,3)=0,$L258*$N258,0),IF($D258=12,$K258*$N258,0)))</f>
        <v/>
      </c>
      <c r="P258" s="35">
        <f>IF($A258&gt;NYears*12,"",IF($D258=1,$O258,$P257+$O258))</f>
        <v/>
      </c>
      <c r="Q258" s="35">
        <f>IF($A258&gt;NYears*12,"",IF($D258=12,MIN(WdrPct*IF(WdrBase="Post-tax profit",$K258-$P258,$K258),WdrCap),0))</f>
        <v/>
      </c>
      <c r="R258" s="35">
        <f>IF($A258&gt;NYears*12,"",$F258+$J258-$O258-$Q258)</f>
        <v/>
      </c>
      <c r="S258" s="33">
        <f>IF($A258&gt;NYears*12,"",INT($R258/$E258))</f>
        <v/>
      </c>
    </row>
    <row r="259">
      <c r="A259" s="33">
        <f>255</f>
        <v/>
      </c>
      <c r="B259" s="34">
        <f>IF($A259&gt;NYears*12,"",EDATE(StartMonth,$A259-1))</f>
        <v/>
      </c>
      <c r="C259" s="33">
        <f>IF($A259&gt;NYears*12,"",INT(($A259-1)/12)+1)</f>
        <v/>
      </c>
      <c r="D259" s="33">
        <f>IF($A259&gt;NYears*12,"",MOD($A259-1,12)+1)</f>
        <v/>
      </c>
      <c r="E259" s="35">
        <f>IF($A259&gt;NYears*12,"",LotValue0*(1+LotGrowth)^($C259-1))</f>
        <v/>
      </c>
      <c r="F259" s="35">
        <f>IF($A259&gt;NYears*12,"",IF($A259=1,InitInvest,$R258))</f>
        <v/>
      </c>
      <c r="G259" s="33">
        <f>IF($A259&gt;NYears*12,"",INT($F259/$E259))</f>
        <v/>
      </c>
      <c r="H259" s="35">
        <f>IF($A259&gt;NYears*12,"",$G259*$E259)</f>
        <v/>
      </c>
      <c r="I259" s="35">
        <f>IF($A259&gt;NYears*12,"",$F259-$H259)</f>
        <v/>
      </c>
      <c r="J259" s="35">
        <f>IF($A259&gt;NYears*12,"",$H259*RateD)</f>
        <v/>
      </c>
      <c r="K259" s="35">
        <f>IF($A259&gt;NYears*12,"",IF($D259=1,$J259,$K258+$J259))</f>
        <v/>
      </c>
      <c r="L259" s="35">
        <f>IF($A259&gt;NYears*12,"",IF(MOD($D259,3)=0,SUM($J257:$J259),0))</f>
        <v/>
      </c>
      <c r="M259" s="35">
        <f>IF($A259&gt;NYears*12,"",IF(TaxFreq="Quarterly",$K259*12/$D259,$K259))</f>
        <v/>
      </c>
      <c r="N259" s="36">
        <f>IF($A259&gt;NYears*12,"",LOOKUP($M259,TaxLower,TaxRate))</f>
        <v/>
      </c>
      <c r="O259" s="35">
        <f>IF($A259&gt;NYears*12,"",IF(TaxFreq="Quarterly",IF(MOD($D259,3)=0,$L259*$N259,0),IF($D259=12,$K259*$N259,0)))</f>
        <v/>
      </c>
      <c r="P259" s="35">
        <f>IF($A259&gt;NYears*12,"",IF($D259=1,$O259,$P258+$O259))</f>
        <v/>
      </c>
      <c r="Q259" s="35">
        <f>IF($A259&gt;NYears*12,"",IF($D259=12,MIN(WdrPct*IF(WdrBase="Post-tax profit",$K259-$P259,$K259),WdrCap),0))</f>
        <v/>
      </c>
      <c r="R259" s="35">
        <f>IF($A259&gt;NYears*12,"",$F259+$J259-$O259-$Q259)</f>
        <v/>
      </c>
      <c r="S259" s="33">
        <f>IF($A259&gt;NYears*12,"",INT($R259/$E259))</f>
        <v/>
      </c>
    </row>
    <row r="260">
      <c r="A260" s="33">
        <f>256</f>
        <v/>
      </c>
      <c r="B260" s="34">
        <f>IF($A260&gt;NYears*12,"",EDATE(StartMonth,$A260-1))</f>
        <v/>
      </c>
      <c r="C260" s="33">
        <f>IF($A260&gt;NYears*12,"",INT(($A260-1)/12)+1)</f>
        <v/>
      </c>
      <c r="D260" s="33">
        <f>IF($A260&gt;NYears*12,"",MOD($A260-1,12)+1)</f>
        <v/>
      </c>
      <c r="E260" s="35">
        <f>IF($A260&gt;NYears*12,"",LotValue0*(1+LotGrowth)^($C260-1))</f>
        <v/>
      </c>
      <c r="F260" s="35">
        <f>IF($A260&gt;NYears*12,"",IF($A260=1,InitInvest,$R259))</f>
        <v/>
      </c>
      <c r="G260" s="33">
        <f>IF($A260&gt;NYears*12,"",INT($F260/$E260))</f>
        <v/>
      </c>
      <c r="H260" s="35">
        <f>IF($A260&gt;NYears*12,"",$G260*$E260)</f>
        <v/>
      </c>
      <c r="I260" s="35">
        <f>IF($A260&gt;NYears*12,"",$F260-$H260)</f>
        <v/>
      </c>
      <c r="J260" s="35">
        <f>IF($A260&gt;NYears*12,"",$H260*RateD)</f>
        <v/>
      </c>
      <c r="K260" s="35">
        <f>IF($A260&gt;NYears*12,"",IF($D260=1,$J260,$K259+$J260))</f>
        <v/>
      </c>
      <c r="L260" s="35">
        <f>IF($A260&gt;NYears*12,"",IF(MOD($D260,3)=0,SUM($J258:$J260),0))</f>
        <v/>
      </c>
      <c r="M260" s="35">
        <f>IF($A260&gt;NYears*12,"",IF(TaxFreq="Quarterly",$K260*12/$D260,$K260))</f>
        <v/>
      </c>
      <c r="N260" s="36">
        <f>IF($A260&gt;NYears*12,"",LOOKUP($M260,TaxLower,TaxRate))</f>
        <v/>
      </c>
      <c r="O260" s="35">
        <f>IF($A260&gt;NYears*12,"",IF(TaxFreq="Quarterly",IF(MOD($D260,3)=0,$L260*$N260,0),IF($D260=12,$K260*$N260,0)))</f>
        <v/>
      </c>
      <c r="P260" s="35">
        <f>IF($A260&gt;NYears*12,"",IF($D260=1,$O260,$P259+$O260))</f>
        <v/>
      </c>
      <c r="Q260" s="35">
        <f>IF($A260&gt;NYears*12,"",IF($D260=12,MIN(WdrPct*IF(WdrBase="Post-tax profit",$K260-$P260,$K260),WdrCap),0))</f>
        <v/>
      </c>
      <c r="R260" s="35">
        <f>IF($A260&gt;NYears*12,"",$F260+$J260-$O260-$Q260)</f>
        <v/>
      </c>
      <c r="S260" s="33">
        <f>IF($A260&gt;NYears*12,"",INT($R260/$E260))</f>
        <v/>
      </c>
    </row>
    <row r="261">
      <c r="A261" s="33">
        <f>257</f>
        <v/>
      </c>
      <c r="B261" s="34">
        <f>IF($A261&gt;NYears*12,"",EDATE(StartMonth,$A261-1))</f>
        <v/>
      </c>
      <c r="C261" s="33">
        <f>IF($A261&gt;NYears*12,"",INT(($A261-1)/12)+1)</f>
        <v/>
      </c>
      <c r="D261" s="33">
        <f>IF($A261&gt;NYears*12,"",MOD($A261-1,12)+1)</f>
        <v/>
      </c>
      <c r="E261" s="35">
        <f>IF($A261&gt;NYears*12,"",LotValue0*(1+LotGrowth)^($C261-1))</f>
        <v/>
      </c>
      <c r="F261" s="35">
        <f>IF($A261&gt;NYears*12,"",IF($A261=1,InitInvest,$R260))</f>
        <v/>
      </c>
      <c r="G261" s="33">
        <f>IF($A261&gt;NYears*12,"",INT($F261/$E261))</f>
        <v/>
      </c>
      <c r="H261" s="35">
        <f>IF($A261&gt;NYears*12,"",$G261*$E261)</f>
        <v/>
      </c>
      <c r="I261" s="35">
        <f>IF($A261&gt;NYears*12,"",$F261-$H261)</f>
        <v/>
      </c>
      <c r="J261" s="35">
        <f>IF($A261&gt;NYears*12,"",$H261*RateD)</f>
        <v/>
      </c>
      <c r="K261" s="35">
        <f>IF($A261&gt;NYears*12,"",IF($D261=1,$J261,$K260+$J261))</f>
        <v/>
      </c>
      <c r="L261" s="35">
        <f>IF($A261&gt;NYears*12,"",IF(MOD($D261,3)=0,SUM($J259:$J261),0))</f>
        <v/>
      </c>
      <c r="M261" s="35">
        <f>IF($A261&gt;NYears*12,"",IF(TaxFreq="Quarterly",$K261*12/$D261,$K261))</f>
        <v/>
      </c>
      <c r="N261" s="36">
        <f>IF($A261&gt;NYears*12,"",LOOKUP($M261,TaxLower,TaxRate))</f>
        <v/>
      </c>
      <c r="O261" s="35">
        <f>IF($A261&gt;NYears*12,"",IF(TaxFreq="Quarterly",IF(MOD($D261,3)=0,$L261*$N261,0),IF($D261=12,$K261*$N261,0)))</f>
        <v/>
      </c>
      <c r="P261" s="35">
        <f>IF($A261&gt;NYears*12,"",IF($D261=1,$O261,$P260+$O261))</f>
        <v/>
      </c>
      <c r="Q261" s="35">
        <f>IF($A261&gt;NYears*12,"",IF($D261=12,MIN(WdrPct*IF(WdrBase="Post-tax profit",$K261-$P261,$K261),WdrCap),0))</f>
        <v/>
      </c>
      <c r="R261" s="35">
        <f>IF($A261&gt;NYears*12,"",$F261+$J261-$O261-$Q261)</f>
        <v/>
      </c>
      <c r="S261" s="33">
        <f>IF($A261&gt;NYears*12,"",INT($R261/$E261))</f>
        <v/>
      </c>
    </row>
    <row r="262">
      <c r="A262" s="33">
        <f>258</f>
        <v/>
      </c>
      <c r="B262" s="34">
        <f>IF($A262&gt;NYears*12,"",EDATE(StartMonth,$A262-1))</f>
        <v/>
      </c>
      <c r="C262" s="33">
        <f>IF($A262&gt;NYears*12,"",INT(($A262-1)/12)+1)</f>
        <v/>
      </c>
      <c r="D262" s="33">
        <f>IF($A262&gt;NYears*12,"",MOD($A262-1,12)+1)</f>
        <v/>
      </c>
      <c r="E262" s="35">
        <f>IF($A262&gt;NYears*12,"",LotValue0*(1+LotGrowth)^($C262-1))</f>
        <v/>
      </c>
      <c r="F262" s="35">
        <f>IF($A262&gt;NYears*12,"",IF($A262=1,InitInvest,$R261))</f>
        <v/>
      </c>
      <c r="G262" s="33">
        <f>IF($A262&gt;NYears*12,"",INT($F262/$E262))</f>
        <v/>
      </c>
      <c r="H262" s="35">
        <f>IF($A262&gt;NYears*12,"",$G262*$E262)</f>
        <v/>
      </c>
      <c r="I262" s="35">
        <f>IF($A262&gt;NYears*12,"",$F262-$H262)</f>
        <v/>
      </c>
      <c r="J262" s="35">
        <f>IF($A262&gt;NYears*12,"",$H262*RateD)</f>
        <v/>
      </c>
      <c r="K262" s="35">
        <f>IF($A262&gt;NYears*12,"",IF($D262=1,$J262,$K261+$J262))</f>
        <v/>
      </c>
      <c r="L262" s="35">
        <f>IF($A262&gt;NYears*12,"",IF(MOD($D262,3)=0,SUM($J260:$J262),0))</f>
        <v/>
      </c>
      <c r="M262" s="35">
        <f>IF($A262&gt;NYears*12,"",IF(TaxFreq="Quarterly",$K262*12/$D262,$K262))</f>
        <v/>
      </c>
      <c r="N262" s="36">
        <f>IF($A262&gt;NYears*12,"",LOOKUP($M262,TaxLower,TaxRate))</f>
        <v/>
      </c>
      <c r="O262" s="35">
        <f>IF($A262&gt;NYears*12,"",IF(TaxFreq="Quarterly",IF(MOD($D262,3)=0,$L262*$N262,0),IF($D262=12,$K262*$N262,0)))</f>
        <v/>
      </c>
      <c r="P262" s="35">
        <f>IF($A262&gt;NYears*12,"",IF($D262=1,$O262,$P261+$O262))</f>
        <v/>
      </c>
      <c r="Q262" s="35">
        <f>IF($A262&gt;NYears*12,"",IF($D262=12,MIN(WdrPct*IF(WdrBase="Post-tax profit",$K262-$P262,$K262),WdrCap),0))</f>
        <v/>
      </c>
      <c r="R262" s="35">
        <f>IF($A262&gt;NYears*12,"",$F262+$J262-$O262-$Q262)</f>
        <v/>
      </c>
      <c r="S262" s="33">
        <f>IF($A262&gt;NYears*12,"",INT($R262/$E262))</f>
        <v/>
      </c>
    </row>
    <row r="263">
      <c r="A263" s="33">
        <f>259</f>
        <v/>
      </c>
      <c r="B263" s="34">
        <f>IF($A263&gt;NYears*12,"",EDATE(StartMonth,$A263-1))</f>
        <v/>
      </c>
      <c r="C263" s="33">
        <f>IF($A263&gt;NYears*12,"",INT(($A263-1)/12)+1)</f>
        <v/>
      </c>
      <c r="D263" s="33">
        <f>IF($A263&gt;NYears*12,"",MOD($A263-1,12)+1)</f>
        <v/>
      </c>
      <c r="E263" s="35">
        <f>IF($A263&gt;NYears*12,"",LotValue0*(1+LotGrowth)^($C263-1))</f>
        <v/>
      </c>
      <c r="F263" s="35">
        <f>IF($A263&gt;NYears*12,"",IF($A263=1,InitInvest,$R262))</f>
        <v/>
      </c>
      <c r="G263" s="33">
        <f>IF($A263&gt;NYears*12,"",INT($F263/$E263))</f>
        <v/>
      </c>
      <c r="H263" s="35">
        <f>IF($A263&gt;NYears*12,"",$G263*$E263)</f>
        <v/>
      </c>
      <c r="I263" s="35">
        <f>IF($A263&gt;NYears*12,"",$F263-$H263)</f>
        <v/>
      </c>
      <c r="J263" s="35">
        <f>IF($A263&gt;NYears*12,"",$H263*RateD)</f>
        <v/>
      </c>
      <c r="K263" s="35">
        <f>IF($A263&gt;NYears*12,"",IF($D263=1,$J263,$K262+$J263))</f>
        <v/>
      </c>
      <c r="L263" s="35">
        <f>IF($A263&gt;NYears*12,"",IF(MOD($D263,3)=0,SUM($J261:$J263),0))</f>
        <v/>
      </c>
      <c r="M263" s="35">
        <f>IF($A263&gt;NYears*12,"",IF(TaxFreq="Quarterly",$K263*12/$D263,$K263))</f>
        <v/>
      </c>
      <c r="N263" s="36">
        <f>IF($A263&gt;NYears*12,"",LOOKUP($M263,TaxLower,TaxRate))</f>
        <v/>
      </c>
      <c r="O263" s="35">
        <f>IF($A263&gt;NYears*12,"",IF(TaxFreq="Quarterly",IF(MOD($D263,3)=0,$L263*$N263,0),IF($D263=12,$K263*$N263,0)))</f>
        <v/>
      </c>
      <c r="P263" s="35">
        <f>IF($A263&gt;NYears*12,"",IF($D263=1,$O263,$P262+$O263))</f>
        <v/>
      </c>
      <c r="Q263" s="35">
        <f>IF($A263&gt;NYears*12,"",IF($D263=12,MIN(WdrPct*IF(WdrBase="Post-tax profit",$K263-$P263,$K263),WdrCap),0))</f>
        <v/>
      </c>
      <c r="R263" s="35">
        <f>IF($A263&gt;NYears*12,"",$F263+$J263-$O263-$Q263)</f>
        <v/>
      </c>
      <c r="S263" s="33">
        <f>IF($A263&gt;NYears*12,"",INT($R263/$E263))</f>
        <v/>
      </c>
    </row>
    <row r="264">
      <c r="A264" s="33">
        <f>260</f>
        <v/>
      </c>
      <c r="B264" s="34">
        <f>IF($A264&gt;NYears*12,"",EDATE(StartMonth,$A264-1))</f>
        <v/>
      </c>
      <c r="C264" s="33">
        <f>IF($A264&gt;NYears*12,"",INT(($A264-1)/12)+1)</f>
        <v/>
      </c>
      <c r="D264" s="33">
        <f>IF($A264&gt;NYears*12,"",MOD($A264-1,12)+1)</f>
        <v/>
      </c>
      <c r="E264" s="35">
        <f>IF($A264&gt;NYears*12,"",LotValue0*(1+LotGrowth)^($C264-1))</f>
        <v/>
      </c>
      <c r="F264" s="35">
        <f>IF($A264&gt;NYears*12,"",IF($A264=1,InitInvest,$R263))</f>
        <v/>
      </c>
      <c r="G264" s="33">
        <f>IF($A264&gt;NYears*12,"",INT($F264/$E264))</f>
        <v/>
      </c>
      <c r="H264" s="35">
        <f>IF($A264&gt;NYears*12,"",$G264*$E264)</f>
        <v/>
      </c>
      <c r="I264" s="35">
        <f>IF($A264&gt;NYears*12,"",$F264-$H264)</f>
        <v/>
      </c>
      <c r="J264" s="35">
        <f>IF($A264&gt;NYears*12,"",$H264*RateD)</f>
        <v/>
      </c>
      <c r="K264" s="35">
        <f>IF($A264&gt;NYears*12,"",IF($D264=1,$J264,$K263+$J264))</f>
        <v/>
      </c>
      <c r="L264" s="35">
        <f>IF($A264&gt;NYears*12,"",IF(MOD($D264,3)=0,SUM($J262:$J264),0))</f>
        <v/>
      </c>
      <c r="M264" s="35">
        <f>IF($A264&gt;NYears*12,"",IF(TaxFreq="Quarterly",$K264*12/$D264,$K264))</f>
        <v/>
      </c>
      <c r="N264" s="36">
        <f>IF($A264&gt;NYears*12,"",LOOKUP($M264,TaxLower,TaxRate))</f>
        <v/>
      </c>
      <c r="O264" s="35">
        <f>IF($A264&gt;NYears*12,"",IF(TaxFreq="Quarterly",IF(MOD($D264,3)=0,$L264*$N264,0),IF($D264=12,$K264*$N264,0)))</f>
        <v/>
      </c>
      <c r="P264" s="35">
        <f>IF($A264&gt;NYears*12,"",IF($D264=1,$O264,$P263+$O264))</f>
        <v/>
      </c>
      <c r="Q264" s="35">
        <f>IF($A264&gt;NYears*12,"",IF($D264=12,MIN(WdrPct*IF(WdrBase="Post-tax profit",$K264-$P264,$K264),WdrCap),0))</f>
        <v/>
      </c>
      <c r="R264" s="35">
        <f>IF($A264&gt;NYears*12,"",$F264+$J264-$O264-$Q264)</f>
        <v/>
      </c>
      <c r="S264" s="33">
        <f>IF($A264&gt;NYears*12,"",INT($R264/$E264))</f>
        <v/>
      </c>
    </row>
    <row r="265">
      <c r="A265" s="33">
        <f>261</f>
        <v/>
      </c>
      <c r="B265" s="34">
        <f>IF($A265&gt;NYears*12,"",EDATE(StartMonth,$A265-1))</f>
        <v/>
      </c>
      <c r="C265" s="33">
        <f>IF($A265&gt;NYears*12,"",INT(($A265-1)/12)+1)</f>
        <v/>
      </c>
      <c r="D265" s="33">
        <f>IF($A265&gt;NYears*12,"",MOD($A265-1,12)+1)</f>
        <v/>
      </c>
      <c r="E265" s="35">
        <f>IF($A265&gt;NYears*12,"",LotValue0*(1+LotGrowth)^($C265-1))</f>
        <v/>
      </c>
      <c r="F265" s="35">
        <f>IF($A265&gt;NYears*12,"",IF($A265=1,InitInvest,$R264))</f>
        <v/>
      </c>
      <c r="G265" s="33">
        <f>IF($A265&gt;NYears*12,"",INT($F265/$E265))</f>
        <v/>
      </c>
      <c r="H265" s="35">
        <f>IF($A265&gt;NYears*12,"",$G265*$E265)</f>
        <v/>
      </c>
      <c r="I265" s="35">
        <f>IF($A265&gt;NYears*12,"",$F265-$H265)</f>
        <v/>
      </c>
      <c r="J265" s="35">
        <f>IF($A265&gt;NYears*12,"",$H265*RateD)</f>
        <v/>
      </c>
      <c r="K265" s="35">
        <f>IF($A265&gt;NYears*12,"",IF($D265=1,$J265,$K264+$J265))</f>
        <v/>
      </c>
      <c r="L265" s="35">
        <f>IF($A265&gt;NYears*12,"",IF(MOD($D265,3)=0,SUM($J263:$J265),0))</f>
        <v/>
      </c>
      <c r="M265" s="35">
        <f>IF($A265&gt;NYears*12,"",IF(TaxFreq="Quarterly",$K265*12/$D265,$K265))</f>
        <v/>
      </c>
      <c r="N265" s="36">
        <f>IF($A265&gt;NYears*12,"",LOOKUP($M265,TaxLower,TaxRate))</f>
        <v/>
      </c>
      <c r="O265" s="35">
        <f>IF($A265&gt;NYears*12,"",IF(TaxFreq="Quarterly",IF(MOD($D265,3)=0,$L265*$N265,0),IF($D265=12,$K265*$N265,0)))</f>
        <v/>
      </c>
      <c r="P265" s="35">
        <f>IF($A265&gt;NYears*12,"",IF($D265=1,$O265,$P264+$O265))</f>
        <v/>
      </c>
      <c r="Q265" s="35">
        <f>IF($A265&gt;NYears*12,"",IF($D265=12,MIN(WdrPct*IF(WdrBase="Post-tax profit",$K265-$P265,$K265),WdrCap),0))</f>
        <v/>
      </c>
      <c r="R265" s="35">
        <f>IF($A265&gt;NYears*12,"",$F265+$J265-$O265-$Q265)</f>
        <v/>
      </c>
      <c r="S265" s="33">
        <f>IF($A265&gt;NYears*12,"",INT($R265/$E265))</f>
        <v/>
      </c>
    </row>
    <row r="266">
      <c r="A266" s="33">
        <f>262</f>
        <v/>
      </c>
      <c r="B266" s="34">
        <f>IF($A266&gt;NYears*12,"",EDATE(StartMonth,$A266-1))</f>
        <v/>
      </c>
      <c r="C266" s="33">
        <f>IF($A266&gt;NYears*12,"",INT(($A266-1)/12)+1)</f>
        <v/>
      </c>
      <c r="D266" s="33">
        <f>IF($A266&gt;NYears*12,"",MOD($A266-1,12)+1)</f>
        <v/>
      </c>
      <c r="E266" s="35">
        <f>IF($A266&gt;NYears*12,"",LotValue0*(1+LotGrowth)^($C266-1))</f>
        <v/>
      </c>
      <c r="F266" s="35">
        <f>IF($A266&gt;NYears*12,"",IF($A266=1,InitInvest,$R265))</f>
        <v/>
      </c>
      <c r="G266" s="33">
        <f>IF($A266&gt;NYears*12,"",INT($F266/$E266))</f>
        <v/>
      </c>
      <c r="H266" s="35">
        <f>IF($A266&gt;NYears*12,"",$G266*$E266)</f>
        <v/>
      </c>
      <c r="I266" s="35">
        <f>IF($A266&gt;NYears*12,"",$F266-$H266)</f>
        <v/>
      </c>
      <c r="J266" s="35">
        <f>IF($A266&gt;NYears*12,"",$H266*RateD)</f>
        <v/>
      </c>
      <c r="K266" s="35">
        <f>IF($A266&gt;NYears*12,"",IF($D266=1,$J266,$K265+$J266))</f>
        <v/>
      </c>
      <c r="L266" s="35">
        <f>IF($A266&gt;NYears*12,"",IF(MOD($D266,3)=0,SUM($J264:$J266),0))</f>
        <v/>
      </c>
      <c r="M266" s="35">
        <f>IF($A266&gt;NYears*12,"",IF(TaxFreq="Quarterly",$K266*12/$D266,$K266))</f>
        <v/>
      </c>
      <c r="N266" s="36">
        <f>IF($A266&gt;NYears*12,"",LOOKUP($M266,TaxLower,TaxRate))</f>
        <v/>
      </c>
      <c r="O266" s="35">
        <f>IF($A266&gt;NYears*12,"",IF(TaxFreq="Quarterly",IF(MOD($D266,3)=0,$L266*$N266,0),IF($D266=12,$K266*$N266,0)))</f>
        <v/>
      </c>
      <c r="P266" s="35">
        <f>IF($A266&gt;NYears*12,"",IF($D266=1,$O266,$P265+$O266))</f>
        <v/>
      </c>
      <c r="Q266" s="35">
        <f>IF($A266&gt;NYears*12,"",IF($D266=12,MIN(WdrPct*IF(WdrBase="Post-tax profit",$K266-$P266,$K266),WdrCap),0))</f>
        <v/>
      </c>
      <c r="R266" s="35">
        <f>IF($A266&gt;NYears*12,"",$F266+$J266-$O266-$Q266)</f>
        <v/>
      </c>
      <c r="S266" s="33">
        <f>IF($A266&gt;NYears*12,"",INT($R266/$E266))</f>
        <v/>
      </c>
    </row>
    <row r="267">
      <c r="A267" s="33">
        <f>263</f>
        <v/>
      </c>
      <c r="B267" s="34">
        <f>IF($A267&gt;NYears*12,"",EDATE(StartMonth,$A267-1))</f>
        <v/>
      </c>
      <c r="C267" s="33">
        <f>IF($A267&gt;NYears*12,"",INT(($A267-1)/12)+1)</f>
        <v/>
      </c>
      <c r="D267" s="33">
        <f>IF($A267&gt;NYears*12,"",MOD($A267-1,12)+1)</f>
        <v/>
      </c>
      <c r="E267" s="35">
        <f>IF($A267&gt;NYears*12,"",LotValue0*(1+LotGrowth)^($C267-1))</f>
        <v/>
      </c>
      <c r="F267" s="35">
        <f>IF($A267&gt;NYears*12,"",IF($A267=1,InitInvest,$R266))</f>
        <v/>
      </c>
      <c r="G267" s="33">
        <f>IF($A267&gt;NYears*12,"",INT($F267/$E267))</f>
        <v/>
      </c>
      <c r="H267" s="35">
        <f>IF($A267&gt;NYears*12,"",$G267*$E267)</f>
        <v/>
      </c>
      <c r="I267" s="35">
        <f>IF($A267&gt;NYears*12,"",$F267-$H267)</f>
        <v/>
      </c>
      <c r="J267" s="35">
        <f>IF($A267&gt;NYears*12,"",$H267*RateD)</f>
        <v/>
      </c>
      <c r="K267" s="35">
        <f>IF($A267&gt;NYears*12,"",IF($D267=1,$J267,$K266+$J267))</f>
        <v/>
      </c>
      <c r="L267" s="35">
        <f>IF($A267&gt;NYears*12,"",IF(MOD($D267,3)=0,SUM($J265:$J267),0))</f>
        <v/>
      </c>
      <c r="M267" s="35">
        <f>IF($A267&gt;NYears*12,"",IF(TaxFreq="Quarterly",$K267*12/$D267,$K267))</f>
        <v/>
      </c>
      <c r="N267" s="36">
        <f>IF($A267&gt;NYears*12,"",LOOKUP($M267,TaxLower,TaxRate))</f>
        <v/>
      </c>
      <c r="O267" s="35">
        <f>IF($A267&gt;NYears*12,"",IF(TaxFreq="Quarterly",IF(MOD($D267,3)=0,$L267*$N267,0),IF($D267=12,$K267*$N267,0)))</f>
        <v/>
      </c>
      <c r="P267" s="35">
        <f>IF($A267&gt;NYears*12,"",IF($D267=1,$O267,$P266+$O267))</f>
        <v/>
      </c>
      <c r="Q267" s="35">
        <f>IF($A267&gt;NYears*12,"",IF($D267=12,MIN(WdrPct*IF(WdrBase="Post-tax profit",$K267-$P267,$K267),WdrCap),0))</f>
        <v/>
      </c>
      <c r="R267" s="35">
        <f>IF($A267&gt;NYears*12,"",$F267+$J267-$O267-$Q267)</f>
        <v/>
      </c>
      <c r="S267" s="33">
        <f>IF($A267&gt;NYears*12,"",INT($R267/$E267))</f>
        <v/>
      </c>
    </row>
    <row r="268">
      <c r="A268" s="37">
        <f>264</f>
        <v/>
      </c>
      <c r="B268" s="38">
        <f>IF($A268&gt;NYears*12,"",EDATE(StartMonth,$A268-1))</f>
        <v/>
      </c>
      <c r="C268" s="37">
        <f>IF($A268&gt;NYears*12,"",INT(($A268-1)/12)+1)</f>
        <v/>
      </c>
      <c r="D268" s="37">
        <f>IF($A268&gt;NYears*12,"",MOD($A268-1,12)+1)</f>
        <v/>
      </c>
      <c r="E268" s="39">
        <f>IF($A268&gt;NYears*12,"",LotValue0*(1+LotGrowth)^($C268-1))</f>
        <v/>
      </c>
      <c r="F268" s="39">
        <f>IF($A268&gt;NYears*12,"",IF($A268=1,InitInvest,$R267))</f>
        <v/>
      </c>
      <c r="G268" s="37">
        <f>IF($A268&gt;NYears*12,"",INT($F268/$E268))</f>
        <v/>
      </c>
      <c r="H268" s="39">
        <f>IF($A268&gt;NYears*12,"",$G268*$E268)</f>
        <v/>
      </c>
      <c r="I268" s="39">
        <f>IF($A268&gt;NYears*12,"",$F268-$H268)</f>
        <v/>
      </c>
      <c r="J268" s="39">
        <f>IF($A268&gt;NYears*12,"",$H268*RateD)</f>
        <v/>
      </c>
      <c r="K268" s="39">
        <f>IF($A268&gt;NYears*12,"",IF($D268=1,$J268,$K267+$J268))</f>
        <v/>
      </c>
      <c r="L268" s="39">
        <f>IF($A268&gt;NYears*12,"",IF(MOD($D268,3)=0,SUM($J266:$J268),0))</f>
        <v/>
      </c>
      <c r="M268" s="39">
        <f>IF($A268&gt;NYears*12,"",IF(TaxFreq="Quarterly",$K268*12/$D268,$K268))</f>
        <v/>
      </c>
      <c r="N268" s="40">
        <f>IF($A268&gt;NYears*12,"",LOOKUP($M268,TaxLower,TaxRate))</f>
        <v/>
      </c>
      <c r="O268" s="39">
        <f>IF($A268&gt;NYears*12,"",IF(TaxFreq="Quarterly",IF(MOD($D268,3)=0,$L268*$N268,0),IF($D268=12,$K268*$N268,0)))</f>
        <v/>
      </c>
      <c r="P268" s="39">
        <f>IF($A268&gt;NYears*12,"",IF($D268=1,$O268,$P267+$O268))</f>
        <v/>
      </c>
      <c r="Q268" s="39">
        <f>IF($A268&gt;NYears*12,"",IF($D268=12,MIN(WdrPct*IF(WdrBase="Post-tax profit",$K268-$P268,$K268),WdrCap),0))</f>
        <v/>
      </c>
      <c r="R268" s="39">
        <f>IF($A268&gt;NYears*12,"",$F268+$J268-$O268-$Q268)</f>
        <v/>
      </c>
      <c r="S268" s="37">
        <f>IF($A268&gt;NYears*12,"",INT($R268/$E268))</f>
        <v/>
      </c>
    </row>
    <row r="269">
      <c r="A269" s="33">
        <f>265</f>
        <v/>
      </c>
      <c r="B269" s="34">
        <f>IF($A269&gt;NYears*12,"",EDATE(StartMonth,$A269-1))</f>
        <v/>
      </c>
      <c r="C269" s="33">
        <f>IF($A269&gt;NYears*12,"",INT(($A269-1)/12)+1)</f>
        <v/>
      </c>
      <c r="D269" s="33">
        <f>IF($A269&gt;NYears*12,"",MOD($A269-1,12)+1)</f>
        <v/>
      </c>
      <c r="E269" s="35">
        <f>IF($A269&gt;NYears*12,"",LotValue0*(1+LotGrowth)^($C269-1))</f>
        <v/>
      </c>
      <c r="F269" s="35">
        <f>IF($A269&gt;NYears*12,"",IF($A269=1,InitInvest,$R268))</f>
        <v/>
      </c>
      <c r="G269" s="33">
        <f>IF($A269&gt;NYears*12,"",INT($F269/$E269))</f>
        <v/>
      </c>
      <c r="H269" s="35">
        <f>IF($A269&gt;NYears*12,"",$G269*$E269)</f>
        <v/>
      </c>
      <c r="I269" s="35">
        <f>IF($A269&gt;NYears*12,"",$F269-$H269)</f>
        <v/>
      </c>
      <c r="J269" s="35">
        <f>IF($A269&gt;NYears*12,"",$H269*RateD)</f>
        <v/>
      </c>
      <c r="K269" s="35">
        <f>IF($A269&gt;NYears*12,"",IF($D269=1,$J269,$K268+$J269))</f>
        <v/>
      </c>
      <c r="L269" s="35">
        <f>IF($A269&gt;NYears*12,"",IF(MOD($D269,3)=0,SUM($J267:$J269),0))</f>
        <v/>
      </c>
      <c r="M269" s="35">
        <f>IF($A269&gt;NYears*12,"",IF(TaxFreq="Quarterly",$K269*12/$D269,$K269))</f>
        <v/>
      </c>
      <c r="N269" s="36">
        <f>IF($A269&gt;NYears*12,"",LOOKUP($M269,TaxLower,TaxRate))</f>
        <v/>
      </c>
      <c r="O269" s="35">
        <f>IF($A269&gt;NYears*12,"",IF(TaxFreq="Quarterly",IF(MOD($D269,3)=0,$L269*$N269,0),IF($D269=12,$K269*$N269,0)))</f>
        <v/>
      </c>
      <c r="P269" s="35">
        <f>IF($A269&gt;NYears*12,"",IF($D269=1,$O269,$P268+$O269))</f>
        <v/>
      </c>
      <c r="Q269" s="35">
        <f>IF($A269&gt;NYears*12,"",IF($D269=12,MIN(WdrPct*IF(WdrBase="Post-tax profit",$K269-$P269,$K269),WdrCap),0))</f>
        <v/>
      </c>
      <c r="R269" s="35">
        <f>IF($A269&gt;NYears*12,"",$F269+$J269-$O269-$Q269)</f>
        <v/>
      </c>
      <c r="S269" s="33">
        <f>IF($A269&gt;NYears*12,"",INT($R269/$E269))</f>
        <v/>
      </c>
    </row>
    <row r="270">
      <c r="A270" s="33">
        <f>266</f>
        <v/>
      </c>
      <c r="B270" s="34">
        <f>IF($A270&gt;NYears*12,"",EDATE(StartMonth,$A270-1))</f>
        <v/>
      </c>
      <c r="C270" s="33">
        <f>IF($A270&gt;NYears*12,"",INT(($A270-1)/12)+1)</f>
        <v/>
      </c>
      <c r="D270" s="33">
        <f>IF($A270&gt;NYears*12,"",MOD($A270-1,12)+1)</f>
        <v/>
      </c>
      <c r="E270" s="35">
        <f>IF($A270&gt;NYears*12,"",LotValue0*(1+LotGrowth)^($C270-1))</f>
        <v/>
      </c>
      <c r="F270" s="35">
        <f>IF($A270&gt;NYears*12,"",IF($A270=1,InitInvest,$R269))</f>
        <v/>
      </c>
      <c r="G270" s="33">
        <f>IF($A270&gt;NYears*12,"",INT($F270/$E270))</f>
        <v/>
      </c>
      <c r="H270" s="35">
        <f>IF($A270&gt;NYears*12,"",$G270*$E270)</f>
        <v/>
      </c>
      <c r="I270" s="35">
        <f>IF($A270&gt;NYears*12,"",$F270-$H270)</f>
        <v/>
      </c>
      <c r="J270" s="35">
        <f>IF($A270&gt;NYears*12,"",$H270*RateD)</f>
        <v/>
      </c>
      <c r="K270" s="35">
        <f>IF($A270&gt;NYears*12,"",IF($D270=1,$J270,$K269+$J270))</f>
        <v/>
      </c>
      <c r="L270" s="35">
        <f>IF($A270&gt;NYears*12,"",IF(MOD($D270,3)=0,SUM($J268:$J270),0))</f>
        <v/>
      </c>
      <c r="M270" s="35">
        <f>IF($A270&gt;NYears*12,"",IF(TaxFreq="Quarterly",$K270*12/$D270,$K270))</f>
        <v/>
      </c>
      <c r="N270" s="36">
        <f>IF($A270&gt;NYears*12,"",LOOKUP($M270,TaxLower,TaxRate))</f>
        <v/>
      </c>
      <c r="O270" s="35">
        <f>IF($A270&gt;NYears*12,"",IF(TaxFreq="Quarterly",IF(MOD($D270,3)=0,$L270*$N270,0),IF($D270=12,$K270*$N270,0)))</f>
        <v/>
      </c>
      <c r="P270" s="35">
        <f>IF($A270&gt;NYears*12,"",IF($D270=1,$O270,$P269+$O270))</f>
        <v/>
      </c>
      <c r="Q270" s="35">
        <f>IF($A270&gt;NYears*12,"",IF($D270=12,MIN(WdrPct*IF(WdrBase="Post-tax profit",$K270-$P270,$K270),WdrCap),0))</f>
        <v/>
      </c>
      <c r="R270" s="35">
        <f>IF($A270&gt;NYears*12,"",$F270+$J270-$O270-$Q270)</f>
        <v/>
      </c>
      <c r="S270" s="33">
        <f>IF($A270&gt;NYears*12,"",INT($R270/$E270))</f>
        <v/>
      </c>
    </row>
    <row r="271">
      <c r="A271" s="33">
        <f>267</f>
        <v/>
      </c>
      <c r="B271" s="34">
        <f>IF($A271&gt;NYears*12,"",EDATE(StartMonth,$A271-1))</f>
        <v/>
      </c>
      <c r="C271" s="33">
        <f>IF($A271&gt;NYears*12,"",INT(($A271-1)/12)+1)</f>
        <v/>
      </c>
      <c r="D271" s="33">
        <f>IF($A271&gt;NYears*12,"",MOD($A271-1,12)+1)</f>
        <v/>
      </c>
      <c r="E271" s="35">
        <f>IF($A271&gt;NYears*12,"",LotValue0*(1+LotGrowth)^($C271-1))</f>
        <v/>
      </c>
      <c r="F271" s="35">
        <f>IF($A271&gt;NYears*12,"",IF($A271=1,InitInvest,$R270))</f>
        <v/>
      </c>
      <c r="G271" s="33">
        <f>IF($A271&gt;NYears*12,"",INT($F271/$E271))</f>
        <v/>
      </c>
      <c r="H271" s="35">
        <f>IF($A271&gt;NYears*12,"",$G271*$E271)</f>
        <v/>
      </c>
      <c r="I271" s="35">
        <f>IF($A271&gt;NYears*12,"",$F271-$H271)</f>
        <v/>
      </c>
      <c r="J271" s="35">
        <f>IF($A271&gt;NYears*12,"",$H271*RateD)</f>
        <v/>
      </c>
      <c r="K271" s="35">
        <f>IF($A271&gt;NYears*12,"",IF($D271=1,$J271,$K270+$J271))</f>
        <v/>
      </c>
      <c r="L271" s="35">
        <f>IF($A271&gt;NYears*12,"",IF(MOD($D271,3)=0,SUM($J269:$J271),0))</f>
        <v/>
      </c>
      <c r="M271" s="35">
        <f>IF($A271&gt;NYears*12,"",IF(TaxFreq="Quarterly",$K271*12/$D271,$K271))</f>
        <v/>
      </c>
      <c r="N271" s="36">
        <f>IF($A271&gt;NYears*12,"",LOOKUP($M271,TaxLower,TaxRate))</f>
        <v/>
      </c>
      <c r="O271" s="35">
        <f>IF($A271&gt;NYears*12,"",IF(TaxFreq="Quarterly",IF(MOD($D271,3)=0,$L271*$N271,0),IF($D271=12,$K271*$N271,0)))</f>
        <v/>
      </c>
      <c r="P271" s="35">
        <f>IF($A271&gt;NYears*12,"",IF($D271=1,$O271,$P270+$O271))</f>
        <v/>
      </c>
      <c r="Q271" s="35">
        <f>IF($A271&gt;NYears*12,"",IF($D271=12,MIN(WdrPct*IF(WdrBase="Post-tax profit",$K271-$P271,$K271),WdrCap),0))</f>
        <v/>
      </c>
      <c r="R271" s="35">
        <f>IF($A271&gt;NYears*12,"",$F271+$J271-$O271-$Q271)</f>
        <v/>
      </c>
      <c r="S271" s="33">
        <f>IF($A271&gt;NYears*12,"",INT($R271/$E271))</f>
        <v/>
      </c>
    </row>
    <row r="272">
      <c r="A272" s="33">
        <f>268</f>
        <v/>
      </c>
      <c r="B272" s="34">
        <f>IF($A272&gt;NYears*12,"",EDATE(StartMonth,$A272-1))</f>
        <v/>
      </c>
      <c r="C272" s="33">
        <f>IF($A272&gt;NYears*12,"",INT(($A272-1)/12)+1)</f>
        <v/>
      </c>
      <c r="D272" s="33">
        <f>IF($A272&gt;NYears*12,"",MOD($A272-1,12)+1)</f>
        <v/>
      </c>
      <c r="E272" s="35">
        <f>IF($A272&gt;NYears*12,"",LotValue0*(1+LotGrowth)^($C272-1))</f>
        <v/>
      </c>
      <c r="F272" s="35">
        <f>IF($A272&gt;NYears*12,"",IF($A272=1,InitInvest,$R271))</f>
        <v/>
      </c>
      <c r="G272" s="33">
        <f>IF($A272&gt;NYears*12,"",INT($F272/$E272))</f>
        <v/>
      </c>
      <c r="H272" s="35">
        <f>IF($A272&gt;NYears*12,"",$G272*$E272)</f>
        <v/>
      </c>
      <c r="I272" s="35">
        <f>IF($A272&gt;NYears*12,"",$F272-$H272)</f>
        <v/>
      </c>
      <c r="J272" s="35">
        <f>IF($A272&gt;NYears*12,"",$H272*RateD)</f>
        <v/>
      </c>
      <c r="K272" s="35">
        <f>IF($A272&gt;NYears*12,"",IF($D272=1,$J272,$K271+$J272))</f>
        <v/>
      </c>
      <c r="L272" s="35">
        <f>IF($A272&gt;NYears*12,"",IF(MOD($D272,3)=0,SUM($J270:$J272),0))</f>
        <v/>
      </c>
      <c r="M272" s="35">
        <f>IF($A272&gt;NYears*12,"",IF(TaxFreq="Quarterly",$K272*12/$D272,$K272))</f>
        <v/>
      </c>
      <c r="N272" s="36">
        <f>IF($A272&gt;NYears*12,"",LOOKUP($M272,TaxLower,TaxRate))</f>
        <v/>
      </c>
      <c r="O272" s="35">
        <f>IF($A272&gt;NYears*12,"",IF(TaxFreq="Quarterly",IF(MOD($D272,3)=0,$L272*$N272,0),IF($D272=12,$K272*$N272,0)))</f>
        <v/>
      </c>
      <c r="P272" s="35">
        <f>IF($A272&gt;NYears*12,"",IF($D272=1,$O272,$P271+$O272))</f>
        <v/>
      </c>
      <c r="Q272" s="35">
        <f>IF($A272&gt;NYears*12,"",IF($D272=12,MIN(WdrPct*IF(WdrBase="Post-tax profit",$K272-$P272,$K272),WdrCap),0))</f>
        <v/>
      </c>
      <c r="R272" s="35">
        <f>IF($A272&gt;NYears*12,"",$F272+$J272-$O272-$Q272)</f>
        <v/>
      </c>
      <c r="S272" s="33">
        <f>IF($A272&gt;NYears*12,"",INT($R272/$E272))</f>
        <v/>
      </c>
    </row>
    <row r="273">
      <c r="A273" s="33">
        <f>269</f>
        <v/>
      </c>
      <c r="B273" s="34">
        <f>IF($A273&gt;NYears*12,"",EDATE(StartMonth,$A273-1))</f>
        <v/>
      </c>
      <c r="C273" s="33">
        <f>IF($A273&gt;NYears*12,"",INT(($A273-1)/12)+1)</f>
        <v/>
      </c>
      <c r="D273" s="33">
        <f>IF($A273&gt;NYears*12,"",MOD($A273-1,12)+1)</f>
        <v/>
      </c>
      <c r="E273" s="35">
        <f>IF($A273&gt;NYears*12,"",LotValue0*(1+LotGrowth)^($C273-1))</f>
        <v/>
      </c>
      <c r="F273" s="35">
        <f>IF($A273&gt;NYears*12,"",IF($A273=1,InitInvest,$R272))</f>
        <v/>
      </c>
      <c r="G273" s="33">
        <f>IF($A273&gt;NYears*12,"",INT($F273/$E273))</f>
        <v/>
      </c>
      <c r="H273" s="35">
        <f>IF($A273&gt;NYears*12,"",$G273*$E273)</f>
        <v/>
      </c>
      <c r="I273" s="35">
        <f>IF($A273&gt;NYears*12,"",$F273-$H273)</f>
        <v/>
      </c>
      <c r="J273" s="35">
        <f>IF($A273&gt;NYears*12,"",$H273*RateD)</f>
        <v/>
      </c>
      <c r="K273" s="35">
        <f>IF($A273&gt;NYears*12,"",IF($D273=1,$J273,$K272+$J273))</f>
        <v/>
      </c>
      <c r="L273" s="35">
        <f>IF($A273&gt;NYears*12,"",IF(MOD($D273,3)=0,SUM($J271:$J273),0))</f>
        <v/>
      </c>
      <c r="M273" s="35">
        <f>IF($A273&gt;NYears*12,"",IF(TaxFreq="Quarterly",$K273*12/$D273,$K273))</f>
        <v/>
      </c>
      <c r="N273" s="36">
        <f>IF($A273&gt;NYears*12,"",LOOKUP($M273,TaxLower,TaxRate))</f>
        <v/>
      </c>
      <c r="O273" s="35">
        <f>IF($A273&gt;NYears*12,"",IF(TaxFreq="Quarterly",IF(MOD($D273,3)=0,$L273*$N273,0),IF($D273=12,$K273*$N273,0)))</f>
        <v/>
      </c>
      <c r="P273" s="35">
        <f>IF($A273&gt;NYears*12,"",IF($D273=1,$O273,$P272+$O273))</f>
        <v/>
      </c>
      <c r="Q273" s="35">
        <f>IF($A273&gt;NYears*12,"",IF($D273=12,MIN(WdrPct*IF(WdrBase="Post-tax profit",$K273-$P273,$K273),WdrCap),0))</f>
        <v/>
      </c>
      <c r="R273" s="35">
        <f>IF($A273&gt;NYears*12,"",$F273+$J273-$O273-$Q273)</f>
        <v/>
      </c>
      <c r="S273" s="33">
        <f>IF($A273&gt;NYears*12,"",INT($R273/$E273))</f>
        <v/>
      </c>
    </row>
    <row r="274">
      <c r="A274" s="33">
        <f>270</f>
        <v/>
      </c>
      <c r="B274" s="34">
        <f>IF($A274&gt;NYears*12,"",EDATE(StartMonth,$A274-1))</f>
        <v/>
      </c>
      <c r="C274" s="33">
        <f>IF($A274&gt;NYears*12,"",INT(($A274-1)/12)+1)</f>
        <v/>
      </c>
      <c r="D274" s="33">
        <f>IF($A274&gt;NYears*12,"",MOD($A274-1,12)+1)</f>
        <v/>
      </c>
      <c r="E274" s="35">
        <f>IF($A274&gt;NYears*12,"",LotValue0*(1+LotGrowth)^($C274-1))</f>
        <v/>
      </c>
      <c r="F274" s="35">
        <f>IF($A274&gt;NYears*12,"",IF($A274=1,InitInvest,$R273))</f>
        <v/>
      </c>
      <c r="G274" s="33">
        <f>IF($A274&gt;NYears*12,"",INT($F274/$E274))</f>
        <v/>
      </c>
      <c r="H274" s="35">
        <f>IF($A274&gt;NYears*12,"",$G274*$E274)</f>
        <v/>
      </c>
      <c r="I274" s="35">
        <f>IF($A274&gt;NYears*12,"",$F274-$H274)</f>
        <v/>
      </c>
      <c r="J274" s="35">
        <f>IF($A274&gt;NYears*12,"",$H274*RateD)</f>
        <v/>
      </c>
      <c r="K274" s="35">
        <f>IF($A274&gt;NYears*12,"",IF($D274=1,$J274,$K273+$J274))</f>
        <v/>
      </c>
      <c r="L274" s="35">
        <f>IF($A274&gt;NYears*12,"",IF(MOD($D274,3)=0,SUM($J272:$J274),0))</f>
        <v/>
      </c>
      <c r="M274" s="35">
        <f>IF($A274&gt;NYears*12,"",IF(TaxFreq="Quarterly",$K274*12/$D274,$K274))</f>
        <v/>
      </c>
      <c r="N274" s="36">
        <f>IF($A274&gt;NYears*12,"",LOOKUP($M274,TaxLower,TaxRate))</f>
        <v/>
      </c>
      <c r="O274" s="35">
        <f>IF($A274&gt;NYears*12,"",IF(TaxFreq="Quarterly",IF(MOD($D274,3)=0,$L274*$N274,0),IF($D274=12,$K274*$N274,0)))</f>
        <v/>
      </c>
      <c r="P274" s="35">
        <f>IF($A274&gt;NYears*12,"",IF($D274=1,$O274,$P273+$O274))</f>
        <v/>
      </c>
      <c r="Q274" s="35">
        <f>IF($A274&gt;NYears*12,"",IF($D274=12,MIN(WdrPct*IF(WdrBase="Post-tax profit",$K274-$P274,$K274),WdrCap),0))</f>
        <v/>
      </c>
      <c r="R274" s="35">
        <f>IF($A274&gt;NYears*12,"",$F274+$J274-$O274-$Q274)</f>
        <v/>
      </c>
      <c r="S274" s="33">
        <f>IF($A274&gt;NYears*12,"",INT($R274/$E274))</f>
        <v/>
      </c>
    </row>
    <row r="275">
      <c r="A275" s="33">
        <f>271</f>
        <v/>
      </c>
      <c r="B275" s="34">
        <f>IF($A275&gt;NYears*12,"",EDATE(StartMonth,$A275-1))</f>
        <v/>
      </c>
      <c r="C275" s="33">
        <f>IF($A275&gt;NYears*12,"",INT(($A275-1)/12)+1)</f>
        <v/>
      </c>
      <c r="D275" s="33">
        <f>IF($A275&gt;NYears*12,"",MOD($A275-1,12)+1)</f>
        <v/>
      </c>
      <c r="E275" s="35">
        <f>IF($A275&gt;NYears*12,"",LotValue0*(1+LotGrowth)^($C275-1))</f>
        <v/>
      </c>
      <c r="F275" s="35">
        <f>IF($A275&gt;NYears*12,"",IF($A275=1,InitInvest,$R274))</f>
        <v/>
      </c>
      <c r="G275" s="33">
        <f>IF($A275&gt;NYears*12,"",INT($F275/$E275))</f>
        <v/>
      </c>
      <c r="H275" s="35">
        <f>IF($A275&gt;NYears*12,"",$G275*$E275)</f>
        <v/>
      </c>
      <c r="I275" s="35">
        <f>IF($A275&gt;NYears*12,"",$F275-$H275)</f>
        <v/>
      </c>
      <c r="J275" s="35">
        <f>IF($A275&gt;NYears*12,"",$H275*RateD)</f>
        <v/>
      </c>
      <c r="K275" s="35">
        <f>IF($A275&gt;NYears*12,"",IF($D275=1,$J275,$K274+$J275))</f>
        <v/>
      </c>
      <c r="L275" s="35">
        <f>IF($A275&gt;NYears*12,"",IF(MOD($D275,3)=0,SUM($J273:$J275),0))</f>
        <v/>
      </c>
      <c r="M275" s="35">
        <f>IF($A275&gt;NYears*12,"",IF(TaxFreq="Quarterly",$K275*12/$D275,$K275))</f>
        <v/>
      </c>
      <c r="N275" s="36">
        <f>IF($A275&gt;NYears*12,"",LOOKUP($M275,TaxLower,TaxRate))</f>
        <v/>
      </c>
      <c r="O275" s="35">
        <f>IF($A275&gt;NYears*12,"",IF(TaxFreq="Quarterly",IF(MOD($D275,3)=0,$L275*$N275,0),IF($D275=12,$K275*$N275,0)))</f>
        <v/>
      </c>
      <c r="P275" s="35">
        <f>IF($A275&gt;NYears*12,"",IF($D275=1,$O275,$P274+$O275))</f>
        <v/>
      </c>
      <c r="Q275" s="35">
        <f>IF($A275&gt;NYears*12,"",IF($D275=12,MIN(WdrPct*IF(WdrBase="Post-tax profit",$K275-$P275,$K275),WdrCap),0))</f>
        <v/>
      </c>
      <c r="R275" s="35">
        <f>IF($A275&gt;NYears*12,"",$F275+$J275-$O275-$Q275)</f>
        <v/>
      </c>
      <c r="S275" s="33">
        <f>IF($A275&gt;NYears*12,"",INT($R275/$E275))</f>
        <v/>
      </c>
    </row>
    <row r="276">
      <c r="A276" s="33">
        <f>272</f>
        <v/>
      </c>
      <c r="B276" s="34">
        <f>IF($A276&gt;NYears*12,"",EDATE(StartMonth,$A276-1))</f>
        <v/>
      </c>
      <c r="C276" s="33">
        <f>IF($A276&gt;NYears*12,"",INT(($A276-1)/12)+1)</f>
        <v/>
      </c>
      <c r="D276" s="33">
        <f>IF($A276&gt;NYears*12,"",MOD($A276-1,12)+1)</f>
        <v/>
      </c>
      <c r="E276" s="35">
        <f>IF($A276&gt;NYears*12,"",LotValue0*(1+LotGrowth)^($C276-1))</f>
        <v/>
      </c>
      <c r="F276" s="35">
        <f>IF($A276&gt;NYears*12,"",IF($A276=1,InitInvest,$R275))</f>
        <v/>
      </c>
      <c r="G276" s="33">
        <f>IF($A276&gt;NYears*12,"",INT($F276/$E276))</f>
        <v/>
      </c>
      <c r="H276" s="35">
        <f>IF($A276&gt;NYears*12,"",$G276*$E276)</f>
        <v/>
      </c>
      <c r="I276" s="35">
        <f>IF($A276&gt;NYears*12,"",$F276-$H276)</f>
        <v/>
      </c>
      <c r="J276" s="35">
        <f>IF($A276&gt;NYears*12,"",$H276*RateD)</f>
        <v/>
      </c>
      <c r="K276" s="35">
        <f>IF($A276&gt;NYears*12,"",IF($D276=1,$J276,$K275+$J276))</f>
        <v/>
      </c>
      <c r="L276" s="35">
        <f>IF($A276&gt;NYears*12,"",IF(MOD($D276,3)=0,SUM($J274:$J276),0))</f>
        <v/>
      </c>
      <c r="M276" s="35">
        <f>IF($A276&gt;NYears*12,"",IF(TaxFreq="Quarterly",$K276*12/$D276,$K276))</f>
        <v/>
      </c>
      <c r="N276" s="36">
        <f>IF($A276&gt;NYears*12,"",LOOKUP($M276,TaxLower,TaxRate))</f>
        <v/>
      </c>
      <c r="O276" s="35">
        <f>IF($A276&gt;NYears*12,"",IF(TaxFreq="Quarterly",IF(MOD($D276,3)=0,$L276*$N276,0),IF($D276=12,$K276*$N276,0)))</f>
        <v/>
      </c>
      <c r="P276" s="35">
        <f>IF($A276&gt;NYears*12,"",IF($D276=1,$O276,$P275+$O276))</f>
        <v/>
      </c>
      <c r="Q276" s="35">
        <f>IF($A276&gt;NYears*12,"",IF($D276=12,MIN(WdrPct*IF(WdrBase="Post-tax profit",$K276-$P276,$K276),WdrCap),0))</f>
        <v/>
      </c>
      <c r="R276" s="35">
        <f>IF($A276&gt;NYears*12,"",$F276+$J276-$O276-$Q276)</f>
        <v/>
      </c>
      <c r="S276" s="33">
        <f>IF($A276&gt;NYears*12,"",INT($R276/$E276))</f>
        <v/>
      </c>
    </row>
    <row r="277">
      <c r="A277" s="33">
        <f>273</f>
        <v/>
      </c>
      <c r="B277" s="34">
        <f>IF($A277&gt;NYears*12,"",EDATE(StartMonth,$A277-1))</f>
        <v/>
      </c>
      <c r="C277" s="33">
        <f>IF($A277&gt;NYears*12,"",INT(($A277-1)/12)+1)</f>
        <v/>
      </c>
      <c r="D277" s="33">
        <f>IF($A277&gt;NYears*12,"",MOD($A277-1,12)+1)</f>
        <v/>
      </c>
      <c r="E277" s="35">
        <f>IF($A277&gt;NYears*12,"",LotValue0*(1+LotGrowth)^($C277-1))</f>
        <v/>
      </c>
      <c r="F277" s="35">
        <f>IF($A277&gt;NYears*12,"",IF($A277=1,InitInvest,$R276))</f>
        <v/>
      </c>
      <c r="G277" s="33">
        <f>IF($A277&gt;NYears*12,"",INT($F277/$E277))</f>
        <v/>
      </c>
      <c r="H277" s="35">
        <f>IF($A277&gt;NYears*12,"",$G277*$E277)</f>
        <v/>
      </c>
      <c r="I277" s="35">
        <f>IF($A277&gt;NYears*12,"",$F277-$H277)</f>
        <v/>
      </c>
      <c r="J277" s="35">
        <f>IF($A277&gt;NYears*12,"",$H277*RateD)</f>
        <v/>
      </c>
      <c r="K277" s="35">
        <f>IF($A277&gt;NYears*12,"",IF($D277=1,$J277,$K276+$J277))</f>
        <v/>
      </c>
      <c r="L277" s="35">
        <f>IF($A277&gt;NYears*12,"",IF(MOD($D277,3)=0,SUM($J275:$J277),0))</f>
        <v/>
      </c>
      <c r="M277" s="35">
        <f>IF($A277&gt;NYears*12,"",IF(TaxFreq="Quarterly",$K277*12/$D277,$K277))</f>
        <v/>
      </c>
      <c r="N277" s="36">
        <f>IF($A277&gt;NYears*12,"",LOOKUP($M277,TaxLower,TaxRate))</f>
        <v/>
      </c>
      <c r="O277" s="35">
        <f>IF($A277&gt;NYears*12,"",IF(TaxFreq="Quarterly",IF(MOD($D277,3)=0,$L277*$N277,0),IF($D277=12,$K277*$N277,0)))</f>
        <v/>
      </c>
      <c r="P277" s="35">
        <f>IF($A277&gt;NYears*12,"",IF($D277=1,$O277,$P276+$O277))</f>
        <v/>
      </c>
      <c r="Q277" s="35">
        <f>IF($A277&gt;NYears*12,"",IF($D277=12,MIN(WdrPct*IF(WdrBase="Post-tax profit",$K277-$P277,$K277),WdrCap),0))</f>
        <v/>
      </c>
      <c r="R277" s="35">
        <f>IF($A277&gt;NYears*12,"",$F277+$J277-$O277-$Q277)</f>
        <v/>
      </c>
      <c r="S277" s="33">
        <f>IF($A277&gt;NYears*12,"",INT($R277/$E277))</f>
        <v/>
      </c>
    </row>
    <row r="278">
      <c r="A278" s="33">
        <f>274</f>
        <v/>
      </c>
      <c r="B278" s="34">
        <f>IF($A278&gt;NYears*12,"",EDATE(StartMonth,$A278-1))</f>
        <v/>
      </c>
      <c r="C278" s="33">
        <f>IF($A278&gt;NYears*12,"",INT(($A278-1)/12)+1)</f>
        <v/>
      </c>
      <c r="D278" s="33">
        <f>IF($A278&gt;NYears*12,"",MOD($A278-1,12)+1)</f>
        <v/>
      </c>
      <c r="E278" s="35">
        <f>IF($A278&gt;NYears*12,"",LotValue0*(1+LotGrowth)^($C278-1))</f>
        <v/>
      </c>
      <c r="F278" s="35">
        <f>IF($A278&gt;NYears*12,"",IF($A278=1,InitInvest,$R277))</f>
        <v/>
      </c>
      <c r="G278" s="33">
        <f>IF($A278&gt;NYears*12,"",INT($F278/$E278))</f>
        <v/>
      </c>
      <c r="H278" s="35">
        <f>IF($A278&gt;NYears*12,"",$G278*$E278)</f>
        <v/>
      </c>
      <c r="I278" s="35">
        <f>IF($A278&gt;NYears*12,"",$F278-$H278)</f>
        <v/>
      </c>
      <c r="J278" s="35">
        <f>IF($A278&gt;NYears*12,"",$H278*RateD)</f>
        <v/>
      </c>
      <c r="K278" s="35">
        <f>IF($A278&gt;NYears*12,"",IF($D278=1,$J278,$K277+$J278))</f>
        <v/>
      </c>
      <c r="L278" s="35">
        <f>IF($A278&gt;NYears*12,"",IF(MOD($D278,3)=0,SUM($J276:$J278),0))</f>
        <v/>
      </c>
      <c r="M278" s="35">
        <f>IF($A278&gt;NYears*12,"",IF(TaxFreq="Quarterly",$K278*12/$D278,$K278))</f>
        <v/>
      </c>
      <c r="N278" s="36">
        <f>IF($A278&gt;NYears*12,"",LOOKUP($M278,TaxLower,TaxRate))</f>
        <v/>
      </c>
      <c r="O278" s="35">
        <f>IF($A278&gt;NYears*12,"",IF(TaxFreq="Quarterly",IF(MOD($D278,3)=0,$L278*$N278,0),IF($D278=12,$K278*$N278,0)))</f>
        <v/>
      </c>
      <c r="P278" s="35">
        <f>IF($A278&gt;NYears*12,"",IF($D278=1,$O278,$P277+$O278))</f>
        <v/>
      </c>
      <c r="Q278" s="35">
        <f>IF($A278&gt;NYears*12,"",IF($D278=12,MIN(WdrPct*IF(WdrBase="Post-tax profit",$K278-$P278,$K278),WdrCap),0))</f>
        <v/>
      </c>
      <c r="R278" s="35">
        <f>IF($A278&gt;NYears*12,"",$F278+$J278-$O278-$Q278)</f>
        <v/>
      </c>
      <c r="S278" s="33">
        <f>IF($A278&gt;NYears*12,"",INT($R278/$E278))</f>
        <v/>
      </c>
    </row>
    <row r="279">
      <c r="A279" s="33">
        <f>275</f>
        <v/>
      </c>
      <c r="B279" s="34">
        <f>IF($A279&gt;NYears*12,"",EDATE(StartMonth,$A279-1))</f>
        <v/>
      </c>
      <c r="C279" s="33">
        <f>IF($A279&gt;NYears*12,"",INT(($A279-1)/12)+1)</f>
        <v/>
      </c>
      <c r="D279" s="33">
        <f>IF($A279&gt;NYears*12,"",MOD($A279-1,12)+1)</f>
        <v/>
      </c>
      <c r="E279" s="35">
        <f>IF($A279&gt;NYears*12,"",LotValue0*(1+LotGrowth)^($C279-1))</f>
        <v/>
      </c>
      <c r="F279" s="35">
        <f>IF($A279&gt;NYears*12,"",IF($A279=1,InitInvest,$R278))</f>
        <v/>
      </c>
      <c r="G279" s="33">
        <f>IF($A279&gt;NYears*12,"",INT($F279/$E279))</f>
        <v/>
      </c>
      <c r="H279" s="35">
        <f>IF($A279&gt;NYears*12,"",$G279*$E279)</f>
        <v/>
      </c>
      <c r="I279" s="35">
        <f>IF($A279&gt;NYears*12,"",$F279-$H279)</f>
        <v/>
      </c>
      <c r="J279" s="35">
        <f>IF($A279&gt;NYears*12,"",$H279*RateD)</f>
        <v/>
      </c>
      <c r="K279" s="35">
        <f>IF($A279&gt;NYears*12,"",IF($D279=1,$J279,$K278+$J279))</f>
        <v/>
      </c>
      <c r="L279" s="35">
        <f>IF($A279&gt;NYears*12,"",IF(MOD($D279,3)=0,SUM($J277:$J279),0))</f>
        <v/>
      </c>
      <c r="M279" s="35">
        <f>IF($A279&gt;NYears*12,"",IF(TaxFreq="Quarterly",$K279*12/$D279,$K279))</f>
        <v/>
      </c>
      <c r="N279" s="36">
        <f>IF($A279&gt;NYears*12,"",LOOKUP($M279,TaxLower,TaxRate))</f>
        <v/>
      </c>
      <c r="O279" s="35">
        <f>IF($A279&gt;NYears*12,"",IF(TaxFreq="Quarterly",IF(MOD($D279,3)=0,$L279*$N279,0),IF($D279=12,$K279*$N279,0)))</f>
        <v/>
      </c>
      <c r="P279" s="35">
        <f>IF($A279&gt;NYears*12,"",IF($D279=1,$O279,$P278+$O279))</f>
        <v/>
      </c>
      <c r="Q279" s="35">
        <f>IF($A279&gt;NYears*12,"",IF($D279=12,MIN(WdrPct*IF(WdrBase="Post-tax profit",$K279-$P279,$K279),WdrCap),0))</f>
        <v/>
      </c>
      <c r="R279" s="35">
        <f>IF($A279&gt;NYears*12,"",$F279+$J279-$O279-$Q279)</f>
        <v/>
      </c>
      <c r="S279" s="33">
        <f>IF($A279&gt;NYears*12,"",INT($R279/$E279))</f>
        <v/>
      </c>
    </row>
    <row r="280">
      <c r="A280" s="37">
        <f>276</f>
        <v/>
      </c>
      <c r="B280" s="38">
        <f>IF($A280&gt;NYears*12,"",EDATE(StartMonth,$A280-1))</f>
        <v/>
      </c>
      <c r="C280" s="37">
        <f>IF($A280&gt;NYears*12,"",INT(($A280-1)/12)+1)</f>
        <v/>
      </c>
      <c r="D280" s="37">
        <f>IF($A280&gt;NYears*12,"",MOD($A280-1,12)+1)</f>
        <v/>
      </c>
      <c r="E280" s="39">
        <f>IF($A280&gt;NYears*12,"",LotValue0*(1+LotGrowth)^($C280-1))</f>
        <v/>
      </c>
      <c r="F280" s="39">
        <f>IF($A280&gt;NYears*12,"",IF($A280=1,InitInvest,$R279))</f>
        <v/>
      </c>
      <c r="G280" s="37">
        <f>IF($A280&gt;NYears*12,"",INT($F280/$E280))</f>
        <v/>
      </c>
      <c r="H280" s="39">
        <f>IF($A280&gt;NYears*12,"",$G280*$E280)</f>
        <v/>
      </c>
      <c r="I280" s="39">
        <f>IF($A280&gt;NYears*12,"",$F280-$H280)</f>
        <v/>
      </c>
      <c r="J280" s="39">
        <f>IF($A280&gt;NYears*12,"",$H280*RateD)</f>
        <v/>
      </c>
      <c r="K280" s="39">
        <f>IF($A280&gt;NYears*12,"",IF($D280=1,$J280,$K279+$J280))</f>
        <v/>
      </c>
      <c r="L280" s="39">
        <f>IF($A280&gt;NYears*12,"",IF(MOD($D280,3)=0,SUM($J278:$J280),0))</f>
        <v/>
      </c>
      <c r="M280" s="39">
        <f>IF($A280&gt;NYears*12,"",IF(TaxFreq="Quarterly",$K280*12/$D280,$K280))</f>
        <v/>
      </c>
      <c r="N280" s="40">
        <f>IF($A280&gt;NYears*12,"",LOOKUP($M280,TaxLower,TaxRate))</f>
        <v/>
      </c>
      <c r="O280" s="39">
        <f>IF($A280&gt;NYears*12,"",IF(TaxFreq="Quarterly",IF(MOD($D280,3)=0,$L280*$N280,0),IF($D280=12,$K280*$N280,0)))</f>
        <v/>
      </c>
      <c r="P280" s="39">
        <f>IF($A280&gt;NYears*12,"",IF($D280=1,$O280,$P279+$O280))</f>
        <v/>
      </c>
      <c r="Q280" s="39">
        <f>IF($A280&gt;NYears*12,"",IF($D280=12,MIN(WdrPct*IF(WdrBase="Post-tax profit",$K280-$P280,$K280),WdrCap),0))</f>
        <v/>
      </c>
      <c r="R280" s="39">
        <f>IF($A280&gt;NYears*12,"",$F280+$J280-$O280-$Q280)</f>
        <v/>
      </c>
      <c r="S280" s="37">
        <f>IF($A280&gt;NYears*12,"",INT($R280/$E280))</f>
        <v/>
      </c>
    </row>
    <row r="281">
      <c r="A281" s="33">
        <f>277</f>
        <v/>
      </c>
      <c r="B281" s="34">
        <f>IF($A281&gt;NYears*12,"",EDATE(StartMonth,$A281-1))</f>
        <v/>
      </c>
      <c r="C281" s="33">
        <f>IF($A281&gt;NYears*12,"",INT(($A281-1)/12)+1)</f>
        <v/>
      </c>
      <c r="D281" s="33">
        <f>IF($A281&gt;NYears*12,"",MOD($A281-1,12)+1)</f>
        <v/>
      </c>
      <c r="E281" s="35">
        <f>IF($A281&gt;NYears*12,"",LotValue0*(1+LotGrowth)^($C281-1))</f>
        <v/>
      </c>
      <c r="F281" s="35">
        <f>IF($A281&gt;NYears*12,"",IF($A281=1,InitInvest,$R280))</f>
        <v/>
      </c>
      <c r="G281" s="33">
        <f>IF($A281&gt;NYears*12,"",INT($F281/$E281))</f>
        <v/>
      </c>
      <c r="H281" s="35">
        <f>IF($A281&gt;NYears*12,"",$G281*$E281)</f>
        <v/>
      </c>
      <c r="I281" s="35">
        <f>IF($A281&gt;NYears*12,"",$F281-$H281)</f>
        <v/>
      </c>
      <c r="J281" s="35">
        <f>IF($A281&gt;NYears*12,"",$H281*RateD)</f>
        <v/>
      </c>
      <c r="K281" s="35">
        <f>IF($A281&gt;NYears*12,"",IF($D281=1,$J281,$K280+$J281))</f>
        <v/>
      </c>
      <c r="L281" s="35">
        <f>IF($A281&gt;NYears*12,"",IF(MOD($D281,3)=0,SUM($J279:$J281),0))</f>
        <v/>
      </c>
      <c r="M281" s="35">
        <f>IF($A281&gt;NYears*12,"",IF(TaxFreq="Quarterly",$K281*12/$D281,$K281))</f>
        <v/>
      </c>
      <c r="N281" s="36">
        <f>IF($A281&gt;NYears*12,"",LOOKUP($M281,TaxLower,TaxRate))</f>
        <v/>
      </c>
      <c r="O281" s="35">
        <f>IF($A281&gt;NYears*12,"",IF(TaxFreq="Quarterly",IF(MOD($D281,3)=0,$L281*$N281,0),IF($D281=12,$K281*$N281,0)))</f>
        <v/>
      </c>
      <c r="P281" s="35">
        <f>IF($A281&gt;NYears*12,"",IF($D281=1,$O281,$P280+$O281))</f>
        <v/>
      </c>
      <c r="Q281" s="35">
        <f>IF($A281&gt;NYears*12,"",IF($D281=12,MIN(WdrPct*IF(WdrBase="Post-tax profit",$K281-$P281,$K281),WdrCap),0))</f>
        <v/>
      </c>
      <c r="R281" s="35">
        <f>IF($A281&gt;NYears*12,"",$F281+$J281-$O281-$Q281)</f>
        <v/>
      </c>
      <c r="S281" s="33">
        <f>IF($A281&gt;NYears*12,"",INT($R281/$E281))</f>
        <v/>
      </c>
    </row>
    <row r="282">
      <c r="A282" s="33">
        <f>278</f>
        <v/>
      </c>
      <c r="B282" s="34">
        <f>IF($A282&gt;NYears*12,"",EDATE(StartMonth,$A282-1))</f>
        <v/>
      </c>
      <c r="C282" s="33">
        <f>IF($A282&gt;NYears*12,"",INT(($A282-1)/12)+1)</f>
        <v/>
      </c>
      <c r="D282" s="33">
        <f>IF($A282&gt;NYears*12,"",MOD($A282-1,12)+1)</f>
        <v/>
      </c>
      <c r="E282" s="35">
        <f>IF($A282&gt;NYears*12,"",LotValue0*(1+LotGrowth)^($C282-1))</f>
        <v/>
      </c>
      <c r="F282" s="35">
        <f>IF($A282&gt;NYears*12,"",IF($A282=1,InitInvest,$R281))</f>
        <v/>
      </c>
      <c r="G282" s="33">
        <f>IF($A282&gt;NYears*12,"",INT($F282/$E282))</f>
        <v/>
      </c>
      <c r="H282" s="35">
        <f>IF($A282&gt;NYears*12,"",$G282*$E282)</f>
        <v/>
      </c>
      <c r="I282" s="35">
        <f>IF($A282&gt;NYears*12,"",$F282-$H282)</f>
        <v/>
      </c>
      <c r="J282" s="35">
        <f>IF($A282&gt;NYears*12,"",$H282*RateD)</f>
        <v/>
      </c>
      <c r="K282" s="35">
        <f>IF($A282&gt;NYears*12,"",IF($D282=1,$J282,$K281+$J282))</f>
        <v/>
      </c>
      <c r="L282" s="35">
        <f>IF($A282&gt;NYears*12,"",IF(MOD($D282,3)=0,SUM($J280:$J282),0))</f>
        <v/>
      </c>
      <c r="M282" s="35">
        <f>IF($A282&gt;NYears*12,"",IF(TaxFreq="Quarterly",$K282*12/$D282,$K282))</f>
        <v/>
      </c>
      <c r="N282" s="36">
        <f>IF($A282&gt;NYears*12,"",LOOKUP($M282,TaxLower,TaxRate))</f>
        <v/>
      </c>
      <c r="O282" s="35">
        <f>IF($A282&gt;NYears*12,"",IF(TaxFreq="Quarterly",IF(MOD($D282,3)=0,$L282*$N282,0),IF($D282=12,$K282*$N282,0)))</f>
        <v/>
      </c>
      <c r="P282" s="35">
        <f>IF($A282&gt;NYears*12,"",IF($D282=1,$O282,$P281+$O282))</f>
        <v/>
      </c>
      <c r="Q282" s="35">
        <f>IF($A282&gt;NYears*12,"",IF($D282=12,MIN(WdrPct*IF(WdrBase="Post-tax profit",$K282-$P282,$K282),WdrCap),0))</f>
        <v/>
      </c>
      <c r="R282" s="35">
        <f>IF($A282&gt;NYears*12,"",$F282+$J282-$O282-$Q282)</f>
        <v/>
      </c>
      <c r="S282" s="33">
        <f>IF($A282&gt;NYears*12,"",INT($R282/$E282))</f>
        <v/>
      </c>
    </row>
    <row r="283">
      <c r="A283" s="33">
        <f>279</f>
        <v/>
      </c>
      <c r="B283" s="34">
        <f>IF($A283&gt;NYears*12,"",EDATE(StartMonth,$A283-1))</f>
        <v/>
      </c>
      <c r="C283" s="33">
        <f>IF($A283&gt;NYears*12,"",INT(($A283-1)/12)+1)</f>
        <v/>
      </c>
      <c r="D283" s="33">
        <f>IF($A283&gt;NYears*12,"",MOD($A283-1,12)+1)</f>
        <v/>
      </c>
      <c r="E283" s="35">
        <f>IF($A283&gt;NYears*12,"",LotValue0*(1+LotGrowth)^($C283-1))</f>
        <v/>
      </c>
      <c r="F283" s="35">
        <f>IF($A283&gt;NYears*12,"",IF($A283=1,InitInvest,$R282))</f>
        <v/>
      </c>
      <c r="G283" s="33">
        <f>IF($A283&gt;NYears*12,"",INT($F283/$E283))</f>
        <v/>
      </c>
      <c r="H283" s="35">
        <f>IF($A283&gt;NYears*12,"",$G283*$E283)</f>
        <v/>
      </c>
      <c r="I283" s="35">
        <f>IF($A283&gt;NYears*12,"",$F283-$H283)</f>
        <v/>
      </c>
      <c r="J283" s="35">
        <f>IF($A283&gt;NYears*12,"",$H283*RateD)</f>
        <v/>
      </c>
      <c r="K283" s="35">
        <f>IF($A283&gt;NYears*12,"",IF($D283=1,$J283,$K282+$J283))</f>
        <v/>
      </c>
      <c r="L283" s="35">
        <f>IF($A283&gt;NYears*12,"",IF(MOD($D283,3)=0,SUM($J281:$J283),0))</f>
        <v/>
      </c>
      <c r="M283" s="35">
        <f>IF($A283&gt;NYears*12,"",IF(TaxFreq="Quarterly",$K283*12/$D283,$K283))</f>
        <v/>
      </c>
      <c r="N283" s="36">
        <f>IF($A283&gt;NYears*12,"",LOOKUP($M283,TaxLower,TaxRate))</f>
        <v/>
      </c>
      <c r="O283" s="35">
        <f>IF($A283&gt;NYears*12,"",IF(TaxFreq="Quarterly",IF(MOD($D283,3)=0,$L283*$N283,0),IF($D283=12,$K283*$N283,0)))</f>
        <v/>
      </c>
      <c r="P283" s="35">
        <f>IF($A283&gt;NYears*12,"",IF($D283=1,$O283,$P282+$O283))</f>
        <v/>
      </c>
      <c r="Q283" s="35">
        <f>IF($A283&gt;NYears*12,"",IF($D283=12,MIN(WdrPct*IF(WdrBase="Post-tax profit",$K283-$P283,$K283),WdrCap),0))</f>
        <v/>
      </c>
      <c r="R283" s="35">
        <f>IF($A283&gt;NYears*12,"",$F283+$J283-$O283-$Q283)</f>
        <v/>
      </c>
      <c r="S283" s="33">
        <f>IF($A283&gt;NYears*12,"",INT($R283/$E283))</f>
        <v/>
      </c>
    </row>
    <row r="284">
      <c r="A284" s="33">
        <f>280</f>
        <v/>
      </c>
      <c r="B284" s="34">
        <f>IF($A284&gt;NYears*12,"",EDATE(StartMonth,$A284-1))</f>
        <v/>
      </c>
      <c r="C284" s="33">
        <f>IF($A284&gt;NYears*12,"",INT(($A284-1)/12)+1)</f>
        <v/>
      </c>
      <c r="D284" s="33">
        <f>IF($A284&gt;NYears*12,"",MOD($A284-1,12)+1)</f>
        <v/>
      </c>
      <c r="E284" s="35">
        <f>IF($A284&gt;NYears*12,"",LotValue0*(1+LotGrowth)^($C284-1))</f>
        <v/>
      </c>
      <c r="F284" s="35">
        <f>IF($A284&gt;NYears*12,"",IF($A284=1,InitInvest,$R283))</f>
        <v/>
      </c>
      <c r="G284" s="33">
        <f>IF($A284&gt;NYears*12,"",INT($F284/$E284))</f>
        <v/>
      </c>
      <c r="H284" s="35">
        <f>IF($A284&gt;NYears*12,"",$G284*$E284)</f>
        <v/>
      </c>
      <c r="I284" s="35">
        <f>IF($A284&gt;NYears*12,"",$F284-$H284)</f>
        <v/>
      </c>
      <c r="J284" s="35">
        <f>IF($A284&gt;NYears*12,"",$H284*RateD)</f>
        <v/>
      </c>
      <c r="K284" s="35">
        <f>IF($A284&gt;NYears*12,"",IF($D284=1,$J284,$K283+$J284))</f>
        <v/>
      </c>
      <c r="L284" s="35">
        <f>IF($A284&gt;NYears*12,"",IF(MOD($D284,3)=0,SUM($J282:$J284),0))</f>
        <v/>
      </c>
      <c r="M284" s="35">
        <f>IF($A284&gt;NYears*12,"",IF(TaxFreq="Quarterly",$K284*12/$D284,$K284))</f>
        <v/>
      </c>
      <c r="N284" s="36">
        <f>IF($A284&gt;NYears*12,"",LOOKUP($M284,TaxLower,TaxRate))</f>
        <v/>
      </c>
      <c r="O284" s="35">
        <f>IF($A284&gt;NYears*12,"",IF(TaxFreq="Quarterly",IF(MOD($D284,3)=0,$L284*$N284,0),IF($D284=12,$K284*$N284,0)))</f>
        <v/>
      </c>
      <c r="P284" s="35">
        <f>IF($A284&gt;NYears*12,"",IF($D284=1,$O284,$P283+$O284))</f>
        <v/>
      </c>
      <c r="Q284" s="35">
        <f>IF($A284&gt;NYears*12,"",IF($D284=12,MIN(WdrPct*IF(WdrBase="Post-tax profit",$K284-$P284,$K284),WdrCap),0))</f>
        <v/>
      </c>
      <c r="R284" s="35">
        <f>IF($A284&gt;NYears*12,"",$F284+$J284-$O284-$Q284)</f>
        <v/>
      </c>
      <c r="S284" s="33">
        <f>IF($A284&gt;NYears*12,"",INT($R284/$E284))</f>
        <v/>
      </c>
    </row>
    <row r="285">
      <c r="A285" s="33">
        <f>281</f>
        <v/>
      </c>
      <c r="B285" s="34">
        <f>IF($A285&gt;NYears*12,"",EDATE(StartMonth,$A285-1))</f>
        <v/>
      </c>
      <c r="C285" s="33">
        <f>IF($A285&gt;NYears*12,"",INT(($A285-1)/12)+1)</f>
        <v/>
      </c>
      <c r="D285" s="33">
        <f>IF($A285&gt;NYears*12,"",MOD($A285-1,12)+1)</f>
        <v/>
      </c>
      <c r="E285" s="35">
        <f>IF($A285&gt;NYears*12,"",LotValue0*(1+LotGrowth)^($C285-1))</f>
        <v/>
      </c>
      <c r="F285" s="35">
        <f>IF($A285&gt;NYears*12,"",IF($A285=1,InitInvest,$R284))</f>
        <v/>
      </c>
      <c r="G285" s="33">
        <f>IF($A285&gt;NYears*12,"",INT($F285/$E285))</f>
        <v/>
      </c>
      <c r="H285" s="35">
        <f>IF($A285&gt;NYears*12,"",$G285*$E285)</f>
        <v/>
      </c>
      <c r="I285" s="35">
        <f>IF($A285&gt;NYears*12,"",$F285-$H285)</f>
        <v/>
      </c>
      <c r="J285" s="35">
        <f>IF($A285&gt;NYears*12,"",$H285*RateD)</f>
        <v/>
      </c>
      <c r="K285" s="35">
        <f>IF($A285&gt;NYears*12,"",IF($D285=1,$J285,$K284+$J285))</f>
        <v/>
      </c>
      <c r="L285" s="35">
        <f>IF($A285&gt;NYears*12,"",IF(MOD($D285,3)=0,SUM($J283:$J285),0))</f>
        <v/>
      </c>
      <c r="M285" s="35">
        <f>IF($A285&gt;NYears*12,"",IF(TaxFreq="Quarterly",$K285*12/$D285,$K285))</f>
        <v/>
      </c>
      <c r="N285" s="36">
        <f>IF($A285&gt;NYears*12,"",LOOKUP($M285,TaxLower,TaxRate))</f>
        <v/>
      </c>
      <c r="O285" s="35">
        <f>IF($A285&gt;NYears*12,"",IF(TaxFreq="Quarterly",IF(MOD($D285,3)=0,$L285*$N285,0),IF($D285=12,$K285*$N285,0)))</f>
        <v/>
      </c>
      <c r="P285" s="35">
        <f>IF($A285&gt;NYears*12,"",IF($D285=1,$O285,$P284+$O285))</f>
        <v/>
      </c>
      <c r="Q285" s="35">
        <f>IF($A285&gt;NYears*12,"",IF($D285=12,MIN(WdrPct*IF(WdrBase="Post-tax profit",$K285-$P285,$K285),WdrCap),0))</f>
        <v/>
      </c>
      <c r="R285" s="35">
        <f>IF($A285&gt;NYears*12,"",$F285+$J285-$O285-$Q285)</f>
        <v/>
      </c>
      <c r="S285" s="33">
        <f>IF($A285&gt;NYears*12,"",INT($R285/$E285))</f>
        <v/>
      </c>
    </row>
    <row r="286">
      <c r="A286" s="33">
        <f>282</f>
        <v/>
      </c>
      <c r="B286" s="34">
        <f>IF($A286&gt;NYears*12,"",EDATE(StartMonth,$A286-1))</f>
        <v/>
      </c>
      <c r="C286" s="33">
        <f>IF($A286&gt;NYears*12,"",INT(($A286-1)/12)+1)</f>
        <v/>
      </c>
      <c r="D286" s="33">
        <f>IF($A286&gt;NYears*12,"",MOD($A286-1,12)+1)</f>
        <v/>
      </c>
      <c r="E286" s="35">
        <f>IF($A286&gt;NYears*12,"",LotValue0*(1+LotGrowth)^($C286-1))</f>
        <v/>
      </c>
      <c r="F286" s="35">
        <f>IF($A286&gt;NYears*12,"",IF($A286=1,InitInvest,$R285))</f>
        <v/>
      </c>
      <c r="G286" s="33">
        <f>IF($A286&gt;NYears*12,"",INT($F286/$E286))</f>
        <v/>
      </c>
      <c r="H286" s="35">
        <f>IF($A286&gt;NYears*12,"",$G286*$E286)</f>
        <v/>
      </c>
      <c r="I286" s="35">
        <f>IF($A286&gt;NYears*12,"",$F286-$H286)</f>
        <v/>
      </c>
      <c r="J286" s="35">
        <f>IF($A286&gt;NYears*12,"",$H286*RateD)</f>
        <v/>
      </c>
      <c r="K286" s="35">
        <f>IF($A286&gt;NYears*12,"",IF($D286=1,$J286,$K285+$J286))</f>
        <v/>
      </c>
      <c r="L286" s="35">
        <f>IF($A286&gt;NYears*12,"",IF(MOD($D286,3)=0,SUM($J284:$J286),0))</f>
        <v/>
      </c>
      <c r="M286" s="35">
        <f>IF($A286&gt;NYears*12,"",IF(TaxFreq="Quarterly",$K286*12/$D286,$K286))</f>
        <v/>
      </c>
      <c r="N286" s="36">
        <f>IF($A286&gt;NYears*12,"",LOOKUP($M286,TaxLower,TaxRate))</f>
        <v/>
      </c>
      <c r="O286" s="35">
        <f>IF($A286&gt;NYears*12,"",IF(TaxFreq="Quarterly",IF(MOD($D286,3)=0,$L286*$N286,0),IF($D286=12,$K286*$N286,0)))</f>
        <v/>
      </c>
      <c r="P286" s="35">
        <f>IF($A286&gt;NYears*12,"",IF($D286=1,$O286,$P285+$O286))</f>
        <v/>
      </c>
      <c r="Q286" s="35">
        <f>IF($A286&gt;NYears*12,"",IF($D286=12,MIN(WdrPct*IF(WdrBase="Post-tax profit",$K286-$P286,$K286),WdrCap),0))</f>
        <v/>
      </c>
      <c r="R286" s="35">
        <f>IF($A286&gt;NYears*12,"",$F286+$J286-$O286-$Q286)</f>
        <v/>
      </c>
      <c r="S286" s="33">
        <f>IF($A286&gt;NYears*12,"",INT($R286/$E286))</f>
        <v/>
      </c>
    </row>
    <row r="287">
      <c r="A287" s="33">
        <f>283</f>
        <v/>
      </c>
      <c r="B287" s="34">
        <f>IF($A287&gt;NYears*12,"",EDATE(StartMonth,$A287-1))</f>
        <v/>
      </c>
      <c r="C287" s="33">
        <f>IF($A287&gt;NYears*12,"",INT(($A287-1)/12)+1)</f>
        <v/>
      </c>
      <c r="D287" s="33">
        <f>IF($A287&gt;NYears*12,"",MOD($A287-1,12)+1)</f>
        <v/>
      </c>
      <c r="E287" s="35">
        <f>IF($A287&gt;NYears*12,"",LotValue0*(1+LotGrowth)^($C287-1))</f>
        <v/>
      </c>
      <c r="F287" s="35">
        <f>IF($A287&gt;NYears*12,"",IF($A287=1,InitInvest,$R286))</f>
        <v/>
      </c>
      <c r="G287" s="33">
        <f>IF($A287&gt;NYears*12,"",INT($F287/$E287))</f>
        <v/>
      </c>
      <c r="H287" s="35">
        <f>IF($A287&gt;NYears*12,"",$G287*$E287)</f>
        <v/>
      </c>
      <c r="I287" s="35">
        <f>IF($A287&gt;NYears*12,"",$F287-$H287)</f>
        <v/>
      </c>
      <c r="J287" s="35">
        <f>IF($A287&gt;NYears*12,"",$H287*RateD)</f>
        <v/>
      </c>
      <c r="K287" s="35">
        <f>IF($A287&gt;NYears*12,"",IF($D287=1,$J287,$K286+$J287))</f>
        <v/>
      </c>
      <c r="L287" s="35">
        <f>IF($A287&gt;NYears*12,"",IF(MOD($D287,3)=0,SUM($J285:$J287),0))</f>
        <v/>
      </c>
      <c r="M287" s="35">
        <f>IF($A287&gt;NYears*12,"",IF(TaxFreq="Quarterly",$K287*12/$D287,$K287))</f>
        <v/>
      </c>
      <c r="N287" s="36">
        <f>IF($A287&gt;NYears*12,"",LOOKUP($M287,TaxLower,TaxRate))</f>
        <v/>
      </c>
      <c r="O287" s="35">
        <f>IF($A287&gt;NYears*12,"",IF(TaxFreq="Quarterly",IF(MOD($D287,3)=0,$L287*$N287,0),IF($D287=12,$K287*$N287,0)))</f>
        <v/>
      </c>
      <c r="P287" s="35">
        <f>IF($A287&gt;NYears*12,"",IF($D287=1,$O287,$P286+$O287))</f>
        <v/>
      </c>
      <c r="Q287" s="35">
        <f>IF($A287&gt;NYears*12,"",IF($D287=12,MIN(WdrPct*IF(WdrBase="Post-tax profit",$K287-$P287,$K287),WdrCap),0))</f>
        <v/>
      </c>
      <c r="R287" s="35">
        <f>IF($A287&gt;NYears*12,"",$F287+$J287-$O287-$Q287)</f>
        <v/>
      </c>
      <c r="S287" s="33">
        <f>IF($A287&gt;NYears*12,"",INT($R287/$E287))</f>
        <v/>
      </c>
    </row>
    <row r="288">
      <c r="A288" s="33">
        <f>284</f>
        <v/>
      </c>
      <c r="B288" s="34">
        <f>IF($A288&gt;NYears*12,"",EDATE(StartMonth,$A288-1))</f>
        <v/>
      </c>
      <c r="C288" s="33">
        <f>IF($A288&gt;NYears*12,"",INT(($A288-1)/12)+1)</f>
        <v/>
      </c>
      <c r="D288" s="33">
        <f>IF($A288&gt;NYears*12,"",MOD($A288-1,12)+1)</f>
        <v/>
      </c>
      <c r="E288" s="35">
        <f>IF($A288&gt;NYears*12,"",LotValue0*(1+LotGrowth)^($C288-1))</f>
        <v/>
      </c>
      <c r="F288" s="35">
        <f>IF($A288&gt;NYears*12,"",IF($A288=1,InitInvest,$R287))</f>
        <v/>
      </c>
      <c r="G288" s="33">
        <f>IF($A288&gt;NYears*12,"",INT($F288/$E288))</f>
        <v/>
      </c>
      <c r="H288" s="35">
        <f>IF($A288&gt;NYears*12,"",$G288*$E288)</f>
        <v/>
      </c>
      <c r="I288" s="35">
        <f>IF($A288&gt;NYears*12,"",$F288-$H288)</f>
        <v/>
      </c>
      <c r="J288" s="35">
        <f>IF($A288&gt;NYears*12,"",$H288*RateD)</f>
        <v/>
      </c>
      <c r="K288" s="35">
        <f>IF($A288&gt;NYears*12,"",IF($D288=1,$J288,$K287+$J288))</f>
        <v/>
      </c>
      <c r="L288" s="35">
        <f>IF($A288&gt;NYears*12,"",IF(MOD($D288,3)=0,SUM($J286:$J288),0))</f>
        <v/>
      </c>
      <c r="M288" s="35">
        <f>IF($A288&gt;NYears*12,"",IF(TaxFreq="Quarterly",$K288*12/$D288,$K288))</f>
        <v/>
      </c>
      <c r="N288" s="36">
        <f>IF($A288&gt;NYears*12,"",LOOKUP($M288,TaxLower,TaxRate))</f>
        <v/>
      </c>
      <c r="O288" s="35">
        <f>IF($A288&gt;NYears*12,"",IF(TaxFreq="Quarterly",IF(MOD($D288,3)=0,$L288*$N288,0),IF($D288=12,$K288*$N288,0)))</f>
        <v/>
      </c>
      <c r="P288" s="35">
        <f>IF($A288&gt;NYears*12,"",IF($D288=1,$O288,$P287+$O288))</f>
        <v/>
      </c>
      <c r="Q288" s="35">
        <f>IF($A288&gt;NYears*12,"",IF($D288=12,MIN(WdrPct*IF(WdrBase="Post-tax profit",$K288-$P288,$K288),WdrCap),0))</f>
        <v/>
      </c>
      <c r="R288" s="35">
        <f>IF($A288&gt;NYears*12,"",$F288+$J288-$O288-$Q288)</f>
        <v/>
      </c>
      <c r="S288" s="33">
        <f>IF($A288&gt;NYears*12,"",INT($R288/$E288))</f>
        <v/>
      </c>
    </row>
    <row r="289">
      <c r="A289" s="33">
        <f>285</f>
        <v/>
      </c>
      <c r="B289" s="34">
        <f>IF($A289&gt;NYears*12,"",EDATE(StartMonth,$A289-1))</f>
        <v/>
      </c>
      <c r="C289" s="33">
        <f>IF($A289&gt;NYears*12,"",INT(($A289-1)/12)+1)</f>
        <v/>
      </c>
      <c r="D289" s="33">
        <f>IF($A289&gt;NYears*12,"",MOD($A289-1,12)+1)</f>
        <v/>
      </c>
      <c r="E289" s="35">
        <f>IF($A289&gt;NYears*12,"",LotValue0*(1+LotGrowth)^($C289-1))</f>
        <v/>
      </c>
      <c r="F289" s="35">
        <f>IF($A289&gt;NYears*12,"",IF($A289=1,InitInvest,$R288))</f>
        <v/>
      </c>
      <c r="G289" s="33">
        <f>IF($A289&gt;NYears*12,"",INT($F289/$E289))</f>
        <v/>
      </c>
      <c r="H289" s="35">
        <f>IF($A289&gt;NYears*12,"",$G289*$E289)</f>
        <v/>
      </c>
      <c r="I289" s="35">
        <f>IF($A289&gt;NYears*12,"",$F289-$H289)</f>
        <v/>
      </c>
      <c r="J289" s="35">
        <f>IF($A289&gt;NYears*12,"",$H289*RateD)</f>
        <v/>
      </c>
      <c r="K289" s="35">
        <f>IF($A289&gt;NYears*12,"",IF($D289=1,$J289,$K288+$J289))</f>
        <v/>
      </c>
      <c r="L289" s="35">
        <f>IF($A289&gt;NYears*12,"",IF(MOD($D289,3)=0,SUM($J287:$J289),0))</f>
        <v/>
      </c>
      <c r="M289" s="35">
        <f>IF($A289&gt;NYears*12,"",IF(TaxFreq="Quarterly",$K289*12/$D289,$K289))</f>
        <v/>
      </c>
      <c r="N289" s="36">
        <f>IF($A289&gt;NYears*12,"",LOOKUP($M289,TaxLower,TaxRate))</f>
        <v/>
      </c>
      <c r="O289" s="35">
        <f>IF($A289&gt;NYears*12,"",IF(TaxFreq="Quarterly",IF(MOD($D289,3)=0,$L289*$N289,0),IF($D289=12,$K289*$N289,0)))</f>
        <v/>
      </c>
      <c r="P289" s="35">
        <f>IF($A289&gt;NYears*12,"",IF($D289=1,$O289,$P288+$O289))</f>
        <v/>
      </c>
      <c r="Q289" s="35">
        <f>IF($A289&gt;NYears*12,"",IF($D289=12,MIN(WdrPct*IF(WdrBase="Post-tax profit",$K289-$P289,$K289),WdrCap),0))</f>
        <v/>
      </c>
      <c r="R289" s="35">
        <f>IF($A289&gt;NYears*12,"",$F289+$J289-$O289-$Q289)</f>
        <v/>
      </c>
      <c r="S289" s="33">
        <f>IF($A289&gt;NYears*12,"",INT($R289/$E289))</f>
        <v/>
      </c>
    </row>
    <row r="290">
      <c r="A290" s="33">
        <f>286</f>
        <v/>
      </c>
      <c r="B290" s="34">
        <f>IF($A290&gt;NYears*12,"",EDATE(StartMonth,$A290-1))</f>
        <v/>
      </c>
      <c r="C290" s="33">
        <f>IF($A290&gt;NYears*12,"",INT(($A290-1)/12)+1)</f>
        <v/>
      </c>
      <c r="D290" s="33">
        <f>IF($A290&gt;NYears*12,"",MOD($A290-1,12)+1)</f>
        <v/>
      </c>
      <c r="E290" s="35">
        <f>IF($A290&gt;NYears*12,"",LotValue0*(1+LotGrowth)^($C290-1))</f>
        <v/>
      </c>
      <c r="F290" s="35">
        <f>IF($A290&gt;NYears*12,"",IF($A290=1,InitInvest,$R289))</f>
        <v/>
      </c>
      <c r="G290" s="33">
        <f>IF($A290&gt;NYears*12,"",INT($F290/$E290))</f>
        <v/>
      </c>
      <c r="H290" s="35">
        <f>IF($A290&gt;NYears*12,"",$G290*$E290)</f>
        <v/>
      </c>
      <c r="I290" s="35">
        <f>IF($A290&gt;NYears*12,"",$F290-$H290)</f>
        <v/>
      </c>
      <c r="J290" s="35">
        <f>IF($A290&gt;NYears*12,"",$H290*RateD)</f>
        <v/>
      </c>
      <c r="K290" s="35">
        <f>IF($A290&gt;NYears*12,"",IF($D290=1,$J290,$K289+$J290))</f>
        <v/>
      </c>
      <c r="L290" s="35">
        <f>IF($A290&gt;NYears*12,"",IF(MOD($D290,3)=0,SUM($J288:$J290),0))</f>
        <v/>
      </c>
      <c r="M290" s="35">
        <f>IF($A290&gt;NYears*12,"",IF(TaxFreq="Quarterly",$K290*12/$D290,$K290))</f>
        <v/>
      </c>
      <c r="N290" s="36">
        <f>IF($A290&gt;NYears*12,"",LOOKUP($M290,TaxLower,TaxRate))</f>
        <v/>
      </c>
      <c r="O290" s="35">
        <f>IF($A290&gt;NYears*12,"",IF(TaxFreq="Quarterly",IF(MOD($D290,3)=0,$L290*$N290,0),IF($D290=12,$K290*$N290,0)))</f>
        <v/>
      </c>
      <c r="P290" s="35">
        <f>IF($A290&gt;NYears*12,"",IF($D290=1,$O290,$P289+$O290))</f>
        <v/>
      </c>
      <c r="Q290" s="35">
        <f>IF($A290&gt;NYears*12,"",IF($D290=12,MIN(WdrPct*IF(WdrBase="Post-tax profit",$K290-$P290,$K290),WdrCap),0))</f>
        <v/>
      </c>
      <c r="R290" s="35">
        <f>IF($A290&gt;NYears*12,"",$F290+$J290-$O290-$Q290)</f>
        <v/>
      </c>
      <c r="S290" s="33">
        <f>IF($A290&gt;NYears*12,"",INT($R290/$E290))</f>
        <v/>
      </c>
    </row>
    <row r="291">
      <c r="A291" s="33">
        <f>287</f>
        <v/>
      </c>
      <c r="B291" s="34">
        <f>IF($A291&gt;NYears*12,"",EDATE(StartMonth,$A291-1))</f>
        <v/>
      </c>
      <c r="C291" s="33">
        <f>IF($A291&gt;NYears*12,"",INT(($A291-1)/12)+1)</f>
        <v/>
      </c>
      <c r="D291" s="33">
        <f>IF($A291&gt;NYears*12,"",MOD($A291-1,12)+1)</f>
        <v/>
      </c>
      <c r="E291" s="35">
        <f>IF($A291&gt;NYears*12,"",LotValue0*(1+LotGrowth)^($C291-1))</f>
        <v/>
      </c>
      <c r="F291" s="35">
        <f>IF($A291&gt;NYears*12,"",IF($A291=1,InitInvest,$R290))</f>
        <v/>
      </c>
      <c r="G291" s="33">
        <f>IF($A291&gt;NYears*12,"",INT($F291/$E291))</f>
        <v/>
      </c>
      <c r="H291" s="35">
        <f>IF($A291&gt;NYears*12,"",$G291*$E291)</f>
        <v/>
      </c>
      <c r="I291" s="35">
        <f>IF($A291&gt;NYears*12,"",$F291-$H291)</f>
        <v/>
      </c>
      <c r="J291" s="35">
        <f>IF($A291&gt;NYears*12,"",$H291*RateD)</f>
        <v/>
      </c>
      <c r="K291" s="35">
        <f>IF($A291&gt;NYears*12,"",IF($D291=1,$J291,$K290+$J291))</f>
        <v/>
      </c>
      <c r="L291" s="35">
        <f>IF($A291&gt;NYears*12,"",IF(MOD($D291,3)=0,SUM($J289:$J291),0))</f>
        <v/>
      </c>
      <c r="M291" s="35">
        <f>IF($A291&gt;NYears*12,"",IF(TaxFreq="Quarterly",$K291*12/$D291,$K291))</f>
        <v/>
      </c>
      <c r="N291" s="36">
        <f>IF($A291&gt;NYears*12,"",LOOKUP($M291,TaxLower,TaxRate))</f>
        <v/>
      </c>
      <c r="O291" s="35">
        <f>IF($A291&gt;NYears*12,"",IF(TaxFreq="Quarterly",IF(MOD($D291,3)=0,$L291*$N291,0),IF($D291=12,$K291*$N291,0)))</f>
        <v/>
      </c>
      <c r="P291" s="35">
        <f>IF($A291&gt;NYears*12,"",IF($D291=1,$O291,$P290+$O291))</f>
        <v/>
      </c>
      <c r="Q291" s="35">
        <f>IF($A291&gt;NYears*12,"",IF($D291=12,MIN(WdrPct*IF(WdrBase="Post-tax profit",$K291-$P291,$K291),WdrCap),0))</f>
        <v/>
      </c>
      <c r="R291" s="35">
        <f>IF($A291&gt;NYears*12,"",$F291+$J291-$O291-$Q291)</f>
        <v/>
      </c>
      <c r="S291" s="33">
        <f>IF($A291&gt;NYears*12,"",INT($R291/$E291))</f>
        <v/>
      </c>
    </row>
    <row r="292">
      <c r="A292" s="37">
        <f>288</f>
        <v/>
      </c>
      <c r="B292" s="38">
        <f>IF($A292&gt;NYears*12,"",EDATE(StartMonth,$A292-1))</f>
        <v/>
      </c>
      <c r="C292" s="37">
        <f>IF($A292&gt;NYears*12,"",INT(($A292-1)/12)+1)</f>
        <v/>
      </c>
      <c r="D292" s="37">
        <f>IF($A292&gt;NYears*12,"",MOD($A292-1,12)+1)</f>
        <v/>
      </c>
      <c r="E292" s="39">
        <f>IF($A292&gt;NYears*12,"",LotValue0*(1+LotGrowth)^($C292-1))</f>
        <v/>
      </c>
      <c r="F292" s="39">
        <f>IF($A292&gt;NYears*12,"",IF($A292=1,InitInvest,$R291))</f>
        <v/>
      </c>
      <c r="G292" s="37">
        <f>IF($A292&gt;NYears*12,"",INT($F292/$E292))</f>
        <v/>
      </c>
      <c r="H292" s="39">
        <f>IF($A292&gt;NYears*12,"",$G292*$E292)</f>
        <v/>
      </c>
      <c r="I292" s="39">
        <f>IF($A292&gt;NYears*12,"",$F292-$H292)</f>
        <v/>
      </c>
      <c r="J292" s="39">
        <f>IF($A292&gt;NYears*12,"",$H292*RateD)</f>
        <v/>
      </c>
      <c r="K292" s="39">
        <f>IF($A292&gt;NYears*12,"",IF($D292=1,$J292,$K291+$J292))</f>
        <v/>
      </c>
      <c r="L292" s="39">
        <f>IF($A292&gt;NYears*12,"",IF(MOD($D292,3)=0,SUM($J290:$J292),0))</f>
        <v/>
      </c>
      <c r="M292" s="39">
        <f>IF($A292&gt;NYears*12,"",IF(TaxFreq="Quarterly",$K292*12/$D292,$K292))</f>
        <v/>
      </c>
      <c r="N292" s="40">
        <f>IF($A292&gt;NYears*12,"",LOOKUP($M292,TaxLower,TaxRate))</f>
        <v/>
      </c>
      <c r="O292" s="39">
        <f>IF($A292&gt;NYears*12,"",IF(TaxFreq="Quarterly",IF(MOD($D292,3)=0,$L292*$N292,0),IF($D292=12,$K292*$N292,0)))</f>
        <v/>
      </c>
      <c r="P292" s="39">
        <f>IF($A292&gt;NYears*12,"",IF($D292=1,$O292,$P291+$O292))</f>
        <v/>
      </c>
      <c r="Q292" s="39">
        <f>IF($A292&gt;NYears*12,"",IF($D292=12,MIN(WdrPct*IF(WdrBase="Post-tax profit",$K292-$P292,$K292),WdrCap),0))</f>
        <v/>
      </c>
      <c r="R292" s="39">
        <f>IF($A292&gt;NYears*12,"",$F292+$J292-$O292-$Q292)</f>
        <v/>
      </c>
      <c r="S292" s="37">
        <f>IF($A292&gt;NYears*12,"",INT($R292/$E292))</f>
        <v/>
      </c>
    </row>
    <row r="293">
      <c r="A293" s="33">
        <f>289</f>
        <v/>
      </c>
      <c r="B293" s="34">
        <f>IF($A293&gt;NYears*12,"",EDATE(StartMonth,$A293-1))</f>
        <v/>
      </c>
      <c r="C293" s="33">
        <f>IF($A293&gt;NYears*12,"",INT(($A293-1)/12)+1)</f>
        <v/>
      </c>
      <c r="D293" s="33">
        <f>IF($A293&gt;NYears*12,"",MOD($A293-1,12)+1)</f>
        <v/>
      </c>
      <c r="E293" s="35">
        <f>IF($A293&gt;NYears*12,"",LotValue0*(1+LotGrowth)^($C293-1))</f>
        <v/>
      </c>
      <c r="F293" s="35">
        <f>IF($A293&gt;NYears*12,"",IF($A293=1,InitInvest,$R292))</f>
        <v/>
      </c>
      <c r="G293" s="33">
        <f>IF($A293&gt;NYears*12,"",INT($F293/$E293))</f>
        <v/>
      </c>
      <c r="H293" s="35">
        <f>IF($A293&gt;NYears*12,"",$G293*$E293)</f>
        <v/>
      </c>
      <c r="I293" s="35">
        <f>IF($A293&gt;NYears*12,"",$F293-$H293)</f>
        <v/>
      </c>
      <c r="J293" s="35">
        <f>IF($A293&gt;NYears*12,"",$H293*RateD)</f>
        <v/>
      </c>
      <c r="K293" s="35">
        <f>IF($A293&gt;NYears*12,"",IF($D293=1,$J293,$K292+$J293))</f>
        <v/>
      </c>
      <c r="L293" s="35">
        <f>IF($A293&gt;NYears*12,"",IF(MOD($D293,3)=0,SUM($J291:$J293),0))</f>
        <v/>
      </c>
      <c r="M293" s="35">
        <f>IF($A293&gt;NYears*12,"",IF(TaxFreq="Quarterly",$K293*12/$D293,$K293))</f>
        <v/>
      </c>
      <c r="N293" s="36">
        <f>IF($A293&gt;NYears*12,"",LOOKUP($M293,TaxLower,TaxRate))</f>
        <v/>
      </c>
      <c r="O293" s="35">
        <f>IF($A293&gt;NYears*12,"",IF(TaxFreq="Quarterly",IF(MOD($D293,3)=0,$L293*$N293,0),IF($D293=12,$K293*$N293,0)))</f>
        <v/>
      </c>
      <c r="P293" s="35">
        <f>IF($A293&gt;NYears*12,"",IF($D293=1,$O293,$P292+$O293))</f>
        <v/>
      </c>
      <c r="Q293" s="35">
        <f>IF($A293&gt;NYears*12,"",IF($D293=12,MIN(WdrPct*IF(WdrBase="Post-tax profit",$K293-$P293,$K293),WdrCap),0))</f>
        <v/>
      </c>
      <c r="R293" s="35">
        <f>IF($A293&gt;NYears*12,"",$F293+$J293-$O293-$Q293)</f>
        <v/>
      </c>
      <c r="S293" s="33">
        <f>IF($A293&gt;NYears*12,"",INT($R293/$E293))</f>
        <v/>
      </c>
    </row>
    <row r="294">
      <c r="A294" s="33">
        <f>290</f>
        <v/>
      </c>
      <c r="B294" s="34">
        <f>IF($A294&gt;NYears*12,"",EDATE(StartMonth,$A294-1))</f>
        <v/>
      </c>
      <c r="C294" s="33">
        <f>IF($A294&gt;NYears*12,"",INT(($A294-1)/12)+1)</f>
        <v/>
      </c>
      <c r="D294" s="33">
        <f>IF($A294&gt;NYears*12,"",MOD($A294-1,12)+1)</f>
        <v/>
      </c>
      <c r="E294" s="35">
        <f>IF($A294&gt;NYears*12,"",LotValue0*(1+LotGrowth)^($C294-1))</f>
        <v/>
      </c>
      <c r="F294" s="35">
        <f>IF($A294&gt;NYears*12,"",IF($A294=1,InitInvest,$R293))</f>
        <v/>
      </c>
      <c r="G294" s="33">
        <f>IF($A294&gt;NYears*12,"",INT($F294/$E294))</f>
        <v/>
      </c>
      <c r="H294" s="35">
        <f>IF($A294&gt;NYears*12,"",$G294*$E294)</f>
        <v/>
      </c>
      <c r="I294" s="35">
        <f>IF($A294&gt;NYears*12,"",$F294-$H294)</f>
        <v/>
      </c>
      <c r="J294" s="35">
        <f>IF($A294&gt;NYears*12,"",$H294*RateD)</f>
        <v/>
      </c>
      <c r="K294" s="35">
        <f>IF($A294&gt;NYears*12,"",IF($D294=1,$J294,$K293+$J294))</f>
        <v/>
      </c>
      <c r="L294" s="35">
        <f>IF($A294&gt;NYears*12,"",IF(MOD($D294,3)=0,SUM($J292:$J294),0))</f>
        <v/>
      </c>
      <c r="M294" s="35">
        <f>IF($A294&gt;NYears*12,"",IF(TaxFreq="Quarterly",$K294*12/$D294,$K294))</f>
        <v/>
      </c>
      <c r="N294" s="36">
        <f>IF($A294&gt;NYears*12,"",LOOKUP($M294,TaxLower,TaxRate))</f>
        <v/>
      </c>
      <c r="O294" s="35">
        <f>IF($A294&gt;NYears*12,"",IF(TaxFreq="Quarterly",IF(MOD($D294,3)=0,$L294*$N294,0),IF($D294=12,$K294*$N294,0)))</f>
        <v/>
      </c>
      <c r="P294" s="35">
        <f>IF($A294&gt;NYears*12,"",IF($D294=1,$O294,$P293+$O294))</f>
        <v/>
      </c>
      <c r="Q294" s="35">
        <f>IF($A294&gt;NYears*12,"",IF($D294=12,MIN(WdrPct*IF(WdrBase="Post-tax profit",$K294-$P294,$K294),WdrCap),0))</f>
        <v/>
      </c>
      <c r="R294" s="35">
        <f>IF($A294&gt;NYears*12,"",$F294+$J294-$O294-$Q294)</f>
        <v/>
      </c>
      <c r="S294" s="33">
        <f>IF($A294&gt;NYears*12,"",INT($R294/$E294))</f>
        <v/>
      </c>
    </row>
    <row r="295">
      <c r="A295" s="33">
        <f>291</f>
        <v/>
      </c>
      <c r="B295" s="34">
        <f>IF($A295&gt;NYears*12,"",EDATE(StartMonth,$A295-1))</f>
        <v/>
      </c>
      <c r="C295" s="33">
        <f>IF($A295&gt;NYears*12,"",INT(($A295-1)/12)+1)</f>
        <v/>
      </c>
      <c r="D295" s="33">
        <f>IF($A295&gt;NYears*12,"",MOD($A295-1,12)+1)</f>
        <v/>
      </c>
      <c r="E295" s="35">
        <f>IF($A295&gt;NYears*12,"",LotValue0*(1+LotGrowth)^($C295-1))</f>
        <v/>
      </c>
      <c r="F295" s="35">
        <f>IF($A295&gt;NYears*12,"",IF($A295=1,InitInvest,$R294))</f>
        <v/>
      </c>
      <c r="G295" s="33">
        <f>IF($A295&gt;NYears*12,"",INT($F295/$E295))</f>
        <v/>
      </c>
      <c r="H295" s="35">
        <f>IF($A295&gt;NYears*12,"",$G295*$E295)</f>
        <v/>
      </c>
      <c r="I295" s="35">
        <f>IF($A295&gt;NYears*12,"",$F295-$H295)</f>
        <v/>
      </c>
      <c r="J295" s="35">
        <f>IF($A295&gt;NYears*12,"",$H295*RateD)</f>
        <v/>
      </c>
      <c r="K295" s="35">
        <f>IF($A295&gt;NYears*12,"",IF($D295=1,$J295,$K294+$J295))</f>
        <v/>
      </c>
      <c r="L295" s="35">
        <f>IF($A295&gt;NYears*12,"",IF(MOD($D295,3)=0,SUM($J293:$J295),0))</f>
        <v/>
      </c>
      <c r="M295" s="35">
        <f>IF($A295&gt;NYears*12,"",IF(TaxFreq="Quarterly",$K295*12/$D295,$K295))</f>
        <v/>
      </c>
      <c r="N295" s="36">
        <f>IF($A295&gt;NYears*12,"",LOOKUP($M295,TaxLower,TaxRate))</f>
        <v/>
      </c>
      <c r="O295" s="35">
        <f>IF($A295&gt;NYears*12,"",IF(TaxFreq="Quarterly",IF(MOD($D295,3)=0,$L295*$N295,0),IF($D295=12,$K295*$N295,0)))</f>
        <v/>
      </c>
      <c r="P295" s="35">
        <f>IF($A295&gt;NYears*12,"",IF($D295=1,$O295,$P294+$O295))</f>
        <v/>
      </c>
      <c r="Q295" s="35">
        <f>IF($A295&gt;NYears*12,"",IF($D295=12,MIN(WdrPct*IF(WdrBase="Post-tax profit",$K295-$P295,$K295),WdrCap),0))</f>
        <v/>
      </c>
      <c r="R295" s="35">
        <f>IF($A295&gt;NYears*12,"",$F295+$J295-$O295-$Q295)</f>
        <v/>
      </c>
      <c r="S295" s="33">
        <f>IF($A295&gt;NYears*12,"",INT($R295/$E295))</f>
        <v/>
      </c>
    </row>
    <row r="296">
      <c r="A296" s="33">
        <f>292</f>
        <v/>
      </c>
      <c r="B296" s="34">
        <f>IF($A296&gt;NYears*12,"",EDATE(StartMonth,$A296-1))</f>
        <v/>
      </c>
      <c r="C296" s="33">
        <f>IF($A296&gt;NYears*12,"",INT(($A296-1)/12)+1)</f>
        <v/>
      </c>
      <c r="D296" s="33">
        <f>IF($A296&gt;NYears*12,"",MOD($A296-1,12)+1)</f>
        <v/>
      </c>
      <c r="E296" s="35">
        <f>IF($A296&gt;NYears*12,"",LotValue0*(1+LotGrowth)^($C296-1))</f>
        <v/>
      </c>
      <c r="F296" s="35">
        <f>IF($A296&gt;NYears*12,"",IF($A296=1,InitInvest,$R295))</f>
        <v/>
      </c>
      <c r="G296" s="33">
        <f>IF($A296&gt;NYears*12,"",INT($F296/$E296))</f>
        <v/>
      </c>
      <c r="H296" s="35">
        <f>IF($A296&gt;NYears*12,"",$G296*$E296)</f>
        <v/>
      </c>
      <c r="I296" s="35">
        <f>IF($A296&gt;NYears*12,"",$F296-$H296)</f>
        <v/>
      </c>
      <c r="J296" s="35">
        <f>IF($A296&gt;NYears*12,"",$H296*RateD)</f>
        <v/>
      </c>
      <c r="K296" s="35">
        <f>IF($A296&gt;NYears*12,"",IF($D296=1,$J296,$K295+$J296))</f>
        <v/>
      </c>
      <c r="L296" s="35">
        <f>IF($A296&gt;NYears*12,"",IF(MOD($D296,3)=0,SUM($J294:$J296),0))</f>
        <v/>
      </c>
      <c r="M296" s="35">
        <f>IF($A296&gt;NYears*12,"",IF(TaxFreq="Quarterly",$K296*12/$D296,$K296))</f>
        <v/>
      </c>
      <c r="N296" s="36">
        <f>IF($A296&gt;NYears*12,"",LOOKUP($M296,TaxLower,TaxRate))</f>
        <v/>
      </c>
      <c r="O296" s="35">
        <f>IF($A296&gt;NYears*12,"",IF(TaxFreq="Quarterly",IF(MOD($D296,3)=0,$L296*$N296,0),IF($D296=12,$K296*$N296,0)))</f>
        <v/>
      </c>
      <c r="P296" s="35">
        <f>IF($A296&gt;NYears*12,"",IF($D296=1,$O296,$P295+$O296))</f>
        <v/>
      </c>
      <c r="Q296" s="35">
        <f>IF($A296&gt;NYears*12,"",IF($D296=12,MIN(WdrPct*IF(WdrBase="Post-tax profit",$K296-$P296,$K296),WdrCap),0))</f>
        <v/>
      </c>
      <c r="R296" s="35">
        <f>IF($A296&gt;NYears*12,"",$F296+$J296-$O296-$Q296)</f>
        <v/>
      </c>
      <c r="S296" s="33">
        <f>IF($A296&gt;NYears*12,"",INT($R296/$E296))</f>
        <v/>
      </c>
    </row>
    <row r="297">
      <c r="A297" s="33">
        <f>293</f>
        <v/>
      </c>
      <c r="B297" s="34">
        <f>IF($A297&gt;NYears*12,"",EDATE(StartMonth,$A297-1))</f>
        <v/>
      </c>
      <c r="C297" s="33">
        <f>IF($A297&gt;NYears*12,"",INT(($A297-1)/12)+1)</f>
        <v/>
      </c>
      <c r="D297" s="33">
        <f>IF($A297&gt;NYears*12,"",MOD($A297-1,12)+1)</f>
        <v/>
      </c>
      <c r="E297" s="35">
        <f>IF($A297&gt;NYears*12,"",LotValue0*(1+LotGrowth)^($C297-1))</f>
        <v/>
      </c>
      <c r="F297" s="35">
        <f>IF($A297&gt;NYears*12,"",IF($A297=1,InitInvest,$R296))</f>
        <v/>
      </c>
      <c r="G297" s="33">
        <f>IF($A297&gt;NYears*12,"",INT($F297/$E297))</f>
        <v/>
      </c>
      <c r="H297" s="35">
        <f>IF($A297&gt;NYears*12,"",$G297*$E297)</f>
        <v/>
      </c>
      <c r="I297" s="35">
        <f>IF($A297&gt;NYears*12,"",$F297-$H297)</f>
        <v/>
      </c>
      <c r="J297" s="35">
        <f>IF($A297&gt;NYears*12,"",$H297*RateD)</f>
        <v/>
      </c>
      <c r="K297" s="35">
        <f>IF($A297&gt;NYears*12,"",IF($D297=1,$J297,$K296+$J297))</f>
        <v/>
      </c>
      <c r="L297" s="35">
        <f>IF($A297&gt;NYears*12,"",IF(MOD($D297,3)=0,SUM($J295:$J297),0))</f>
        <v/>
      </c>
      <c r="M297" s="35">
        <f>IF($A297&gt;NYears*12,"",IF(TaxFreq="Quarterly",$K297*12/$D297,$K297))</f>
        <v/>
      </c>
      <c r="N297" s="36">
        <f>IF($A297&gt;NYears*12,"",LOOKUP($M297,TaxLower,TaxRate))</f>
        <v/>
      </c>
      <c r="O297" s="35">
        <f>IF($A297&gt;NYears*12,"",IF(TaxFreq="Quarterly",IF(MOD($D297,3)=0,$L297*$N297,0),IF($D297=12,$K297*$N297,0)))</f>
        <v/>
      </c>
      <c r="P297" s="35">
        <f>IF($A297&gt;NYears*12,"",IF($D297=1,$O297,$P296+$O297))</f>
        <v/>
      </c>
      <c r="Q297" s="35">
        <f>IF($A297&gt;NYears*12,"",IF($D297=12,MIN(WdrPct*IF(WdrBase="Post-tax profit",$K297-$P297,$K297),WdrCap),0))</f>
        <v/>
      </c>
      <c r="R297" s="35">
        <f>IF($A297&gt;NYears*12,"",$F297+$J297-$O297-$Q297)</f>
        <v/>
      </c>
      <c r="S297" s="33">
        <f>IF($A297&gt;NYears*12,"",INT($R297/$E297))</f>
        <v/>
      </c>
    </row>
    <row r="298">
      <c r="A298" s="33">
        <f>294</f>
        <v/>
      </c>
      <c r="B298" s="34">
        <f>IF($A298&gt;NYears*12,"",EDATE(StartMonth,$A298-1))</f>
        <v/>
      </c>
      <c r="C298" s="33">
        <f>IF($A298&gt;NYears*12,"",INT(($A298-1)/12)+1)</f>
        <v/>
      </c>
      <c r="D298" s="33">
        <f>IF($A298&gt;NYears*12,"",MOD($A298-1,12)+1)</f>
        <v/>
      </c>
      <c r="E298" s="35">
        <f>IF($A298&gt;NYears*12,"",LotValue0*(1+LotGrowth)^($C298-1))</f>
        <v/>
      </c>
      <c r="F298" s="35">
        <f>IF($A298&gt;NYears*12,"",IF($A298=1,InitInvest,$R297))</f>
        <v/>
      </c>
      <c r="G298" s="33">
        <f>IF($A298&gt;NYears*12,"",INT($F298/$E298))</f>
        <v/>
      </c>
      <c r="H298" s="35">
        <f>IF($A298&gt;NYears*12,"",$G298*$E298)</f>
        <v/>
      </c>
      <c r="I298" s="35">
        <f>IF($A298&gt;NYears*12,"",$F298-$H298)</f>
        <v/>
      </c>
      <c r="J298" s="35">
        <f>IF($A298&gt;NYears*12,"",$H298*RateD)</f>
        <v/>
      </c>
      <c r="K298" s="35">
        <f>IF($A298&gt;NYears*12,"",IF($D298=1,$J298,$K297+$J298))</f>
        <v/>
      </c>
      <c r="L298" s="35">
        <f>IF($A298&gt;NYears*12,"",IF(MOD($D298,3)=0,SUM($J296:$J298),0))</f>
        <v/>
      </c>
      <c r="M298" s="35">
        <f>IF($A298&gt;NYears*12,"",IF(TaxFreq="Quarterly",$K298*12/$D298,$K298))</f>
        <v/>
      </c>
      <c r="N298" s="36">
        <f>IF($A298&gt;NYears*12,"",LOOKUP($M298,TaxLower,TaxRate))</f>
        <v/>
      </c>
      <c r="O298" s="35">
        <f>IF($A298&gt;NYears*12,"",IF(TaxFreq="Quarterly",IF(MOD($D298,3)=0,$L298*$N298,0),IF($D298=12,$K298*$N298,0)))</f>
        <v/>
      </c>
      <c r="P298" s="35">
        <f>IF($A298&gt;NYears*12,"",IF($D298=1,$O298,$P297+$O298))</f>
        <v/>
      </c>
      <c r="Q298" s="35">
        <f>IF($A298&gt;NYears*12,"",IF($D298=12,MIN(WdrPct*IF(WdrBase="Post-tax profit",$K298-$P298,$K298),WdrCap),0))</f>
        <v/>
      </c>
      <c r="R298" s="35">
        <f>IF($A298&gt;NYears*12,"",$F298+$J298-$O298-$Q298)</f>
        <v/>
      </c>
      <c r="S298" s="33">
        <f>IF($A298&gt;NYears*12,"",INT($R298/$E298))</f>
        <v/>
      </c>
    </row>
    <row r="299">
      <c r="A299" s="33">
        <f>295</f>
        <v/>
      </c>
      <c r="B299" s="34">
        <f>IF($A299&gt;NYears*12,"",EDATE(StartMonth,$A299-1))</f>
        <v/>
      </c>
      <c r="C299" s="33">
        <f>IF($A299&gt;NYears*12,"",INT(($A299-1)/12)+1)</f>
        <v/>
      </c>
      <c r="D299" s="33">
        <f>IF($A299&gt;NYears*12,"",MOD($A299-1,12)+1)</f>
        <v/>
      </c>
      <c r="E299" s="35">
        <f>IF($A299&gt;NYears*12,"",LotValue0*(1+LotGrowth)^($C299-1))</f>
        <v/>
      </c>
      <c r="F299" s="35">
        <f>IF($A299&gt;NYears*12,"",IF($A299=1,InitInvest,$R298))</f>
        <v/>
      </c>
      <c r="G299" s="33">
        <f>IF($A299&gt;NYears*12,"",INT($F299/$E299))</f>
        <v/>
      </c>
      <c r="H299" s="35">
        <f>IF($A299&gt;NYears*12,"",$G299*$E299)</f>
        <v/>
      </c>
      <c r="I299" s="35">
        <f>IF($A299&gt;NYears*12,"",$F299-$H299)</f>
        <v/>
      </c>
      <c r="J299" s="35">
        <f>IF($A299&gt;NYears*12,"",$H299*RateD)</f>
        <v/>
      </c>
      <c r="K299" s="35">
        <f>IF($A299&gt;NYears*12,"",IF($D299=1,$J299,$K298+$J299))</f>
        <v/>
      </c>
      <c r="L299" s="35">
        <f>IF($A299&gt;NYears*12,"",IF(MOD($D299,3)=0,SUM($J297:$J299),0))</f>
        <v/>
      </c>
      <c r="M299" s="35">
        <f>IF($A299&gt;NYears*12,"",IF(TaxFreq="Quarterly",$K299*12/$D299,$K299))</f>
        <v/>
      </c>
      <c r="N299" s="36">
        <f>IF($A299&gt;NYears*12,"",LOOKUP($M299,TaxLower,TaxRate))</f>
        <v/>
      </c>
      <c r="O299" s="35">
        <f>IF($A299&gt;NYears*12,"",IF(TaxFreq="Quarterly",IF(MOD($D299,3)=0,$L299*$N299,0),IF($D299=12,$K299*$N299,0)))</f>
        <v/>
      </c>
      <c r="P299" s="35">
        <f>IF($A299&gt;NYears*12,"",IF($D299=1,$O299,$P298+$O299))</f>
        <v/>
      </c>
      <c r="Q299" s="35">
        <f>IF($A299&gt;NYears*12,"",IF($D299=12,MIN(WdrPct*IF(WdrBase="Post-tax profit",$K299-$P299,$K299),WdrCap),0))</f>
        <v/>
      </c>
      <c r="R299" s="35">
        <f>IF($A299&gt;NYears*12,"",$F299+$J299-$O299-$Q299)</f>
        <v/>
      </c>
      <c r="S299" s="33">
        <f>IF($A299&gt;NYears*12,"",INT($R299/$E299))</f>
        <v/>
      </c>
    </row>
    <row r="300">
      <c r="A300" s="33">
        <f>296</f>
        <v/>
      </c>
      <c r="B300" s="34">
        <f>IF($A300&gt;NYears*12,"",EDATE(StartMonth,$A300-1))</f>
        <v/>
      </c>
      <c r="C300" s="33">
        <f>IF($A300&gt;NYears*12,"",INT(($A300-1)/12)+1)</f>
        <v/>
      </c>
      <c r="D300" s="33">
        <f>IF($A300&gt;NYears*12,"",MOD($A300-1,12)+1)</f>
        <v/>
      </c>
      <c r="E300" s="35">
        <f>IF($A300&gt;NYears*12,"",LotValue0*(1+LotGrowth)^($C300-1))</f>
        <v/>
      </c>
      <c r="F300" s="35">
        <f>IF($A300&gt;NYears*12,"",IF($A300=1,InitInvest,$R299))</f>
        <v/>
      </c>
      <c r="G300" s="33">
        <f>IF($A300&gt;NYears*12,"",INT($F300/$E300))</f>
        <v/>
      </c>
      <c r="H300" s="35">
        <f>IF($A300&gt;NYears*12,"",$G300*$E300)</f>
        <v/>
      </c>
      <c r="I300" s="35">
        <f>IF($A300&gt;NYears*12,"",$F300-$H300)</f>
        <v/>
      </c>
      <c r="J300" s="35">
        <f>IF($A300&gt;NYears*12,"",$H300*RateD)</f>
        <v/>
      </c>
      <c r="K300" s="35">
        <f>IF($A300&gt;NYears*12,"",IF($D300=1,$J300,$K299+$J300))</f>
        <v/>
      </c>
      <c r="L300" s="35">
        <f>IF($A300&gt;NYears*12,"",IF(MOD($D300,3)=0,SUM($J298:$J300),0))</f>
        <v/>
      </c>
      <c r="M300" s="35">
        <f>IF($A300&gt;NYears*12,"",IF(TaxFreq="Quarterly",$K300*12/$D300,$K300))</f>
        <v/>
      </c>
      <c r="N300" s="36">
        <f>IF($A300&gt;NYears*12,"",LOOKUP($M300,TaxLower,TaxRate))</f>
        <v/>
      </c>
      <c r="O300" s="35">
        <f>IF($A300&gt;NYears*12,"",IF(TaxFreq="Quarterly",IF(MOD($D300,3)=0,$L300*$N300,0),IF($D300=12,$K300*$N300,0)))</f>
        <v/>
      </c>
      <c r="P300" s="35">
        <f>IF($A300&gt;NYears*12,"",IF($D300=1,$O300,$P299+$O300))</f>
        <v/>
      </c>
      <c r="Q300" s="35">
        <f>IF($A300&gt;NYears*12,"",IF($D300=12,MIN(WdrPct*IF(WdrBase="Post-tax profit",$K300-$P300,$K300),WdrCap),0))</f>
        <v/>
      </c>
      <c r="R300" s="35">
        <f>IF($A300&gt;NYears*12,"",$F300+$J300-$O300-$Q300)</f>
        <v/>
      </c>
      <c r="S300" s="33">
        <f>IF($A300&gt;NYears*12,"",INT($R300/$E300))</f>
        <v/>
      </c>
    </row>
    <row r="301">
      <c r="A301" s="33">
        <f>297</f>
        <v/>
      </c>
      <c r="B301" s="34">
        <f>IF($A301&gt;NYears*12,"",EDATE(StartMonth,$A301-1))</f>
        <v/>
      </c>
      <c r="C301" s="33">
        <f>IF($A301&gt;NYears*12,"",INT(($A301-1)/12)+1)</f>
        <v/>
      </c>
      <c r="D301" s="33">
        <f>IF($A301&gt;NYears*12,"",MOD($A301-1,12)+1)</f>
        <v/>
      </c>
      <c r="E301" s="35">
        <f>IF($A301&gt;NYears*12,"",LotValue0*(1+LotGrowth)^($C301-1))</f>
        <v/>
      </c>
      <c r="F301" s="35">
        <f>IF($A301&gt;NYears*12,"",IF($A301=1,InitInvest,$R300))</f>
        <v/>
      </c>
      <c r="G301" s="33">
        <f>IF($A301&gt;NYears*12,"",INT($F301/$E301))</f>
        <v/>
      </c>
      <c r="H301" s="35">
        <f>IF($A301&gt;NYears*12,"",$G301*$E301)</f>
        <v/>
      </c>
      <c r="I301" s="35">
        <f>IF($A301&gt;NYears*12,"",$F301-$H301)</f>
        <v/>
      </c>
      <c r="J301" s="35">
        <f>IF($A301&gt;NYears*12,"",$H301*RateD)</f>
        <v/>
      </c>
      <c r="K301" s="35">
        <f>IF($A301&gt;NYears*12,"",IF($D301=1,$J301,$K300+$J301))</f>
        <v/>
      </c>
      <c r="L301" s="35">
        <f>IF($A301&gt;NYears*12,"",IF(MOD($D301,3)=0,SUM($J299:$J301),0))</f>
        <v/>
      </c>
      <c r="M301" s="35">
        <f>IF($A301&gt;NYears*12,"",IF(TaxFreq="Quarterly",$K301*12/$D301,$K301))</f>
        <v/>
      </c>
      <c r="N301" s="36">
        <f>IF($A301&gt;NYears*12,"",LOOKUP($M301,TaxLower,TaxRate))</f>
        <v/>
      </c>
      <c r="O301" s="35">
        <f>IF($A301&gt;NYears*12,"",IF(TaxFreq="Quarterly",IF(MOD($D301,3)=0,$L301*$N301,0),IF($D301=12,$K301*$N301,0)))</f>
        <v/>
      </c>
      <c r="P301" s="35">
        <f>IF($A301&gt;NYears*12,"",IF($D301=1,$O301,$P300+$O301))</f>
        <v/>
      </c>
      <c r="Q301" s="35">
        <f>IF($A301&gt;NYears*12,"",IF($D301=12,MIN(WdrPct*IF(WdrBase="Post-tax profit",$K301-$P301,$K301),WdrCap),0))</f>
        <v/>
      </c>
      <c r="R301" s="35">
        <f>IF($A301&gt;NYears*12,"",$F301+$J301-$O301-$Q301)</f>
        <v/>
      </c>
      <c r="S301" s="33">
        <f>IF($A301&gt;NYears*12,"",INT($R301/$E301))</f>
        <v/>
      </c>
    </row>
    <row r="302">
      <c r="A302" s="33">
        <f>298</f>
        <v/>
      </c>
      <c r="B302" s="34">
        <f>IF($A302&gt;NYears*12,"",EDATE(StartMonth,$A302-1))</f>
        <v/>
      </c>
      <c r="C302" s="33">
        <f>IF($A302&gt;NYears*12,"",INT(($A302-1)/12)+1)</f>
        <v/>
      </c>
      <c r="D302" s="33">
        <f>IF($A302&gt;NYears*12,"",MOD($A302-1,12)+1)</f>
        <v/>
      </c>
      <c r="E302" s="35">
        <f>IF($A302&gt;NYears*12,"",LotValue0*(1+LotGrowth)^($C302-1))</f>
        <v/>
      </c>
      <c r="F302" s="35">
        <f>IF($A302&gt;NYears*12,"",IF($A302=1,InitInvest,$R301))</f>
        <v/>
      </c>
      <c r="G302" s="33">
        <f>IF($A302&gt;NYears*12,"",INT($F302/$E302))</f>
        <v/>
      </c>
      <c r="H302" s="35">
        <f>IF($A302&gt;NYears*12,"",$G302*$E302)</f>
        <v/>
      </c>
      <c r="I302" s="35">
        <f>IF($A302&gt;NYears*12,"",$F302-$H302)</f>
        <v/>
      </c>
      <c r="J302" s="35">
        <f>IF($A302&gt;NYears*12,"",$H302*RateD)</f>
        <v/>
      </c>
      <c r="K302" s="35">
        <f>IF($A302&gt;NYears*12,"",IF($D302=1,$J302,$K301+$J302))</f>
        <v/>
      </c>
      <c r="L302" s="35">
        <f>IF($A302&gt;NYears*12,"",IF(MOD($D302,3)=0,SUM($J300:$J302),0))</f>
        <v/>
      </c>
      <c r="M302" s="35">
        <f>IF($A302&gt;NYears*12,"",IF(TaxFreq="Quarterly",$K302*12/$D302,$K302))</f>
        <v/>
      </c>
      <c r="N302" s="36">
        <f>IF($A302&gt;NYears*12,"",LOOKUP($M302,TaxLower,TaxRate))</f>
        <v/>
      </c>
      <c r="O302" s="35">
        <f>IF($A302&gt;NYears*12,"",IF(TaxFreq="Quarterly",IF(MOD($D302,3)=0,$L302*$N302,0),IF($D302=12,$K302*$N302,0)))</f>
        <v/>
      </c>
      <c r="P302" s="35">
        <f>IF($A302&gt;NYears*12,"",IF($D302=1,$O302,$P301+$O302))</f>
        <v/>
      </c>
      <c r="Q302" s="35">
        <f>IF($A302&gt;NYears*12,"",IF($D302=12,MIN(WdrPct*IF(WdrBase="Post-tax profit",$K302-$P302,$K302),WdrCap),0))</f>
        <v/>
      </c>
      <c r="R302" s="35">
        <f>IF($A302&gt;NYears*12,"",$F302+$J302-$O302-$Q302)</f>
        <v/>
      </c>
      <c r="S302" s="33">
        <f>IF($A302&gt;NYears*12,"",INT($R302/$E302))</f>
        <v/>
      </c>
    </row>
    <row r="303">
      <c r="A303" s="33">
        <f>299</f>
        <v/>
      </c>
      <c r="B303" s="34">
        <f>IF($A303&gt;NYears*12,"",EDATE(StartMonth,$A303-1))</f>
        <v/>
      </c>
      <c r="C303" s="33">
        <f>IF($A303&gt;NYears*12,"",INT(($A303-1)/12)+1)</f>
        <v/>
      </c>
      <c r="D303" s="33">
        <f>IF($A303&gt;NYears*12,"",MOD($A303-1,12)+1)</f>
        <v/>
      </c>
      <c r="E303" s="35">
        <f>IF($A303&gt;NYears*12,"",LotValue0*(1+LotGrowth)^($C303-1))</f>
        <v/>
      </c>
      <c r="F303" s="35">
        <f>IF($A303&gt;NYears*12,"",IF($A303=1,InitInvest,$R302))</f>
        <v/>
      </c>
      <c r="G303" s="33">
        <f>IF($A303&gt;NYears*12,"",INT($F303/$E303))</f>
        <v/>
      </c>
      <c r="H303" s="35">
        <f>IF($A303&gt;NYears*12,"",$G303*$E303)</f>
        <v/>
      </c>
      <c r="I303" s="35">
        <f>IF($A303&gt;NYears*12,"",$F303-$H303)</f>
        <v/>
      </c>
      <c r="J303" s="35">
        <f>IF($A303&gt;NYears*12,"",$H303*RateD)</f>
        <v/>
      </c>
      <c r="K303" s="35">
        <f>IF($A303&gt;NYears*12,"",IF($D303=1,$J303,$K302+$J303))</f>
        <v/>
      </c>
      <c r="L303" s="35">
        <f>IF($A303&gt;NYears*12,"",IF(MOD($D303,3)=0,SUM($J301:$J303),0))</f>
        <v/>
      </c>
      <c r="M303" s="35">
        <f>IF($A303&gt;NYears*12,"",IF(TaxFreq="Quarterly",$K303*12/$D303,$K303))</f>
        <v/>
      </c>
      <c r="N303" s="36">
        <f>IF($A303&gt;NYears*12,"",LOOKUP($M303,TaxLower,TaxRate))</f>
        <v/>
      </c>
      <c r="O303" s="35">
        <f>IF($A303&gt;NYears*12,"",IF(TaxFreq="Quarterly",IF(MOD($D303,3)=0,$L303*$N303,0),IF($D303=12,$K303*$N303,0)))</f>
        <v/>
      </c>
      <c r="P303" s="35">
        <f>IF($A303&gt;NYears*12,"",IF($D303=1,$O303,$P302+$O303))</f>
        <v/>
      </c>
      <c r="Q303" s="35">
        <f>IF($A303&gt;NYears*12,"",IF($D303=12,MIN(WdrPct*IF(WdrBase="Post-tax profit",$K303-$P303,$K303),WdrCap),0))</f>
        <v/>
      </c>
      <c r="R303" s="35">
        <f>IF($A303&gt;NYears*12,"",$F303+$J303-$O303-$Q303)</f>
        <v/>
      </c>
      <c r="S303" s="33">
        <f>IF($A303&gt;NYears*12,"",INT($R303/$E303))</f>
        <v/>
      </c>
    </row>
    <row r="304">
      <c r="A304" s="37">
        <f>300</f>
        <v/>
      </c>
      <c r="B304" s="38">
        <f>IF($A304&gt;NYears*12,"",EDATE(StartMonth,$A304-1))</f>
        <v/>
      </c>
      <c r="C304" s="37">
        <f>IF($A304&gt;NYears*12,"",INT(($A304-1)/12)+1)</f>
        <v/>
      </c>
      <c r="D304" s="37">
        <f>IF($A304&gt;NYears*12,"",MOD($A304-1,12)+1)</f>
        <v/>
      </c>
      <c r="E304" s="39">
        <f>IF($A304&gt;NYears*12,"",LotValue0*(1+LotGrowth)^($C304-1))</f>
        <v/>
      </c>
      <c r="F304" s="39">
        <f>IF($A304&gt;NYears*12,"",IF($A304=1,InitInvest,$R303))</f>
        <v/>
      </c>
      <c r="G304" s="37">
        <f>IF($A304&gt;NYears*12,"",INT($F304/$E304))</f>
        <v/>
      </c>
      <c r="H304" s="39">
        <f>IF($A304&gt;NYears*12,"",$G304*$E304)</f>
        <v/>
      </c>
      <c r="I304" s="39">
        <f>IF($A304&gt;NYears*12,"",$F304-$H304)</f>
        <v/>
      </c>
      <c r="J304" s="39">
        <f>IF($A304&gt;NYears*12,"",$H304*RateD)</f>
        <v/>
      </c>
      <c r="K304" s="39">
        <f>IF($A304&gt;NYears*12,"",IF($D304=1,$J304,$K303+$J304))</f>
        <v/>
      </c>
      <c r="L304" s="39">
        <f>IF($A304&gt;NYears*12,"",IF(MOD($D304,3)=0,SUM($J302:$J304),0))</f>
        <v/>
      </c>
      <c r="M304" s="39">
        <f>IF($A304&gt;NYears*12,"",IF(TaxFreq="Quarterly",$K304*12/$D304,$K304))</f>
        <v/>
      </c>
      <c r="N304" s="40">
        <f>IF($A304&gt;NYears*12,"",LOOKUP($M304,TaxLower,TaxRate))</f>
        <v/>
      </c>
      <c r="O304" s="39">
        <f>IF($A304&gt;NYears*12,"",IF(TaxFreq="Quarterly",IF(MOD($D304,3)=0,$L304*$N304,0),IF($D304=12,$K304*$N304,0)))</f>
        <v/>
      </c>
      <c r="P304" s="39">
        <f>IF($A304&gt;NYears*12,"",IF($D304=1,$O304,$P303+$O304))</f>
        <v/>
      </c>
      <c r="Q304" s="39">
        <f>IF($A304&gt;NYears*12,"",IF($D304=12,MIN(WdrPct*IF(WdrBase="Post-tax profit",$K304-$P304,$K304),WdrCap),0))</f>
        <v/>
      </c>
      <c r="R304" s="39">
        <f>IF($A304&gt;NYears*12,"",$F304+$J304-$O304-$Q304)</f>
        <v/>
      </c>
      <c r="S304" s="37">
        <f>IF($A304&gt;NYears*12,"",INT($R304/$E304))</f>
        <v/>
      </c>
    </row>
    <row r="305">
      <c r="A305" s="33">
        <f>301</f>
        <v/>
      </c>
      <c r="B305" s="34">
        <f>IF($A305&gt;NYears*12,"",EDATE(StartMonth,$A305-1))</f>
        <v/>
      </c>
      <c r="C305" s="33">
        <f>IF($A305&gt;NYears*12,"",INT(($A305-1)/12)+1)</f>
        <v/>
      </c>
      <c r="D305" s="33">
        <f>IF($A305&gt;NYears*12,"",MOD($A305-1,12)+1)</f>
        <v/>
      </c>
      <c r="E305" s="35">
        <f>IF($A305&gt;NYears*12,"",LotValue0*(1+LotGrowth)^($C305-1))</f>
        <v/>
      </c>
      <c r="F305" s="35">
        <f>IF($A305&gt;NYears*12,"",IF($A305=1,InitInvest,$R304))</f>
        <v/>
      </c>
      <c r="G305" s="33">
        <f>IF($A305&gt;NYears*12,"",INT($F305/$E305))</f>
        <v/>
      </c>
      <c r="H305" s="35">
        <f>IF($A305&gt;NYears*12,"",$G305*$E305)</f>
        <v/>
      </c>
      <c r="I305" s="35">
        <f>IF($A305&gt;NYears*12,"",$F305-$H305)</f>
        <v/>
      </c>
      <c r="J305" s="35">
        <f>IF($A305&gt;NYears*12,"",$H305*RateD)</f>
        <v/>
      </c>
      <c r="K305" s="35">
        <f>IF($A305&gt;NYears*12,"",IF($D305=1,$J305,$K304+$J305))</f>
        <v/>
      </c>
      <c r="L305" s="35">
        <f>IF($A305&gt;NYears*12,"",IF(MOD($D305,3)=0,SUM($J303:$J305),0))</f>
        <v/>
      </c>
      <c r="M305" s="35">
        <f>IF($A305&gt;NYears*12,"",IF(TaxFreq="Quarterly",$K305*12/$D305,$K305))</f>
        <v/>
      </c>
      <c r="N305" s="36">
        <f>IF($A305&gt;NYears*12,"",LOOKUP($M305,TaxLower,TaxRate))</f>
        <v/>
      </c>
      <c r="O305" s="35">
        <f>IF($A305&gt;NYears*12,"",IF(TaxFreq="Quarterly",IF(MOD($D305,3)=0,$L305*$N305,0),IF($D305=12,$K305*$N305,0)))</f>
        <v/>
      </c>
      <c r="P305" s="35">
        <f>IF($A305&gt;NYears*12,"",IF($D305=1,$O305,$P304+$O305))</f>
        <v/>
      </c>
      <c r="Q305" s="35">
        <f>IF($A305&gt;NYears*12,"",IF($D305=12,MIN(WdrPct*IF(WdrBase="Post-tax profit",$K305-$P305,$K305),WdrCap),0))</f>
        <v/>
      </c>
      <c r="R305" s="35">
        <f>IF($A305&gt;NYears*12,"",$F305+$J305-$O305-$Q305)</f>
        <v/>
      </c>
      <c r="S305" s="33">
        <f>IF($A305&gt;NYears*12,"",INT($R305/$E305))</f>
        <v/>
      </c>
    </row>
    <row r="306">
      <c r="A306" s="33">
        <f>302</f>
        <v/>
      </c>
      <c r="B306" s="34">
        <f>IF($A306&gt;NYears*12,"",EDATE(StartMonth,$A306-1))</f>
        <v/>
      </c>
      <c r="C306" s="33">
        <f>IF($A306&gt;NYears*12,"",INT(($A306-1)/12)+1)</f>
        <v/>
      </c>
      <c r="D306" s="33">
        <f>IF($A306&gt;NYears*12,"",MOD($A306-1,12)+1)</f>
        <v/>
      </c>
      <c r="E306" s="35">
        <f>IF($A306&gt;NYears*12,"",LotValue0*(1+LotGrowth)^($C306-1))</f>
        <v/>
      </c>
      <c r="F306" s="35">
        <f>IF($A306&gt;NYears*12,"",IF($A306=1,InitInvest,$R305))</f>
        <v/>
      </c>
      <c r="G306" s="33">
        <f>IF($A306&gt;NYears*12,"",INT($F306/$E306))</f>
        <v/>
      </c>
      <c r="H306" s="35">
        <f>IF($A306&gt;NYears*12,"",$G306*$E306)</f>
        <v/>
      </c>
      <c r="I306" s="35">
        <f>IF($A306&gt;NYears*12,"",$F306-$H306)</f>
        <v/>
      </c>
      <c r="J306" s="35">
        <f>IF($A306&gt;NYears*12,"",$H306*RateD)</f>
        <v/>
      </c>
      <c r="K306" s="35">
        <f>IF($A306&gt;NYears*12,"",IF($D306=1,$J306,$K305+$J306))</f>
        <v/>
      </c>
      <c r="L306" s="35">
        <f>IF($A306&gt;NYears*12,"",IF(MOD($D306,3)=0,SUM($J304:$J306),0))</f>
        <v/>
      </c>
      <c r="M306" s="35">
        <f>IF($A306&gt;NYears*12,"",IF(TaxFreq="Quarterly",$K306*12/$D306,$K306))</f>
        <v/>
      </c>
      <c r="N306" s="36">
        <f>IF($A306&gt;NYears*12,"",LOOKUP($M306,TaxLower,TaxRate))</f>
        <v/>
      </c>
      <c r="O306" s="35">
        <f>IF($A306&gt;NYears*12,"",IF(TaxFreq="Quarterly",IF(MOD($D306,3)=0,$L306*$N306,0),IF($D306=12,$K306*$N306,0)))</f>
        <v/>
      </c>
      <c r="P306" s="35">
        <f>IF($A306&gt;NYears*12,"",IF($D306=1,$O306,$P305+$O306))</f>
        <v/>
      </c>
      <c r="Q306" s="35">
        <f>IF($A306&gt;NYears*12,"",IF($D306=12,MIN(WdrPct*IF(WdrBase="Post-tax profit",$K306-$P306,$K306),WdrCap),0))</f>
        <v/>
      </c>
      <c r="R306" s="35">
        <f>IF($A306&gt;NYears*12,"",$F306+$J306-$O306-$Q306)</f>
        <v/>
      </c>
      <c r="S306" s="33">
        <f>IF($A306&gt;NYears*12,"",INT($R306/$E306))</f>
        <v/>
      </c>
    </row>
    <row r="307">
      <c r="A307" s="33">
        <f>303</f>
        <v/>
      </c>
      <c r="B307" s="34">
        <f>IF($A307&gt;NYears*12,"",EDATE(StartMonth,$A307-1))</f>
        <v/>
      </c>
      <c r="C307" s="33">
        <f>IF($A307&gt;NYears*12,"",INT(($A307-1)/12)+1)</f>
        <v/>
      </c>
      <c r="D307" s="33">
        <f>IF($A307&gt;NYears*12,"",MOD($A307-1,12)+1)</f>
        <v/>
      </c>
      <c r="E307" s="35">
        <f>IF($A307&gt;NYears*12,"",LotValue0*(1+LotGrowth)^($C307-1))</f>
        <v/>
      </c>
      <c r="F307" s="35">
        <f>IF($A307&gt;NYears*12,"",IF($A307=1,InitInvest,$R306))</f>
        <v/>
      </c>
      <c r="G307" s="33">
        <f>IF($A307&gt;NYears*12,"",INT($F307/$E307))</f>
        <v/>
      </c>
      <c r="H307" s="35">
        <f>IF($A307&gt;NYears*12,"",$G307*$E307)</f>
        <v/>
      </c>
      <c r="I307" s="35">
        <f>IF($A307&gt;NYears*12,"",$F307-$H307)</f>
        <v/>
      </c>
      <c r="J307" s="35">
        <f>IF($A307&gt;NYears*12,"",$H307*RateD)</f>
        <v/>
      </c>
      <c r="K307" s="35">
        <f>IF($A307&gt;NYears*12,"",IF($D307=1,$J307,$K306+$J307))</f>
        <v/>
      </c>
      <c r="L307" s="35">
        <f>IF($A307&gt;NYears*12,"",IF(MOD($D307,3)=0,SUM($J305:$J307),0))</f>
        <v/>
      </c>
      <c r="M307" s="35">
        <f>IF($A307&gt;NYears*12,"",IF(TaxFreq="Quarterly",$K307*12/$D307,$K307))</f>
        <v/>
      </c>
      <c r="N307" s="36">
        <f>IF($A307&gt;NYears*12,"",LOOKUP($M307,TaxLower,TaxRate))</f>
        <v/>
      </c>
      <c r="O307" s="35">
        <f>IF($A307&gt;NYears*12,"",IF(TaxFreq="Quarterly",IF(MOD($D307,3)=0,$L307*$N307,0),IF($D307=12,$K307*$N307,0)))</f>
        <v/>
      </c>
      <c r="P307" s="35">
        <f>IF($A307&gt;NYears*12,"",IF($D307=1,$O307,$P306+$O307))</f>
        <v/>
      </c>
      <c r="Q307" s="35">
        <f>IF($A307&gt;NYears*12,"",IF($D307=12,MIN(WdrPct*IF(WdrBase="Post-tax profit",$K307-$P307,$K307),WdrCap),0))</f>
        <v/>
      </c>
      <c r="R307" s="35">
        <f>IF($A307&gt;NYears*12,"",$F307+$J307-$O307-$Q307)</f>
        <v/>
      </c>
      <c r="S307" s="33">
        <f>IF($A307&gt;NYears*12,"",INT($R307/$E307))</f>
        <v/>
      </c>
    </row>
    <row r="308">
      <c r="A308" s="33">
        <f>304</f>
        <v/>
      </c>
      <c r="B308" s="34">
        <f>IF($A308&gt;NYears*12,"",EDATE(StartMonth,$A308-1))</f>
        <v/>
      </c>
      <c r="C308" s="33">
        <f>IF($A308&gt;NYears*12,"",INT(($A308-1)/12)+1)</f>
        <v/>
      </c>
      <c r="D308" s="33">
        <f>IF($A308&gt;NYears*12,"",MOD($A308-1,12)+1)</f>
        <v/>
      </c>
      <c r="E308" s="35">
        <f>IF($A308&gt;NYears*12,"",LotValue0*(1+LotGrowth)^($C308-1))</f>
        <v/>
      </c>
      <c r="F308" s="35">
        <f>IF($A308&gt;NYears*12,"",IF($A308=1,InitInvest,$R307))</f>
        <v/>
      </c>
      <c r="G308" s="33">
        <f>IF($A308&gt;NYears*12,"",INT($F308/$E308))</f>
        <v/>
      </c>
      <c r="H308" s="35">
        <f>IF($A308&gt;NYears*12,"",$G308*$E308)</f>
        <v/>
      </c>
      <c r="I308" s="35">
        <f>IF($A308&gt;NYears*12,"",$F308-$H308)</f>
        <v/>
      </c>
      <c r="J308" s="35">
        <f>IF($A308&gt;NYears*12,"",$H308*RateD)</f>
        <v/>
      </c>
      <c r="K308" s="35">
        <f>IF($A308&gt;NYears*12,"",IF($D308=1,$J308,$K307+$J308))</f>
        <v/>
      </c>
      <c r="L308" s="35">
        <f>IF($A308&gt;NYears*12,"",IF(MOD($D308,3)=0,SUM($J306:$J308),0))</f>
        <v/>
      </c>
      <c r="M308" s="35">
        <f>IF($A308&gt;NYears*12,"",IF(TaxFreq="Quarterly",$K308*12/$D308,$K308))</f>
        <v/>
      </c>
      <c r="N308" s="36">
        <f>IF($A308&gt;NYears*12,"",LOOKUP($M308,TaxLower,TaxRate))</f>
        <v/>
      </c>
      <c r="O308" s="35">
        <f>IF($A308&gt;NYears*12,"",IF(TaxFreq="Quarterly",IF(MOD($D308,3)=0,$L308*$N308,0),IF($D308=12,$K308*$N308,0)))</f>
        <v/>
      </c>
      <c r="P308" s="35">
        <f>IF($A308&gt;NYears*12,"",IF($D308=1,$O308,$P307+$O308))</f>
        <v/>
      </c>
      <c r="Q308" s="35">
        <f>IF($A308&gt;NYears*12,"",IF($D308=12,MIN(WdrPct*IF(WdrBase="Post-tax profit",$K308-$P308,$K308),WdrCap),0))</f>
        <v/>
      </c>
      <c r="R308" s="35">
        <f>IF($A308&gt;NYears*12,"",$F308+$J308-$O308-$Q308)</f>
        <v/>
      </c>
      <c r="S308" s="33">
        <f>IF($A308&gt;NYears*12,"",INT($R308/$E308))</f>
        <v/>
      </c>
    </row>
    <row r="309">
      <c r="A309" s="33">
        <f>305</f>
        <v/>
      </c>
      <c r="B309" s="34">
        <f>IF($A309&gt;NYears*12,"",EDATE(StartMonth,$A309-1))</f>
        <v/>
      </c>
      <c r="C309" s="33">
        <f>IF($A309&gt;NYears*12,"",INT(($A309-1)/12)+1)</f>
        <v/>
      </c>
      <c r="D309" s="33">
        <f>IF($A309&gt;NYears*12,"",MOD($A309-1,12)+1)</f>
        <v/>
      </c>
      <c r="E309" s="35">
        <f>IF($A309&gt;NYears*12,"",LotValue0*(1+LotGrowth)^($C309-1))</f>
        <v/>
      </c>
      <c r="F309" s="35">
        <f>IF($A309&gt;NYears*12,"",IF($A309=1,InitInvest,$R308))</f>
        <v/>
      </c>
      <c r="G309" s="33">
        <f>IF($A309&gt;NYears*12,"",INT($F309/$E309))</f>
        <v/>
      </c>
      <c r="H309" s="35">
        <f>IF($A309&gt;NYears*12,"",$G309*$E309)</f>
        <v/>
      </c>
      <c r="I309" s="35">
        <f>IF($A309&gt;NYears*12,"",$F309-$H309)</f>
        <v/>
      </c>
      <c r="J309" s="35">
        <f>IF($A309&gt;NYears*12,"",$H309*RateD)</f>
        <v/>
      </c>
      <c r="K309" s="35">
        <f>IF($A309&gt;NYears*12,"",IF($D309=1,$J309,$K308+$J309))</f>
        <v/>
      </c>
      <c r="L309" s="35">
        <f>IF($A309&gt;NYears*12,"",IF(MOD($D309,3)=0,SUM($J307:$J309),0))</f>
        <v/>
      </c>
      <c r="M309" s="35">
        <f>IF($A309&gt;NYears*12,"",IF(TaxFreq="Quarterly",$K309*12/$D309,$K309))</f>
        <v/>
      </c>
      <c r="N309" s="36">
        <f>IF($A309&gt;NYears*12,"",LOOKUP($M309,TaxLower,TaxRate))</f>
        <v/>
      </c>
      <c r="O309" s="35">
        <f>IF($A309&gt;NYears*12,"",IF(TaxFreq="Quarterly",IF(MOD($D309,3)=0,$L309*$N309,0),IF($D309=12,$K309*$N309,0)))</f>
        <v/>
      </c>
      <c r="P309" s="35">
        <f>IF($A309&gt;NYears*12,"",IF($D309=1,$O309,$P308+$O309))</f>
        <v/>
      </c>
      <c r="Q309" s="35">
        <f>IF($A309&gt;NYears*12,"",IF($D309=12,MIN(WdrPct*IF(WdrBase="Post-tax profit",$K309-$P309,$K309),WdrCap),0))</f>
        <v/>
      </c>
      <c r="R309" s="35">
        <f>IF($A309&gt;NYears*12,"",$F309+$J309-$O309-$Q309)</f>
        <v/>
      </c>
      <c r="S309" s="33">
        <f>IF($A309&gt;NYears*12,"",INT($R309/$E309))</f>
        <v/>
      </c>
    </row>
    <row r="310">
      <c r="A310" s="33">
        <f>306</f>
        <v/>
      </c>
      <c r="B310" s="34">
        <f>IF($A310&gt;NYears*12,"",EDATE(StartMonth,$A310-1))</f>
        <v/>
      </c>
      <c r="C310" s="33">
        <f>IF($A310&gt;NYears*12,"",INT(($A310-1)/12)+1)</f>
        <v/>
      </c>
      <c r="D310" s="33">
        <f>IF($A310&gt;NYears*12,"",MOD($A310-1,12)+1)</f>
        <v/>
      </c>
      <c r="E310" s="35">
        <f>IF($A310&gt;NYears*12,"",LotValue0*(1+LotGrowth)^($C310-1))</f>
        <v/>
      </c>
      <c r="F310" s="35">
        <f>IF($A310&gt;NYears*12,"",IF($A310=1,InitInvest,$R309))</f>
        <v/>
      </c>
      <c r="G310" s="33">
        <f>IF($A310&gt;NYears*12,"",INT($F310/$E310))</f>
        <v/>
      </c>
      <c r="H310" s="35">
        <f>IF($A310&gt;NYears*12,"",$G310*$E310)</f>
        <v/>
      </c>
      <c r="I310" s="35">
        <f>IF($A310&gt;NYears*12,"",$F310-$H310)</f>
        <v/>
      </c>
      <c r="J310" s="35">
        <f>IF($A310&gt;NYears*12,"",$H310*RateD)</f>
        <v/>
      </c>
      <c r="K310" s="35">
        <f>IF($A310&gt;NYears*12,"",IF($D310=1,$J310,$K309+$J310))</f>
        <v/>
      </c>
      <c r="L310" s="35">
        <f>IF($A310&gt;NYears*12,"",IF(MOD($D310,3)=0,SUM($J308:$J310),0))</f>
        <v/>
      </c>
      <c r="M310" s="35">
        <f>IF($A310&gt;NYears*12,"",IF(TaxFreq="Quarterly",$K310*12/$D310,$K310))</f>
        <v/>
      </c>
      <c r="N310" s="36">
        <f>IF($A310&gt;NYears*12,"",LOOKUP($M310,TaxLower,TaxRate))</f>
        <v/>
      </c>
      <c r="O310" s="35">
        <f>IF($A310&gt;NYears*12,"",IF(TaxFreq="Quarterly",IF(MOD($D310,3)=0,$L310*$N310,0),IF($D310=12,$K310*$N310,0)))</f>
        <v/>
      </c>
      <c r="P310" s="35">
        <f>IF($A310&gt;NYears*12,"",IF($D310=1,$O310,$P309+$O310))</f>
        <v/>
      </c>
      <c r="Q310" s="35">
        <f>IF($A310&gt;NYears*12,"",IF($D310=12,MIN(WdrPct*IF(WdrBase="Post-tax profit",$K310-$P310,$K310),WdrCap),0))</f>
        <v/>
      </c>
      <c r="R310" s="35">
        <f>IF($A310&gt;NYears*12,"",$F310+$J310-$O310-$Q310)</f>
        <v/>
      </c>
      <c r="S310" s="33">
        <f>IF($A310&gt;NYears*12,"",INT($R310/$E310))</f>
        <v/>
      </c>
    </row>
    <row r="311">
      <c r="A311" s="33">
        <f>307</f>
        <v/>
      </c>
      <c r="B311" s="34">
        <f>IF($A311&gt;NYears*12,"",EDATE(StartMonth,$A311-1))</f>
        <v/>
      </c>
      <c r="C311" s="33">
        <f>IF($A311&gt;NYears*12,"",INT(($A311-1)/12)+1)</f>
        <v/>
      </c>
      <c r="D311" s="33">
        <f>IF($A311&gt;NYears*12,"",MOD($A311-1,12)+1)</f>
        <v/>
      </c>
      <c r="E311" s="35">
        <f>IF($A311&gt;NYears*12,"",LotValue0*(1+LotGrowth)^($C311-1))</f>
        <v/>
      </c>
      <c r="F311" s="35">
        <f>IF($A311&gt;NYears*12,"",IF($A311=1,InitInvest,$R310))</f>
        <v/>
      </c>
      <c r="G311" s="33">
        <f>IF($A311&gt;NYears*12,"",INT($F311/$E311))</f>
        <v/>
      </c>
      <c r="H311" s="35">
        <f>IF($A311&gt;NYears*12,"",$G311*$E311)</f>
        <v/>
      </c>
      <c r="I311" s="35">
        <f>IF($A311&gt;NYears*12,"",$F311-$H311)</f>
        <v/>
      </c>
      <c r="J311" s="35">
        <f>IF($A311&gt;NYears*12,"",$H311*RateD)</f>
        <v/>
      </c>
      <c r="K311" s="35">
        <f>IF($A311&gt;NYears*12,"",IF($D311=1,$J311,$K310+$J311))</f>
        <v/>
      </c>
      <c r="L311" s="35">
        <f>IF($A311&gt;NYears*12,"",IF(MOD($D311,3)=0,SUM($J309:$J311),0))</f>
        <v/>
      </c>
      <c r="M311" s="35">
        <f>IF($A311&gt;NYears*12,"",IF(TaxFreq="Quarterly",$K311*12/$D311,$K311))</f>
        <v/>
      </c>
      <c r="N311" s="36">
        <f>IF($A311&gt;NYears*12,"",LOOKUP($M311,TaxLower,TaxRate))</f>
        <v/>
      </c>
      <c r="O311" s="35">
        <f>IF($A311&gt;NYears*12,"",IF(TaxFreq="Quarterly",IF(MOD($D311,3)=0,$L311*$N311,0),IF($D311=12,$K311*$N311,0)))</f>
        <v/>
      </c>
      <c r="P311" s="35">
        <f>IF($A311&gt;NYears*12,"",IF($D311=1,$O311,$P310+$O311))</f>
        <v/>
      </c>
      <c r="Q311" s="35">
        <f>IF($A311&gt;NYears*12,"",IF($D311=12,MIN(WdrPct*IF(WdrBase="Post-tax profit",$K311-$P311,$K311),WdrCap),0))</f>
        <v/>
      </c>
      <c r="R311" s="35">
        <f>IF($A311&gt;NYears*12,"",$F311+$J311-$O311-$Q311)</f>
        <v/>
      </c>
      <c r="S311" s="33">
        <f>IF($A311&gt;NYears*12,"",INT($R311/$E311))</f>
        <v/>
      </c>
    </row>
    <row r="312">
      <c r="A312" s="33">
        <f>308</f>
        <v/>
      </c>
      <c r="B312" s="34">
        <f>IF($A312&gt;NYears*12,"",EDATE(StartMonth,$A312-1))</f>
        <v/>
      </c>
      <c r="C312" s="33">
        <f>IF($A312&gt;NYears*12,"",INT(($A312-1)/12)+1)</f>
        <v/>
      </c>
      <c r="D312" s="33">
        <f>IF($A312&gt;NYears*12,"",MOD($A312-1,12)+1)</f>
        <v/>
      </c>
      <c r="E312" s="35">
        <f>IF($A312&gt;NYears*12,"",LotValue0*(1+LotGrowth)^($C312-1))</f>
        <v/>
      </c>
      <c r="F312" s="35">
        <f>IF($A312&gt;NYears*12,"",IF($A312=1,InitInvest,$R311))</f>
        <v/>
      </c>
      <c r="G312" s="33">
        <f>IF($A312&gt;NYears*12,"",INT($F312/$E312))</f>
        <v/>
      </c>
      <c r="H312" s="35">
        <f>IF($A312&gt;NYears*12,"",$G312*$E312)</f>
        <v/>
      </c>
      <c r="I312" s="35">
        <f>IF($A312&gt;NYears*12,"",$F312-$H312)</f>
        <v/>
      </c>
      <c r="J312" s="35">
        <f>IF($A312&gt;NYears*12,"",$H312*RateD)</f>
        <v/>
      </c>
      <c r="K312" s="35">
        <f>IF($A312&gt;NYears*12,"",IF($D312=1,$J312,$K311+$J312))</f>
        <v/>
      </c>
      <c r="L312" s="35">
        <f>IF($A312&gt;NYears*12,"",IF(MOD($D312,3)=0,SUM($J310:$J312),0))</f>
        <v/>
      </c>
      <c r="M312" s="35">
        <f>IF($A312&gt;NYears*12,"",IF(TaxFreq="Quarterly",$K312*12/$D312,$K312))</f>
        <v/>
      </c>
      <c r="N312" s="36">
        <f>IF($A312&gt;NYears*12,"",LOOKUP($M312,TaxLower,TaxRate))</f>
        <v/>
      </c>
      <c r="O312" s="35">
        <f>IF($A312&gt;NYears*12,"",IF(TaxFreq="Quarterly",IF(MOD($D312,3)=0,$L312*$N312,0),IF($D312=12,$K312*$N312,0)))</f>
        <v/>
      </c>
      <c r="P312" s="35">
        <f>IF($A312&gt;NYears*12,"",IF($D312=1,$O312,$P311+$O312))</f>
        <v/>
      </c>
      <c r="Q312" s="35">
        <f>IF($A312&gt;NYears*12,"",IF($D312=12,MIN(WdrPct*IF(WdrBase="Post-tax profit",$K312-$P312,$K312),WdrCap),0))</f>
        <v/>
      </c>
      <c r="R312" s="35">
        <f>IF($A312&gt;NYears*12,"",$F312+$J312-$O312-$Q312)</f>
        <v/>
      </c>
      <c r="S312" s="33">
        <f>IF($A312&gt;NYears*12,"",INT($R312/$E312))</f>
        <v/>
      </c>
    </row>
    <row r="313">
      <c r="A313" s="33">
        <f>309</f>
        <v/>
      </c>
      <c r="B313" s="34">
        <f>IF($A313&gt;NYears*12,"",EDATE(StartMonth,$A313-1))</f>
        <v/>
      </c>
      <c r="C313" s="33">
        <f>IF($A313&gt;NYears*12,"",INT(($A313-1)/12)+1)</f>
        <v/>
      </c>
      <c r="D313" s="33">
        <f>IF($A313&gt;NYears*12,"",MOD($A313-1,12)+1)</f>
        <v/>
      </c>
      <c r="E313" s="35">
        <f>IF($A313&gt;NYears*12,"",LotValue0*(1+LotGrowth)^($C313-1))</f>
        <v/>
      </c>
      <c r="F313" s="35">
        <f>IF($A313&gt;NYears*12,"",IF($A313=1,InitInvest,$R312))</f>
        <v/>
      </c>
      <c r="G313" s="33">
        <f>IF($A313&gt;NYears*12,"",INT($F313/$E313))</f>
        <v/>
      </c>
      <c r="H313" s="35">
        <f>IF($A313&gt;NYears*12,"",$G313*$E313)</f>
        <v/>
      </c>
      <c r="I313" s="35">
        <f>IF($A313&gt;NYears*12,"",$F313-$H313)</f>
        <v/>
      </c>
      <c r="J313" s="35">
        <f>IF($A313&gt;NYears*12,"",$H313*RateD)</f>
        <v/>
      </c>
      <c r="K313" s="35">
        <f>IF($A313&gt;NYears*12,"",IF($D313=1,$J313,$K312+$J313))</f>
        <v/>
      </c>
      <c r="L313" s="35">
        <f>IF($A313&gt;NYears*12,"",IF(MOD($D313,3)=0,SUM($J311:$J313),0))</f>
        <v/>
      </c>
      <c r="M313" s="35">
        <f>IF($A313&gt;NYears*12,"",IF(TaxFreq="Quarterly",$K313*12/$D313,$K313))</f>
        <v/>
      </c>
      <c r="N313" s="36">
        <f>IF($A313&gt;NYears*12,"",LOOKUP($M313,TaxLower,TaxRate))</f>
        <v/>
      </c>
      <c r="O313" s="35">
        <f>IF($A313&gt;NYears*12,"",IF(TaxFreq="Quarterly",IF(MOD($D313,3)=0,$L313*$N313,0),IF($D313=12,$K313*$N313,0)))</f>
        <v/>
      </c>
      <c r="P313" s="35">
        <f>IF($A313&gt;NYears*12,"",IF($D313=1,$O313,$P312+$O313))</f>
        <v/>
      </c>
      <c r="Q313" s="35">
        <f>IF($A313&gt;NYears*12,"",IF($D313=12,MIN(WdrPct*IF(WdrBase="Post-tax profit",$K313-$P313,$K313),WdrCap),0))</f>
        <v/>
      </c>
      <c r="R313" s="35">
        <f>IF($A313&gt;NYears*12,"",$F313+$J313-$O313-$Q313)</f>
        <v/>
      </c>
      <c r="S313" s="33">
        <f>IF($A313&gt;NYears*12,"",INT($R313/$E313))</f>
        <v/>
      </c>
    </row>
    <row r="314">
      <c r="A314" s="33">
        <f>310</f>
        <v/>
      </c>
      <c r="B314" s="34">
        <f>IF($A314&gt;NYears*12,"",EDATE(StartMonth,$A314-1))</f>
        <v/>
      </c>
      <c r="C314" s="33">
        <f>IF($A314&gt;NYears*12,"",INT(($A314-1)/12)+1)</f>
        <v/>
      </c>
      <c r="D314" s="33">
        <f>IF($A314&gt;NYears*12,"",MOD($A314-1,12)+1)</f>
        <v/>
      </c>
      <c r="E314" s="35">
        <f>IF($A314&gt;NYears*12,"",LotValue0*(1+LotGrowth)^($C314-1))</f>
        <v/>
      </c>
      <c r="F314" s="35">
        <f>IF($A314&gt;NYears*12,"",IF($A314=1,InitInvest,$R313))</f>
        <v/>
      </c>
      <c r="G314" s="33">
        <f>IF($A314&gt;NYears*12,"",INT($F314/$E314))</f>
        <v/>
      </c>
      <c r="H314" s="35">
        <f>IF($A314&gt;NYears*12,"",$G314*$E314)</f>
        <v/>
      </c>
      <c r="I314" s="35">
        <f>IF($A314&gt;NYears*12,"",$F314-$H314)</f>
        <v/>
      </c>
      <c r="J314" s="35">
        <f>IF($A314&gt;NYears*12,"",$H314*RateD)</f>
        <v/>
      </c>
      <c r="K314" s="35">
        <f>IF($A314&gt;NYears*12,"",IF($D314=1,$J314,$K313+$J314))</f>
        <v/>
      </c>
      <c r="L314" s="35">
        <f>IF($A314&gt;NYears*12,"",IF(MOD($D314,3)=0,SUM($J312:$J314),0))</f>
        <v/>
      </c>
      <c r="M314" s="35">
        <f>IF($A314&gt;NYears*12,"",IF(TaxFreq="Quarterly",$K314*12/$D314,$K314))</f>
        <v/>
      </c>
      <c r="N314" s="36">
        <f>IF($A314&gt;NYears*12,"",LOOKUP($M314,TaxLower,TaxRate))</f>
        <v/>
      </c>
      <c r="O314" s="35">
        <f>IF($A314&gt;NYears*12,"",IF(TaxFreq="Quarterly",IF(MOD($D314,3)=0,$L314*$N314,0),IF($D314=12,$K314*$N314,0)))</f>
        <v/>
      </c>
      <c r="P314" s="35">
        <f>IF($A314&gt;NYears*12,"",IF($D314=1,$O314,$P313+$O314))</f>
        <v/>
      </c>
      <c r="Q314" s="35">
        <f>IF($A314&gt;NYears*12,"",IF($D314=12,MIN(WdrPct*IF(WdrBase="Post-tax profit",$K314-$P314,$K314),WdrCap),0))</f>
        <v/>
      </c>
      <c r="R314" s="35">
        <f>IF($A314&gt;NYears*12,"",$F314+$J314-$O314-$Q314)</f>
        <v/>
      </c>
      <c r="S314" s="33">
        <f>IF($A314&gt;NYears*12,"",INT($R314/$E314))</f>
        <v/>
      </c>
    </row>
    <row r="315">
      <c r="A315" s="33">
        <f>311</f>
        <v/>
      </c>
      <c r="B315" s="34">
        <f>IF($A315&gt;NYears*12,"",EDATE(StartMonth,$A315-1))</f>
        <v/>
      </c>
      <c r="C315" s="33">
        <f>IF($A315&gt;NYears*12,"",INT(($A315-1)/12)+1)</f>
        <v/>
      </c>
      <c r="D315" s="33">
        <f>IF($A315&gt;NYears*12,"",MOD($A315-1,12)+1)</f>
        <v/>
      </c>
      <c r="E315" s="35">
        <f>IF($A315&gt;NYears*12,"",LotValue0*(1+LotGrowth)^($C315-1))</f>
        <v/>
      </c>
      <c r="F315" s="35">
        <f>IF($A315&gt;NYears*12,"",IF($A315=1,InitInvest,$R314))</f>
        <v/>
      </c>
      <c r="G315" s="33">
        <f>IF($A315&gt;NYears*12,"",INT($F315/$E315))</f>
        <v/>
      </c>
      <c r="H315" s="35">
        <f>IF($A315&gt;NYears*12,"",$G315*$E315)</f>
        <v/>
      </c>
      <c r="I315" s="35">
        <f>IF($A315&gt;NYears*12,"",$F315-$H315)</f>
        <v/>
      </c>
      <c r="J315" s="35">
        <f>IF($A315&gt;NYears*12,"",$H315*RateD)</f>
        <v/>
      </c>
      <c r="K315" s="35">
        <f>IF($A315&gt;NYears*12,"",IF($D315=1,$J315,$K314+$J315))</f>
        <v/>
      </c>
      <c r="L315" s="35">
        <f>IF($A315&gt;NYears*12,"",IF(MOD($D315,3)=0,SUM($J313:$J315),0))</f>
        <v/>
      </c>
      <c r="M315" s="35">
        <f>IF($A315&gt;NYears*12,"",IF(TaxFreq="Quarterly",$K315*12/$D315,$K315))</f>
        <v/>
      </c>
      <c r="N315" s="36">
        <f>IF($A315&gt;NYears*12,"",LOOKUP($M315,TaxLower,TaxRate))</f>
        <v/>
      </c>
      <c r="O315" s="35">
        <f>IF($A315&gt;NYears*12,"",IF(TaxFreq="Quarterly",IF(MOD($D315,3)=0,$L315*$N315,0),IF($D315=12,$K315*$N315,0)))</f>
        <v/>
      </c>
      <c r="P315" s="35">
        <f>IF($A315&gt;NYears*12,"",IF($D315=1,$O315,$P314+$O315))</f>
        <v/>
      </c>
      <c r="Q315" s="35">
        <f>IF($A315&gt;NYears*12,"",IF($D315=12,MIN(WdrPct*IF(WdrBase="Post-tax profit",$K315-$P315,$K315),WdrCap),0))</f>
        <v/>
      </c>
      <c r="R315" s="35">
        <f>IF($A315&gt;NYears*12,"",$F315+$J315-$O315-$Q315)</f>
        <v/>
      </c>
      <c r="S315" s="33">
        <f>IF($A315&gt;NYears*12,"",INT($R315/$E315))</f>
        <v/>
      </c>
    </row>
    <row r="316">
      <c r="A316" s="37">
        <f>312</f>
        <v/>
      </c>
      <c r="B316" s="38">
        <f>IF($A316&gt;NYears*12,"",EDATE(StartMonth,$A316-1))</f>
        <v/>
      </c>
      <c r="C316" s="37">
        <f>IF($A316&gt;NYears*12,"",INT(($A316-1)/12)+1)</f>
        <v/>
      </c>
      <c r="D316" s="37">
        <f>IF($A316&gt;NYears*12,"",MOD($A316-1,12)+1)</f>
        <v/>
      </c>
      <c r="E316" s="39">
        <f>IF($A316&gt;NYears*12,"",LotValue0*(1+LotGrowth)^($C316-1))</f>
        <v/>
      </c>
      <c r="F316" s="39">
        <f>IF($A316&gt;NYears*12,"",IF($A316=1,InitInvest,$R315))</f>
        <v/>
      </c>
      <c r="G316" s="37">
        <f>IF($A316&gt;NYears*12,"",INT($F316/$E316))</f>
        <v/>
      </c>
      <c r="H316" s="39">
        <f>IF($A316&gt;NYears*12,"",$G316*$E316)</f>
        <v/>
      </c>
      <c r="I316" s="39">
        <f>IF($A316&gt;NYears*12,"",$F316-$H316)</f>
        <v/>
      </c>
      <c r="J316" s="39">
        <f>IF($A316&gt;NYears*12,"",$H316*RateD)</f>
        <v/>
      </c>
      <c r="K316" s="39">
        <f>IF($A316&gt;NYears*12,"",IF($D316=1,$J316,$K315+$J316))</f>
        <v/>
      </c>
      <c r="L316" s="39">
        <f>IF($A316&gt;NYears*12,"",IF(MOD($D316,3)=0,SUM($J314:$J316),0))</f>
        <v/>
      </c>
      <c r="M316" s="39">
        <f>IF($A316&gt;NYears*12,"",IF(TaxFreq="Quarterly",$K316*12/$D316,$K316))</f>
        <v/>
      </c>
      <c r="N316" s="40">
        <f>IF($A316&gt;NYears*12,"",LOOKUP($M316,TaxLower,TaxRate))</f>
        <v/>
      </c>
      <c r="O316" s="39">
        <f>IF($A316&gt;NYears*12,"",IF(TaxFreq="Quarterly",IF(MOD($D316,3)=0,$L316*$N316,0),IF($D316=12,$K316*$N316,0)))</f>
        <v/>
      </c>
      <c r="P316" s="39">
        <f>IF($A316&gt;NYears*12,"",IF($D316=1,$O316,$P315+$O316))</f>
        <v/>
      </c>
      <c r="Q316" s="39">
        <f>IF($A316&gt;NYears*12,"",IF($D316=12,MIN(WdrPct*IF(WdrBase="Post-tax profit",$K316-$P316,$K316),WdrCap),0))</f>
        <v/>
      </c>
      <c r="R316" s="39">
        <f>IF($A316&gt;NYears*12,"",$F316+$J316-$O316-$Q316)</f>
        <v/>
      </c>
      <c r="S316" s="37">
        <f>IF($A316&gt;NYears*12,"",INT($R316/$E316))</f>
        <v/>
      </c>
    </row>
    <row r="317">
      <c r="A317" s="33">
        <f>313</f>
        <v/>
      </c>
      <c r="B317" s="34">
        <f>IF($A317&gt;NYears*12,"",EDATE(StartMonth,$A317-1))</f>
        <v/>
      </c>
      <c r="C317" s="33">
        <f>IF($A317&gt;NYears*12,"",INT(($A317-1)/12)+1)</f>
        <v/>
      </c>
      <c r="D317" s="33">
        <f>IF($A317&gt;NYears*12,"",MOD($A317-1,12)+1)</f>
        <v/>
      </c>
      <c r="E317" s="35">
        <f>IF($A317&gt;NYears*12,"",LotValue0*(1+LotGrowth)^($C317-1))</f>
        <v/>
      </c>
      <c r="F317" s="35">
        <f>IF($A317&gt;NYears*12,"",IF($A317=1,InitInvest,$R316))</f>
        <v/>
      </c>
      <c r="G317" s="33">
        <f>IF($A317&gt;NYears*12,"",INT($F317/$E317))</f>
        <v/>
      </c>
      <c r="H317" s="35">
        <f>IF($A317&gt;NYears*12,"",$G317*$E317)</f>
        <v/>
      </c>
      <c r="I317" s="35">
        <f>IF($A317&gt;NYears*12,"",$F317-$H317)</f>
        <v/>
      </c>
      <c r="J317" s="35">
        <f>IF($A317&gt;NYears*12,"",$H317*RateD)</f>
        <v/>
      </c>
      <c r="K317" s="35">
        <f>IF($A317&gt;NYears*12,"",IF($D317=1,$J317,$K316+$J317))</f>
        <v/>
      </c>
      <c r="L317" s="35">
        <f>IF($A317&gt;NYears*12,"",IF(MOD($D317,3)=0,SUM($J315:$J317),0))</f>
        <v/>
      </c>
      <c r="M317" s="35">
        <f>IF($A317&gt;NYears*12,"",IF(TaxFreq="Quarterly",$K317*12/$D317,$K317))</f>
        <v/>
      </c>
      <c r="N317" s="36">
        <f>IF($A317&gt;NYears*12,"",LOOKUP($M317,TaxLower,TaxRate))</f>
        <v/>
      </c>
      <c r="O317" s="35">
        <f>IF($A317&gt;NYears*12,"",IF(TaxFreq="Quarterly",IF(MOD($D317,3)=0,$L317*$N317,0),IF($D317=12,$K317*$N317,0)))</f>
        <v/>
      </c>
      <c r="P317" s="35">
        <f>IF($A317&gt;NYears*12,"",IF($D317=1,$O317,$P316+$O317))</f>
        <v/>
      </c>
      <c r="Q317" s="35">
        <f>IF($A317&gt;NYears*12,"",IF($D317=12,MIN(WdrPct*IF(WdrBase="Post-tax profit",$K317-$P317,$K317),WdrCap),0))</f>
        <v/>
      </c>
      <c r="R317" s="35">
        <f>IF($A317&gt;NYears*12,"",$F317+$J317-$O317-$Q317)</f>
        <v/>
      </c>
      <c r="S317" s="33">
        <f>IF($A317&gt;NYears*12,"",INT($R317/$E317))</f>
        <v/>
      </c>
    </row>
    <row r="318">
      <c r="A318" s="33">
        <f>314</f>
        <v/>
      </c>
      <c r="B318" s="34">
        <f>IF($A318&gt;NYears*12,"",EDATE(StartMonth,$A318-1))</f>
        <v/>
      </c>
      <c r="C318" s="33">
        <f>IF($A318&gt;NYears*12,"",INT(($A318-1)/12)+1)</f>
        <v/>
      </c>
      <c r="D318" s="33">
        <f>IF($A318&gt;NYears*12,"",MOD($A318-1,12)+1)</f>
        <v/>
      </c>
      <c r="E318" s="35">
        <f>IF($A318&gt;NYears*12,"",LotValue0*(1+LotGrowth)^($C318-1))</f>
        <v/>
      </c>
      <c r="F318" s="35">
        <f>IF($A318&gt;NYears*12,"",IF($A318=1,InitInvest,$R317))</f>
        <v/>
      </c>
      <c r="G318" s="33">
        <f>IF($A318&gt;NYears*12,"",INT($F318/$E318))</f>
        <v/>
      </c>
      <c r="H318" s="35">
        <f>IF($A318&gt;NYears*12,"",$G318*$E318)</f>
        <v/>
      </c>
      <c r="I318" s="35">
        <f>IF($A318&gt;NYears*12,"",$F318-$H318)</f>
        <v/>
      </c>
      <c r="J318" s="35">
        <f>IF($A318&gt;NYears*12,"",$H318*RateD)</f>
        <v/>
      </c>
      <c r="K318" s="35">
        <f>IF($A318&gt;NYears*12,"",IF($D318=1,$J318,$K317+$J318))</f>
        <v/>
      </c>
      <c r="L318" s="35">
        <f>IF($A318&gt;NYears*12,"",IF(MOD($D318,3)=0,SUM($J316:$J318),0))</f>
        <v/>
      </c>
      <c r="M318" s="35">
        <f>IF($A318&gt;NYears*12,"",IF(TaxFreq="Quarterly",$K318*12/$D318,$K318))</f>
        <v/>
      </c>
      <c r="N318" s="36">
        <f>IF($A318&gt;NYears*12,"",LOOKUP($M318,TaxLower,TaxRate))</f>
        <v/>
      </c>
      <c r="O318" s="35">
        <f>IF($A318&gt;NYears*12,"",IF(TaxFreq="Quarterly",IF(MOD($D318,3)=0,$L318*$N318,0),IF($D318=12,$K318*$N318,0)))</f>
        <v/>
      </c>
      <c r="P318" s="35">
        <f>IF($A318&gt;NYears*12,"",IF($D318=1,$O318,$P317+$O318))</f>
        <v/>
      </c>
      <c r="Q318" s="35">
        <f>IF($A318&gt;NYears*12,"",IF($D318=12,MIN(WdrPct*IF(WdrBase="Post-tax profit",$K318-$P318,$K318),WdrCap),0))</f>
        <v/>
      </c>
      <c r="R318" s="35">
        <f>IF($A318&gt;NYears*12,"",$F318+$J318-$O318-$Q318)</f>
        <v/>
      </c>
      <c r="S318" s="33">
        <f>IF($A318&gt;NYears*12,"",INT($R318/$E318))</f>
        <v/>
      </c>
    </row>
    <row r="319">
      <c r="A319" s="33">
        <f>315</f>
        <v/>
      </c>
      <c r="B319" s="34">
        <f>IF($A319&gt;NYears*12,"",EDATE(StartMonth,$A319-1))</f>
        <v/>
      </c>
      <c r="C319" s="33">
        <f>IF($A319&gt;NYears*12,"",INT(($A319-1)/12)+1)</f>
        <v/>
      </c>
      <c r="D319" s="33">
        <f>IF($A319&gt;NYears*12,"",MOD($A319-1,12)+1)</f>
        <v/>
      </c>
      <c r="E319" s="35">
        <f>IF($A319&gt;NYears*12,"",LotValue0*(1+LotGrowth)^($C319-1))</f>
        <v/>
      </c>
      <c r="F319" s="35">
        <f>IF($A319&gt;NYears*12,"",IF($A319=1,InitInvest,$R318))</f>
        <v/>
      </c>
      <c r="G319" s="33">
        <f>IF($A319&gt;NYears*12,"",INT($F319/$E319))</f>
        <v/>
      </c>
      <c r="H319" s="35">
        <f>IF($A319&gt;NYears*12,"",$G319*$E319)</f>
        <v/>
      </c>
      <c r="I319" s="35">
        <f>IF($A319&gt;NYears*12,"",$F319-$H319)</f>
        <v/>
      </c>
      <c r="J319" s="35">
        <f>IF($A319&gt;NYears*12,"",$H319*RateD)</f>
        <v/>
      </c>
      <c r="K319" s="35">
        <f>IF($A319&gt;NYears*12,"",IF($D319=1,$J319,$K318+$J319))</f>
        <v/>
      </c>
      <c r="L319" s="35">
        <f>IF($A319&gt;NYears*12,"",IF(MOD($D319,3)=0,SUM($J317:$J319),0))</f>
        <v/>
      </c>
      <c r="M319" s="35">
        <f>IF($A319&gt;NYears*12,"",IF(TaxFreq="Quarterly",$K319*12/$D319,$K319))</f>
        <v/>
      </c>
      <c r="N319" s="36">
        <f>IF($A319&gt;NYears*12,"",LOOKUP($M319,TaxLower,TaxRate))</f>
        <v/>
      </c>
      <c r="O319" s="35">
        <f>IF($A319&gt;NYears*12,"",IF(TaxFreq="Quarterly",IF(MOD($D319,3)=0,$L319*$N319,0),IF($D319=12,$K319*$N319,0)))</f>
        <v/>
      </c>
      <c r="P319" s="35">
        <f>IF($A319&gt;NYears*12,"",IF($D319=1,$O319,$P318+$O319))</f>
        <v/>
      </c>
      <c r="Q319" s="35">
        <f>IF($A319&gt;NYears*12,"",IF($D319=12,MIN(WdrPct*IF(WdrBase="Post-tax profit",$K319-$P319,$K319),WdrCap),0))</f>
        <v/>
      </c>
      <c r="R319" s="35">
        <f>IF($A319&gt;NYears*12,"",$F319+$J319-$O319-$Q319)</f>
        <v/>
      </c>
      <c r="S319" s="33">
        <f>IF($A319&gt;NYears*12,"",INT($R319/$E319))</f>
        <v/>
      </c>
    </row>
    <row r="320">
      <c r="A320" s="33">
        <f>316</f>
        <v/>
      </c>
      <c r="B320" s="34">
        <f>IF($A320&gt;NYears*12,"",EDATE(StartMonth,$A320-1))</f>
        <v/>
      </c>
      <c r="C320" s="33">
        <f>IF($A320&gt;NYears*12,"",INT(($A320-1)/12)+1)</f>
        <v/>
      </c>
      <c r="D320" s="33">
        <f>IF($A320&gt;NYears*12,"",MOD($A320-1,12)+1)</f>
        <v/>
      </c>
      <c r="E320" s="35">
        <f>IF($A320&gt;NYears*12,"",LotValue0*(1+LotGrowth)^($C320-1))</f>
        <v/>
      </c>
      <c r="F320" s="35">
        <f>IF($A320&gt;NYears*12,"",IF($A320=1,InitInvest,$R319))</f>
        <v/>
      </c>
      <c r="G320" s="33">
        <f>IF($A320&gt;NYears*12,"",INT($F320/$E320))</f>
        <v/>
      </c>
      <c r="H320" s="35">
        <f>IF($A320&gt;NYears*12,"",$G320*$E320)</f>
        <v/>
      </c>
      <c r="I320" s="35">
        <f>IF($A320&gt;NYears*12,"",$F320-$H320)</f>
        <v/>
      </c>
      <c r="J320" s="35">
        <f>IF($A320&gt;NYears*12,"",$H320*RateD)</f>
        <v/>
      </c>
      <c r="K320" s="35">
        <f>IF($A320&gt;NYears*12,"",IF($D320=1,$J320,$K319+$J320))</f>
        <v/>
      </c>
      <c r="L320" s="35">
        <f>IF($A320&gt;NYears*12,"",IF(MOD($D320,3)=0,SUM($J318:$J320),0))</f>
        <v/>
      </c>
      <c r="M320" s="35">
        <f>IF($A320&gt;NYears*12,"",IF(TaxFreq="Quarterly",$K320*12/$D320,$K320))</f>
        <v/>
      </c>
      <c r="N320" s="36">
        <f>IF($A320&gt;NYears*12,"",LOOKUP($M320,TaxLower,TaxRate))</f>
        <v/>
      </c>
      <c r="O320" s="35">
        <f>IF($A320&gt;NYears*12,"",IF(TaxFreq="Quarterly",IF(MOD($D320,3)=0,$L320*$N320,0),IF($D320=12,$K320*$N320,0)))</f>
        <v/>
      </c>
      <c r="P320" s="35">
        <f>IF($A320&gt;NYears*12,"",IF($D320=1,$O320,$P319+$O320))</f>
        <v/>
      </c>
      <c r="Q320" s="35">
        <f>IF($A320&gt;NYears*12,"",IF($D320=12,MIN(WdrPct*IF(WdrBase="Post-tax profit",$K320-$P320,$K320),WdrCap),0))</f>
        <v/>
      </c>
      <c r="R320" s="35">
        <f>IF($A320&gt;NYears*12,"",$F320+$J320-$O320-$Q320)</f>
        <v/>
      </c>
      <c r="S320" s="33">
        <f>IF($A320&gt;NYears*12,"",INT($R320/$E320))</f>
        <v/>
      </c>
    </row>
    <row r="321">
      <c r="A321" s="33">
        <f>317</f>
        <v/>
      </c>
      <c r="B321" s="34">
        <f>IF($A321&gt;NYears*12,"",EDATE(StartMonth,$A321-1))</f>
        <v/>
      </c>
      <c r="C321" s="33">
        <f>IF($A321&gt;NYears*12,"",INT(($A321-1)/12)+1)</f>
        <v/>
      </c>
      <c r="D321" s="33">
        <f>IF($A321&gt;NYears*12,"",MOD($A321-1,12)+1)</f>
        <v/>
      </c>
      <c r="E321" s="35">
        <f>IF($A321&gt;NYears*12,"",LotValue0*(1+LotGrowth)^($C321-1))</f>
        <v/>
      </c>
      <c r="F321" s="35">
        <f>IF($A321&gt;NYears*12,"",IF($A321=1,InitInvest,$R320))</f>
        <v/>
      </c>
      <c r="G321" s="33">
        <f>IF($A321&gt;NYears*12,"",INT($F321/$E321))</f>
        <v/>
      </c>
      <c r="H321" s="35">
        <f>IF($A321&gt;NYears*12,"",$G321*$E321)</f>
        <v/>
      </c>
      <c r="I321" s="35">
        <f>IF($A321&gt;NYears*12,"",$F321-$H321)</f>
        <v/>
      </c>
      <c r="J321" s="35">
        <f>IF($A321&gt;NYears*12,"",$H321*RateD)</f>
        <v/>
      </c>
      <c r="K321" s="35">
        <f>IF($A321&gt;NYears*12,"",IF($D321=1,$J321,$K320+$J321))</f>
        <v/>
      </c>
      <c r="L321" s="35">
        <f>IF($A321&gt;NYears*12,"",IF(MOD($D321,3)=0,SUM($J319:$J321),0))</f>
        <v/>
      </c>
      <c r="M321" s="35">
        <f>IF($A321&gt;NYears*12,"",IF(TaxFreq="Quarterly",$K321*12/$D321,$K321))</f>
        <v/>
      </c>
      <c r="N321" s="36">
        <f>IF($A321&gt;NYears*12,"",LOOKUP($M321,TaxLower,TaxRate))</f>
        <v/>
      </c>
      <c r="O321" s="35">
        <f>IF($A321&gt;NYears*12,"",IF(TaxFreq="Quarterly",IF(MOD($D321,3)=0,$L321*$N321,0),IF($D321=12,$K321*$N321,0)))</f>
        <v/>
      </c>
      <c r="P321" s="35">
        <f>IF($A321&gt;NYears*12,"",IF($D321=1,$O321,$P320+$O321))</f>
        <v/>
      </c>
      <c r="Q321" s="35">
        <f>IF($A321&gt;NYears*12,"",IF($D321=12,MIN(WdrPct*IF(WdrBase="Post-tax profit",$K321-$P321,$K321),WdrCap),0))</f>
        <v/>
      </c>
      <c r="R321" s="35">
        <f>IF($A321&gt;NYears*12,"",$F321+$J321-$O321-$Q321)</f>
        <v/>
      </c>
      <c r="S321" s="33">
        <f>IF($A321&gt;NYears*12,"",INT($R321/$E321))</f>
        <v/>
      </c>
    </row>
    <row r="322">
      <c r="A322" s="33">
        <f>318</f>
        <v/>
      </c>
      <c r="B322" s="34">
        <f>IF($A322&gt;NYears*12,"",EDATE(StartMonth,$A322-1))</f>
        <v/>
      </c>
      <c r="C322" s="33">
        <f>IF($A322&gt;NYears*12,"",INT(($A322-1)/12)+1)</f>
        <v/>
      </c>
      <c r="D322" s="33">
        <f>IF($A322&gt;NYears*12,"",MOD($A322-1,12)+1)</f>
        <v/>
      </c>
      <c r="E322" s="35">
        <f>IF($A322&gt;NYears*12,"",LotValue0*(1+LotGrowth)^($C322-1))</f>
        <v/>
      </c>
      <c r="F322" s="35">
        <f>IF($A322&gt;NYears*12,"",IF($A322=1,InitInvest,$R321))</f>
        <v/>
      </c>
      <c r="G322" s="33">
        <f>IF($A322&gt;NYears*12,"",INT($F322/$E322))</f>
        <v/>
      </c>
      <c r="H322" s="35">
        <f>IF($A322&gt;NYears*12,"",$G322*$E322)</f>
        <v/>
      </c>
      <c r="I322" s="35">
        <f>IF($A322&gt;NYears*12,"",$F322-$H322)</f>
        <v/>
      </c>
      <c r="J322" s="35">
        <f>IF($A322&gt;NYears*12,"",$H322*RateD)</f>
        <v/>
      </c>
      <c r="K322" s="35">
        <f>IF($A322&gt;NYears*12,"",IF($D322=1,$J322,$K321+$J322))</f>
        <v/>
      </c>
      <c r="L322" s="35">
        <f>IF($A322&gt;NYears*12,"",IF(MOD($D322,3)=0,SUM($J320:$J322),0))</f>
        <v/>
      </c>
      <c r="M322" s="35">
        <f>IF($A322&gt;NYears*12,"",IF(TaxFreq="Quarterly",$K322*12/$D322,$K322))</f>
        <v/>
      </c>
      <c r="N322" s="36">
        <f>IF($A322&gt;NYears*12,"",LOOKUP($M322,TaxLower,TaxRate))</f>
        <v/>
      </c>
      <c r="O322" s="35">
        <f>IF($A322&gt;NYears*12,"",IF(TaxFreq="Quarterly",IF(MOD($D322,3)=0,$L322*$N322,0),IF($D322=12,$K322*$N322,0)))</f>
        <v/>
      </c>
      <c r="P322" s="35">
        <f>IF($A322&gt;NYears*12,"",IF($D322=1,$O322,$P321+$O322))</f>
        <v/>
      </c>
      <c r="Q322" s="35">
        <f>IF($A322&gt;NYears*12,"",IF($D322=12,MIN(WdrPct*IF(WdrBase="Post-tax profit",$K322-$P322,$K322),WdrCap),0))</f>
        <v/>
      </c>
      <c r="R322" s="35">
        <f>IF($A322&gt;NYears*12,"",$F322+$J322-$O322-$Q322)</f>
        <v/>
      </c>
      <c r="S322" s="33">
        <f>IF($A322&gt;NYears*12,"",INT($R322/$E322))</f>
        <v/>
      </c>
    </row>
    <row r="323">
      <c r="A323" s="33">
        <f>319</f>
        <v/>
      </c>
      <c r="B323" s="34">
        <f>IF($A323&gt;NYears*12,"",EDATE(StartMonth,$A323-1))</f>
        <v/>
      </c>
      <c r="C323" s="33">
        <f>IF($A323&gt;NYears*12,"",INT(($A323-1)/12)+1)</f>
        <v/>
      </c>
      <c r="D323" s="33">
        <f>IF($A323&gt;NYears*12,"",MOD($A323-1,12)+1)</f>
        <v/>
      </c>
      <c r="E323" s="35">
        <f>IF($A323&gt;NYears*12,"",LotValue0*(1+LotGrowth)^($C323-1))</f>
        <v/>
      </c>
      <c r="F323" s="35">
        <f>IF($A323&gt;NYears*12,"",IF($A323=1,InitInvest,$R322))</f>
        <v/>
      </c>
      <c r="G323" s="33">
        <f>IF($A323&gt;NYears*12,"",INT($F323/$E323))</f>
        <v/>
      </c>
      <c r="H323" s="35">
        <f>IF($A323&gt;NYears*12,"",$G323*$E323)</f>
        <v/>
      </c>
      <c r="I323" s="35">
        <f>IF($A323&gt;NYears*12,"",$F323-$H323)</f>
        <v/>
      </c>
      <c r="J323" s="35">
        <f>IF($A323&gt;NYears*12,"",$H323*RateD)</f>
        <v/>
      </c>
      <c r="K323" s="35">
        <f>IF($A323&gt;NYears*12,"",IF($D323=1,$J323,$K322+$J323))</f>
        <v/>
      </c>
      <c r="L323" s="35">
        <f>IF($A323&gt;NYears*12,"",IF(MOD($D323,3)=0,SUM($J321:$J323),0))</f>
        <v/>
      </c>
      <c r="M323" s="35">
        <f>IF($A323&gt;NYears*12,"",IF(TaxFreq="Quarterly",$K323*12/$D323,$K323))</f>
        <v/>
      </c>
      <c r="N323" s="36">
        <f>IF($A323&gt;NYears*12,"",LOOKUP($M323,TaxLower,TaxRate))</f>
        <v/>
      </c>
      <c r="O323" s="35">
        <f>IF($A323&gt;NYears*12,"",IF(TaxFreq="Quarterly",IF(MOD($D323,3)=0,$L323*$N323,0),IF($D323=12,$K323*$N323,0)))</f>
        <v/>
      </c>
      <c r="P323" s="35">
        <f>IF($A323&gt;NYears*12,"",IF($D323=1,$O323,$P322+$O323))</f>
        <v/>
      </c>
      <c r="Q323" s="35">
        <f>IF($A323&gt;NYears*12,"",IF($D323=12,MIN(WdrPct*IF(WdrBase="Post-tax profit",$K323-$P323,$K323),WdrCap),0))</f>
        <v/>
      </c>
      <c r="R323" s="35">
        <f>IF($A323&gt;NYears*12,"",$F323+$J323-$O323-$Q323)</f>
        <v/>
      </c>
      <c r="S323" s="33">
        <f>IF($A323&gt;NYears*12,"",INT($R323/$E323))</f>
        <v/>
      </c>
    </row>
    <row r="324">
      <c r="A324" s="33">
        <f>320</f>
        <v/>
      </c>
      <c r="B324" s="34">
        <f>IF($A324&gt;NYears*12,"",EDATE(StartMonth,$A324-1))</f>
        <v/>
      </c>
      <c r="C324" s="33">
        <f>IF($A324&gt;NYears*12,"",INT(($A324-1)/12)+1)</f>
        <v/>
      </c>
      <c r="D324" s="33">
        <f>IF($A324&gt;NYears*12,"",MOD($A324-1,12)+1)</f>
        <v/>
      </c>
      <c r="E324" s="35">
        <f>IF($A324&gt;NYears*12,"",LotValue0*(1+LotGrowth)^($C324-1))</f>
        <v/>
      </c>
      <c r="F324" s="35">
        <f>IF($A324&gt;NYears*12,"",IF($A324=1,InitInvest,$R323))</f>
        <v/>
      </c>
      <c r="G324" s="33">
        <f>IF($A324&gt;NYears*12,"",INT($F324/$E324))</f>
        <v/>
      </c>
      <c r="H324" s="35">
        <f>IF($A324&gt;NYears*12,"",$G324*$E324)</f>
        <v/>
      </c>
      <c r="I324" s="35">
        <f>IF($A324&gt;NYears*12,"",$F324-$H324)</f>
        <v/>
      </c>
      <c r="J324" s="35">
        <f>IF($A324&gt;NYears*12,"",$H324*RateD)</f>
        <v/>
      </c>
      <c r="K324" s="35">
        <f>IF($A324&gt;NYears*12,"",IF($D324=1,$J324,$K323+$J324))</f>
        <v/>
      </c>
      <c r="L324" s="35">
        <f>IF($A324&gt;NYears*12,"",IF(MOD($D324,3)=0,SUM($J322:$J324),0))</f>
        <v/>
      </c>
      <c r="M324" s="35">
        <f>IF($A324&gt;NYears*12,"",IF(TaxFreq="Quarterly",$K324*12/$D324,$K324))</f>
        <v/>
      </c>
      <c r="N324" s="36">
        <f>IF($A324&gt;NYears*12,"",LOOKUP($M324,TaxLower,TaxRate))</f>
        <v/>
      </c>
      <c r="O324" s="35">
        <f>IF($A324&gt;NYears*12,"",IF(TaxFreq="Quarterly",IF(MOD($D324,3)=0,$L324*$N324,0),IF($D324=12,$K324*$N324,0)))</f>
        <v/>
      </c>
      <c r="P324" s="35">
        <f>IF($A324&gt;NYears*12,"",IF($D324=1,$O324,$P323+$O324))</f>
        <v/>
      </c>
      <c r="Q324" s="35">
        <f>IF($A324&gt;NYears*12,"",IF($D324=12,MIN(WdrPct*IF(WdrBase="Post-tax profit",$K324-$P324,$K324),WdrCap),0))</f>
        <v/>
      </c>
      <c r="R324" s="35">
        <f>IF($A324&gt;NYears*12,"",$F324+$J324-$O324-$Q324)</f>
        <v/>
      </c>
      <c r="S324" s="33">
        <f>IF($A324&gt;NYears*12,"",INT($R324/$E324))</f>
        <v/>
      </c>
    </row>
    <row r="325">
      <c r="A325" s="33">
        <f>321</f>
        <v/>
      </c>
      <c r="B325" s="34">
        <f>IF($A325&gt;NYears*12,"",EDATE(StartMonth,$A325-1))</f>
        <v/>
      </c>
      <c r="C325" s="33">
        <f>IF($A325&gt;NYears*12,"",INT(($A325-1)/12)+1)</f>
        <v/>
      </c>
      <c r="D325" s="33">
        <f>IF($A325&gt;NYears*12,"",MOD($A325-1,12)+1)</f>
        <v/>
      </c>
      <c r="E325" s="35">
        <f>IF($A325&gt;NYears*12,"",LotValue0*(1+LotGrowth)^($C325-1))</f>
        <v/>
      </c>
      <c r="F325" s="35">
        <f>IF($A325&gt;NYears*12,"",IF($A325=1,InitInvest,$R324))</f>
        <v/>
      </c>
      <c r="G325" s="33">
        <f>IF($A325&gt;NYears*12,"",INT($F325/$E325))</f>
        <v/>
      </c>
      <c r="H325" s="35">
        <f>IF($A325&gt;NYears*12,"",$G325*$E325)</f>
        <v/>
      </c>
      <c r="I325" s="35">
        <f>IF($A325&gt;NYears*12,"",$F325-$H325)</f>
        <v/>
      </c>
      <c r="J325" s="35">
        <f>IF($A325&gt;NYears*12,"",$H325*RateD)</f>
        <v/>
      </c>
      <c r="K325" s="35">
        <f>IF($A325&gt;NYears*12,"",IF($D325=1,$J325,$K324+$J325))</f>
        <v/>
      </c>
      <c r="L325" s="35">
        <f>IF($A325&gt;NYears*12,"",IF(MOD($D325,3)=0,SUM($J323:$J325),0))</f>
        <v/>
      </c>
      <c r="M325" s="35">
        <f>IF($A325&gt;NYears*12,"",IF(TaxFreq="Quarterly",$K325*12/$D325,$K325))</f>
        <v/>
      </c>
      <c r="N325" s="36">
        <f>IF($A325&gt;NYears*12,"",LOOKUP($M325,TaxLower,TaxRate))</f>
        <v/>
      </c>
      <c r="O325" s="35">
        <f>IF($A325&gt;NYears*12,"",IF(TaxFreq="Quarterly",IF(MOD($D325,3)=0,$L325*$N325,0),IF($D325=12,$K325*$N325,0)))</f>
        <v/>
      </c>
      <c r="P325" s="35">
        <f>IF($A325&gt;NYears*12,"",IF($D325=1,$O325,$P324+$O325))</f>
        <v/>
      </c>
      <c r="Q325" s="35">
        <f>IF($A325&gt;NYears*12,"",IF($D325=12,MIN(WdrPct*IF(WdrBase="Post-tax profit",$K325-$P325,$K325),WdrCap),0))</f>
        <v/>
      </c>
      <c r="R325" s="35">
        <f>IF($A325&gt;NYears*12,"",$F325+$J325-$O325-$Q325)</f>
        <v/>
      </c>
      <c r="S325" s="33">
        <f>IF($A325&gt;NYears*12,"",INT($R325/$E325))</f>
        <v/>
      </c>
    </row>
    <row r="326">
      <c r="A326" s="33">
        <f>322</f>
        <v/>
      </c>
      <c r="B326" s="34">
        <f>IF($A326&gt;NYears*12,"",EDATE(StartMonth,$A326-1))</f>
        <v/>
      </c>
      <c r="C326" s="33">
        <f>IF($A326&gt;NYears*12,"",INT(($A326-1)/12)+1)</f>
        <v/>
      </c>
      <c r="D326" s="33">
        <f>IF($A326&gt;NYears*12,"",MOD($A326-1,12)+1)</f>
        <v/>
      </c>
      <c r="E326" s="35">
        <f>IF($A326&gt;NYears*12,"",LotValue0*(1+LotGrowth)^($C326-1))</f>
        <v/>
      </c>
      <c r="F326" s="35">
        <f>IF($A326&gt;NYears*12,"",IF($A326=1,InitInvest,$R325))</f>
        <v/>
      </c>
      <c r="G326" s="33">
        <f>IF($A326&gt;NYears*12,"",INT($F326/$E326))</f>
        <v/>
      </c>
      <c r="H326" s="35">
        <f>IF($A326&gt;NYears*12,"",$G326*$E326)</f>
        <v/>
      </c>
      <c r="I326" s="35">
        <f>IF($A326&gt;NYears*12,"",$F326-$H326)</f>
        <v/>
      </c>
      <c r="J326" s="35">
        <f>IF($A326&gt;NYears*12,"",$H326*RateD)</f>
        <v/>
      </c>
      <c r="K326" s="35">
        <f>IF($A326&gt;NYears*12,"",IF($D326=1,$J326,$K325+$J326))</f>
        <v/>
      </c>
      <c r="L326" s="35">
        <f>IF($A326&gt;NYears*12,"",IF(MOD($D326,3)=0,SUM($J324:$J326),0))</f>
        <v/>
      </c>
      <c r="M326" s="35">
        <f>IF($A326&gt;NYears*12,"",IF(TaxFreq="Quarterly",$K326*12/$D326,$K326))</f>
        <v/>
      </c>
      <c r="N326" s="36">
        <f>IF($A326&gt;NYears*12,"",LOOKUP($M326,TaxLower,TaxRate))</f>
        <v/>
      </c>
      <c r="O326" s="35">
        <f>IF($A326&gt;NYears*12,"",IF(TaxFreq="Quarterly",IF(MOD($D326,3)=0,$L326*$N326,0),IF($D326=12,$K326*$N326,0)))</f>
        <v/>
      </c>
      <c r="P326" s="35">
        <f>IF($A326&gt;NYears*12,"",IF($D326=1,$O326,$P325+$O326))</f>
        <v/>
      </c>
      <c r="Q326" s="35">
        <f>IF($A326&gt;NYears*12,"",IF($D326=12,MIN(WdrPct*IF(WdrBase="Post-tax profit",$K326-$P326,$K326),WdrCap),0))</f>
        <v/>
      </c>
      <c r="R326" s="35">
        <f>IF($A326&gt;NYears*12,"",$F326+$J326-$O326-$Q326)</f>
        <v/>
      </c>
      <c r="S326" s="33">
        <f>IF($A326&gt;NYears*12,"",INT($R326/$E326))</f>
        <v/>
      </c>
    </row>
    <row r="327">
      <c r="A327" s="33">
        <f>323</f>
        <v/>
      </c>
      <c r="B327" s="34">
        <f>IF($A327&gt;NYears*12,"",EDATE(StartMonth,$A327-1))</f>
        <v/>
      </c>
      <c r="C327" s="33">
        <f>IF($A327&gt;NYears*12,"",INT(($A327-1)/12)+1)</f>
        <v/>
      </c>
      <c r="D327" s="33">
        <f>IF($A327&gt;NYears*12,"",MOD($A327-1,12)+1)</f>
        <v/>
      </c>
      <c r="E327" s="35">
        <f>IF($A327&gt;NYears*12,"",LotValue0*(1+LotGrowth)^($C327-1))</f>
        <v/>
      </c>
      <c r="F327" s="35">
        <f>IF($A327&gt;NYears*12,"",IF($A327=1,InitInvest,$R326))</f>
        <v/>
      </c>
      <c r="G327" s="33">
        <f>IF($A327&gt;NYears*12,"",INT($F327/$E327))</f>
        <v/>
      </c>
      <c r="H327" s="35">
        <f>IF($A327&gt;NYears*12,"",$G327*$E327)</f>
        <v/>
      </c>
      <c r="I327" s="35">
        <f>IF($A327&gt;NYears*12,"",$F327-$H327)</f>
        <v/>
      </c>
      <c r="J327" s="35">
        <f>IF($A327&gt;NYears*12,"",$H327*RateD)</f>
        <v/>
      </c>
      <c r="K327" s="35">
        <f>IF($A327&gt;NYears*12,"",IF($D327=1,$J327,$K326+$J327))</f>
        <v/>
      </c>
      <c r="L327" s="35">
        <f>IF($A327&gt;NYears*12,"",IF(MOD($D327,3)=0,SUM($J325:$J327),0))</f>
        <v/>
      </c>
      <c r="M327" s="35">
        <f>IF($A327&gt;NYears*12,"",IF(TaxFreq="Quarterly",$K327*12/$D327,$K327))</f>
        <v/>
      </c>
      <c r="N327" s="36">
        <f>IF($A327&gt;NYears*12,"",LOOKUP($M327,TaxLower,TaxRate))</f>
        <v/>
      </c>
      <c r="O327" s="35">
        <f>IF($A327&gt;NYears*12,"",IF(TaxFreq="Quarterly",IF(MOD($D327,3)=0,$L327*$N327,0),IF($D327=12,$K327*$N327,0)))</f>
        <v/>
      </c>
      <c r="P327" s="35">
        <f>IF($A327&gt;NYears*12,"",IF($D327=1,$O327,$P326+$O327))</f>
        <v/>
      </c>
      <c r="Q327" s="35">
        <f>IF($A327&gt;NYears*12,"",IF($D327=12,MIN(WdrPct*IF(WdrBase="Post-tax profit",$K327-$P327,$K327),WdrCap),0))</f>
        <v/>
      </c>
      <c r="R327" s="35">
        <f>IF($A327&gt;NYears*12,"",$F327+$J327-$O327-$Q327)</f>
        <v/>
      </c>
      <c r="S327" s="33">
        <f>IF($A327&gt;NYears*12,"",INT($R327/$E327))</f>
        <v/>
      </c>
    </row>
    <row r="328">
      <c r="A328" s="37">
        <f>324</f>
        <v/>
      </c>
      <c r="B328" s="38">
        <f>IF($A328&gt;NYears*12,"",EDATE(StartMonth,$A328-1))</f>
        <v/>
      </c>
      <c r="C328" s="37">
        <f>IF($A328&gt;NYears*12,"",INT(($A328-1)/12)+1)</f>
        <v/>
      </c>
      <c r="D328" s="37">
        <f>IF($A328&gt;NYears*12,"",MOD($A328-1,12)+1)</f>
        <v/>
      </c>
      <c r="E328" s="39">
        <f>IF($A328&gt;NYears*12,"",LotValue0*(1+LotGrowth)^($C328-1))</f>
        <v/>
      </c>
      <c r="F328" s="39">
        <f>IF($A328&gt;NYears*12,"",IF($A328=1,InitInvest,$R327))</f>
        <v/>
      </c>
      <c r="G328" s="37">
        <f>IF($A328&gt;NYears*12,"",INT($F328/$E328))</f>
        <v/>
      </c>
      <c r="H328" s="39">
        <f>IF($A328&gt;NYears*12,"",$G328*$E328)</f>
        <v/>
      </c>
      <c r="I328" s="39">
        <f>IF($A328&gt;NYears*12,"",$F328-$H328)</f>
        <v/>
      </c>
      <c r="J328" s="39">
        <f>IF($A328&gt;NYears*12,"",$H328*RateD)</f>
        <v/>
      </c>
      <c r="K328" s="39">
        <f>IF($A328&gt;NYears*12,"",IF($D328=1,$J328,$K327+$J328))</f>
        <v/>
      </c>
      <c r="L328" s="39">
        <f>IF($A328&gt;NYears*12,"",IF(MOD($D328,3)=0,SUM($J326:$J328),0))</f>
        <v/>
      </c>
      <c r="M328" s="39">
        <f>IF($A328&gt;NYears*12,"",IF(TaxFreq="Quarterly",$K328*12/$D328,$K328))</f>
        <v/>
      </c>
      <c r="N328" s="40">
        <f>IF($A328&gt;NYears*12,"",LOOKUP($M328,TaxLower,TaxRate))</f>
        <v/>
      </c>
      <c r="O328" s="39">
        <f>IF($A328&gt;NYears*12,"",IF(TaxFreq="Quarterly",IF(MOD($D328,3)=0,$L328*$N328,0),IF($D328=12,$K328*$N328,0)))</f>
        <v/>
      </c>
      <c r="P328" s="39">
        <f>IF($A328&gt;NYears*12,"",IF($D328=1,$O328,$P327+$O328))</f>
        <v/>
      </c>
      <c r="Q328" s="39">
        <f>IF($A328&gt;NYears*12,"",IF($D328=12,MIN(WdrPct*IF(WdrBase="Post-tax profit",$K328-$P328,$K328),WdrCap),0))</f>
        <v/>
      </c>
      <c r="R328" s="39">
        <f>IF($A328&gt;NYears*12,"",$F328+$J328-$O328-$Q328)</f>
        <v/>
      </c>
      <c r="S328" s="37">
        <f>IF($A328&gt;NYears*12,"",INT($R328/$E328))</f>
        <v/>
      </c>
    </row>
    <row r="329">
      <c r="A329" s="33">
        <f>325</f>
        <v/>
      </c>
      <c r="B329" s="34">
        <f>IF($A329&gt;NYears*12,"",EDATE(StartMonth,$A329-1))</f>
        <v/>
      </c>
      <c r="C329" s="33">
        <f>IF($A329&gt;NYears*12,"",INT(($A329-1)/12)+1)</f>
        <v/>
      </c>
      <c r="D329" s="33">
        <f>IF($A329&gt;NYears*12,"",MOD($A329-1,12)+1)</f>
        <v/>
      </c>
      <c r="E329" s="35">
        <f>IF($A329&gt;NYears*12,"",LotValue0*(1+LotGrowth)^($C329-1))</f>
        <v/>
      </c>
      <c r="F329" s="35">
        <f>IF($A329&gt;NYears*12,"",IF($A329=1,InitInvest,$R328))</f>
        <v/>
      </c>
      <c r="G329" s="33">
        <f>IF($A329&gt;NYears*12,"",INT($F329/$E329))</f>
        <v/>
      </c>
      <c r="H329" s="35">
        <f>IF($A329&gt;NYears*12,"",$G329*$E329)</f>
        <v/>
      </c>
      <c r="I329" s="35">
        <f>IF($A329&gt;NYears*12,"",$F329-$H329)</f>
        <v/>
      </c>
      <c r="J329" s="35">
        <f>IF($A329&gt;NYears*12,"",$H329*RateD)</f>
        <v/>
      </c>
      <c r="K329" s="35">
        <f>IF($A329&gt;NYears*12,"",IF($D329=1,$J329,$K328+$J329))</f>
        <v/>
      </c>
      <c r="L329" s="35">
        <f>IF($A329&gt;NYears*12,"",IF(MOD($D329,3)=0,SUM($J327:$J329),0))</f>
        <v/>
      </c>
      <c r="M329" s="35">
        <f>IF($A329&gt;NYears*12,"",IF(TaxFreq="Quarterly",$K329*12/$D329,$K329))</f>
        <v/>
      </c>
      <c r="N329" s="36">
        <f>IF($A329&gt;NYears*12,"",LOOKUP($M329,TaxLower,TaxRate))</f>
        <v/>
      </c>
      <c r="O329" s="35">
        <f>IF($A329&gt;NYears*12,"",IF(TaxFreq="Quarterly",IF(MOD($D329,3)=0,$L329*$N329,0),IF($D329=12,$K329*$N329,0)))</f>
        <v/>
      </c>
      <c r="P329" s="35">
        <f>IF($A329&gt;NYears*12,"",IF($D329=1,$O329,$P328+$O329))</f>
        <v/>
      </c>
      <c r="Q329" s="35">
        <f>IF($A329&gt;NYears*12,"",IF($D329=12,MIN(WdrPct*IF(WdrBase="Post-tax profit",$K329-$P329,$K329),WdrCap),0))</f>
        <v/>
      </c>
      <c r="R329" s="35">
        <f>IF($A329&gt;NYears*12,"",$F329+$J329-$O329-$Q329)</f>
        <v/>
      </c>
      <c r="S329" s="33">
        <f>IF($A329&gt;NYears*12,"",INT($R329/$E329))</f>
        <v/>
      </c>
    </row>
    <row r="330">
      <c r="A330" s="33">
        <f>326</f>
        <v/>
      </c>
      <c r="B330" s="34">
        <f>IF($A330&gt;NYears*12,"",EDATE(StartMonth,$A330-1))</f>
        <v/>
      </c>
      <c r="C330" s="33">
        <f>IF($A330&gt;NYears*12,"",INT(($A330-1)/12)+1)</f>
        <v/>
      </c>
      <c r="D330" s="33">
        <f>IF($A330&gt;NYears*12,"",MOD($A330-1,12)+1)</f>
        <v/>
      </c>
      <c r="E330" s="35">
        <f>IF($A330&gt;NYears*12,"",LotValue0*(1+LotGrowth)^($C330-1))</f>
        <v/>
      </c>
      <c r="F330" s="35">
        <f>IF($A330&gt;NYears*12,"",IF($A330=1,InitInvest,$R329))</f>
        <v/>
      </c>
      <c r="G330" s="33">
        <f>IF($A330&gt;NYears*12,"",INT($F330/$E330))</f>
        <v/>
      </c>
      <c r="H330" s="35">
        <f>IF($A330&gt;NYears*12,"",$G330*$E330)</f>
        <v/>
      </c>
      <c r="I330" s="35">
        <f>IF($A330&gt;NYears*12,"",$F330-$H330)</f>
        <v/>
      </c>
      <c r="J330" s="35">
        <f>IF($A330&gt;NYears*12,"",$H330*RateD)</f>
        <v/>
      </c>
      <c r="K330" s="35">
        <f>IF($A330&gt;NYears*12,"",IF($D330=1,$J330,$K329+$J330))</f>
        <v/>
      </c>
      <c r="L330" s="35">
        <f>IF($A330&gt;NYears*12,"",IF(MOD($D330,3)=0,SUM($J328:$J330),0))</f>
        <v/>
      </c>
      <c r="M330" s="35">
        <f>IF($A330&gt;NYears*12,"",IF(TaxFreq="Quarterly",$K330*12/$D330,$K330))</f>
        <v/>
      </c>
      <c r="N330" s="36">
        <f>IF($A330&gt;NYears*12,"",LOOKUP($M330,TaxLower,TaxRate))</f>
        <v/>
      </c>
      <c r="O330" s="35">
        <f>IF($A330&gt;NYears*12,"",IF(TaxFreq="Quarterly",IF(MOD($D330,3)=0,$L330*$N330,0),IF($D330=12,$K330*$N330,0)))</f>
        <v/>
      </c>
      <c r="P330" s="35">
        <f>IF($A330&gt;NYears*12,"",IF($D330=1,$O330,$P329+$O330))</f>
        <v/>
      </c>
      <c r="Q330" s="35">
        <f>IF($A330&gt;NYears*12,"",IF($D330=12,MIN(WdrPct*IF(WdrBase="Post-tax profit",$K330-$P330,$K330),WdrCap),0))</f>
        <v/>
      </c>
      <c r="R330" s="35">
        <f>IF($A330&gt;NYears*12,"",$F330+$J330-$O330-$Q330)</f>
        <v/>
      </c>
      <c r="S330" s="33">
        <f>IF($A330&gt;NYears*12,"",INT($R330/$E330))</f>
        <v/>
      </c>
    </row>
    <row r="331">
      <c r="A331" s="33">
        <f>327</f>
        <v/>
      </c>
      <c r="B331" s="34">
        <f>IF($A331&gt;NYears*12,"",EDATE(StartMonth,$A331-1))</f>
        <v/>
      </c>
      <c r="C331" s="33">
        <f>IF($A331&gt;NYears*12,"",INT(($A331-1)/12)+1)</f>
        <v/>
      </c>
      <c r="D331" s="33">
        <f>IF($A331&gt;NYears*12,"",MOD($A331-1,12)+1)</f>
        <v/>
      </c>
      <c r="E331" s="35">
        <f>IF($A331&gt;NYears*12,"",LotValue0*(1+LotGrowth)^($C331-1))</f>
        <v/>
      </c>
      <c r="F331" s="35">
        <f>IF($A331&gt;NYears*12,"",IF($A331=1,InitInvest,$R330))</f>
        <v/>
      </c>
      <c r="G331" s="33">
        <f>IF($A331&gt;NYears*12,"",INT($F331/$E331))</f>
        <v/>
      </c>
      <c r="H331" s="35">
        <f>IF($A331&gt;NYears*12,"",$G331*$E331)</f>
        <v/>
      </c>
      <c r="I331" s="35">
        <f>IF($A331&gt;NYears*12,"",$F331-$H331)</f>
        <v/>
      </c>
      <c r="J331" s="35">
        <f>IF($A331&gt;NYears*12,"",$H331*RateD)</f>
        <v/>
      </c>
      <c r="K331" s="35">
        <f>IF($A331&gt;NYears*12,"",IF($D331=1,$J331,$K330+$J331))</f>
        <v/>
      </c>
      <c r="L331" s="35">
        <f>IF($A331&gt;NYears*12,"",IF(MOD($D331,3)=0,SUM($J329:$J331),0))</f>
        <v/>
      </c>
      <c r="M331" s="35">
        <f>IF($A331&gt;NYears*12,"",IF(TaxFreq="Quarterly",$K331*12/$D331,$K331))</f>
        <v/>
      </c>
      <c r="N331" s="36">
        <f>IF($A331&gt;NYears*12,"",LOOKUP($M331,TaxLower,TaxRate))</f>
        <v/>
      </c>
      <c r="O331" s="35">
        <f>IF($A331&gt;NYears*12,"",IF(TaxFreq="Quarterly",IF(MOD($D331,3)=0,$L331*$N331,0),IF($D331=12,$K331*$N331,0)))</f>
        <v/>
      </c>
      <c r="P331" s="35">
        <f>IF($A331&gt;NYears*12,"",IF($D331=1,$O331,$P330+$O331))</f>
        <v/>
      </c>
      <c r="Q331" s="35">
        <f>IF($A331&gt;NYears*12,"",IF($D331=12,MIN(WdrPct*IF(WdrBase="Post-tax profit",$K331-$P331,$K331),WdrCap),0))</f>
        <v/>
      </c>
      <c r="R331" s="35">
        <f>IF($A331&gt;NYears*12,"",$F331+$J331-$O331-$Q331)</f>
        <v/>
      </c>
      <c r="S331" s="33">
        <f>IF($A331&gt;NYears*12,"",INT($R331/$E331))</f>
        <v/>
      </c>
    </row>
    <row r="332">
      <c r="A332" s="33">
        <f>328</f>
        <v/>
      </c>
      <c r="B332" s="34">
        <f>IF($A332&gt;NYears*12,"",EDATE(StartMonth,$A332-1))</f>
        <v/>
      </c>
      <c r="C332" s="33">
        <f>IF($A332&gt;NYears*12,"",INT(($A332-1)/12)+1)</f>
        <v/>
      </c>
      <c r="D332" s="33">
        <f>IF($A332&gt;NYears*12,"",MOD($A332-1,12)+1)</f>
        <v/>
      </c>
      <c r="E332" s="35">
        <f>IF($A332&gt;NYears*12,"",LotValue0*(1+LotGrowth)^($C332-1))</f>
        <v/>
      </c>
      <c r="F332" s="35">
        <f>IF($A332&gt;NYears*12,"",IF($A332=1,InitInvest,$R331))</f>
        <v/>
      </c>
      <c r="G332" s="33">
        <f>IF($A332&gt;NYears*12,"",INT($F332/$E332))</f>
        <v/>
      </c>
      <c r="H332" s="35">
        <f>IF($A332&gt;NYears*12,"",$G332*$E332)</f>
        <v/>
      </c>
      <c r="I332" s="35">
        <f>IF($A332&gt;NYears*12,"",$F332-$H332)</f>
        <v/>
      </c>
      <c r="J332" s="35">
        <f>IF($A332&gt;NYears*12,"",$H332*RateD)</f>
        <v/>
      </c>
      <c r="K332" s="35">
        <f>IF($A332&gt;NYears*12,"",IF($D332=1,$J332,$K331+$J332))</f>
        <v/>
      </c>
      <c r="L332" s="35">
        <f>IF($A332&gt;NYears*12,"",IF(MOD($D332,3)=0,SUM($J330:$J332),0))</f>
        <v/>
      </c>
      <c r="M332" s="35">
        <f>IF($A332&gt;NYears*12,"",IF(TaxFreq="Quarterly",$K332*12/$D332,$K332))</f>
        <v/>
      </c>
      <c r="N332" s="36">
        <f>IF($A332&gt;NYears*12,"",LOOKUP($M332,TaxLower,TaxRate))</f>
        <v/>
      </c>
      <c r="O332" s="35">
        <f>IF($A332&gt;NYears*12,"",IF(TaxFreq="Quarterly",IF(MOD($D332,3)=0,$L332*$N332,0),IF($D332=12,$K332*$N332,0)))</f>
        <v/>
      </c>
      <c r="P332" s="35">
        <f>IF($A332&gt;NYears*12,"",IF($D332=1,$O332,$P331+$O332))</f>
        <v/>
      </c>
      <c r="Q332" s="35">
        <f>IF($A332&gt;NYears*12,"",IF($D332=12,MIN(WdrPct*IF(WdrBase="Post-tax profit",$K332-$P332,$K332),WdrCap),0))</f>
        <v/>
      </c>
      <c r="R332" s="35">
        <f>IF($A332&gt;NYears*12,"",$F332+$J332-$O332-$Q332)</f>
        <v/>
      </c>
      <c r="S332" s="33">
        <f>IF($A332&gt;NYears*12,"",INT($R332/$E332))</f>
        <v/>
      </c>
    </row>
    <row r="333">
      <c r="A333" s="33">
        <f>329</f>
        <v/>
      </c>
      <c r="B333" s="34">
        <f>IF($A333&gt;NYears*12,"",EDATE(StartMonth,$A333-1))</f>
        <v/>
      </c>
      <c r="C333" s="33">
        <f>IF($A333&gt;NYears*12,"",INT(($A333-1)/12)+1)</f>
        <v/>
      </c>
      <c r="D333" s="33">
        <f>IF($A333&gt;NYears*12,"",MOD($A333-1,12)+1)</f>
        <v/>
      </c>
      <c r="E333" s="35">
        <f>IF($A333&gt;NYears*12,"",LotValue0*(1+LotGrowth)^($C333-1))</f>
        <v/>
      </c>
      <c r="F333" s="35">
        <f>IF($A333&gt;NYears*12,"",IF($A333=1,InitInvest,$R332))</f>
        <v/>
      </c>
      <c r="G333" s="33">
        <f>IF($A333&gt;NYears*12,"",INT($F333/$E333))</f>
        <v/>
      </c>
      <c r="H333" s="35">
        <f>IF($A333&gt;NYears*12,"",$G333*$E333)</f>
        <v/>
      </c>
      <c r="I333" s="35">
        <f>IF($A333&gt;NYears*12,"",$F333-$H333)</f>
        <v/>
      </c>
      <c r="J333" s="35">
        <f>IF($A333&gt;NYears*12,"",$H333*RateD)</f>
        <v/>
      </c>
      <c r="K333" s="35">
        <f>IF($A333&gt;NYears*12,"",IF($D333=1,$J333,$K332+$J333))</f>
        <v/>
      </c>
      <c r="L333" s="35">
        <f>IF($A333&gt;NYears*12,"",IF(MOD($D333,3)=0,SUM($J331:$J333),0))</f>
        <v/>
      </c>
      <c r="M333" s="35">
        <f>IF($A333&gt;NYears*12,"",IF(TaxFreq="Quarterly",$K333*12/$D333,$K333))</f>
        <v/>
      </c>
      <c r="N333" s="36">
        <f>IF($A333&gt;NYears*12,"",LOOKUP($M333,TaxLower,TaxRate))</f>
        <v/>
      </c>
      <c r="O333" s="35">
        <f>IF($A333&gt;NYears*12,"",IF(TaxFreq="Quarterly",IF(MOD($D333,3)=0,$L333*$N333,0),IF($D333=12,$K333*$N333,0)))</f>
        <v/>
      </c>
      <c r="P333" s="35">
        <f>IF($A333&gt;NYears*12,"",IF($D333=1,$O333,$P332+$O333))</f>
        <v/>
      </c>
      <c r="Q333" s="35">
        <f>IF($A333&gt;NYears*12,"",IF($D333=12,MIN(WdrPct*IF(WdrBase="Post-tax profit",$K333-$P333,$K333),WdrCap),0))</f>
        <v/>
      </c>
      <c r="R333" s="35">
        <f>IF($A333&gt;NYears*12,"",$F333+$J333-$O333-$Q333)</f>
        <v/>
      </c>
      <c r="S333" s="33">
        <f>IF($A333&gt;NYears*12,"",INT($R333/$E333))</f>
        <v/>
      </c>
    </row>
    <row r="334">
      <c r="A334" s="33">
        <f>330</f>
        <v/>
      </c>
      <c r="B334" s="34">
        <f>IF($A334&gt;NYears*12,"",EDATE(StartMonth,$A334-1))</f>
        <v/>
      </c>
      <c r="C334" s="33">
        <f>IF($A334&gt;NYears*12,"",INT(($A334-1)/12)+1)</f>
        <v/>
      </c>
      <c r="D334" s="33">
        <f>IF($A334&gt;NYears*12,"",MOD($A334-1,12)+1)</f>
        <v/>
      </c>
      <c r="E334" s="35">
        <f>IF($A334&gt;NYears*12,"",LotValue0*(1+LotGrowth)^($C334-1))</f>
        <v/>
      </c>
      <c r="F334" s="35">
        <f>IF($A334&gt;NYears*12,"",IF($A334=1,InitInvest,$R333))</f>
        <v/>
      </c>
      <c r="G334" s="33">
        <f>IF($A334&gt;NYears*12,"",INT($F334/$E334))</f>
        <v/>
      </c>
      <c r="H334" s="35">
        <f>IF($A334&gt;NYears*12,"",$G334*$E334)</f>
        <v/>
      </c>
      <c r="I334" s="35">
        <f>IF($A334&gt;NYears*12,"",$F334-$H334)</f>
        <v/>
      </c>
      <c r="J334" s="35">
        <f>IF($A334&gt;NYears*12,"",$H334*RateD)</f>
        <v/>
      </c>
      <c r="K334" s="35">
        <f>IF($A334&gt;NYears*12,"",IF($D334=1,$J334,$K333+$J334))</f>
        <v/>
      </c>
      <c r="L334" s="35">
        <f>IF($A334&gt;NYears*12,"",IF(MOD($D334,3)=0,SUM($J332:$J334),0))</f>
        <v/>
      </c>
      <c r="M334" s="35">
        <f>IF($A334&gt;NYears*12,"",IF(TaxFreq="Quarterly",$K334*12/$D334,$K334))</f>
        <v/>
      </c>
      <c r="N334" s="36">
        <f>IF($A334&gt;NYears*12,"",LOOKUP($M334,TaxLower,TaxRate))</f>
        <v/>
      </c>
      <c r="O334" s="35">
        <f>IF($A334&gt;NYears*12,"",IF(TaxFreq="Quarterly",IF(MOD($D334,3)=0,$L334*$N334,0),IF($D334=12,$K334*$N334,0)))</f>
        <v/>
      </c>
      <c r="P334" s="35">
        <f>IF($A334&gt;NYears*12,"",IF($D334=1,$O334,$P333+$O334))</f>
        <v/>
      </c>
      <c r="Q334" s="35">
        <f>IF($A334&gt;NYears*12,"",IF($D334=12,MIN(WdrPct*IF(WdrBase="Post-tax profit",$K334-$P334,$K334),WdrCap),0))</f>
        <v/>
      </c>
      <c r="R334" s="35">
        <f>IF($A334&gt;NYears*12,"",$F334+$J334-$O334-$Q334)</f>
        <v/>
      </c>
      <c r="S334" s="33">
        <f>IF($A334&gt;NYears*12,"",INT($R334/$E334))</f>
        <v/>
      </c>
    </row>
    <row r="335">
      <c r="A335" s="33">
        <f>331</f>
        <v/>
      </c>
      <c r="B335" s="34">
        <f>IF($A335&gt;NYears*12,"",EDATE(StartMonth,$A335-1))</f>
        <v/>
      </c>
      <c r="C335" s="33">
        <f>IF($A335&gt;NYears*12,"",INT(($A335-1)/12)+1)</f>
        <v/>
      </c>
      <c r="D335" s="33">
        <f>IF($A335&gt;NYears*12,"",MOD($A335-1,12)+1)</f>
        <v/>
      </c>
      <c r="E335" s="35">
        <f>IF($A335&gt;NYears*12,"",LotValue0*(1+LotGrowth)^($C335-1))</f>
        <v/>
      </c>
      <c r="F335" s="35">
        <f>IF($A335&gt;NYears*12,"",IF($A335=1,InitInvest,$R334))</f>
        <v/>
      </c>
      <c r="G335" s="33">
        <f>IF($A335&gt;NYears*12,"",INT($F335/$E335))</f>
        <v/>
      </c>
      <c r="H335" s="35">
        <f>IF($A335&gt;NYears*12,"",$G335*$E335)</f>
        <v/>
      </c>
      <c r="I335" s="35">
        <f>IF($A335&gt;NYears*12,"",$F335-$H335)</f>
        <v/>
      </c>
      <c r="J335" s="35">
        <f>IF($A335&gt;NYears*12,"",$H335*RateD)</f>
        <v/>
      </c>
      <c r="K335" s="35">
        <f>IF($A335&gt;NYears*12,"",IF($D335=1,$J335,$K334+$J335))</f>
        <v/>
      </c>
      <c r="L335" s="35">
        <f>IF($A335&gt;NYears*12,"",IF(MOD($D335,3)=0,SUM($J333:$J335),0))</f>
        <v/>
      </c>
      <c r="M335" s="35">
        <f>IF($A335&gt;NYears*12,"",IF(TaxFreq="Quarterly",$K335*12/$D335,$K335))</f>
        <v/>
      </c>
      <c r="N335" s="36">
        <f>IF($A335&gt;NYears*12,"",LOOKUP($M335,TaxLower,TaxRate))</f>
        <v/>
      </c>
      <c r="O335" s="35">
        <f>IF($A335&gt;NYears*12,"",IF(TaxFreq="Quarterly",IF(MOD($D335,3)=0,$L335*$N335,0),IF($D335=12,$K335*$N335,0)))</f>
        <v/>
      </c>
      <c r="P335" s="35">
        <f>IF($A335&gt;NYears*12,"",IF($D335=1,$O335,$P334+$O335))</f>
        <v/>
      </c>
      <c r="Q335" s="35">
        <f>IF($A335&gt;NYears*12,"",IF($D335=12,MIN(WdrPct*IF(WdrBase="Post-tax profit",$K335-$P335,$K335),WdrCap),0))</f>
        <v/>
      </c>
      <c r="R335" s="35">
        <f>IF($A335&gt;NYears*12,"",$F335+$J335-$O335-$Q335)</f>
        <v/>
      </c>
      <c r="S335" s="33">
        <f>IF($A335&gt;NYears*12,"",INT($R335/$E335))</f>
        <v/>
      </c>
    </row>
    <row r="336">
      <c r="A336" s="33">
        <f>332</f>
        <v/>
      </c>
      <c r="B336" s="34">
        <f>IF($A336&gt;NYears*12,"",EDATE(StartMonth,$A336-1))</f>
        <v/>
      </c>
      <c r="C336" s="33">
        <f>IF($A336&gt;NYears*12,"",INT(($A336-1)/12)+1)</f>
        <v/>
      </c>
      <c r="D336" s="33">
        <f>IF($A336&gt;NYears*12,"",MOD($A336-1,12)+1)</f>
        <v/>
      </c>
      <c r="E336" s="35">
        <f>IF($A336&gt;NYears*12,"",LotValue0*(1+LotGrowth)^($C336-1))</f>
        <v/>
      </c>
      <c r="F336" s="35">
        <f>IF($A336&gt;NYears*12,"",IF($A336=1,InitInvest,$R335))</f>
        <v/>
      </c>
      <c r="G336" s="33">
        <f>IF($A336&gt;NYears*12,"",INT($F336/$E336))</f>
        <v/>
      </c>
      <c r="H336" s="35">
        <f>IF($A336&gt;NYears*12,"",$G336*$E336)</f>
        <v/>
      </c>
      <c r="I336" s="35">
        <f>IF($A336&gt;NYears*12,"",$F336-$H336)</f>
        <v/>
      </c>
      <c r="J336" s="35">
        <f>IF($A336&gt;NYears*12,"",$H336*RateD)</f>
        <v/>
      </c>
      <c r="K336" s="35">
        <f>IF($A336&gt;NYears*12,"",IF($D336=1,$J336,$K335+$J336))</f>
        <v/>
      </c>
      <c r="L336" s="35">
        <f>IF($A336&gt;NYears*12,"",IF(MOD($D336,3)=0,SUM($J334:$J336),0))</f>
        <v/>
      </c>
      <c r="M336" s="35">
        <f>IF($A336&gt;NYears*12,"",IF(TaxFreq="Quarterly",$K336*12/$D336,$K336))</f>
        <v/>
      </c>
      <c r="N336" s="36">
        <f>IF($A336&gt;NYears*12,"",LOOKUP($M336,TaxLower,TaxRate))</f>
        <v/>
      </c>
      <c r="O336" s="35">
        <f>IF($A336&gt;NYears*12,"",IF(TaxFreq="Quarterly",IF(MOD($D336,3)=0,$L336*$N336,0),IF($D336=12,$K336*$N336,0)))</f>
        <v/>
      </c>
      <c r="P336" s="35">
        <f>IF($A336&gt;NYears*12,"",IF($D336=1,$O336,$P335+$O336))</f>
        <v/>
      </c>
      <c r="Q336" s="35">
        <f>IF($A336&gt;NYears*12,"",IF($D336=12,MIN(WdrPct*IF(WdrBase="Post-tax profit",$K336-$P336,$K336),WdrCap),0))</f>
        <v/>
      </c>
      <c r="R336" s="35">
        <f>IF($A336&gt;NYears*12,"",$F336+$J336-$O336-$Q336)</f>
        <v/>
      </c>
      <c r="S336" s="33">
        <f>IF($A336&gt;NYears*12,"",INT($R336/$E336))</f>
        <v/>
      </c>
    </row>
    <row r="337">
      <c r="A337" s="33">
        <f>333</f>
        <v/>
      </c>
      <c r="B337" s="34">
        <f>IF($A337&gt;NYears*12,"",EDATE(StartMonth,$A337-1))</f>
        <v/>
      </c>
      <c r="C337" s="33">
        <f>IF($A337&gt;NYears*12,"",INT(($A337-1)/12)+1)</f>
        <v/>
      </c>
      <c r="D337" s="33">
        <f>IF($A337&gt;NYears*12,"",MOD($A337-1,12)+1)</f>
        <v/>
      </c>
      <c r="E337" s="35">
        <f>IF($A337&gt;NYears*12,"",LotValue0*(1+LotGrowth)^($C337-1))</f>
        <v/>
      </c>
      <c r="F337" s="35">
        <f>IF($A337&gt;NYears*12,"",IF($A337=1,InitInvest,$R336))</f>
        <v/>
      </c>
      <c r="G337" s="33">
        <f>IF($A337&gt;NYears*12,"",INT($F337/$E337))</f>
        <v/>
      </c>
      <c r="H337" s="35">
        <f>IF($A337&gt;NYears*12,"",$G337*$E337)</f>
        <v/>
      </c>
      <c r="I337" s="35">
        <f>IF($A337&gt;NYears*12,"",$F337-$H337)</f>
        <v/>
      </c>
      <c r="J337" s="35">
        <f>IF($A337&gt;NYears*12,"",$H337*RateD)</f>
        <v/>
      </c>
      <c r="K337" s="35">
        <f>IF($A337&gt;NYears*12,"",IF($D337=1,$J337,$K336+$J337))</f>
        <v/>
      </c>
      <c r="L337" s="35">
        <f>IF($A337&gt;NYears*12,"",IF(MOD($D337,3)=0,SUM($J335:$J337),0))</f>
        <v/>
      </c>
      <c r="M337" s="35">
        <f>IF($A337&gt;NYears*12,"",IF(TaxFreq="Quarterly",$K337*12/$D337,$K337))</f>
        <v/>
      </c>
      <c r="N337" s="36">
        <f>IF($A337&gt;NYears*12,"",LOOKUP($M337,TaxLower,TaxRate))</f>
        <v/>
      </c>
      <c r="O337" s="35">
        <f>IF($A337&gt;NYears*12,"",IF(TaxFreq="Quarterly",IF(MOD($D337,3)=0,$L337*$N337,0),IF($D337=12,$K337*$N337,0)))</f>
        <v/>
      </c>
      <c r="P337" s="35">
        <f>IF($A337&gt;NYears*12,"",IF($D337=1,$O337,$P336+$O337))</f>
        <v/>
      </c>
      <c r="Q337" s="35">
        <f>IF($A337&gt;NYears*12,"",IF($D337=12,MIN(WdrPct*IF(WdrBase="Post-tax profit",$K337-$P337,$K337),WdrCap),0))</f>
        <v/>
      </c>
      <c r="R337" s="35">
        <f>IF($A337&gt;NYears*12,"",$F337+$J337-$O337-$Q337)</f>
        <v/>
      </c>
      <c r="S337" s="33">
        <f>IF($A337&gt;NYears*12,"",INT($R337/$E337))</f>
        <v/>
      </c>
    </row>
    <row r="338">
      <c r="A338" s="33">
        <f>334</f>
        <v/>
      </c>
      <c r="B338" s="34">
        <f>IF($A338&gt;NYears*12,"",EDATE(StartMonth,$A338-1))</f>
        <v/>
      </c>
      <c r="C338" s="33">
        <f>IF($A338&gt;NYears*12,"",INT(($A338-1)/12)+1)</f>
        <v/>
      </c>
      <c r="D338" s="33">
        <f>IF($A338&gt;NYears*12,"",MOD($A338-1,12)+1)</f>
        <v/>
      </c>
      <c r="E338" s="35">
        <f>IF($A338&gt;NYears*12,"",LotValue0*(1+LotGrowth)^($C338-1))</f>
        <v/>
      </c>
      <c r="F338" s="35">
        <f>IF($A338&gt;NYears*12,"",IF($A338=1,InitInvest,$R337))</f>
        <v/>
      </c>
      <c r="G338" s="33">
        <f>IF($A338&gt;NYears*12,"",INT($F338/$E338))</f>
        <v/>
      </c>
      <c r="H338" s="35">
        <f>IF($A338&gt;NYears*12,"",$G338*$E338)</f>
        <v/>
      </c>
      <c r="I338" s="35">
        <f>IF($A338&gt;NYears*12,"",$F338-$H338)</f>
        <v/>
      </c>
      <c r="J338" s="35">
        <f>IF($A338&gt;NYears*12,"",$H338*RateD)</f>
        <v/>
      </c>
      <c r="K338" s="35">
        <f>IF($A338&gt;NYears*12,"",IF($D338=1,$J338,$K337+$J338))</f>
        <v/>
      </c>
      <c r="L338" s="35">
        <f>IF($A338&gt;NYears*12,"",IF(MOD($D338,3)=0,SUM($J336:$J338),0))</f>
        <v/>
      </c>
      <c r="M338" s="35">
        <f>IF($A338&gt;NYears*12,"",IF(TaxFreq="Quarterly",$K338*12/$D338,$K338))</f>
        <v/>
      </c>
      <c r="N338" s="36">
        <f>IF($A338&gt;NYears*12,"",LOOKUP($M338,TaxLower,TaxRate))</f>
        <v/>
      </c>
      <c r="O338" s="35">
        <f>IF($A338&gt;NYears*12,"",IF(TaxFreq="Quarterly",IF(MOD($D338,3)=0,$L338*$N338,0),IF($D338=12,$K338*$N338,0)))</f>
        <v/>
      </c>
      <c r="P338" s="35">
        <f>IF($A338&gt;NYears*12,"",IF($D338=1,$O338,$P337+$O338))</f>
        <v/>
      </c>
      <c r="Q338" s="35">
        <f>IF($A338&gt;NYears*12,"",IF($D338=12,MIN(WdrPct*IF(WdrBase="Post-tax profit",$K338-$P338,$K338),WdrCap),0))</f>
        <v/>
      </c>
      <c r="R338" s="35">
        <f>IF($A338&gt;NYears*12,"",$F338+$J338-$O338-$Q338)</f>
        <v/>
      </c>
      <c r="S338" s="33">
        <f>IF($A338&gt;NYears*12,"",INT($R338/$E338))</f>
        <v/>
      </c>
    </row>
    <row r="339">
      <c r="A339" s="33">
        <f>335</f>
        <v/>
      </c>
      <c r="B339" s="34">
        <f>IF($A339&gt;NYears*12,"",EDATE(StartMonth,$A339-1))</f>
        <v/>
      </c>
      <c r="C339" s="33">
        <f>IF($A339&gt;NYears*12,"",INT(($A339-1)/12)+1)</f>
        <v/>
      </c>
      <c r="D339" s="33">
        <f>IF($A339&gt;NYears*12,"",MOD($A339-1,12)+1)</f>
        <v/>
      </c>
      <c r="E339" s="35">
        <f>IF($A339&gt;NYears*12,"",LotValue0*(1+LotGrowth)^($C339-1))</f>
        <v/>
      </c>
      <c r="F339" s="35">
        <f>IF($A339&gt;NYears*12,"",IF($A339=1,InitInvest,$R338))</f>
        <v/>
      </c>
      <c r="G339" s="33">
        <f>IF($A339&gt;NYears*12,"",INT($F339/$E339))</f>
        <v/>
      </c>
      <c r="H339" s="35">
        <f>IF($A339&gt;NYears*12,"",$G339*$E339)</f>
        <v/>
      </c>
      <c r="I339" s="35">
        <f>IF($A339&gt;NYears*12,"",$F339-$H339)</f>
        <v/>
      </c>
      <c r="J339" s="35">
        <f>IF($A339&gt;NYears*12,"",$H339*RateD)</f>
        <v/>
      </c>
      <c r="K339" s="35">
        <f>IF($A339&gt;NYears*12,"",IF($D339=1,$J339,$K338+$J339))</f>
        <v/>
      </c>
      <c r="L339" s="35">
        <f>IF($A339&gt;NYears*12,"",IF(MOD($D339,3)=0,SUM($J337:$J339),0))</f>
        <v/>
      </c>
      <c r="M339" s="35">
        <f>IF($A339&gt;NYears*12,"",IF(TaxFreq="Quarterly",$K339*12/$D339,$K339))</f>
        <v/>
      </c>
      <c r="N339" s="36">
        <f>IF($A339&gt;NYears*12,"",LOOKUP($M339,TaxLower,TaxRate))</f>
        <v/>
      </c>
      <c r="O339" s="35">
        <f>IF($A339&gt;NYears*12,"",IF(TaxFreq="Quarterly",IF(MOD($D339,3)=0,$L339*$N339,0),IF($D339=12,$K339*$N339,0)))</f>
        <v/>
      </c>
      <c r="P339" s="35">
        <f>IF($A339&gt;NYears*12,"",IF($D339=1,$O339,$P338+$O339))</f>
        <v/>
      </c>
      <c r="Q339" s="35">
        <f>IF($A339&gt;NYears*12,"",IF($D339=12,MIN(WdrPct*IF(WdrBase="Post-tax profit",$K339-$P339,$K339),WdrCap),0))</f>
        <v/>
      </c>
      <c r="R339" s="35">
        <f>IF($A339&gt;NYears*12,"",$F339+$J339-$O339-$Q339)</f>
        <v/>
      </c>
      <c r="S339" s="33">
        <f>IF($A339&gt;NYears*12,"",INT($R339/$E339))</f>
        <v/>
      </c>
    </row>
    <row r="340">
      <c r="A340" s="37">
        <f>336</f>
        <v/>
      </c>
      <c r="B340" s="38">
        <f>IF($A340&gt;NYears*12,"",EDATE(StartMonth,$A340-1))</f>
        <v/>
      </c>
      <c r="C340" s="37">
        <f>IF($A340&gt;NYears*12,"",INT(($A340-1)/12)+1)</f>
        <v/>
      </c>
      <c r="D340" s="37">
        <f>IF($A340&gt;NYears*12,"",MOD($A340-1,12)+1)</f>
        <v/>
      </c>
      <c r="E340" s="39">
        <f>IF($A340&gt;NYears*12,"",LotValue0*(1+LotGrowth)^($C340-1))</f>
        <v/>
      </c>
      <c r="F340" s="39">
        <f>IF($A340&gt;NYears*12,"",IF($A340=1,InitInvest,$R339))</f>
        <v/>
      </c>
      <c r="G340" s="37">
        <f>IF($A340&gt;NYears*12,"",INT($F340/$E340))</f>
        <v/>
      </c>
      <c r="H340" s="39">
        <f>IF($A340&gt;NYears*12,"",$G340*$E340)</f>
        <v/>
      </c>
      <c r="I340" s="39">
        <f>IF($A340&gt;NYears*12,"",$F340-$H340)</f>
        <v/>
      </c>
      <c r="J340" s="39">
        <f>IF($A340&gt;NYears*12,"",$H340*RateD)</f>
        <v/>
      </c>
      <c r="K340" s="39">
        <f>IF($A340&gt;NYears*12,"",IF($D340=1,$J340,$K339+$J340))</f>
        <v/>
      </c>
      <c r="L340" s="39">
        <f>IF($A340&gt;NYears*12,"",IF(MOD($D340,3)=0,SUM($J338:$J340),0))</f>
        <v/>
      </c>
      <c r="M340" s="39">
        <f>IF($A340&gt;NYears*12,"",IF(TaxFreq="Quarterly",$K340*12/$D340,$K340))</f>
        <v/>
      </c>
      <c r="N340" s="40">
        <f>IF($A340&gt;NYears*12,"",LOOKUP($M340,TaxLower,TaxRate))</f>
        <v/>
      </c>
      <c r="O340" s="39">
        <f>IF($A340&gt;NYears*12,"",IF(TaxFreq="Quarterly",IF(MOD($D340,3)=0,$L340*$N340,0),IF($D340=12,$K340*$N340,0)))</f>
        <v/>
      </c>
      <c r="P340" s="39">
        <f>IF($A340&gt;NYears*12,"",IF($D340=1,$O340,$P339+$O340))</f>
        <v/>
      </c>
      <c r="Q340" s="39">
        <f>IF($A340&gt;NYears*12,"",IF($D340=12,MIN(WdrPct*IF(WdrBase="Post-tax profit",$K340-$P340,$K340),WdrCap),0))</f>
        <v/>
      </c>
      <c r="R340" s="39">
        <f>IF($A340&gt;NYears*12,"",$F340+$J340-$O340-$Q340)</f>
        <v/>
      </c>
      <c r="S340" s="37">
        <f>IF($A340&gt;NYears*12,"",INT($R340/$E340))</f>
        <v/>
      </c>
    </row>
    <row r="341">
      <c r="A341" s="33">
        <f>337</f>
        <v/>
      </c>
      <c r="B341" s="34">
        <f>IF($A341&gt;NYears*12,"",EDATE(StartMonth,$A341-1))</f>
        <v/>
      </c>
      <c r="C341" s="33">
        <f>IF($A341&gt;NYears*12,"",INT(($A341-1)/12)+1)</f>
        <v/>
      </c>
      <c r="D341" s="33">
        <f>IF($A341&gt;NYears*12,"",MOD($A341-1,12)+1)</f>
        <v/>
      </c>
      <c r="E341" s="35">
        <f>IF($A341&gt;NYears*12,"",LotValue0*(1+LotGrowth)^($C341-1))</f>
        <v/>
      </c>
      <c r="F341" s="35">
        <f>IF($A341&gt;NYears*12,"",IF($A341=1,InitInvest,$R340))</f>
        <v/>
      </c>
      <c r="G341" s="33">
        <f>IF($A341&gt;NYears*12,"",INT($F341/$E341))</f>
        <v/>
      </c>
      <c r="H341" s="35">
        <f>IF($A341&gt;NYears*12,"",$G341*$E341)</f>
        <v/>
      </c>
      <c r="I341" s="35">
        <f>IF($A341&gt;NYears*12,"",$F341-$H341)</f>
        <v/>
      </c>
      <c r="J341" s="35">
        <f>IF($A341&gt;NYears*12,"",$H341*RateD)</f>
        <v/>
      </c>
      <c r="K341" s="35">
        <f>IF($A341&gt;NYears*12,"",IF($D341=1,$J341,$K340+$J341))</f>
        <v/>
      </c>
      <c r="L341" s="35">
        <f>IF($A341&gt;NYears*12,"",IF(MOD($D341,3)=0,SUM($J339:$J341),0))</f>
        <v/>
      </c>
      <c r="M341" s="35">
        <f>IF($A341&gt;NYears*12,"",IF(TaxFreq="Quarterly",$K341*12/$D341,$K341))</f>
        <v/>
      </c>
      <c r="N341" s="36">
        <f>IF($A341&gt;NYears*12,"",LOOKUP($M341,TaxLower,TaxRate))</f>
        <v/>
      </c>
      <c r="O341" s="35">
        <f>IF($A341&gt;NYears*12,"",IF(TaxFreq="Quarterly",IF(MOD($D341,3)=0,$L341*$N341,0),IF($D341=12,$K341*$N341,0)))</f>
        <v/>
      </c>
      <c r="P341" s="35">
        <f>IF($A341&gt;NYears*12,"",IF($D341=1,$O341,$P340+$O341))</f>
        <v/>
      </c>
      <c r="Q341" s="35">
        <f>IF($A341&gt;NYears*12,"",IF($D341=12,MIN(WdrPct*IF(WdrBase="Post-tax profit",$K341-$P341,$K341),WdrCap),0))</f>
        <v/>
      </c>
      <c r="R341" s="35">
        <f>IF($A341&gt;NYears*12,"",$F341+$J341-$O341-$Q341)</f>
        <v/>
      </c>
      <c r="S341" s="33">
        <f>IF($A341&gt;NYears*12,"",INT($R341/$E341))</f>
        <v/>
      </c>
    </row>
    <row r="342">
      <c r="A342" s="33">
        <f>338</f>
        <v/>
      </c>
      <c r="B342" s="34">
        <f>IF($A342&gt;NYears*12,"",EDATE(StartMonth,$A342-1))</f>
        <v/>
      </c>
      <c r="C342" s="33">
        <f>IF($A342&gt;NYears*12,"",INT(($A342-1)/12)+1)</f>
        <v/>
      </c>
      <c r="D342" s="33">
        <f>IF($A342&gt;NYears*12,"",MOD($A342-1,12)+1)</f>
        <v/>
      </c>
      <c r="E342" s="35">
        <f>IF($A342&gt;NYears*12,"",LotValue0*(1+LotGrowth)^($C342-1))</f>
        <v/>
      </c>
      <c r="F342" s="35">
        <f>IF($A342&gt;NYears*12,"",IF($A342=1,InitInvest,$R341))</f>
        <v/>
      </c>
      <c r="G342" s="33">
        <f>IF($A342&gt;NYears*12,"",INT($F342/$E342))</f>
        <v/>
      </c>
      <c r="H342" s="35">
        <f>IF($A342&gt;NYears*12,"",$G342*$E342)</f>
        <v/>
      </c>
      <c r="I342" s="35">
        <f>IF($A342&gt;NYears*12,"",$F342-$H342)</f>
        <v/>
      </c>
      <c r="J342" s="35">
        <f>IF($A342&gt;NYears*12,"",$H342*RateD)</f>
        <v/>
      </c>
      <c r="K342" s="35">
        <f>IF($A342&gt;NYears*12,"",IF($D342=1,$J342,$K341+$J342))</f>
        <v/>
      </c>
      <c r="L342" s="35">
        <f>IF($A342&gt;NYears*12,"",IF(MOD($D342,3)=0,SUM($J340:$J342),0))</f>
        <v/>
      </c>
      <c r="M342" s="35">
        <f>IF($A342&gt;NYears*12,"",IF(TaxFreq="Quarterly",$K342*12/$D342,$K342))</f>
        <v/>
      </c>
      <c r="N342" s="36">
        <f>IF($A342&gt;NYears*12,"",LOOKUP($M342,TaxLower,TaxRate))</f>
        <v/>
      </c>
      <c r="O342" s="35">
        <f>IF($A342&gt;NYears*12,"",IF(TaxFreq="Quarterly",IF(MOD($D342,3)=0,$L342*$N342,0),IF($D342=12,$K342*$N342,0)))</f>
        <v/>
      </c>
      <c r="P342" s="35">
        <f>IF($A342&gt;NYears*12,"",IF($D342=1,$O342,$P341+$O342))</f>
        <v/>
      </c>
      <c r="Q342" s="35">
        <f>IF($A342&gt;NYears*12,"",IF($D342=12,MIN(WdrPct*IF(WdrBase="Post-tax profit",$K342-$P342,$K342),WdrCap),0))</f>
        <v/>
      </c>
      <c r="R342" s="35">
        <f>IF($A342&gt;NYears*12,"",$F342+$J342-$O342-$Q342)</f>
        <v/>
      </c>
      <c r="S342" s="33">
        <f>IF($A342&gt;NYears*12,"",INT($R342/$E342))</f>
        <v/>
      </c>
    </row>
    <row r="343">
      <c r="A343" s="33">
        <f>339</f>
        <v/>
      </c>
      <c r="B343" s="34">
        <f>IF($A343&gt;NYears*12,"",EDATE(StartMonth,$A343-1))</f>
        <v/>
      </c>
      <c r="C343" s="33">
        <f>IF($A343&gt;NYears*12,"",INT(($A343-1)/12)+1)</f>
        <v/>
      </c>
      <c r="D343" s="33">
        <f>IF($A343&gt;NYears*12,"",MOD($A343-1,12)+1)</f>
        <v/>
      </c>
      <c r="E343" s="35">
        <f>IF($A343&gt;NYears*12,"",LotValue0*(1+LotGrowth)^($C343-1))</f>
        <v/>
      </c>
      <c r="F343" s="35">
        <f>IF($A343&gt;NYears*12,"",IF($A343=1,InitInvest,$R342))</f>
        <v/>
      </c>
      <c r="G343" s="33">
        <f>IF($A343&gt;NYears*12,"",INT($F343/$E343))</f>
        <v/>
      </c>
      <c r="H343" s="35">
        <f>IF($A343&gt;NYears*12,"",$G343*$E343)</f>
        <v/>
      </c>
      <c r="I343" s="35">
        <f>IF($A343&gt;NYears*12,"",$F343-$H343)</f>
        <v/>
      </c>
      <c r="J343" s="35">
        <f>IF($A343&gt;NYears*12,"",$H343*RateD)</f>
        <v/>
      </c>
      <c r="K343" s="35">
        <f>IF($A343&gt;NYears*12,"",IF($D343=1,$J343,$K342+$J343))</f>
        <v/>
      </c>
      <c r="L343" s="35">
        <f>IF($A343&gt;NYears*12,"",IF(MOD($D343,3)=0,SUM($J341:$J343),0))</f>
        <v/>
      </c>
      <c r="M343" s="35">
        <f>IF($A343&gt;NYears*12,"",IF(TaxFreq="Quarterly",$K343*12/$D343,$K343))</f>
        <v/>
      </c>
      <c r="N343" s="36">
        <f>IF($A343&gt;NYears*12,"",LOOKUP($M343,TaxLower,TaxRate))</f>
        <v/>
      </c>
      <c r="O343" s="35">
        <f>IF($A343&gt;NYears*12,"",IF(TaxFreq="Quarterly",IF(MOD($D343,3)=0,$L343*$N343,0),IF($D343=12,$K343*$N343,0)))</f>
        <v/>
      </c>
      <c r="P343" s="35">
        <f>IF($A343&gt;NYears*12,"",IF($D343=1,$O343,$P342+$O343))</f>
        <v/>
      </c>
      <c r="Q343" s="35">
        <f>IF($A343&gt;NYears*12,"",IF($D343=12,MIN(WdrPct*IF(WdrBase="Post-tax profit",$K343-$P343,$K343),WdrCap),0))</f>
        <v/>
      </c>
      <c r="R343" s="35">
        <f>IF($A343&gt;NYears*12,"",$F343+$J343-$O343-$Q343)</f>
        <v/>
      </c>
      <c r="S343" s="33">
        <f>IF($A343&gt;NYears*12,"",INT($R343/$E343))</f>
        <v/>
      </c>
    </row>
    <row r="344">
      <c r="A344" s="33">
        <f>340</f>
        <v/>
      </c>
      <c r="B344" s="34">
        <f>IF($A344&gt;NYears*12,"",EDATE(StartMonth,$A344-1))</f>
        <v/>
      </c>
      <c r="C344" s="33">
        <f>IF($A344&gt;NYears*12,"",INT(($A344-1)/12)+1)</f>
        <v/>
      </c>
      <c r="D344" s="33">
        <f>IF($A344&gt;NYears*12,"",MOD($A344-1,12)+1)</f>
        <v/>
      </c>
      <c r="E344" s="35">
        <f>IF($A344&gt;NYears*12,"",LotValue0*(1+LotGrowth)^($C344-1))</f>
        <v/>
      </c>
      <c r="F344" s="35">
        <f>IF($A344&gt;NYears*12,"",IF($A344=1,InitInvest,$R343))</f>
        <v/>
      </c>
      <c r="G344" s="33">
        <f>IF($A344&gt;NYears*12,"",INT($F344/$E344))</f>
        <v/>
      </c>
      <c r="H344" s="35">
        <f>IF($A344&gt;NYears*12,"",$G344*$E344)</f>
        <v/>
      </c>
      <c r="I344" s="35">
        <f>IF($A344&gt;NYears*12,"",$F344-$H344)</f>
        <v/>
      </c>
      <c r="J344" s="35">
        <f>IF($A344&gt;NYears*12,"",$H344*RateD)</f>
        <v/>
      </c>
      <c r="K344" s="35">
        <f>IF($A344&gt;NYears*12,"",IF($D344=1,$J344,$K343+$J344))</f>
        <v/>
      </c>
      <c r="L344" s="35">
        <f>IF($A344&gt;NYears*12,"",IF(MOD($D344,3)=0,SUM($J342:$J344),0))</f>
        <v/>
      </c>
      <c r="M344" s="35">
        <f>IF($A344&gt;NYears*12,"",IF(TaxFreq="Quarterly",$K344*12/$D344,$K344))</f>
        <v/>
      </c>
      <c r="N344" s="36">
        <f>IF($A344&gt;NYears*12,"",LOOKUP($M344,TaxLower,TaxRate))</f>
        <v/>
      </c>
      <c r="O344" s="35">
        <f>IF($A344&gt;NYears*12,"",IF(TaxFreq="Quarterly",IF(MOD($D344,3)=0,$L344*$N344,0),IF($D344=12,$K344*$N344,0)))</f>
        <v/>
      </c>
      <c r="P344" s="35">
        <f>IF($A344&gt;NYears*12,"",IF($D344=1,$O344,$P343+$O344))</f>
        <v/>
      </c>
      <c r="Q344" s="35">
        <f>IF($A344&gt;NYears*12,"",IF($D344=12,MIN(WdrPct*IF(WdrBase="Post-tax profit",$K344-$P344,$K344),WdrCap),0))</f>
        <v/>
      </c>
      <c r="R344" s="35">
        <f>IF($A344&gt;NYears*12,"",$F344+$J344-$O344-$Q344)</f>
        <v/>
      </c>
      <c r="S344" s="33">
        <f>IF($A344&gt;NYears*12,"",INT($R344/$E344))</f>
        <v/>
      </c>
    </row>
    <row r="345">
      <c r="A345" s="33">
        <f>341</f>
        <v/>
      </c>
      <c r="B345" s="34">
        <f>IF($A345&gt;NYears*12,"",EDATE(StartMonth,$A345-1))</f>
        <v/>
      </c>
      <c r="C345" s="33">
        <f>IF($A345&gt;NYears*12,"",INT(($A345-1)/12)+1)</f>
        <v/>
      </c>
      <c r="D345" s="33">
        <f>IF($A345&gt;NYears*12,"",MOD($A345-1,12)+1)</f>
        <v/>
      </c>
      <c r="E345" s="35">
        <f>IF($A345&gt;NYears*12,"",LotValue0*(1+LotGrowth)^($C345-1))</f>
        <v/>
      </c>
      <c r="F345" s="35">
        <f>IF($A345&gt;NYears*12,"",IF($A345=1,InitInvest,$R344))</f>
        <v/>
      </c>
      <c r="G345" s="33">
        <f>IF($A345&gt;NYears*12,"",INT($F345/$E345))</f>
        <v/>
      </c>
      <c r="H345" s="35">
        <f>IF($A345&gt;NYears*12,"",$G345*$E345)</f>
        <v/>
      </c>
      <c r="I345" s="35">
        <f>IF($A345&gt;NYears*12,"",$F345-$H345)</f>
        <v/>
      </c>
      <c r="J345" s="35">
        <f>IF($A345&gt;NYears*12,"",$H345*RateD)</f>
        <v/>
      </c>
      <c r="K345" s="35">
        <f>IF($A345&gt;NYears*12,"",IF($D345=1,$J345,$K344+$J345))</f>
        <v/>
      </c>
      <c r="L345" s="35">
        <f>IF($A345&gt;NYears*12,"",IF(MOD($D345,3)=0,SUM($J343:$J345),0))</f>
        <v/>
      </c>
      <c r="M345" s="35">
        <f>IF($A345&gt;NYears*12,"",IF(TaxFreq="Quarterly",$K345*12/$D345,$K345))</f>
        <v/>
      </c>
      <c r="N345" s="36">
        <f>IF($A345&gt;NYears*12,"",LOOKUP($M345,TaxLower,TaxRate))</f>
        <v/>
      </c>
      <c r="O345" s="35">
        <f>IF($A345&gt;NYears*12,"",IF(TaxFreq="Quarterly",IF(MOD($D345,3)=0,$L345*$N345,0),IF($D345=12,$K345*$N345,0)))</f>
        <v/>
      </c>
      <c r="P345" s="35">
        <f>IF($A345&gt;NYears*12,"",IF($D345=1,$O345,$P344+$O345))</f>
        <v/>
      </c>
      <c r="Q345" s="35">
        <f>IF($A345&gt;NYears*12,"",IF($D345=12,MIN(WdrPct*IF(WdrBase="Post-tax profit",$K345-$P345,$K345),WdrCap),0))</f>
        <v/>
      </c>
      <c r="R345" s="35">
        <f>IF($A345&gt;NYears*12,"",$F345+$J345-$O345-$Q345)</f>
        <v/>
      </c>
      <c r="S345" s="33">
        <f>IF($A345&gt;NYears*12,"",INT($R345/$E345))</f>
        <v/>
      </c>
    </row>
    <row r="346">
      <c r="A346" s="33">
        <f>342</f>
        <v/>
      </c>
      <c r="B346" s="34">
        <f>IF($A346&gt;NYears*12,"",EDATE(StartMonth,$A346-1))</f>
        <v/>
      </c>
      <c r="C346" s="33">
        <f>IF($A346&gt;NYears*12,"",INT(($A346-1)/12)+1)</f>
        <v/>
      </c>
      <c r="D346" s="33">
        <f>IF($A346&gt;NYears*12,"",MOD($A346-1,12)+1)</f>
        <v/>
      </c>
      <c r="E346" s="35">
        <f>IF($A346&gt;NYears*12,"",LotValue0*(1+LotGrowth)^($C346-1))</f>
        <v/>
      </c>
      <c r="F346" s="35">
        <f>IF($A346&gt;NYears*12,"",IF($A346=1,InitInvest,$R345))</f>
        <v/>
      </c>
      <c r="G346" s="33">
        <f>IF($A346&gt;NYears*12,"",INT($F346/$E346))</f>
        <v/>
      </c>
      <c r="H346" s="35">
        <f>IF($A346&gt;NYears*12,"",$G346*$E346)</f>
        <v/>
      </c>
      <c r="I346" s="35">
        <f>IF($A346&gt;NYears*12,"",$F346-$H346)</f>
        <v/>
      </c>
      <c r="J346" s="35">
        <f>IF($A346&gt;NYears*12,"",$H346*RateD)</f>
        <v/>
      </c>
      <c r="K346" s="35">
        <f>IF($A346&gt;NYears*12,"",IF($D346=1,$J346,$K345+$J346))</f>
        <v/>
      </c>
      <c r="L346" s="35">
        <f>IF($A346&gt;NYears*12,"",IF(MOD($D346,3)=0,SUM($J344:$J346),0))</f>
        <v/>
      </c>
      <c r="M346" s="35">
        <f>IF($A346&gt;NYears*12,"",IF(TaxFreq="Quarterly",$K346*12/$D346,$K346))</f>
        <v/>
      </c>
      <c r="N346" s="36">
        <f>IF($A346&gt;NYears*12,"",LOOKUP($M346,TaxLower,TaxRate))</f>
        <v/>
      </c>
      <c r="O346" s="35">
        <f>IF($A346&gt;NYears*12,"",IF(TaxFreq="Quarterly",IF(MOD($D346,3)=0,$L346*$N346,0),IF($D346=12,$K346*$N346,0)))</f>
        <v/>
      </c>
      <c r="P346" s="35">
        <f>IF($A346&gt;NYears*12,"",IF($D346=1,$O346,$P345+$O346))</f>
        <v/>
      </c>
      <c r="Q346" s="35">
        <f>IF($A346&gt;NYears*12,"",IF($D346=12,MIN(WdrPct*IF(WdrBase="Post-tax profit",$K346-$P346,$K346),WdrCap),0))</f>
        <v/>
      </c>
      <c r="R346" s="35">
        <f>IF($A346&gt;NYears*12,"",$F346+$J346-$O346-$Q346)</f>
        <v/>
      </c>
      <c r="S346" s="33">
        <f>IF($A346&gt;NYears*12,"",INT($R346/$E346))</f>
        <v/>
      </c>
    </row>
    <row r="347">
      <c r="A347" s="33">
        <f>343</f>
        <v/>
      </c>
      <c r="B347" s="34">
        <f>IF($A347&gt;NYears*12,"",EDATE(StartMonth,$A347-1))</f>
        <v/>
      </c>
      <c r="C347" s="33">
        <f>IF($A347&gt;NYears*12,"",INT(($A347-1)/12)+1)</f>
        <v/>
      </c>
      <c r="D347" s="33">
        <f>IF($A347&gt;NYears*12,"",MOD($A347-1,12)+1)</f>
        <v/>
      </c>
      <c r="E347" s="35">
        <f>IF($A347&gt;NYears*12,"",LotValue0*(1+LotGrowth)^($C347-1))</f>
        <v/>
      </c>
      <c r="F347" s="35">
        <f>IF($A347&gt;NYears*12,"",IF($A347=1,InitInvest,$R346))</f>
        <v/>
      </c>
      <c r="G347" s="33">
        <f>IF($A347&gt;NYears*12,"",INT($F347/$E347))</f>
        <v/>
      </c>
      <c r="H347" s="35">
        <f>IF($A347&gt;NYears*12,"",$G347*$E347)</f>
        <v/>
      </c>
      <c r="I347" s="35">
        <f>IF($A347&gt;NYears*12,"",$F347-$H347)</f>
        <v/>
      </c>
      <c r="J347" s="35">
        <f>IF($A347&gt;NYears*12,"",$H347*RateD)</f>
        <v/>
      </c>
      <c r="K347" s="35">
        <f>IF($A347&gt;NYears*12,"",IF($D347=1,$J347,$K346+$J347))</f>
        <v/>
      </c>
      <c r="L347" s="35">
        <f>IF($A347&gt;NYears*12,"",IF(MOD($D347,3)=0,SUM($J345:$J347),0))</f>
        <v/>
      </c>
      <c r="M347" s="35">
        <f>IF($A347&gt;NYears*12,"",IF(TaxFreq="Quarterly",$K347*12/$D347,$K347))</f>
        <v/>
      </c>
      <c r="N347" s="36">
        <f>IF($A347&gt;NYears*12,"",LOOKUP($M347,TaxLower,TaxRate))</f>
        <v/>
      </c>
      <c r="O347" s="35">
        <f>IF($A347&gt;NYears*12,"",IF(TaxFreq="Quarterly",IF(MOD($D347,3)=0,$L347*$N347,0),IF($D347=12,$K347*$N347,0)))</f>
        <v/>
      </c>
      <c r="P347" s="35">
        <f>IF($A347&gt;NYears*12,"",IF($D347=1,$O347,$P346+$O347))</f>
        <v/>
      </c>
      <c r="Q347" s="35">
        <f>IF($A347&gt;NYears*12,"",IF($D347=12,MIN(WdrPct*IF(WdrBase="Post-tax profit",$K347-$P347,$K347),WdrCap),0))</f>
        <v/>
      </c>
      <c r="R347" s="35">
        <f>IF($A347&gt;NYears*12,"",$F347+$J347-$O347-$Q347)</f>
        <v/>
      </c>
      <c r="S347" s="33">
        <f>IF($A347&gt;NYears*12,"",INT($R347/$E347))</f>
        <v/>
      </c>
    </row>
    <row r="348">
      <c r="A348" s="33">
        <f>344</f>
        <v/>
      </c>
      <c r="B348" s="34">
        <f>IF($A348&gt;NYears*12,"",EDATE(StartMonth,$A348-1))</f>
        <v/>
      </c>
      <c r="C348" s="33">
        <f>IF($A348&gt;NYears*12,"",INT(($A348-1)/12)+1)</f>
        <v/>
      </c>
      <c r="D348" s="33">
        <f>IF($A348&gt;NYears*12,"",MOD($A348-1,12)+1)</f>
        <v/>
      </c>
      <c r="E348" s="35">
        <f>IF($A348&gt;NYears*12,"",LotValue0*(1+LotGrowth)^($C348-1))</f>
        <v/>
      </c>
      <c r="F348" s="35">
        <f>IF($A348&gt;NYears*12,"",IF($A348=1,InitInvest,$R347))</f>
        <v/>
      </c>
      <c r="G348" s="33">
        <f>IF($A348&gt;NYears*12,"",INT($F348/$E348))</f>
        <v/>
      </c>
      <c r="H348" s="35">
        <f>IF($A348&gt;NYears*12,"",$G348*$E348)</f>
        <v/>
      </c>
      <c r="I348" s="35">
        <f>IF($A348&gt;NYears*12,"",$F348-$H348)</f>
        <v/>
      </c>
      <c r="J348" s="35">
        <f>IF($A348&gt;NYears*12,"",$H348*RateD)</f>
        <v/>
      </c>
      <c r="K348" s="35">
        <f>IF($A348&gt;NYears*12,"",IF($D348=1,$J348,$K347+$J348))</f>
        <v/>
      </c>
      <c r="L348" s="35">
        <f>IF($A348&gt;NYears*12,"",IF(MOD($D348,3)=0,SUM($J346:$J348),0))</f>
        <v/>
      </c>
      <c r="M348" s="35">
        <f>IF($A348&gt;NYears*12,"",IF(TaxFreq="Quarterly",$K348*12/$D348,$K348))</f>
        <v/>
      </c>
      <c r="N348" s="36">
        <f>IF($A348&gt;NYears*12,"",LOOKUP($M348,TaxLower,TaxRate))</f>
        <v/>
      </c>
      <c r="O348" s="35">
        <f>IF($A348&gt;NYears*12,"",IF(TaxFreq="Quarterly",IF(MOD($D348,3)=0,$L348*$N348,0),IF($D348=12,$K348*$N348,0)))</f>
        <v/>
      </c>
      <c r="P348" s="35">
        <f>IF($A348&gt;NYears*12,"",IF($D348=1,$O348,$P347+$O348))</f>
        <v/>
      </c>
      <c r="Q348" s="35">
        <f>IF($A348&gt;NYears*12,"",IF($D348=12,MIN(WdrPct*IF(WdrBase="Post-tax profit",$K348-$P348,$K348),WdrCap),0))</f>
        <v/>
      </c>
      <c r="R348" s="35">
        <f>IF($A348&gt;NYears*12,"",$F348+$J348-$O348-$Q348)</f>
        <v/>
      </c>
      <c r="S348" s="33">
        <f>IF($A348&gt;NYears*12,"",INT($R348/$E348))</f>
        <v/>
      </c>
    </row>
    <row r="349">
      <c r="A349" s="33">
        <f>345</f>
        <v/>
      </c>
      <c r="B349" s="34">
        <f>IF($A349&gt;NYears*12,"",EDATE(StartMonth,$A349-1))</f>
        <v/>
      </c>
      <c r="C349" s="33">
        <f>IF($A349&gt;NYears*12,"",INT(($A349-1)/12)+1)</f>
        <v/>
      </c>
      <c r="D349" s="33">
        <f>IF($A349&gt;NYears*12,"",MOD($A349-1,12)+1)</f>
        <v/>
      </c>
      <c r="E349" s="35">
        <f>IF($A349&gt;NYears*12,"",LotValue0*(1+LotGrowth)^($C349-1))</f>
        <v/>
      </c>
      <c r="F349" s="35">
        <f>IF($A349&gt;NYears*12,"",IF($A349=1,InitInvest,$R348))</f>
        <v/>
      </c>
      <c r="G349" s="33">
        <f>IF($A349&gt;NYears*12,"",INT($F349/$E349))</f>
        <v/>
      </c>
      <c r="H349" s="35">
        <f>IF($A349&gt;NYears*12,"",$G349*$E349)</f>
        <v/>
      </c>
      <c r="I349" s="35">
        <f>IF($A349&gt;NYears*12,"",$F349-$H349)</f>
        <v/>
      </c>
      <c r="J349" s="35">
        <f>IF($A349&gt;NYears*12,"",$H349*RateD)</f>
        <v/>
      </c>
      <c r="K349" s="35">
        <f>IF($A349&gt;NYears*12,"",IF($D349=1,$J349,$K348+$J349))</f>
        <v/>
      </c>
      <c r="L349" s="35">
        <f>IF($A349&gt;NYears*12,"",IF(MOD($D349,3)=0,SUM($J347:$J349),0))</f>
        <v/>
      </c>
      <c r="M349" s="35">
        <f>IF($A349&gt;NYears*12,"",IF(TaxFreq="Quarterly",$K349*12/$D349,$K349))</f>
        <v/>
      </c>
      <c r="N349" s="36">
        <f>IF($A349&gt;NYears*12,"",LOOKUP($M349,TaxLower,TaxRate))</f>
        <v/>
      </c>
      <c r="O349" s="35">
        <f>IF($A349&gt;NYears*12,"",IF(TaxFreq="Quarterly",IF(MOD($D349,3)=0,$L349*$N349,0),IF($D349=12,$K349*$N349,0)))</f>
        <v/>
      </c>
      <c r="P349" s="35">
        <f>IF($A349&gt;NYears*12,"",IF($D349=1,$O349,$P348+$O349))</f>
        <v/>
      </c>
      <c r="Q349" s="35">
        <f>IF($A349&gt;NYears*12,"",IF($D349=12,MIN(WdrPct*IF(WdrBase="Post-tax profit",$K349-$P349,$K349),WdrCap),0))</f>
        <v/>
      </c>
      <c r="R349" s="35">
        <f>IF($A349&gt;NYears*12,"",$F349+$J349-$O349-$Q349)</f>
        <v/>
      </c>
      <c r="S349" s="33">
        <f>IF($A349&gt;NYears*12,"",INT($R349/$E349))</f>
        <v/>
      </c>
    </row>
    <row r="350">
      <c r="A350" s="33">
        <f>346</f>
        <v/>
      </c>
      <c r="B350" s="34">
        <f>IF($A350&gt;NYears*12,"",EDATE(StartMonth,$A350-1))</f>
        <v/>
      </c>
      <c r="C350" s="33">
        <f>IF($A350&gt;NYears*12,"",INT(($A350-1)/12)+1)</f>
        <v/>
      </c>
      <c r="D350" s="33">
        <f>IF($A350&gt;NYears*12,"",MOD($A350-1,12)+1)</f>
        <v/>
      </c>
      <c r="E350" s="35">
        <f>IF($A350&gt;NYears*12,"",LotValue0*(1+LotGrowth)^($C350-1))</f>
        <v/>
      </c>
      <c r="F350" s="35">
        <f>IF($A350&gt;NYears*12,"",IF($A350=1,InitInvest,$R349))</f>
        <v/>
      </c>
      <c r="G350" s="33">
        <f>IF($A350&gt;NYears*12,"",INT($F350/$E350))</f>
        <v/>
      </c>
      <c r="H350" s="35">
        <f>IF($A350&gt;NYears*12,"",$G350*$E350)</f>
        <v/>
      </c>
      <c r="I350" s="35">
        <f>IF($A350&gt;NYears*12,"",$F350-$H350)</f>
        <v/>
      </c>
      <c r="J350" s="35">
        <f>IF($A350&gt;NYears*12,"",$H350*RateD)</f>
        <v/>
      </c>
      <c r="K350" s="35">
        <f>IF($A350&gt;NYears*12,"",IF($D350=1,$J350,$K349+$J350))</f>
        <v/>
      </c>
      <c r="L350" s="35">
        <f>IF($A350&gt;NYears*12,"",IF(MOD($D350,3)=0,SUM($J348:$J350),0))</f>
        <v/>
      </c>
      <c r="M350" s="35">
        <f>IF($A350&gt;NYears*12,"",IF(TaxFreq="Quarterly",$K350*12/$D350,$K350))</f>
        <v/>
      </c>
      <c r="N350" s="36">
        <f>IF($A350&gt;NYears*12,"",LOOKUP($M350,TaxLower,TaxRate))</f>
        <v/>
      </c>
      <c r="O350" s="35">
        <f>IF($A350&gt;NYears*12,"",IF(TaxFreq="Quarterly",IF(MOD($D350,3)=0,$L350*$N350,0),IF($D350=12,$K350*$N350,0)))</f>
        <v/>
      </c>
      <c r="P350" s="35">
        <f>IF($A350&gt;NYears*12,"",IF($D350=1,$O350,$P349+$O350))</f>
        <v/>
      </c>
      <c r="Q350" s="35">
        <f>IF($A350&gt;NYears*12,"",IF($D350=12,MIN(WdrPct*IF(WdrBase="Post-tax profit",$K350-$P350,$K350),WdrCap),0))</f>
        <v/>
      </c>
      <c r="R350" s="35">
        <f>IF($A350&gt;NYears*12,"",$F350+$J350-$O350-$Q350)</f>
        <v/>
      </c>
      <c r="S350" s="33">
        <f>IF($A350&gt;NYears*12,"",INT($R350/$E350))</f>
        <v/>
      </c>
    </row>
    <row r="351">
      <c r="A351" s="33">
        <f>347</f>
        <v/>
      </c>
      <c r="B351" s="34">
        <f>IF($A351&gt;NYears*12,"",EDATE(StartMonth,$A351-1))</f>
        <v/>
      </c>
      <c r="C351" s="33">
        <f>IF($A351&gt;NYears*12,"",INT(($A351-1)/12)+1)</f>
        <v/>
      </c>
      <c r="D351" s="33">
        <f>IF($A351&gt;NYears*12,"",MOD($A351-1,12)+1)</f>
        <v/>
      </c>
      <c r="E351" s="35">
        <f>IF($A351&gt;NYears*12,"",LotValue0*(1+LotGrowth)^($C351-1))</f>
        <v/>
      </c>
      <c r="F351" s="35">
        <f>IF($A351&gt;NYears*12,"",IF($A351=1,InitInvest,$R350))</f>
        <v/>
      </c>
      <c r="G351" s="33">
        <f>IF($A351&gt;NYears*12,"",INT($F351/$E351))</f>
        <v/>
      </c>
      <c r="H351" s="35">
        <f>IF($A351&gt;NYears*12,"",$G351*$E351)</f>
        <v/>
      </c>
      <c r="I351" s="35">
        <f>IF($A351&gt;NYears*12,"",$F351-$H351)</f>
        <v/>
      </c>
      <c r="J351" s="35">
        <f>IF($A351&gt;NYears*12,"",$H351*RateD)</f>
        <v/>
      </c>
      <c r="K351" s="35">
        <f>IF($A351&gt;NYears*12,"",IF($D351=1,$J351,$K350+$J351))</f>
        <v/>
      </c>
      <c r="L351" s="35">
        <f>IF($A351&gt;NYears*12,"",IF(MOD($D351,3)=0,SUM($J349:$J351),0))</f>
        <v/>
      </c>
      <c r="M351" s="35">
        <f>IF($A351&gt;NYears*12,"",IF(TaxFreq="Quarterly",$K351*12/$D351,$K351))</f>
        <v/>
      </c>
      <c r="N351" s="36">
        <f>IF($A351&gt;NYears*12,"",LOOKUP($M351,TaxLower,TaxRate))</f>
        <v/>
      </c>
      <c r="O351" s="35">
        <f>IF($A351&gt;NYears*12,"",IF(TaxFreq="Quarterly",IF(MOD($D351,3)=0,$L351*$N351,0),IF($D351=12,$K351*$N351,0)))</f>
        <v/>
      </c>
      <c r="P351" s="35">
        <f>IF($A351&gt;NYears*12,"",IF($D351=1,$O351,$P350+$O351))</f>
        <v/>
      </c>
      <c r="Q351" s="35">
        <f>IF($A351&gt;NYears*12,"",IF($D351=12,MIN(WdrPct*IF(WdrBase="Post-tax profit",$K351-$P351,$K351),WdrCap),0))</f>
        <v/>
      </c>
      <c r="R351" s="35">
        <f>IF($A351&gt;NYears*12,"",$F351+$J351-$O351-$Q351)</f>
        <v/>
      </c>
      <c r="S351" s="33">
        <f>IF($A351&gt;NYears*12,"",INT($R351/$E351))</f>
        <v/>
      </c>
    </row>
    <row r="352">
      <c r="A352" s="37">
        <f>348</f>
        <v/>
      </c>
      <c r="B352" s="38">
        <f>IF($A352&gt;NYears*12,"",EDATE(StartMonth,$A352-1))</f>
        <v/>
      </c>
      <c r="C352" s="37">
        <f>IF($A352&gt;NYears*12,"",INT(($A352-1)/12)+1)</f>
        <v/>
      </c>
      <c r="D352" s="37">
        <f>IF($A352&gt;NYears*12,"",MOD($A352-1,12)+1)</f>
        <v/>
      </c>
      <c r="E352" s="39">
        <f>IF($A352&gt;NYears*12,"",LotValue0*(1+LotGrowth)^($C352-1))</f>
        <v/>
      </c>
      <c r="F352" s="39">
        <f>IF($A352&gt;NYears*12,"",IF($A352=1,InitInvest,$R351))</f>
        <v/>
      </c>
      <c r="G352" s="37">
        <f>IF($A352&gt;NYears*12,"",INT($F352/$E352))</f>
        <v/>
      </c>
      <c r="H352" s="39">
        <f>IF($A352&gt;NYears*12,"",$G352*$E352)</f>
        <v/>
      </c>
      <c r="I352" s="39">
        <f>IF($A352&gt;NYears*12,"",$F352-$H352)</f>
        <v/>
      </c>
      <c r="J352" s="39">
        <f>IF($A352&gt;NYears*12,"",$H352*RateD)</f>
        <v/>
      </c>
      <c r="K352" s="39">
        <f>IF($A352&gt;NYears*12,"",IF($D352=1,$J352,$K351+$J352))</f>
        <v/>
      </c>
      <c r="L352" s="39">
        <f>IF($A352&gt;NYears*12,"",IF(MOD($D352,3)=0,SUM($J350:$J352),0))</f>
        <v/>
      </c>
      <c r="M352" s="39">
        <f>IF($A352&gt;NYears*12,"",IF(TaxFreq="Quarterly",$K352*12/$D352,$K352))</f>
        <v/>
      </c>
      <c r="N352" s="40">
        <f>IF($A352&gt;NYears*12,"",LOOKUP($M352,TaxLower,TaxRate))</f>
        <v/>
      </c>
      <c r="O352" s="39">
        <f>IF($A352&gt;NYears*12,"",IF(TaxFreq="Quarterly",IF(MOD($D352,3)=0,$L352*$N352,0),IF($D352=12,$K352*$N352,0)))</f>
        <v/>
      </c>
      <c r="P352" s="39">
        <f>IF($A352&gt;NYears*12,"",IF($D352=1,$O352,$P351+$O352))</f>
        <v/>
      </c>
      <c r="Q352" s="39">
        <f>IF($A352&gt;NYears*12,"",IF($D352=12,MIN(WdrPct*IF(WdrBase="Post-tax profit",$K352-$P352,$K352),WdrCap),0))</f>
        <v/>
      </c>
      <c r="R352" s="39">
        <f>IF($A352&gt;NYears*12,"",$F352+$J352-$O352-$Q352)</f>
        <v/>
      </c>
      <c r="S352" s="37">
        <f>IF($A352&gt;NYears*12,"",INT($R352/$E352))</f>
        <v/>
      </c>
    </row>
    <row r="353">
      <c r="A353" s="33">
        <f>349</f>
        <v/>
      </c>
      <c r="B353" s="34">
        <f>IF($A353&gt;NYears*12,"",EDATE(StartMonth,$A353-1))</f>
        <v/>
      </c>
      <c r="C353" s="33">
        <f>IF($A353&gt;NYears*12,"",INT(($A353-1)/12)+1)</f>
        <v/>
      </c>
      <c r="D353" s="33">
        <f>IF($A353&gt;NYears*12,"",MOD($A353-1,12)+1)</f>
        <v/>
      </c>
      <c r="E353" s="35">
        <f>IF($A353&gt;NYears*12,"",LotValue0*(1+LotGrowth)^($C353-1))</f>
        <v/>
      </c>
      <c r="F353" s="35">
        <f>IF($A353&gt;NYears*12,"",IF($A353=1,InitInvest,$R352))</f>
        <v/>
      </c>
      <c r="G353" s="33">
        <f>IF($A353&gt;NYears*12,"",INT($F353/$E353))</f>
        <v/>
      </c>
      <c r="H353" s="35">
        <f>IF($A353&gt;NYears*12,"",$G353*$E353)</f>
        <v/>
      </c>
      <c r="I353" s="35">
        <f>IF($A353&gt;NYears*12,"",$F353-$H353)</f>
        <v/>
      </c>
      <c r="J353" s="35">
        <f>IF($A353&gt;NYears*12,"",$H353*RateD)</f>
        <v/>
      </c>
      <c r="K353" s="35">
        <f>IF($A353&gt;NYears*12,"",IF($D353=1,$J353,$K352+$J353))</f>
        <v/>
      </c>
      <c r="L353" s="35">
        <f>IF($A353&gt;NYears*12,"",IF(MOD($D353,3)=0,SUM($J351:$J353),0))</f>
        <v/>
      </c>
      <c r="M353" s="35">
        <f>IF($A353&gt;NYears*12,"",IF(TaxFreq="Quarterly",$K353*12/$D353,$K353))</f>
        <v/>
      </c>
      <c r="N353" s="36">
        <f>IF($A353&gt;NYears*12,"",LOOKUP($M353,TaxLower,TaxRate))</f>
        <v/>
      </c>
      <c r="O353" s="35">
        <f>IF($A353&gt;NYears*12,"",IF(TaxFreq="Quarterly",IF(MOD($D353,3)=0,$L353*$N353,0),IF($D353=12,$K353*$N353,0)))</f>
        <v/>
      </c>
      <c r="P353" s="35">
        <f>IF($A353&gt;NYears*12,"",IF($D353=1,$O353,$P352+$O353))</f>
        <v/>
      </c>
      <c r="Q353" s="35">
        <f>IF($A353&gt;NYears*12,"",IF($D353=12,MIN(WdrPct*IF(WdrBase="Post-tax profit",$K353-$P353,$K353),WdrCap),0))</f>
        <v/>
      </c>
      <c r="R353" s="35">
        <f>IF($A353&gt;NYears*12,"",$F353+$J353-$O353-$Q353)</f>
        <v/>
      </c>
      <c r="S353" s="33">
        <f>IF($A353&gt;NYears*12,"",INT($R353/$E353))</f>
        <v/>
      </c>
    </row>
    <row r="354">
      <c r="A354" s="33">
        <f>350</f>
        <v/>
      </c>
      <c r="B354" s="34">
        <f>IF($A354&gt;NYears*12,"",EDATE(StartMonth,$A354-1))</f>
        <v/>
      </c>
      <c r="C354" s="33">
        <f>IF($A354&gt;NYears*12,"",INT(($A354-1)/12)+1)</f>
        <v/>
      </c>
      <c r="D354" s="33">
        <f>IF($A354&gt;NYears*12,"",MOD($A354-1,12)+1)</f>
        <v/>
      </c>
      <c r="E354" s="35">
        <f>IF($A354&gt;NYears*12,"",LotValue0*(1+LotGrowth)^($C354-1))</f>
        <v/>
      </c>
      <c r="F354" s="35">
        <f>IF($A354&gt;NYears*12,"",IF($A354=1,InitInvest,$R353))</f>
        <v/>
      </c>
      <c r="G354" s="33">
        <f>IF($A354&gt;NYears*12,"",INT($F354/$E354))</f>
        <v/>
      </c>
      <c r="H354" s="35">
        <f>IF($A354&gt;NYears*12,"",$G354*$E354)</f>
        <v/>
      </c>
      <c r="I354" s="35">
        <f>IF($A354&gt;NYears*12,"",$F354-$H354)</f>
        <v/>
      </c>
      <c r="J354" s="35">
        <f>IF($A354&gt;NYears*12,"",$H354*RateD)</f>
        <v/>
      </c>
      <c r="K354" s="35">
        <f>IF($A354&gt;NYears*12,"",IF($D354=1,$J354,$K353+$J354))</f>
        <v/>
      </c>
      <c r="L354" s="35">
        <f>IF($A354&gt;NYears*12,"",IF(MOD($D354,3)=0,SUM($J352:$J354),0))</f>
        <v/>
      </c>
      <c r="M354" s="35">
        <f>IF($A354&gt;NYears*12,"",IF(TaxFreq="Quarterly",$K354*12/$D354,$K354))</f>
        <v/>
      </c>
      <c r="N354" s="36">
        <f>IF($A354&gt;NYears*12,"",LOOKUP($M354,TaxLower,TaxRate))</f>
        <v/>
      </c>
      <c r="O354" s="35">
        <f>IF($A354&gt;NYears*12,"",IF(TaxFreq="Quarterly",IF(MOD($D354,3)=0,$L354*$N354,0),IF($D354=12,$K354*$N354,0)))</f>
        <v/>
      </c>
      <c r="P354" s="35">
        <f>IF($A354&gt;NYears*12,"",IF($D354=1,$O354,$P353+$O354))</f>
        <v/>
      </c>
      <c r="Q354" s="35">
        <f>IF($A354&gt;NYears*12,"",IF($D354=12,MIN(WdrPct*IF(WdrBase="Post-tax profit",$K354-$P354,$K354),WdrCap),0))</f>
        <v/>
      </c>
      <c r="R354" s="35">
        <f>IF($A354&gt;NYears*12,"",$F354+$J354-$O354-$Q354)</f>
        <v/>
      </c>
      <c r="S354" s="33">
        <f>IF($A354&gt;NYears*12,"",INT($R354/$E354))</f>
        <v/>
      </c>
    </row>
    <row r="355">
      <c r="A355" s="33">
        <f>351</f>
        <v/>
      </c>
      <c r="B355" s="34">
        <f>IF($A355&gt;NYears*12,"",EDATE(StartMonth,$A355-1))</f>
        <v/>
      </c>
      <c r="C355" s="33">
        <f>IF($A355&gt;NYears*12,"",INT(($A355-1)/12)+1)</f>
        <v/>
      </c>
      <c r="D355" s="33">
        <f>IF($A355&gt;NYears*12,"",MOD($A355-1,12)+1)</f>
        <v/>
      </c>
      <c r="E355" s="35">
        <f>IF($A355&gt;NYears*12,"",LotValue0*(1+LotGrowth)^($C355-1))</f>
        <v/>
      </c>
      <c r="F355" s="35">
        <f>IF($A355&gt;NYears*12,"",IF($A355=1,InitInvest,$R354))</f>
        <v/>
      </c>
      <c r="G355" s="33">
        <f>IF($A355&gt;NYears*12,"",INT($F355/$E355))</f>
        <v/>
      </c>
      <c r="H355" s="35">
        <f>IF($A355&gt;NYears*12,"",$G355*$E355)</f>
        <v/>
      </c>
      <c r="I355" s="35">
        <f>IF($A355&gt;NYears*12,"",$F355-$H355)</f>
        <v/>
      </c>
      <c r="J355" s="35">
        <f>IF($A355&gt;NYears*12,"",$H355*RateD)</f>
        <v/>
      </c>
      <c r="K355" s="35">
        <f>IF($A355&gt;NYears*12,"",IF($D355=1,$J355,$K354+$J355))</f>
        <v/>
      </c>
      <c r="L355" s="35">
        <f>IF($A355&gt;NYears*12,"",IF(MOD($D355,3)=0,SUM($J353:$J355),0))</f>
        <v/>
      </c>
      <c r="M355" s="35">
        <f>IF($A355&gt;NYears*12,"",IF(TaxFreq="Quarterly",$K355*12/$D355,$K355))</f>
        <v/>
      </c>
      <c r="N355" s="36">
        <f>IF($A355&gt;NYears*12,"",LOOKUP($M355,TaxLower,TaxRate))</f>
        <v/>
      </c>
      <c r="O355" s="35">
        <f>IF($A355&gt;NYears*12,"",IF(TaxFreq="Quarterly",IF(MOD($D355,3)=0,$L355*$N355,0),IF($D355=12,$K355*$N355,0)))</f>
        <v/>
      </c>
      <c r="P355" s="35">
        <f>IF($A355&gt;NYears*12,"",IF($D355=1,$O355,$P354+$O355))</f>
        <v/>
      </c>
      <c r="Q355" s="35">
        <f>IF($A355&gt;NYears*12,"",IF($D355=12,MIN(WdrPct*IF(WdrBase="Post-tax profit",$K355-$P355,$K355),WdrCap),0))</f>
        <v/>
      </c>
      <c r="R355" s="35">
        <f>IF($A355&gt;NYears*12,"",$F355+$J355-$O355-$Q355)</f>
        <v/>
      </c>
      <c r="S355" s="33">
        <f>IF($A355&gt;NYears*12,"",INT($R355/$E355))</f>
        <v/>
      </c>
    </row>
    <row r="356">
      <c r="A356" s="33">
        <f>352</f>
        <v/>
      </c>
      <c r="B356" s="34">
        <f>IF($A356&gt;NYears*12,"",EDATE(StartMonth,$A356-1))</f>
        <v/>
      </c>
      <c r="C356" s="33">
        <f>IF($A356&gt;NYears*12,"",INT(($A356-1)/12)+1)</f>
        <v/>
      </c>
      <c r="D356" s="33">
        <f>IF($A356&gt;NYears*12,"",MOD($A356-1,12)+1)</f>
        <v/>
      </c>
      <c r="E356" s="35">
        <f>IF($A356&gt;NYears*12,"",LotValue0*(1+LotGrowth)^($C356-1))</f>
        <v/>
      </c>
      <c r="F356" s="35">
        <f>IF($A356&gt;NYears*12,"",IF($A356=1,InitInvest,$R355))</f>
        <v/>
      </c>
      <c r="G356" s="33">
        <f>IF($A356&gt;NYears*12,"",INT($F356/$E356))</f>
        <v/>
      </c>
      <c r="H356" s="35">
        <f>IF($A356&gt;NYears*12,"",$G356*$E356)</f>
        <v/>
      </c>
      <c r="I356" s="35">
        <f>IF($A356&gt;NYears*12,"",$F356-$H356)</f>
        <v/>
      </c>
      <c r="J356" s="35">
        <f>IF($A356&gt;NYears*12,"",$H356*RateD)</f>
        <v/>
      </c>
      <c r="K356" s="35">
        <f>IF($A356&gt;NYears*12,"",IF($D356=1,$J356,$K355+$J356))</f>
        <v/>
      </c>
      <c r="L356" s="35">
        <f>IF($A356&gt;NYears*12,"",IF(MOD($D356,3)=0,SUM($J354:$J356),0))</f>
        <v/>
      </c>
      <c r="M356" s="35">
        <f>IF($A356&gt;NYears*12,"",IF(TaxFreq="Quarterly",$K356*12/$D356,$K356))</f>
        <v/>
      </c>
      <c r="N356" s="36">
        <f>IF($A356&gt;NYears*12,"",LOOKUP($M356,TaxLower,TaxRate))</f>
        <v/>
      </c>
      <c r="O356" s="35">
        <f>IF($A356&gt;NYears*12,"",IF(TaxFreq="Quarterly",IF(MOD($D356,3)=0,$L356*$N356,0),IF($D356=12,$K356*$N356,0)))</f>
        <v/>
      </c>
      <c r="P356" s="35">
        <f>IF($A356&gt;NYears*12,"",IF($D356=1,$O356,$P355+$O356))</f>
        <v/>
      </c>
      <c r="Q356" s="35">
        <f>IF($A356&gt;NYears*12,"",IF($D356=12,MIN(WdrPct*IF(WdrBase="Post-tax profit",$K356-$P356,$K356),WdrCap),0))</f>
        <v/>
      </c>
      <c r="R356" s="35">
        <f>IF($A356&gt;NYears*12,"",$F356+$J356-$O356-$Q356)</f>
        <v/>
      </c>
      <c r="S356" s="33">
        <f>IF($A356&gt;NYears*12,"",INT($R356/$E356))</f>
        <v/>
      </c>
    </row>
    <row r="357">
      <c r="A357" s="33">
        <f>353</f>
        <v/>
      </c>
      <c r="B357" s="34">
        <f>IF($A357&gt;NYears*12,"",EDATE(StartMonth,$A357-1))</f>
        <v/>
      </c>
      <c r="C357" s="33">
        <f>IF($A357&gt;NYears*12,"",INT(($A357-1)/12)+1)</f>
        <v/>
      </c>
      <c r="D357" s="33">
        <f>IF($A357&gt;NYears*12,"",MOD($A357-1,12)+1)</f>
        <v/>
      </c>
      <c r="E357" s="35">
        <f>IF($A357&gt;NYears*12,"",LotValue0*(1+LotGrowth)^($C357-1))</f>
        <v/>
      </c>
      <c r="F357" s="35">
        <f>IF($A357&gt;NYears*12,"",IF($A357=1,InitInvest,$R356))</f>
        <v/>
      </c>
      <c r="G357" s="33">
        <f>IF($A357&gt;NYears*12,"",INT($F357/$E357))</f>
        <v/>
      </c>
      <c r="H357" s="35">
        <f>IF($A357&gt;NYears*12,"",$G357*$E357)</f>
        <v/>
      </c>
      <c r="I357" s="35">
        <f>IF($A357&gt;NYears*12,"",$F357-$H357)</f>
        <v/>
      </c>
      <c r="J357" s="35">
        <f>IF($A357&gt;NYears*12,"",$H357*RateD)</f>
        <v/>
      </c>
      <c r="K357" s="35">
        <f>IF($A357&gt;NYears*12,"",IF($D357=1,$J357,$K356+$J357))</f>
        <v/>
      </c>
      <c r="L357" s="35">
        <f>IF($A357&gt;NYears*12,"",IF(MOD($D357,3)=0,SUM($J355:$J357),0))</f>
        <v/>
      </c>
      <c r="M357" s="35">
        <f>IF($A357&gt;NYears*12,"",IF(TaxFreq="Quarterly",$K357*12/$D357,$K357))</f>
        <v/>
      </c>
      <c r="N357" s="36">
        <f>IF($A357&gt;NYears*12,"",LOOKUP($M357,TaxLower,TaxRate))</f>
        <v/>
      </c>
      <c r="O357" s="35">
        <f>IF($A357&gt;NYears*12,"",IF(TaxFreq="Quarterly",IF(MOD($D357,3)=0,$L357*$N357,0),IF($D357=12,$K357*$N357,0)))</f>
        <v/>
      </c>
      <c r="P357" s="35">
        <f>IF($A357&gt;NYears*12,"",IF($D357=1,$O357,$P356+$O357))</f>
        <v/>
      </c>
      <c r="Q357" s="35">
        <f>IF($A357&gt;NYears*12,"",IF($D357=12,MIN(WdrPct*IF(WdrBase="Post-tax profit",$K357-$P357,$K357),WdrCap),0))</f>
        <v/>
      </c>
      <c r="R357" s="35">
        <f>IF($A357&gt;NYears*12,"",$F357+$J357-$O357-$Q357)</f>
        <v/>
      </c>
      <c r="S357" s="33">
        <f>IF($A357&gt;NYears*12,"",INT($R357/$E357))</f>
        <v/>
      </c>
    </row>
    <row r="358">
      <c r="A358" s="33">
        <f>354</f>
        <v/>
      </c>
      <c r="B358" s="34">
        <f>IF($A358&gt;NYears*12,"",EDATE(StartMonth,$A358-1))</f>
        <v/>
      </c>
      <c r="C358" s="33">
        <f>IF($A358&gt;NYears*12,"",INT(($A358-1)/12)+1)</f>
        <v/>
      </c>
      <c r="D358" s="33">
        <f>IF($A358&gt;NYears*12,"",MOD($A358-1,12)+1)</f>
        <v/>
      </c>
      <c r="E358" s="35">
        <f>IF($A358&gt;NYears*12,"",LotValue0*(1+LotGrowth)^($C358-1))</f>
        <v/>
      </c>
      <c r="F358" s="35">
        <f>IF($A358&gt;NYears*12,"",IF($A358=1,InitInvest,$R357))</f>
        <v/>
      </c>
      <c r="G358" s="33">
        <f>IF($A358&gt;NYears*12,"",INT($F358/$E358))</f>
        <v/>
      </c>
      <c r="H358" s="35">
        <f>IF($A358&gt;NYears*12,"",$G358*$E358)</f>
        <v/>
      </c>
      <c r="I358" s="35">
        <f>IF($A358&gt;NYears*12,"",$F358-$H358)</f>
        <v/>
      </c>
      <c r="J358" s="35">
        <f>IF($A358&gt;NYears*12,"",$H358*RateD)</f>
        <v/>
      </c>
      <c r="K358" s="35">
        <f>IF($A358&gt;NYears*12,"",IF($D358=1,$J358,$K357+$J358))</f>
        <v/>
      </c>
      <c r="L358" s="35">
        <f>IF($A358&gt;NYears*12,"",IF(MOD($D358,3)=0,SUM($J356:$J358),0))</f>
        <v/>
      </c>
      <c r="M358" s="35">
        <f>IF($A358&gt;NYears*12,"",IF(TaxFreq="Quarterly",$K358*12/$D358,$K358))</f>
        <v/>
      </c>
      <c r="N358" s="36">
        <f>IF($A358&gt;NYears*12,"",LOOKUP($M358,TaxLower,TaxRate))</f>
        <v/>
      </c>
      <c r="O358" s="35">
        <f>IF($A358&gt;NYears*12,"",IF(TaxFreq="Quarterly",IF(MOD($D358,3)=0,$L358*$N358,0),IF($D358=12,$K358*$N358,0)))</f>
        <v/>
      </c>
      <c r="P358" s="35">
        <f>IF($A358&gt;NYears*12,"",IF($D358=1,$O358,$P357+$O358))</f>
        <v/>
      </c>
      <c r="Q358" s="35">
        <f>IF($A358&gt;NYears*12,"",IF($D358=12,MIN(WdrPct*IF(WdrBase="Post-tax profit",$K358-$P358,$K358),WdrCap),0))</f>
        <v/>
      </c>
      <c r="R358" s="35">
        <f>IF($A358&gt;NYears*12,"",$F358+$J358-$O358-$Q358)</f>
        <v/>
      </c>
      <c r="S358" s="33">
        <f>IF($A358&gt;NYears*12,"",INT($R358/$E358))</f>
        <v/>
      </c>
    </row>
    <row r="359">
      <c r="A359" s="33">
        <f>355</f>
        <v/>
      </c>
      <c r="B359" s="34">
        <f>IF($A359&gt;NYears*12,"",EDATE(StartMonth,$A359-1))</f>
        <v/>
      </c>
      <c r="C359" s="33">
        <f>IF($A359&gt;NYears*12,"",INT(($A359-1)/12)+1)</f>
        <v/>
      </c>
      <c r="D359" s="33">
        <f>IF($A359&gt;NYears*12,"",MOD($A359-1,12)+1)</f>
        <v/>
      </c>
      <c r="E359" s="35">
        <f>IF($A359&gt;NYears*12,"",LotValue0*(1+LotGrowth)^($C359-1))</f>
        <v/>
      </c>
      <c r="F359" s="35">
        <f>IF($A359&gt;NYears*12,"",IF($A359=1,InitInvest,$R358))</f>
        <v/>
      </c>
      <c r="G359" s="33">
        <f>IF($A359&gt;NYears*12,"",INT($F359/$E359))</f>
        <v/>
      </c>
      <c r="H359" s="35">
        <f>IF($A359&gt;NYears*12,"",$G359*$E359)</f>
        <v/>
      </c>
      <c r="I359" s="35">
        <f>IF($A359&gt;NYears*12,"",$F359-$H359)</f>
        <v/>
      </c>
      <c r="J359" s="35">
        <f>IF($A359&gt;NYears*12,"",$H359*RateD)</f>
        <v/>
      </c>
      <c r="K359" s="35">
        <f>IF($A359&gt;NYears*12,"",IF($D359=1,$J359,$K358+$J359))</f>
        <v/>
      </c>
      <c r="L359" s="35">
        <f>IF($A359&gt;NYears*12,"",IF(MOD($D359,3)=0,SUM($J357:$J359),0))</f>
        <v/>
      </c>
      <c r="M359" s="35">
        <f>IF($A359&gt;NYears*12,"",IF(TaxFreq="Quarterly",$K359*12/$D359,$K359))</f>
        <v/>
      </c>
      <c r="N359" s="36">
        <f>IF($A359&gt;NYears*12,"",LOOKUP($M359,TaxLower,TaxRate))</f>
        <v/>
      </c>
      <c r="O359" s="35">
        <f>IF($A359&gt;NYears*12,"",IF(TaxFreq="Quarterly",IF(MOD($D359,3)=0,$L359*$N359,0),IF($D359=12,$K359*$N359,0)))</f>
        <v/>
      </c>
      <c r="P359" s="35">
        <f>IF($A359&gt;NYears*12,"",IF($D359=1,$O359,$P358+$O359))</f>
        <v/>
      </c>
      <c r="Q359" s="35">
        <f>IF($A359&gt;NYears*12,"",IF($D359=12,MIN(WdrPct*IF(WdrBase="Post-tax profit",$K359-$P359,$K359),WdrCap),0))</f>
        <v/>
      </c>
      <c r="R359" s="35">
        <f>IF($A359&gt;NYears*12,"",$F359+$J359-$O359-$Q359)</f>
        <v/>
      </c>
      <c r="S359" s="33">
        <f>IF($A359&gt;NYears*12,"",INT($R359/$E359))</f>
        <v/>
      </c>
    </row>
    <row r="360">
      <c r="A360" s="33">
        <f>356</f>
        <v/>
      </c>
      <c r="B360" s="34">
        <f>IF($A360&gt;NYears*12,"",EDATE(StartMonth,$A360-1))</f>
        <v/>
      </c>
      <c r="C360" s="33">
        <f>IF($A360&gt;NYears*12,"",INT(($A360-1)/12)+1)</f>
        <v/>
      </c>
      <c r="D360" s="33">
        <f>IF($A360&gt;NYears*12,"",MOD($A360-1,12)+1)</f>
        <v/>
      </c>
      <c r="E360" s="35">
        <f>IF($A360&gt;NYears*12,"",LotValue0*(1+LotGrowth)^($C360-1))</f>
        <v/>
      </c>
      <c r="F360" s="35">
        <f>IF($A360&gt;NYears*12,"",IF($A360=1,InitInvest,$R359))</f>
        <v/>
      </c>
      <c r="G360" s="33">
        <f>IF($A360&gt;NYears*12,"",INT($F360/$E360))</f>
        <v/>
      </c>
      <c r="H360" s="35">
        <f>IF($A360&gt;NYears*12,"",$G360*$E360)</f>
        <v/>
      </c>
      <c r="I360" s="35">
        <f>IF($A360&gt;NYears*12,"",$F360-$H360)</f>
        <v/>
      </c>
      <c r="J360" s="35">
        <f>IF($A360&gt;NYears*12,"",$H360*RateD)</f>
        <v/>
      </c>
      <c r="K360" s="35">
        <f>IF($A360&gt;NYears*12,"",IF($D360=1,$J360,$K359+$J360))</f>
        <v/>
      </c>
      <c r="L360" s="35">
        <f>IF($A360&gt;NYears*12,"",IF(MOD($D360,3)=0,SUM($J358:$J360),0))</f>
        <v/>
      </c>
      <c r="M360" s="35">
        <f>IF($A360&gt;NYears*12,"",IF(TaxFreq="Quarterly",$K360*12/$D360,$K360))</f>
        <v/>
      </c>
      <c r="N360" s="36">
        <f>IF($A360&gt;NYears*12,"",LOOKUP($M360,TaxLower,TaxRate))</f>
        <v/>
      </c>
      <c r="O360" s="35">
        <f>IF($A360&gt;NYears*12,"",IF(TaxFreq="Quarterly",IF(MOD($D360,3)=0,$L360*$N360,0),IF($D360=12,$K360*$N360,0)))</f>
        <v/>
      </c>
      <c r="P360" s="35">
        <f>IF($A360&gt;NYears*12,"",IF($D360=1,$O360,$P359+$O360))</f>
        <v/>
      </c>
      <c r="Q360" s="35">
        <f>IF($A360&gt;NYears*12,"",IF($D360=12,MIN(WdrPct*IF(WdrBase="Post-tax profit",$K360-$P360,$K360),WdrCap),0))</f>
        <v/>
      </c>
      <c r="R360" s="35">
        <f>IF($A360&gt;NYears*12,"",$F360+$J360-$O360-$Q360)</f>
        <v/>
      </c>
      <c r="S360" s="33">
        <f>IF($A360&gt;NYears*12,"",INT($R360/$E360))</f>
        <v/>
      </c>
    </row>
    <row r="361">
      <c r="A361" s="33">
        <f>357</f>
        <v/>
      </c>
      <c r="B361" s="34">
        <f>IF($A361&gt;NYears*12,"",EDATE(StartMonth,$A361-1))</f>
        <v/>
      </c>
      <c r="C361" s="33">
        <f>IF($A361&gt;NYears*12,"",INT(($A361-1)/12)+1)</f>
        <v/>
      </c>
      <c r="D361" s="33">
        <f>IF($A361&gt;NYears*12,"",MOD($A361-1,12)+1)</f>
        <v/>
      </c>
      <c r="E361" s="35">
        <f>IF($A361&gt;NYears*12,"",LotValue0*(1+LotGrowth)^($C361-1))</f>
        <v/>
      </c>
      <c r="F361" s="35">
        <f>IF($A361&gt;NYears*12,"",IF($A361=1,InitInvest,$R360))</f>
        <v/>
      </c>
      <c r="G361" s="33">
        <f>IF($A361&gt;NYears*12,"",INT($F361/$E361))</f>
        <v/>
      </c>
      <c r="H361" s="35">
        <f>IF($A361&gt;NYears*12,"",$G361*$E361)</f>
        <v/>
      </c>
      <c r="I361" s="35">
        <f>IF($A361&gt;NYears*12,"",$F361-$H361)</f>
        <v/>
      </c>
      <c r="J361" s="35">
        <f>IF($A361&gt;NYears*12,"",$H361*RateD)</f>
        <v/>
      </c>
      <c r="K361" s="35">
        <f>IF($A361&gt;NYears*12,"",IF($D361=1,$J361,$K360+$J361))</f>
        <v/>
      </c>
      <c r="L361" s="35">
        <f>IF($A361&gt;NYears*12,"",IF(MOD($D361,3)=0,SUM($J359:$J361),0))</f>
        <v/>
      </c>
      <c r="M361" s="35">
        <f>IF($A361&gt;NYears*12,"",IF(TaxFreq="Quarterly",$K361*12/$D361,$K361))</f>
        <v/>
      </c>
      <c r="N361" s="36">
        <f>IF($A361&gt;NYears*12,"",LOOKUP($M361,TaxLower,TaxRate))</f>
        <v/>
      </c>
      <c r="O361" s="35">
        <f>IF($A361&gt;NYears*12,"",IF(TaxFreq="Quarterly",IF(MOD($D361,3)=0,$L361*$N361,0),IF($D361=12,$K361*$N361,0)))</f>
        <v/>
      </c>
      <c r="P361" s="35">
        <f>IF($A361&gt;NYears*12,"",IF($D361=1,$O361,$P360+$O361))</f>
        <v/>
      </c>
      <c r="Q361" s="35">
        <f>IF($A361&gt;NYears*12,"",IF($D361=12,MIN(WdrPct*IF(WdrBase="Post-tax profit",$K361-$P361,$K361),WdrCap),0))</f>
        <v/>
      </c>
      <c r="R361" s="35">
        <f>IF($A361&gt;NYears*12,"",$F361+$J361-$O361-$Q361)</f>
        <v/>
      </c>
      <c r="S361" s="33">
        <f>IF($A361&gt;NYears*12,"",INT($R361/$E361))</f>
        <v/>
      </c>
    </row>
    <row r="362">
      <c r="A362" s="33">
        <f>358</f>
        <v/>
      </c>
      <c r="B362" s="34">
        <f>IF($A362&gt;NYears*12,"",EDATE(StartMonth,$A362-1))</f>
        <v/>
      </c>
      <c r="C362" s="33">
        <f>IF($A362&gt;NYears*12,"",INT(($A362-1)/12)+1)</f>
        <v/>
      </c>
      <c r="D362" s="33">
        <f>IF($A362&gt;NYears*12,"",MOD($A362-1,12)+1)</f>
        <v/>
      </c>
      <c r="E362" s="35">
        <f>IF($A362&gt;NYears*12,"",LotValue0*(1+LotGrowth)^($C362-1))</f>
        <v/>
      </c>
      <c r="F362" s="35">
        <f>IF($A362&gt;NYears*12,"",IF($A362=1,InitInvest,$R361))</f>
        <v/>
      </c>
      <c r="G362" s="33">
        <f>IF($A362&gt;NYears*12,"",INT($F362/$E362))</f>
        <v/>
      </c>
      <c r="H362" s="35">
        <f>IF($A362&gt;NYears*12,"",$G362*$E362)</f>
        <v/>
      </c>
      <c r="I362" s="35">
        <f>IF($A362&gt;NYears*12,"",$F362-$H362)</f>
        <v/>
      </c>
      <c r="J362" s="35">
        <f>IF($A362&gt;NYears*12,"",$H362*RateD)</f>
        <v/>
      </c>
      <c r="K362" s="35">
        <f>IF($A362&gt;NYears*12,"",IF($D362=1,$J362,$K361+$J362))</f>
        <v/>
      </c>
      <c r="L362" s="35">
        <f>IF($A362&gt;NYears*12,"",IF(MOD($D362,3)=0,SUM($J360:$J362),0))</f>
        <v/>
      </c>
      <c r="M362" s="35">
        <f>IF($A362&gt;NYears*12,"",IF(TaxFreq="Quarterly",$K362*12/$D362,$K362))</f>
        <v/>
      </c>
      <c r="N362" s="36">
        <f>IF($A362&gt;NYears*12,"",LOOKUP($M362,TaxLower,TaxRate))</f>
        <v/>
      </c>
      <c r="O362" s="35">
        <f>IF($A362&gt;NYears*12,"",IF(TaxFreq="Quarterly",IF(MOD($D362,3)=0,$L362*$N362,0),IF($D362=12,$K362*$N362,0)))</f>
        <v/>
      </c>
      <c r="P362" s="35">
        <f>IF($A362&gt;NYears*12,"",IF($D362=1,$O362,$P361+$O362))</f>
        <v/>
      </c>
      <c r="Q362" s="35">
        <f>IF($A362&gt;NYears*12,"",IF($D362=12,MIN(WdrPct*IF(WdrBase="Post-tax profit",$K362-$P362,$K362),WdrCap),0))</f>
        <v/>
      </c>
      <c r="R362" s="35">
        <f>IF($A362&gt;NYears*12,"",$F362+$J362-$O362-$Q362)</f>
        <v/>
      </c>
      <c r="S362" s="33">
        <f>IF($A362&gt;NYears*12,"",INT($R362/$E362))</f>
        <v/>
      </c>
    </row>
    <row r="363">
      <c r="A363" s="33">
        <f>359</f>
        <v/>
      </c>
      <c r="B363" s="34">
        <f>IF($A363&gt;NYears*12,"",EDATE(StartMonth,$A363-1))</f>
        <v/>
      </c>
      <c r="C363" s="33">
        <f>IF($A363&gt;NYears*12,"",INT(($A363-1)/12)+1)</f>
        <v/>
      </c>
      <c r="D363" s="33">
        <f>IF($A363&gt;NYears*12,"",MOD($A363-1,12)+1)</f>
        <v/>
      </c>
      <c r="E363" s="35">
        <f>IF($A363&gt;NYears*12,"",LotValue0*(1+LotGrowth)^($C363-1))</f>
        <v/>
      </c>
      <c r="F363" s="35">
        <f>IF($A363&gt;NYears*12,"",IF($A363=1,InitInvest,$R362))</f>
        <v/>
      </c>
      <c r="G363" s="33">
        <f>IF($A363&gt;NYears*12,"",INT($F363/$E363))</f>
        <v/>
      </c>
      <c r="H363" s="35">
        <f>IF($A363&gt;NYears*12,"",$G363*$E363)</f>
        <v/>
      </c>
      <c r="I363" s="35">
        <f>IF($A363&gt;NYears*12,"",$F363-$H363)</f>
        <v/>
      </c>
      <c r="J363" s="35">
        <f>IF($A363&gt;NYears*12,"",$H363*RateD)</f>
        <v/>
      </c>
      <c r="K363" s="35">
        <f>IF($A363&gt;NYears*12,"",IF($D363=1,$J363,$K362+$J363))</f>
        <v/>
      </c>
      <c r="L363" s="35">
        <f>IF($A363&gt;NYears*12,"",IF(MOD($D363,3)=0,SUM($J361:$J363),0))</f>
        <v/>
      </c>
      <c r="M363" s="35">
        <f>IF($A363&gt;NYears*12,"",IF(TaxFreq="Quarterly",$K363*12/$D363,$K363))</f>
        <v/>
      </c>
      <c r="N363" s="36">
        <f>IF($A363&gt;NYears*12,"",LOOKUP($M363,TaxLower,TaxRate))</f>
        <v/>
      </c>
      <c r="O363" s="35">
        <f>IF($A363&gt;NYears*12,"",IF(TaxFreq="Quarterly",IF(MOD($D363,3)=0,$L363*$N363,0),IF($D363=12,$K363*$N363,0)))</f>
        <v/>
      </c>
      <c r="P363" s="35">
        <f>IF($A363&gt;NYears*12,"",IF($D363=1,$O363,$P362+$O363))</f>
        <v/>
      </c>
      <c r="Q363" s="35">
        <f>IF($A363&gt;NYears*12,"",IF($D363=12,MIN(WdrPct*IF(WdrBase="Post-tax profit",$K363-$P363,$K363),WdrCap),0))</f>
        <v/>
      </c>
      <c r="R363" s="35">
        <f>IF($A363&gt;NYears*12,"",$F363+$J363-$O363-$Q363)</f>
        <v/>
      </c>
      <c r="S363" s="33">
        <f>IF($A363&gt;NYears*12,"",INT($R363/$E363))</f>
        <v/>
      </c>
    </row>
    <row r="364">
      <c r="A364" s="37">
        <f>360</f>
        <v/>
      </c>
      <c r="B364" s="38">
        <f>IF($A364&gt;NYears*12,"",EDATE(StartMonth,$A364-1))</f>
        <v/>
      </c>
      <c r="C364" s="37">
        <f>IF($A364&gt;NYears*12,"",INT(($A364-1)/12)+1)</f>
        <v/>
      </c>
      <c r="D364" s="37">
        <f>IF($A364&gt;NYears*12,"",MOD($A364-1,12)+1)</f>
        <v/>
      </c>
      <c r="E364" s="39">
        <f>IF($A364&gt;NYears*12,"",LotValue0*(1+LotGrowth)^($C364-1))</f>
        <v/>
      </c>
      <c r="F364" s="39">
        <f>IF($A364&gt;NYears*12,"",IF($A364=1,InitInvest,$R363))</f>
        <v/>
      </c>
      <c r="G364" s="37">
        <f>IF($A364&gt;NYears*12,"",INT($F364/$E364))</f>
        <v/>
      </c>
      <c r="H364" s="39">
        <f>IF($A364&gt;NYears*12,"",$G364*$E364)</f>
        <v/>
      </c>
      <c r="I364" s="39">
        <f>IF($A364&gt;NYears*12,"",$F364-$H364)</f>
        <v/>
      </c>
      <c r="J364" s="39">
        <f>IF($A364&gt;NYears*12,"",$H364*RateD)</f>
        <v/>
      </c>
      <c r="K364" s="39">
        <f>IF($A364&gt;NYears*12,"",IF($D364=1,$J364,$K363+$J364))</f>
        <v/>
      </c>
      <c r="L364" s="39">
        <f>IF($A364&gt;NYears*12,"",IF(MOD($D364,3)=0,SUM($J362:$J364),0))</f>
        <v/>
      </c>
      <c r="M364" s="39">
        <f>IF($A364&gt;NYears*12,"",IF(TaxFreq="Quarterly",$K364*12/$D364,$K364))</f>
        <v/>
      </c>
      <c r="N364" s="40">
        <f>IF($A364&gt;NYears*12,"",LOOKUP($M364,TaxLower,TaxRate))</f>
        <v/>
      </c>
      <c r="O364" s="39">
        <f>IF($A364&gt;NYears*12,"",IF(TaxFreq="Quarterly",IF(MOD($D364,3)=0,$L364*$N364,0),IF($D364=12,$K364*$N364,0)))</f>
        <v/>
      </c>
      <c r="P364" s="39">
        <f>IF($A364&gt;NYears*12,"",IF($D364=1,$O364,$P363+$O364))</f>
        <v/>
      </c>
      <c r="Q364" s="39">
        <f>IF($A364&gt;NYears*12,"",IF($D364=12,MIN(WdrPct*IF(WdrBase="Post-tax profit",$K364-$P364,$K364),WdrCap),0))</f>
        <v/>
      </c>
      <c r="R364" s="39">
        <f>IF($A364&gt;NYears*12,"",$F364+$J364-$O364-$Q364)</f>
        <v/>
      </c>
      <c r="S364" s="37">
        <f>IF($A364&gt;NYears*12,"",INT($R364/$E364))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5" customWidth="1" min="2" max="2"/>
  </cols>
  <sheetData>
    <row r="1">
      <c r="A1" s="1" t="inlineStr">
        <is>
          <t>Assumptions &amp; how to read this model</t>
        </is>
      </c>
    </row>
    <row r="3"/>
    <row r="4">
      <c r="A4" s="41" t="inlineStr">
        <is>
          <t>THE DEDUCTION WATERFALL — what comes off the return you enter</t>
        </is>
      </c>
    </row>
    <row r="5">
      <c r="A5" s="42" t="inlineStr">
        <is>
          <t>The % you enter is ALREADY net of transaction costs</t>
        </is>
      </c>
      <c r="B5" s="43" t="inlineStr">
        <is>
          <t>Brokerage, STT, exchange/SEBI charges, stamp duty, GST and slippage are assumed to be inside the number you type. The model does NOT deduct them again. Only two liabilities are taken off it: government tax, and your annual withdrawal.</t>
        </is>
      </c>
    </row>
    <row r="6">
      <c r="A6" s="42" t="inlineStr">
        <is>
          <t>So the chain is</t>
        </is>
      </c>
      <c r="B6" s="43" t="inlineStr">
        <is>
          <t>deployed capital × monthly return  →  minus govt tax (quarterly)  →  minus annual withdrawal  →  remainder compounds. Nothing else is subtracted anywhere in the workbook.</t>
        </is>
      </c>
    </row>
    <row r="7">
      <c r="A7" s="42" t="inlineStr">
        <is>
          <t>Why the column says "TRADING PROFIT (net of charges, pre-tax)"</t>
        </is>
      </c>
      <c r="B7" s="43" t="inlineStr">
        <is>
          <t>It is deliberately not called "gross" — that word would suggest charges are still to come. They are not. It is profit after trading costs and before government tax.</t>
        </is>
      </c>
    </row>
    <row r="8">
      <c r="A8" s="42" t="inlineStr">
        <is>
          <t>Reality check on entering a number</t>
        </is>
      </c>
      <c r="B8" s="43" t="inlineStr">
        <is>
          <t>Live experience at 2 lots has charges running 28–43% of gross trading profit. So if your raw strategy gross is 8% a month, the figure to enter here is nearer 5%. Entering 8% asserts you already cleared costs.</t>
        </is>
      </c>
    </row>
    <row r="9"/>
    <row r="10">
      <c r="A10" s="41" t="inlineStr">
        <is>
          <t>WHAT DRIVES THE COMPOUNDING</t>
        </is>
      </c>
    </row>
    <row r="11">
      <c r="A11" s="42" t="inlineStr">
        <is>
          <t>Returns accrue on DEPLOYED capital only</t>
        </is>
      </c>
      <c r="B11" s="43" t="inlineStr">
        <is>
          <t>Profit = (lots × lot value) × monthly return. Cash that is not enough to fund a whole extra lot sits idle and earns nothing. This is the single most important assumption — it is why the corpus grows in steps rather than smoothly, and why a higher lot value slows growth.</t>
        </is>
      </c>
    </row>
    <row r="12">
      <c r="A12" s="42" t="inlineStr">
        <is>
          <t>Reinvestment is lumpy, by design</t>
        </is>
      </c>
      <c r="B12" s="43" t="inlineStr">
        <is>
          <t>Lots = INT(corpus / lot value), recomputed every month. One more lot is deployed only when the whole margin for it is available, matching how the straddle actually scales.</t>
        </is>
      </c>
    </row>
    <row r="13">
      <c r="A13" s="42" t="inlineStr">
        <is>
          <t>Lot value rises every year</t>
        </is>
      </c>
      <c r="B13" s="43" t="inlineStr">
        <is>
          <t>Margin per lot grows with NIFTY and premium levels, so the bar for adding a lot keeps rising. Default 5% a year. Set it to 0% to see how much this drag alone costs you.</t>
        </is>
      </c>
    </row>
    <row r="14"/>
    <row r="15">
      <c r="A15" s="41" t="inlineStr">
        <is>
          <t>TAX</t>
        </is>
      </c>
    </row>
    <row r="16">
      <c r="A16" s="42" t="inlineStr">
        <is>
          <t>New regime, 30% base slab already inside the rates</t>
        </is>
      </c>
      <c r="B16" s="43" t="inlineStr">
        <is>
          <t>The effective rates supplied (31.20% → 39.00%) already contain the 30% base slab plus surcharge and cess. Only the NEW-regime column is used; the OLD-regime column is kept for reference.</t>
        </is>
      </c>
    </row>
    <row r="17">
      <c r="A17" s="42" t="inlineStr">
        <is>
          <t>Slab is picked from ANNUALISED profit</t>
        </is>
      </c>
      <c r="B17" s="43" t="inlineStr">
        <is>
          <t>With "Quarterly" selected, the slab is chosen from year-to-date profit scaled to a full year — the way advance tax is estimated in practice. A growing book therefore climbs into higher surcharge bands over time. With "Annually", the slab is chosen from the actual full-year profit.</t>
        </is>
      </c>
    </row>
    <row r="18">
      <c r="A18" s="42" t="inlineStr">
        <is>
          <t>Quarterly vs Annually is NOT cosmetic</t>
        </is>
      </c>
      <c r="B18" s="43" t="inlineStr">
        <is>
          <t>Quarterly deduction removes money from the corpus four times a year instead of once, so it compounds less. Switching to Annually will flatter the result. Quarterly is the realistic default.</t>
        </is>
      </c>
    </row>
    <row r="19"/>
    <row r="20">
      <c r="A20" s="41" t="inlineStr">
        <is>
          <t>WITHDRAWAL</t>
        </is>
      </c>
    </row>
    <row r="21">
      <c r="A21" s="42" t="inlineStr">
        <is>
          <t>MIN(% of profit, cap), once a year</t>
        </is>
      </c>
      <c r="B21" s="43" t="inlineStr">
        <is>
          <t>Default 10% of profit capped at ₹1 crore — whichever is LOWER. In early years the 10% binds; only once annual profit passes ₹10 crore does the cap start binding.</t>
        </is>
      </c>
    </row>
    <row r="22">
      <c r="A22" s="42" t="inlineStr">
        <is>
          <t>Base defaults to "Post-tax profit"</t>
        </is>
      </c>
      <c r="B22" s="43" t="inlineStr">
        <is>
          <t>You withdraw from what is actually yours after tax. Switch to "Gross profit" on the Inputs sheet if you intend the 10% to be taken before tax — it withdraws more and slows compounding.</t>
        </is>
      </c>
    </row>
    <row r="23"/>
    <row r="24">
      <c r="A24" s="41" t="inlineStr">
        <is>
          <t>WHAT THIS MODEL DOES NOT DO</t>
        </is>
      </c>
    </row>
    <row r="25">
      <c r="A25" s="42" t="inlineStr">
        <is>
          <t>No losing months</t>
        </is>
      </c>
      <c r="B25" s="43" t="inlineStr">
        <is>
          <t>A constant positive monthly return is a planning tool, not a forecast. The live straddle has already had a losing day (13-Aug-2026, −₹686) and its worst backtested day was −₹17,522. Treat every number here as an upper envelope, not an expectation.</t>
        </is>
      </c>
    </row>
    <row r="26">
      <c r="A26" s="42" t="inlineStr">
        <is>
          <t>No margin-availability ceiling</t>
        </is>
      </c>
      <c r="B26" s="43" t="inlineStr">
        <is>
          <t>The model will happily deploy hundreds of lots. Real NIFTY option liquidity, exchange position limits and slippage all bite well before that — and slippage grows with size.</t>
        </is>
      </c>
    </row>
    <row r="27">
      <c r="A27" s="42" t="inlineStr">
        <is>
          <t>No brokerage or transaction cost</t>
        </is>
      </c>
      <c r="B27" s="43" t="inlineStr">
        <is>
          <t>The monthly return you enter must therefore be NET of brokerage, STT and slippage. Live experience: charges have been running 28–43% of gross profit at 2 lots, so a gross 8% is nowhere near a net 8%.</t>
        </is>
      </c>
    </row>
    <row r="28">
      <c r="A28" s="42" t="inlineStr">
        <is>
          <t>Returns are on capital, not on a strategy</t>
        </is>
      </c>
      <c r="B28" s="43" t="inlineStr">
        <is>
          <t>5% a month sustained for 10 years is 1.05^120 ≈ 348× before reinvestment effects. Scenarios that look modest per month become extraordinary over a decade — which is the point of the exercise, but also the reason to be sceptical of the top 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2026-08-14T19:22:52Z</dcterms:created>
  <dcterms:modified xmlns:dcterms="http://purl.org/dc/terms/" xmlns:xsi="http://www.w3.org/2001/XMLSchema-instance" xsi:type="dcterms:W3CDTF">2026-08-14T19:22:52Z</dcterms:modified>
</cp:coreProperties>
</file>