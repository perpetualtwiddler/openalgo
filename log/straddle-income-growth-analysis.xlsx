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wsl.localhost\Ubuntu-24.04\home\mandar\data\programs\marketcalls\openalgo\log\"/>
    </mc:Choice>
  </mc:AlternateContent>
  <xr:revisionPtr revIDLastSave="0" documentId="13_ncr:1_{2D1F146D-F21A-40F8-95BA-5C4F964D50A3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Inputs" sheetId="1" r:id="rId1"/>
    <sheet name="Summary" sheetId="2" r:id="rId2"/>
    <sheet name="Engine A" sheetId="3" r:id="rId3"/>
    <sheet name="Engine B" sheetId="4" r:id="rId4"/>
    <sheet name="Engine C" sheetId="5" r:id="rId5"/>
    <sheet name="Engine D" sheetId="6" r:id="rId6"/>
    <sheet name="Assumptions" sheetId="7" r:id="rId7"/>
  </sheets>
  <definedNames>
    <definedName name="InitInvest">Inputs!$B$6</definedName>
    <definedName name="LotGrowth">Inputs!$B$8</definedName>
    <definedName name="LotValue0">Inputs!$B$7</definedName>
    <definedName name="NYears">Inputs!$B$9</definedName>
    <definedName name="RateA">Inputs!$B$13</definedName>
    <definedName name="RateB">Inputs!$B$14</definedName>
    <definedName name="RateC">Inputs!$B$15</definedName>
    <definedName name="RateD">Inputs!$B$16</definedName>
    <definedName name="StartMonth">Inputs!$B$5</definedName>
    <definedName name="TaxFreq">Inputs!$B$25</definedName>
    <definedName name="TaxLower">Inputs!$B$28:$B$32</definedName>
    <definedName name="TaxRate">Inputs!$D$28:$D$32</definedName>
    <definedName name="WdrBase">Inputs!$B$21</definedName>
    <definedName name="WdrCap">Inputs!$B$20</definedName>
    <definedName name="WdrPct">Inputs!$B$19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4" i="6" l="1"/>
  <c r="A363" i="6"/>
  <c r="A362" i="6"/>
  <c r="A361" i="6"/>
  <c r="A360" i="6"/>
  <c r="A359" i="6"/>
  <c r="A358" i="6"/>
  <c r="A357" i="6"/>
  <c r="A356" i="6"/>
  <c r="A355" i="6"/>
  <c r="A354" i="6"/>
  <c r="A353" i="6"/>
  <c r="A352" i="6"/>
  <c r="A351" i="6"/>
  <c r="A350" i="6"/>
  <c r="A349" i="6"/>
  <c r="A348" i="6"/>
  <c r="A347" i="6"/>
  <c r="A346" i="6"/>
  <c r="A345" i="6"/>
  <c r="A344" i="6"/>
  <c r="A343" i="6"/>
  <c r="A342" i="6"/>
  <c r="A341" i="6"/>
  <c r="A340" i="6"/>
  <c r="A339" i="6"/>
  <c r="A338" i="6"/>
  <c r="A337" i="6"/>
  <c r="A336" i="6"/>
  <c r="A335" i="6"/>
  <c r="A334" i="6"/>
  <c r="A333" i="6"/>
  <c r="A332" i="6"/>
  <c r="A331" i="6"/>
  <c r="A330" i="6"/>
  <c r="A329" i="6"/>
  <c r="A328" i="6"/>
  <c r="A327" i="6"/>
  <c r="A326" i="6"/>
  <c r="A325" i="6"/>
  <c r="A324" i="6"/>
  <c r="A323" i="6"/>
  <c r="A322" i="6"/>
  <c r="A321" i="6"/>
  <c r="A320" i="6"/>
  <c r="A319" i="6"/>
  <c r="A318" i="6"/>
  <c r="A317" i="6"/>
  <c r="A316" i="6"/>
  <c r="A315" i="6"/>
  <c r="A314" i="6"/>
  <c r="A313" i="6"/>
  <c r="A312" i="6"/>
  <c r="A311" i="6"/>
  <c r="A310" i="6"/>
  <c r="A309" i="6"/>
  <c r="A308" i="6"/>
  <c r="A307" i="6"/>
  <c r="A306" i="6"/>
  <c r="A305" i="6"/>
  <c r="A304" i="6"/>
  <c r="A303" i="6"/>
  <c r="A302" i="6"/>
  <c r="A301" i="6"/>
  <c r="A300" i="6"/>
  <c r="A299" i="6"/>
  <c r="A298" i="6"/>
  <c r="A297" i="6"/>
  <c r="A296" i="6"/>
  <c r="A295" i="6"/>
  <c r="A294" i="6"/>
  <c r="A293" i="6"/>
  <c r="A292" i="6"/>
  <c r="A291" i="6"/>
  <c r="A290" i="6"/>
  <c r="A289" i="6"/>
  <c r="A288" i="6"/>
  <c r="A287" i="6"/>
  <c r="A286" i="6"/>
  <c r="A285" i="6"/>
  <c r="A284" i="6"/>
  <c r="A283" i="6"/>
  <c r="A282" i="6"/>
  <c r="A281" i="6"/>
  <c r="A280" i="6"/>
  <c r="A279" i="6"/>
  <c r="A278" i="6"/>
  <c r="A277" i="6"/>
  <c r="A276" i="6"/>
  <c r="A275" i="6"/>
  <c r="A274" i="6"/>
  <c r="A273" i="6"/>
  <c r="A272" i="6"/>
  <c r="A271" i="6"/>
  <c r="A270" i="6"/>
  <c r="S269" i="6"/>
  <c r="R269" i="6"/>
  <c r="Q269" i="6"/>
  <c r="P269" i="6"/>
  <c r="O269" i="6"/>
  <c r="N269" i="6"/>
  <c r="M269" i="6"/>
  <c r="L269" i="6"/>
  <c r="K269" i="6"/>
  <c r="J269" i="6"/>
  <c r="A269" i="6"/>
  <c r="A268" i="6"/>
  <c r="A267" i="6"/>
  <c r="A266" i="6"/>
  <c r="A265" i="6"/>
  <c r="A264" i="6"/>
  <c r="A263" i="6"/>
  <c r="A262" i="6"/>
  <c r="A261" i="6"/>
  <c r="A260" i="6"/>
  <c r="A259" i="6"/>
  <c r="A258" i="6"/>
  <c r="A257" i="6"/>
  <c r="A256" i="6"/>
  <c r="A255" i="6"/>
  <c r="A254" i="6"/>
  <c r="A253" i="6"/>
  <c r="A252" i="6"/>
  <c r="A251" i="6"/>
  <c r="A250" i="6"/>
  <c r="A249" i="6"/>
  <c r="A248" i="6"/>
  <c r="A247" i="6"/>
  <c r="A246" i="6"/>
  <c r="A245" i="6"/>
  <c r="A244" i="6"/>
  <c r="A243" i="6"/>
  <c r="A242" i="6"/>
  <c r="A241" i="6"/>
  <c r="A240" i="6"/>
  <c r="A239" i="6"/>
  <c r="A238" i="6"/>
  <c r="A237" i="6"/>
  <c r="A236" i="6"/>
  <c r="A235" i="6"/>
  <c r="A234" i="6"/>
  <c r="A233" i="6"/>
  <c r="A232" i="6"/>
  <c r="A231" i="6"/>
  <c r="A230" i="6"/>
  <c r="A229" i="6"/>
  <c r="A228" i="6"/>
  <c r="A227" i="6"/>
  <c r="A226" i="6"/>
  <c r="A225" i="6"/>
  <c r="A224" i="6"/>
  <c r="A223" i="6"/>
  <c r="A222" i="6"/>
  <c r="A221" i="6"/>
  <c r="A220" i="6"/>
  <c r="A219" i="6"/>
  <c r="A218" i="6"/>
  <c r="A217" i="6"/>
  <c r="A216" i="6"/>
  <c r="A215" i="6"/>
  <c r="A214" i="6"/>
  <c r="A213" i="6"/>
  <c r="A212" i="6"/>
  <c r="A211" i="6"/>
  <c r="A210" i="6"/>
  <c r="A209" i="6"/>
  <c r="A208" i="6"/>
  <c r="A207" i="6"/>
  <c r="A206" i="6"/>
  <c r="A205" i="6"/>
  <c r="A204" i="6"/>
  <c r="A203" i="6"/>
  <c r="A202" i="6"/>
  <c r="A201" i="6"/>
  <c r="A200" i="6"/>
  <c r="A199" i="6"/>
  <c r="A198" i="6"/>
  <c r="A197" i="6"/>
  <c r="A196" i="6"/>
  <c r="A195" i="6"/>
  <c r="A194" i="6"/>
  <c r="A193" i="6"/>
  <c r="A192" i="6"/>
  <c r="A191" i="6"/>
  <c r="A190" i="6"/>
  <c r="A189" i="6"/>
  <c r="A188" i="6"/>
  <c r="A187" i="6"/>
  <c r="A186" i="6"/>
  <c r="A185" i="6"/>
  <c r="A184" i="6"/>
  <c r="A183" i="6"/>
  <c r="A182" i="6"/>
  <c r="A181" i="6"/>
  <c r="A180" i="6"/>
  <c r="A179" i="6"/>
  <c r="A178" i="6"/>
  <c r="A177" i="6"/>
  <c r="A176" i="6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A160" i="6"/>
  <c r="A159" i="6"/>
  <c r="A158" i="6"/>
  <c r="A157" i="6"/>
  <c r="A156" i="6"/>
  <c r="A155" i="6"/>
  <c r="A154" i="6"/>
  <c r="A153" i="6"/>
  <c r="A152" i="6"/>
  <c r="A151" i="6"/>
  <c r="A150" i="6"/>
  <c r="A149" i="6"/>
  <c r="A148" i="6"/>
  <c r="B147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B110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B2" i="6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G349" i="5"/>
  <c r="A349" i="5"/>
  <c r="A348" i="5"/>
  <c r="A347" i="5"/>
  <c r="C346" i="5"/>
  <c r="B346" i="5"/>
  <c r="A346" i="5"/>
  <c r="A345" i="5"/>
  <c r="A344" i="5"/>
  <c r="A343" i="5"/>
  <c r="S342" i="5"/>
  <c r="R342" i="5"/>
  <c r="Q342" i="5"/>
  <c r="P342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R266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B245" i="5"/>
  <c r="A245" i="5"/>
  <c r="A244" i="5"/>
  <c r="A243" i="5"/>
  <c r="A242" i="5"/>
  <c r="A241" i="5"/>
  <c r="S240" i="5"/>
  <c r="A240" i="5"/>
  <c r="B239" i="5"/>
  <c r="A239" i="5"/>
  <c r="I238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B212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B191" i="5"/>
  <c r="A191" i="5"/>
  <c r="A190" i="5"/>
  <c r="A189" i="5"/>
  <c r="A188" i="5"/>
  <c r="A187" i="5"/>
  <c r="A186" i="5"/>
  <c r="A185" i="5"/>
  <c r="A184" i="5"/>
  <c r="A183" i="5"/>
  <c r="A182" i="5"/>
  <c r="B181" i="5"/>
  <c r="A181" i="5"/>
  <c r="A180" i="5"/>
  <c r="A179" i="5"/>
  <c r="A178" i="5"/>
  <c r="A177" i="5"/>
  <c r="A176" i="5"/>
  <c r="A175" i="5"/>
  <c r="B174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B144" i="5"/>
  <c r="A144" i="5"/>
  <c r="A143" i="5"/>
  <c r="A142" i="5"/>
  <c r="A141" i="5"/>
  <c r="A140" i="5"/>
  <c r="A139" i="5"/>
  <c r="A138" i="5"/>
  <c r="C137" i="5"/>
  <c r="A137" i="5"/>
  <c r="A136" i="5"/>
  <c r="C135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B118" i="5"/>
  <c r="A118" i="5"/>
  <c r="A117" i="5"/>
  <c r="A116" i="5"/>
  <c r="A115" i="5"/>
  <c r="A114" i="5"/>
  <c r="A113" i="5"/>
  <c r="A112" i="5"/>
  <c r="B111" i="5"/>
  <c r="A111" i="5"/>
  <c r="A110" i="5"/>
  <c r="A109" i="5"/>
  <c r="A108" i="5"/>
  <c r="A107" i="5"/>
  <c r="A106" i="5"/>
  <c r="A105" i="5"/>
  <c r="B104" i="5"/>
  <c r="A104" i="5"/>
  <c r="A103" i="5"/>
  <c r="A102" i="5"/>
  <c r="A101" i="5"/>
  <c r="A100" i="5"/>
  <c r="A99" i="5"/>
  <c r="A98" i="5"/>
  <c r="B97" i="5"/>
  <c r="A97" i="5"/>
  <c r="A96" i="5"/>
  <c r="A95" i="5"/>
  <c r="A94" i="5"/>
  <c r="A93" i="5"/>
  <c r="A92" i="5"/>
  <c r="A91" i="5"/>
  <c r="A90" i="5"/>
  <c r="B89" i="5"/>
  <c r="A89" i="5"/>
  <c r="B88" i="5"/>
  <c r="A88" i="5"/>
  <c r="A87" i="5"/>
  <c r="B86" i="5"/>
  <c r="A86" i="5"/>
  <c r="A85" i="5"/>
  <c r="B84" i="5"/>
  <c r="A84" i="5"/>
  <c r="A83" i="5"/>
  <c r="A82" i="5"/>
  <c r="A81" i="5"/>
  <c r="A80" i="5"/>
  <c r="A79" i="5"/>
  <c r="A78" i="5"/>
  <c r="A77" i="5"/>
  <c r="B76" i="5"/>
  <c r="A76" i="5"/>
  <c r="A75" i="5"/>
  <c r="A74" i="5"/>
  <c r="A73" i="5"/>
  <c r="A72" i="5"/>
  <c r="A71" i="5"/>
  <c r="A70" i="5"/>
  <c r="A69" i="5"/>
  <c r="A68" i="5"/>
  <c r="A67" i="5"/>
  <c r="A66" i="5"/>
  <c r="C65" i="5"/>
  <c r="B65" i="5"/>
  <c r="A65" i="5"/>
  <c r="A64" i="5"/>
  <c r="A63" i="5"/>
  <c r="D62" i="5"/>
  <c r="A62" i="5"/>
  <c r="A61" i="5"/>
  <c r="B60" i="5"/>
  <c r="A60" i="5"/>
  <c r="A59" i="5"/>
  <c r="A58" i="5"/>
  <c r="C57" i="5"/>
  <c r="A57" i="5"/>
  <c r="D56" i="5"/>
  <c r="C56" i="5"/>
  <c r="E56" i="5" s="1"/>
  <c r="A56" i="5"/>
  <c r="B56" i="5" s="1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B2" i="5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S320" i="4"/>
  <c r="R320" i="4"/>
  <c r="Q320" i="4"/>
  <c r="P320" i="4"/>
  <c r="O320" i="4"/>
  <c r="N320" i="4"/>
  <c r="M320" i="4"/>
  <c r="L320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S225" i="4"/>
  <c r="R225" i="4"/>
  <c r="Q225" i="4"/>
  <c r="P225" i="4"/>
  <c r="O225" i="4"/>
  <c r="N225" i="4"/>
  <c r="M225" i="4"/>
  <c r="L225" i="4"/>
  <c r="K225" i="4"/>
  <c r="J225" i="4"/>
  <c r="I225" i="4"/>
  <c r="H225" i="4"/>
  <c r="G225" i="4"/>
  <c r="F225" i="4"/>
  <c r="E225" i="4"/>
  <c r="D225" i="4"/>
  <c r="C225" i="4"/>
  <c r="B225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B67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C47" i="4"/>
  <c r="A47" i="4"/>
  <c r="A46" i="4"/>
  <c r="A45" i="4"/>
  <c r="A44" i="4"/>
  <c r="A43" i="4"/>
  <c r="A42" i="4"/>
  <c r="B41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B2" i="4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S298" i="3"/>
  <c r="R298" i="3"/>
  <c r="Q298" i="3"/>
  <c r="P298" i="3"/>
  <c r="O298" i="3"/>
  <c r="N298" i="3"/>
  <c r="M298" i="3"/>
  <c r="L298" i="3"/>
  <c r="K298" i="3"/>
  <c r="J298" i="3"/>
  <c r="I298" i="3"/>
  <c r="H298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S202" i="3"/>
  <c r="R202" i="3"/>
  <c r="Q202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B2" i="3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B111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B78" i="2"/>
  <c r="A76" i="2"/>
  <c r="A75" i="2"/>
  <c r="A74" i="2"/>
  <c r="A73" i="2"/>
  <c r="A72" i="2"/>
  <c r="A71" i="2"/>
  <c r="A70" i="2"/>
  <c r="A69" i="2"/>
  <c r="A68" i="2"/>
  <c r="A67" i="2"/>
  <c r="B66" i="2"/>
  <c r="A66" i="2"/>
  <c r="A65" i="2"/>
  <c r="A64" i="2"/>
  <c r="A63" i="2"/>
  <c r="A62" i="2"/>
  <c r="A61" i="2"/>
  <c r="A60" i="2"/>
  <c r="A59" i="2"/>
  <c r="A58" i="2"/>
  <c r="A57" i="2"/>
  <c r="B56" i="2"/>
  <c r="A56" i="2"/>
  <c r="A55" i="2"/>
  <c r="A54" i="2"/>
  <c r="A53" i="2"/>
  <c r="A52" i="2"/>
  <c r="A51" i="2"/>
  <c r="A50" i="2"/>
  <c r="A49" i="2"/>
  <c r="A48" i="2"/>
  <c r="B47" i="2"/>
  <c r="A47" i="2"/>
  <c r="B45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B12" i="2"/>
  <c r="B9" i="2"/>
  <c r="B8" i="2"/>
  <c r="B7" i="2"/>
  <c r="B6" i="2"/>
  <c r="A2" i="2"/>
  <c r="E10" i="1"/>
  <c r="S364" i="6" l="1"/>
  <c r="R364" i="6"/>
  <c r="Q364" i="6"/>
  <c r="P364" i="6"/>
  <c r="O364" i="6"/>
  <c r="N364" i="6"/>
  <c r="M364" i="6"/>
  <c r="L364" i="6"/>
  <c r="K364" i="6"/>
  <c r="J364" i="6"/>
  <c r="I364" i="6"/>
  <c r="H364" i="6"/>
  <c r="G364" i="6"/>
  <c r="F364" i="6"/>
  <c r="E364" i="6"/>
  <c r="D364" i="6"/>
  <c r="C364" i="6"/>
  <c r="B364" i="6"/>
  <c r="S363" i="6"/>
  <c r="R363" i="6"/>
  <c r="Q363" i="6"/>
  <c r="P363" i="6"/>
  <c r="O363" i="6"/>
  <c r="N363" i="6"/>
  <c r="M363" i="6"/>
  <c r="L363" i="6"/>
  <c r="K363" i="6"/>
  <c r="J363" i="6"/>
  <c r="I363" i="6"/>
  <c r="H363" i="6"/>
  <c r="G363" i="6"/>
  <c r="F363" i="6"/>
  <c r="E363" i="6"/>
  <c r="D363" i="6"/>
  <c r="C363" i="6"/>
  <c r="B363" i="6"/>
  <c r="S362" i="6"/>
  <c r="R362" i="6"/>
  <c r="Q362" i="6"/>
  <c r="P362" i="6"/>
  <c r="O362" i="6"/>
  <c r="N362" i="6"/>
  <c r="M362" i="6"/>
  <c r="L362" i="6"/>
  <c r="K362" i="6"/>
  <c r="J362" i="6"/>
  <c r="I362" i="6"/>
  <c r="H362" i="6"/>
  <c r="G362" i="6"/>
  <c r="F362" i="6"/>
  <c r="E362" i="6"/>
  <c r="D362" i="6"/>
  <c r="C362" i="6"/>
  <c r="B362" i="6"/>
  <c r="S361" i="6"/>
  <c r="R361" i="6"/>
  <c r="Q361" i="6"/>
  <c r="P361" i="6"/>
  <c r="O361" i="6"/>
  <c r="N361" i="6"/>
  <c r="M361" i="6"/>
  <c r="L361" i="6"/>
  <c r="K361" i="6"/>
  <c r="J361" i="6"/>
  <c r="I361" i="6"/>
  <c r="H361" i="6"/>
  <c r="G361" i="6"/>
  <c r="F361" i="6"/>
  <c r="E361" i="6"/>
  <c r="D361" i="6"/>
  <c r="C361" i="6"/>
  <c r="B361" i="6"/>
  <c r="S360" i="6"/>
  <c r="R360" i="6"/>
  <c r="Q360" i="6"/>
  <c r="P360" i="6"/>
  <c r="O360" i="6"/>
  <c r="N360" i="6"/>
  <c r="M360" i="6"/>
  <c r="L360" i="6"/>
  <c r="K360" i="6"/>
  <c r="J360" i="6"/>
  <c r="I360" i="6"/>
  <c r="H360" i="6"/>
  <c r="G360" i="6"/>
  <c r="F360" i="6"/>
  <c r="E360" i="6"/>
  <c r="D360" i="6"/>
  <c r="C360" i="6"/>
  <c r="B360" i="6"/>
  <c r="S359" i="6"/>
  <c r="R359" i="6"/>
  <c r="Q359" i="6"/>
  <c r="P359" i="6"/>
  <c r="O359" i="6"/>
  <c r="N359" i="6"/>
  <c r="M359" i="6"/>
  <c r="L359" i="6"/>
  <c r="K359" i="6"/>
  <c r="J359" i="6"/>
  <c r="I359" i="6"/>
  <c r="H359" i="6"/>
  <c r="G359" i="6"/>
  <c r="F359" i="6"/>
  <c r="E359" i="6"/>
  <c r="D359" i="6"/>
  <c r="C359" i="6"/>
  <c r="B359" i="6"/>
  <c r="S358" i="6"/>
  <c r="R358" i="6"/>
  <c r="Q358" i="6"/>
  <c r="P358" i="6"/>
  <c r="O358" i="6"/>
  <c r="N358" i="6"/>
  <c r="M358" i="6"/>
  <c r="L358" i="6"/>
  <c r="K358" i="6"/>
  <c r="J358" i="6"/>
  <c r="I358" i="6"/>
  <c r="H358" i="6"/>
  <c r="G358" i="6"/>
  <c r="F358" i="6"/>
  <c r="E358" i="6"/>
  <c r="D358" i="6"/>
  <c r="C358" i="6"/>
  <c r="B358" i="6"/>
  <c r="S357" i="6"/>
  <c r="R357" i="6"/>
  <c r="Q357" i="6"/>
  <c r="P357" i="6"/>
  <c r="O357" i="6"/>
  <c r="N357" i="6"/>
  <c r="M357" i="6"/>
  <c r="L357" i="6"/>
  <c r="K357" i="6"/>
  <c r="J357" i="6"/>
  <c r="I357" i="6"/>
  <c r="H357" i="6"/>
  <c r="G357" i="6"/>
  <c r="F357" i="6"/>
  <c r="E357" i="6"/>
  <c r="D357" i="6"/>
  <c r="C357" i="6"/>
  <c r="B357" i="6"/>
  <c r="S356" i="6"/>
  <c r="R356" i="6"/>
  <c r="Q356" i="6"/>
  <c r="P356" i="6"/>
  <c r="O356" i="6"/>
  <c r="N356" i="6"/>
  <c r="M356" i="6"/>
  <c r="L356" i="6"/>
  <c r="K356" i="6"/>
  <c r="J356" i="6"/>
  <c r="I356" i="6"/>
  <c r="H356" i="6"/>
  <c r="G356" i="6"/>
  <c r="F356" i="6"/>
  <c r="E356" i="6"/>
  <c r="D356" i="6"/>
  <c r="C356" i="6"/>
  <c r="B356" i="6"/>
  <c r="S355" i="6"/>
  <c r="R355" i="6"/>
  <c r="Q355" i="6"/>
  <c r="P355" i="6"/>
  <c r="O355" i="6"/>
  <c r="N355" i="6"/>
  <c r="M355" i="6"/>
  <c r="L355" i="6"/>
  <c r="K355" i="6"/>
  <c r="J355" i="6"/>
  <c r="I355" i="6"/>
  <c r="H355" i="6"/>
  <c r="G355" i="6"/>
  <c r="F355" i="6"/>
  <c r="E355" i="6"/>
  <c r="D355" i="6"/>
  <c r="C355" i="6"/>
  <c r="B355" i="6"/>
  <c r="S354" i="6"/>
  <c r="R354" i="6"/>
  <c r="Q354" i="6"/>
  <c r="P354" i="6"/>
  <c r="O354" i="6"/>
  <c r="N354" i="6"/>
  <c r="M354" i="6"/>
  <c r="L354" i="6"/>
  <c r="K354" i="6"/>
  <c r="J354" i="6"/>
  <c r="I354" i="6"/>
  <c r="H354" i="6"/>
  <c r="G354" i="6"/>
  <c r="F354" i="6"/>
  <c r="E354" i="6"/>
  <c r="D354" i="6"/>
  <c r="C354" i="6"/>
  <c r="B354" i="6"/>
  <c r="S353" i="6"/>
  <c r="R353" i="6"/>
  <c r="Q353" i="6"/>
  <c r="P353" i="6"/>
  <c r="O353" i="6"/>
  <c r="N353" i="6"/>
  <c r="M353" i="6"/>
  <c r="L353" i="6"/>
  <c r="K353" i="6"/>
  <c r="J353" i="6"/>
  <c r="I353" i="6"/>
  <c r="H353" i="6"/>
  <c r="G353" i="6"/>
  <c r="F353" i="6"/>
  <c r="E353" i="6"/>
  <c r="D353" i="6"/>
  <c r="C353" i="6"/>
  <c r="B353" i="6"/>
  <c r="S352" i="6"/>
  <c r="R352" i="6"/>
  <c r="Q352" i="6"/>
  <c r="P352" i="6"/>
  <c r="O352" i="6"/>
  <c r="N352" i="6"/>
  <c r="M352" i="6"/>
  <c r="L352" i="6"/>
  <c r="K352" i="6"/>
  <c r="J352" i="6"/>
  <c r="I352" i="6"/>
  <c r="H352" i="6"/>
  <c r="G352" i="6"/>
  <c r="F352" i="6"/>
  <c r="E352" i="6"/>
  <c r="D352" i="6"/>
  <c r="C352" i="6"/>
  <c r="B352" i="6"/>
  <c r="S351" i="6"/>
  <c r="R351" i="6"/>
  <c r="Q351" i="6"/>
  <c r="P351" i="6"/>
  <c r="O351" i="6"/>
  <c r="N351" i="6"/>
  <c r="M351" i="6"/>
  <c r="L351" i="6"/>
  <c r="K351" i="6"/>
  <c r="J351" i="6"/>
  <c r="I351" i="6"/>
  <c r="H351" i="6"/>
  <c r="G351" i="6"/>
  <c r="F351" i="6"/>
  <c r="E351" i="6"/>
  <c r="D351" i="6"/>
  <c r="C351" i="6"/>
  <c r="B351" i="6"/>
  <c r="S350" i="6"/>
  <c r="R350" i="6"/>
  <c r="Q350" i="6"/>
  <c r="P350" i="6"/>
  <c r="O350" i="6"/>
  <c r="N350" i="6"/>
  <c r="M350" i="6"/>
  <c r="L350" i="6"/>
  <c r="K350" i="6"/>
  <c r="J350" i="6"/>
  <c r="I350" i="6"/>
  <c r="H350" i="6"/>
  <c r="G350" i="6"/>
  <c r="F350" i="6"/>
  <c r="E350" i="6"/>
  <c r="D350" i="6"/>
  <c r="C350" i="6"/>
  <c r="B350" i="6"/>
  <c r="S349" i="6"/>
  <c r="R349" i="6"/>
  <c r="Q349" i="6"/>
  <c r="P349" i="6"/>
  <c r="O349" i="6"/>
  <c r="N349" i="6"/>
  <c r="M349" i="6"/>
  <c r="L349" i="6"/>
  <c r="K349" i="6"/>
  <c r="J349" i="6"/>
  <c r="I349" i="6"/>
  <c r="H349" i="6"/>
  <c r="G349" i="6"/>
  <c r="F349" i="6"/>
  <c r="E349" i="6"/>
  <c r="D349" i="6"/>
  <c r="C349" i="6"/>
  <c r="B349" i="6"/>
  <c r="S348" i="6"/>
  <c r="R348" i="6"/>
  <c r="Q348" i="6"/>
  <c r="P348" i="6"/>
  <c r="O348" i="6"/>
  <c r="N348" i="6"/>
  <c r="M348" i="6"/>
  <c r="L348" i="6"/>
  <c r="K348" i="6"/>
  <c r="J348" i="6"/>
  <c r="I348" i="6"/>
  <c r="H348" i="6"/>
  <c r="G348" i="6"/>
  <c r="F348" i="6"/>
  <c r="E348" i="6"/>
  <c r="D348" i="6"/>
  <c r="C348" i="6"/>
  <c r="B348" i="6"/>
  <c r="S347" i="6"/>
  <c r="R347" i="6"/>
  <c r="Q347" i="6"/>
  <c r="P347" i="6"/>
  <c r="O347" i="6"/>
  <c r="N347" i="6"/>
  <c r="M347" i="6"/>
  <c r="L347" i="6"/>
  <c r="K347" i="6"/>
  <c r="J347" i="6"/>
  <c r="I347" i="6"/>
  <c r="H347" i="6"/>
  <c r="G347" i="6"/>
  <c r="F347" i="6"/>
  <c r="E347" i="6"/>
  <c r="D347" i="6"/>
  <c r="C347" i="6"/>
  <c r="B347" i="6"/>
  <c r="S346" i="6"/>
  <c r="R346" i="6"/>
  <c r="Q346" i="6"/>
  <c r="P346" i="6"/>
  <c r="O346" i="6"/>
  <c r="N346" i="6"/>
  <c r="M346" i="6"/>
  <c r="L346" i="6"/>
  <c r="K346" i="6"/>
  <c r="J346" i="6"/>
  <c r="I346" i="6"/>
  <c r="H346" i="6"/>
  <c r="G346" i="6"/>
  <c r="F346" i="6"/>
  <c r="E346" i="6"/>
  <c r="D346" i="6"/>
  <c r="C346" i="6"/>
  <c r="B346" i="6"/>
  <c r="S345" i="6"/>
  <c r="R345" i="6"/>
  <c r="Q345" i="6"/>
  <c r="P345" i="6"/>
  <c r="O345" i="6"/>
  <c r="N345" i="6"/>
  <c r="M345" i="6"/>
  <c r="L345" i="6"/>
  <c r="K345" i="6"/>
  <c r="J345" i="6"/>
  <c r="I345" i="6"/>
  <c r="H345" i="6"/>
  <c r="G345" i="6"/>
  <c r="F345" i="6"/>
  <c r="E345" i="6"/>
  <c r="D345" i="6"/>
  <c r="C345" i="6"/>
  <c r="B345" i="6"/>
  <c r="S344" i="6"/>
  <c r="R344" i="6"/>
  <c r="Q344" i="6"/>
  <c r="P344" i="6"/>
  <c r="O344" i="6"/>
  <c r="N344" i="6"/>
  <c r="M344" i="6"/>
  <c r="L344" i="6"/>
  <c r="K344" i="6"/>
  <c r="J344" i="6"/>
  <c r="I344" i="6"/>
  <c r="H344" i="6"/>
  <c r="G344" i="6"/>
  <c r="F344" i="6"/>
  <c r="E344" i="6"/>
  <c r="D344" i="6"/>
  <c r="C344" i="6"/>
  <c r="B344" i="6"/>
  <c r="S343" i="6"/>
  <c r="R343" i="6"/>
  <c r="Q343" i="6"/>
  <c r="P343" i="6"/>
  <c r="O343" i="6"/>
  <c r="N343" i="6"/>
  <c r="M343" i="6"/>
  <c r="L343" i="6"/>
  <c r="K343" i="6"/>
  <c r="J343" i="6"/>
  <c r="I343" i="6"/>
  <c r="H343" i="6"/>
  <c r="G343" i="6"/>
  <c r="F343" i="6"/>
  <c r="E343" i="6"/>
  <c r="D343" i="6"/>
  <c r="C343" i="6"/>
  <c r="B343" i="6"/>
  <c r="S342" i="6"/>
  <c r="R342" i="6"/>
  <c r="Q342" i="6"/>
  <c r="P342" i="6"/>
  <c r="O342" i="6"/>
  <c r="N342" i="6"/>
  <c r="M342" i="6"/>
  <c r="L342" i="6"/>
  <c r="K342" i="6"/>
  <c r="J342" i="6"/>
  <c r="I342" i="6"/>
  <c r="H342" i="6"/>
  <c r="G342" i="6"/>
  <c r="F342" i="6"/>
  <c r="E342" i="6"/>
  <c r="D342" i="6"/>
  <c r="C342" i="6"/>
  <c r="B342" i="6"/>
  <c r="S341" i="6"/>
  <c r="R341" i="6"/>
  <c r="Q341" i="6"/>
  <c r="P341" i="6"/>
  <c r="O341" i="6"/>
  <c r="N341" i="6"/>
  <c r="M341" i="6"/>
  <c r="L341" i="6"/>
  <c r="K341" i="6"/>
  <c r="J341" i="6"/>
  <c r="I341" i="6"/>
  <c r="H341" i="6"/>
  <c r="G341" i="6"/>
  <c r="F341" i="6"/>
  <c r="E341" i="6"/>
  <c r="D341" i="6"/>
  <c r="C341" i="6"/>
  <c r="B341" i="6"/>
  <c r="S340" i="6"/>
  <c r="R340" i="6"/>
  <c r="Q340" i="6"/>
  <c r="P340" i="6"/>
  <c r="O340" i="6"/>
  <c r="N340" i="6"/>
  <c r="M340" i="6"/>
  <c r="L340" i="6"/>
  <c r="K340" i="6"/>
  <c r="J340" i="6"/>
  <c r="I340" i="6"/>
  <c r="H340" i="6"/>
  <c r="G340" i="6"/>
  <c r="F340" i="6"/>
  <c r="E340" i="6"/>
  <c r="D340" i="6"/>
  <c r="C340" i="6"/>
  <c r="B340" i="6"/>
  <c r="S339" i="6"/>
  <c r="R339" i="6"/>
  <c r="Q339" i="6"/>
  <c r="P339" i="6"/>
  <c r="O339" i="6"/>
  <c r="N339" i="6"/>
  <c r="M339" i="6"/>
  <c r="L339" i="6"/>
  <c r="K339" i="6"/>
  <c r="J339" i="6"/>
  <c r="I339" i="6"/>
  <c r="H339" i="6"/>
  <c r="G339" i="6"/>
  <c r="F339" i="6"/>
  <c r="E339" i="6"/>
  <c r="D339" i="6"/>
  <c r="C339" i="6"/>
  <c r="B339" i="6"/>
  <c r="S338" i="6"/>
  <c r="R338" i="6"/>
  <c r="Q338" i="6"/>
  <c r="P338" i="6"/>
  <c r="O338" i="6"/>
  <c r="N338" i="6"/>
  <c r="M338" i="6"/>
  <c r="L338" i="6"/>
  <c r="K338" i="6"/>
  <c r="J338" i="6"/>
  <c r="I338" i="6"/>
  <c r="H338" i="6"/>
  <c r="G338" i="6"/>
  <c r="F338" i="6"/>
  <c r="E338" i="6"/>
  <c r="D338" i="6"/>
  <c r="C338" i="6"/>
  <c r="B338" i="6"/>
  <c r="S337" i="6"/>
  <c r="R337" i="6"/>
  <c r="Q337" i="6"/>
  <c r="P337" i="6"/>
  <c r="O337" i="6"/>
  <c r="N337" i="6"/>
  <c r="M337" i="6"/>
  <c r="L337" i="6"/>
  <c r="K337" i="6"/>
  <c r="J337" i="6"/>
  <c r="I337" i="6"/>
  <c r="H337" i="6"/>
  <c r="G337" i="6"/>
  <c r="F337" i="6"/>
  <c r="E337" i="6"/>
  <c r="D337" i="6"/>
  <c r="C337" i="6"/>
  <c r="B337" i="6"/>
  <c r="S336" i="6"/>
  <c r="R336" i="6"/>
  <c r="Q336" i="6"/>
  <c r="P336" i="6"/>
  <c r="O336" i="6"/>
  <c r="N336" i="6"/>
  <c r="M336" i="6"/>
  <c r="L336" i="6"/>
  <c r="K336" i="6"/>
  <c r="J336" i="6"/>
  <c r="I336" i="6"/>
  <c r="H336" i="6"/>
  <c r="G336" i="6"/>
  <c r="F336" i="6"/>
  <c r="E336" i="6"/>
  <c r="D336" i="6"/>
  <c r="C336" i="6"/>
  <c r="B336" i="6"/>
  <c r="S335" i="6"/>
  <c r="R335" i="6"/>
  <c r="Q335" i="6"/>
  <c r="P335" i="6"/>
  <c r="O335" i="6"/>
  <c r="N335" i="6"/>
  <c r="M335" i="6"/>
  <c r="L335" i="6"/>
  <c r="K335" i="6"/>
  <c r="J335" i="6"/>
  <c r="I335" i="6"/>
  <c r="H335" i="6"/>
  <c r="G335" i="6"/>
  <c r="F335" i="6"/>
  <c r="E335" i="6"/>
  <c r="D335" i="6"/>
  <c r="C335" i="6"/>
  <c r="B335" i="6"/>
  <c r="S334" i="6"/>
  <c r="R334" i="6"/>
  <c r="Q334" i="6"/>
  <c r="P334" i="6"/>
  <c r="O334" i="6"/>
  <c r="N334" i="6"/>
  <c r="M334" i="6"/>
  <c r="L334" i="6"/>
  <c r="K334" i="6"/>
  <c r="J334" i="6"/>
  <c r="I334" i="6"/>
  <c r="H334" i="6"/>
  <c r="G334" i="6"/>
  <c r="F334" i="6"/>
  <c r="E334" i="6"/>
  <c r="D334" i="6"/>
  <c r="C334" i="6"/>
  <c r="B334" i="6"/>
  <c r="S333" i="6"/>
  <c r="R333" i="6"/>
  <c r="Q333" i="6"/>
  <c r="P333" i="6"/>
  <c r="O333" i="6"/>
  <c r="N333" i="6"/>
  <c r="M333" i="6"/>
  <c r="L333" i="6"/>
  <c r="K333" i="6"/>
  <c r="J333" i="6"/>
  <c r="I333" i="6"/>
  <c r="H333" i="6"/>
  <c r="G333" i="6"/>
  <c r="F333" i="6"/>
  <c r="E333" i="6"/>
  <c r="D333" i="6"/>
  <c r="C333" i="6"/>
  <c r="B333" i="6"/>
  <c r="S332" i="6"/>
  <c r="R332" i="6"/>
  <c r="Q332" i="6"/>
  <c r="P332" i="6"/>
  <c r="O332" i="6"/>
  <c r="N332" i="6"/>
  <c r="M332" i="6"/>
  <c r="L332" i="6"/>
  <c r="K332" i="6"/>
  <c r="J332" i="6"/>
  <c r="I332" i="6"/>
  <c r="H332" i="6"/>
  <c r="G332" i="6"/>
  <c r="F332" i="6"/>
  <c r="E332" i="6"/>
  <c r="D332" i="6"/>
  <c r="C332" i="6"/>
  <c r="B332" i="6"/>
  <c r="S331" i="6"/>
  <c r="R331" i="6"/>
  <c r="Q331" i="6"/>
  <c r="P331" i="6"/>
  <c r="O331" i="6"/>
  <c r="N331" i="6"/>
  <c r="M331" i="6"/>
  <c r="L331" i="6"/>
  <c r="K331" i="6"/>
  <c r="J331" i="6"/>
  <c r="I331" i="6"/>
  <c r="H331" i="6"/>
  <c r="G331" i="6"/>
  <c r="F331" i="6"/>
  <c r="E331" i="6"/>
  <c r="D331" i="6"/>
  <c r="C331" i="6"/>
  <c r="B331" i="6"/>
  <c r="S330" i="6"/>
  <c r="R330" i="6"/>
  <c r="Q330" i="6"/>
  <c r="P330" i="6"/>
  <c r="O330" i="6"/>
  <c r="N330" i="6"/>
  <c r="M330" i="6"/>
  <c r="L330" i="6"/>
  <c r="K330" i="6"/>
  <c r="J330" i="6"/>
  <c r="I330" i="6"/>
  <c r="H330" i="6"/>
  <c r="G330" i="6"/>
  <c r="F330" i="6"/>
  <c r="E330" i="6"/>
  <c r="D330" i="6"/>
  <c r="C330" i="6"/>
  <c r="B330" i="6"/>
  <c r="S329" i="6"/>
  <c r="R329" i="6"/>
  <c r="Q329" i="6"/>
  <c r="P329" i="6"/>
  <c r="O329" i="6"/>
  <c r="N329" i="6"/>
  <c r="M329" i="6"/>
  <c r="L329" i="6"/>
  <c r="K329" i="6"/>
  <c r="J329" i="6"/>
  <c r="I329" i="6"/>
  <c r="H329" i="6"/>
  <c r="G329" i="6"/>
  <c r="F329" i="6"/>
  <c r="E329" i="6"/>
  <c r="D329" i="6"/>
  <c r="C329" i="6"/>
  <c r="B329" i="6"/>
  <c r="S328" i="6"/>
  <c r="R328" i="6"/>
  <c r="Q328" i="6"/>
  <c r="P328" i="6"/>
  <c r="O328" i="6"/>
  <c r="N328" i="6"/>
  <c r="M328" i="6"/>
  <c r="L328" i="6"/>
  <c r="K328" i="6"/>
  <c r="J328" i="6"/>
  <c r="I328" i="6"/>
  <c r="H328" i="6"/>
  <c r="G328" i="6"/>
  <c r="F328" i="6"/>
  <c r="E328" i="6"/>
  <c r="D328" i="6"/>
  <c r="C328" i="6"/>
  <c r="B328" i="6"/>
  <c r="S327" i="6"/>
  <c r="R327" i="6"/>
  <c r="Q327" i="6"/>
  <c r="P327" i="6"/>
  <c r="O327" i="6"/>
  <c r="N327" i="6"/>
  <c r="M327" i="6"/>
  <c r="L327" i="6"/>
  <c r="K327" i="6"/>
  <c r="J327" i="6"/>
  <c r="I327" i="6"/>
  <c r="H327" i="6"/>
  <c r="G327" i="6"/>
  <c r="F327" i="6"/>
  <c r="E327" i="6"/>
  <c r="D327" i="6"/>
  <c r="C327" i="6"/>
  <c r="B327" i="6"/>
  <c r="S326" i="6"/>
  <c r="R326" i="6"/>
  <c r="Q326" i="6"/>
  <c r="P326" i="6"/>
  <c r="O326" i="6"/>
  <c r="N326" i="6"/>
  <c r="M326" i="6"/>
  <c r="L326" i="6"/>
  <c r="K326" i="6"/>
  <c r="J326" i="6"/>
  <c r="I326" i="6"/>
  <c r="H326" i="6"/>
  <c r="G326" i="6"/>
  <c r="F326" i="6"/>
  <c r="E326" i="6"/>
  <c r="D326" i="6"/>
  <c r="C326" i="6"/>
  <c r="B326" i="6"/>
  <c r="S325" i="6"/>
  <c r="R325" i="6"/>
  <c r="Q325" i="6"/>
  <c r="P325" i="6"/>
  <c r="O325" i="6"/>
  <c r="N325" i="6"/>
  <c r="M325" i="6"/>
  <c r="L325" i="6"/>
  <c r="K325" i="6"/>
  <c r="J325" i="6"/>
  <c r="I325" i="6"/>
  <c r="H325" i="6"/>
  <c r="G325" i="6"/>
  <c r="F325" i="6"/>
  <c r="E325" i="6"/>
  <c r="D325" i="6"/>
  <c r="C325" i="6"/>
  <c r="B325" i="6"/>
  <c r="S324" i="6"/>
  <c r="R324" i="6"/>
  <c r="Q324" i="6"/>
  <c r="P324" i="6"/>
  <c r="O324" i="6"/>
  <c r="N324" i="6"/>
  <c r="M324" i="6"/>
  <c r="L324" i="6"/>
  <c r="K324" i="6"/>
  <c r="J324" i="6"/>
  <c r="I324" i="6"/>
  <c r="H324" i="6"/>
  <c r="G324" i="6"/>
  <c r="F324" i="6"/>
  <c r="E324" i="6"/>
  <c r="D324" i="6"/>
  <c r="C324" i="6"/>
  <c r="B324" i="6"/>
  <c r="S323" i="6"/>
  <c r="R323" i="6"/>
  <c r="Q323" i="6"/>
  <c r="P323" i="6"/>
  <c r="O323" i="6"/>
  <c r="N323" i="6"/>
  <c r="M323" i="6"/>
  <c r="L323" i="6"/>
  <c r="K323" i="6"/>
  <c r="J323" i="6"/>
  <c r="I323" i="6"/>
  <c r="H323" i="6"/>
  <c r="G323" i="6"/>
  <c r="F323" i="6"/>
  <c r="E323" i="6"/>
  <c r="D323" i="6"/>
  <c r="C323" i="6"/>
  <c r="B323" i="6"/>
  <c r="S322" i="6"/>
  <c r="R322" i="6"/>
  <c r="Q322" i="6"/>
  <c r="P322" i="6"/>
  <c r="O322" i="6"/>
  <c r="N322" i="6"/>
  <c r="M322" i="6"/>
  <c r="L322" i="6"/>
  <c r="K322" i="6"/>
  <c r="J322" i="6"/>
  <c r="I322" i="6"/>
  <c r="H322" i="6"/>
  <c r="G322" i="6"/>
  <c r="F322" i="6"/>
  <c r="E322" i="6"/>
  <c r="D322" i="6"/>
  <c r="C322" i="6"/>
  <c r="B322" i="6"/>
  <c r="S321" i="6"/>
  <c r="R321" i="6"/>
  <c r="Q321" i="6"/>
  <c r="P321" i="6"/>
  <c r="O321" i="6"/>
  <c r="N321" i="6"/>
  <c r="M321" i="6"/>
  <c r="L321" i="6"/>
  <c r="K321" i="6"/>
  <c r="J321" i="6"/>
  <c r="I321" i="6"/>
  <c r="H321" i="6"/>
  <c r="G321" i="6"/>
  <c r="F321" i="6"/>
  <c r="E321" i="6"/>
  <c r="D321" i="6"/>
  <c r="C321" i="6"/>
  <c r="B321" i="6"/>
  <c r="S320" i="6"/>
  <c r="R320" i="6"/>
  <c r="Q320" i="6"/>
  <c r="P320" i="6"/>
  <c r="O320" i="6"/>
  <c r="N320" i="6"/>
  <c r="M320" i="6"/>
  <c r="L320" i="6"/>
  <c r="K320" i="6"/>
  <c r="J320" i="6"/>
  <c r="I320" i="6"/>
  <c r="H320" i="6"/>
  <c r="G320" i="6"/>
  <c r="F320" i="6"/>
  <c r="E320" i="6"/>
  <c r="D320" i="6"/>
  <c r="C320" i="6"/>
  <c r="B320" i="6"/>
  <c r="S319" i="6"/>
  <c r="R319" i="6"/>
  <c r="Q319" i="6"/>
  <c r="P319" i="6"/>
  <c r="O319" i="6"/>
  <c r="N319" i="6"/>
  <c r="M319" i="6"/>
  <c r="L319" i="6"/>
  <c r="K319" i="6"/>
  <c r="J319" i="6"/>
  <c r="I319" i="6"/>
  <c r="H319" i="6"/>
  <c r="G319" i="6"/>
  <c r="F319" i="6"/>
  <c r="E319" i="6"/>
  <c r="D319" i="6"/>
  <c r="C319" i="6"/>
  <c r="B319" i="6"/>
  <c r="S318" i="6"/>
  <c r="R318" i="6"/>
  <c r="Q318" i="6"/>
  <c r="P318" i="6"/>
  <c r="O318" i="6"/>
  <c r="N318" i="6"/>
  <c r="M318" i="6"/>
  <c r="L318" i="6"/>
  <c r="K318" i="6"/>
  <c r="J318" i="6"/>
  <c r="I318" i="6"/>
  <c r="H318" i="6"/>
  <c r="G318" i="6"/>
  <c r="F318" i="6"/>
  <c r="E318" i="6"/>
  <c r="D318" i="6"/>
  <c r="C318" i="6"/>
  <c r="B318" i="6"/>
  <c r="S317" i="6"/>
  <c r="R317" i="6"/>
  <c r="Q317" i="6"/>
  <c r="P317" i="6"/>
  <c r="O317" i="6"/>
  <c r="N317" i="6"/>
  <c r="M317" i="6"/>
  <c r="L317" i="6"/>
  <c r="K317" i="6"/>
  <c r="J317" i="6"/>
  <c r="I317" i="6"/>
  <c r="H317" i="6"/>
  <c r="G317" i="6"/>
  <c r="F317" i="6"/>
  <c r="E317" i="6"/>
  <c r="D317" i="6"/>
  <c r="C317" i="6"/>
  <c r="B317" i="6"/>
  <c r="S316" i="6"/>
  <c r="R316" i="6"/>
  <c r="Q316" i="6"/>
  <c r="P316" i="6"/>
  <c r="O316" i="6"/>
  <c r="N316" i="6"/>
  <c r="M316" i="6"/>
  <c r="L316" i="6"/>
  <c r="K316" i="6"/>
  <c r="J316" i="6"/>
  <c r="I316" i="6"/>
  <c r="H316" i="6"/>
  <c r="G316" i="6"/>
  <c r="F316" i="6"/>
  <c r="E316" i="6"/>
  <c r="D316" i="6"/>
  <c r="C316" i="6"/>
  <c r="B316" i="6"/>
  <c r="S315" i="6"/>
  <c r="R315" i="6"/>
  <c r="Q315" i="6"/>
  <c r="P315" i="6"/>
  <c r="O315" i="6"/>
  <c r="N315" i="6"/>
  <c r="M315" i="6"/>
  <c r="L315" i="6"/>
  <c r="K315" i="6"/>
  <c r="J315" i="6"/>
  <c r="I315" i="6"/>
  <c r="H315" i="6"/>
  <c r="G315" i="6"/>
  <c r="F315" i="6"/>
  <c r="E315" i="6"/>
  <c r="D315" i="6"/>
  <c r="C315" i="6"/>
  <c r="B315" i="6"/>
  <c r="S314" i="6"/>
  <c r="R314" i="6"/>
  <c r="Q314" i="6"/>
  <c r="P314" i="6"/>
  <c r="O314" i="6"/>
  <c r="N314" i="6"/>
  <c r="M314" i="6"/>
  <c r="L314" i="6"/>
  <c r="K314" i="6"/>
  <c r="J314" i="6"/>
  <c r="I314" i="6"/>
  <c r="H314" i="6"/>
  <c r="G314" i="6"/>
  <c r="F314" i="6"/>
  <c r="E314" i="6"/>
  <c r="D314" i="6"/>
  <c r="C314" i="6"/>
  <c r="B314" i="6"/>
  <c r="S313" i="6"/>
  <c r="R313" i="6"/>
  <c r="Q313" i="6"/>
  <c r="P313" i="6"/>
  <c r="O313" i="6"/>
  <c r="N313" i="6"/>
  <c r="M313" i="6"/>
  <c r="L313" i="6"/>
  <c r="K313" i="6"/>
  <c r="J313" i="6"/>
  <c r="I313" i="6"/>
  <c r="H313" i="6"/>
  <c r="G313" i="6"/>
  <c r="F313" i="6"/>
  <c r="E313" i="6"/>
  <c r="D313" i="6"/>
  <c r="C313" i="6"/>
  <c r="B313" i="6"/>
  <c r="S312" i="6"/>
  <c r="R312" i="6"/>
  <c r="Q312" i="6"/>
  <c r="P312" i="6"/>
  <c r="O312" i="6"/>
  <c r="N312" i="6"/>
  <c r="M312" i="6"/>
  <c r="L312" i="6"/>
  <c r="K312" i="6"/>
  <c r="J312" i="6"/>
  <c r="I312" i="6"/>
  <c r="H312" i="6"/>
  <c r="G312" i="6"/>
  <c r="F312" i="6"/>
  <c r="E312" i="6"/>
  <c r="D312" i="6"/>
  <c r="C312" i="6"/>
  <c r="B312" i="6"/>
  <c r="S311" i="6"/>
  <c r="R311" i="6"/>
  <c r="Q311" i="6"/>
  <c r="P311" i="6"/>
  <c r="O311" i="6"/>
  <c r="N311" i="6"/>
  <c r="M311" i="6"/>
  <c r="L311" i="6"/>
  <c r="K311" i="6"/>
  <c r="J311" i="6"/>
  <c r="I311" i="6"/>
  <c r="H311" i="6"/>
  <c r="G311" i="6"/>
  <c r="F311" i="6"/>
  <c r="E311" i="6"/>
  <c r="D311" i="6"/>
  <c r="C311" i="6"/>
  <c r="B311" i="6"/>
  <c r="S310" i="6"/>
  <c r="R310" i="6"/>
  <c r="Q310" i="6"/>
  <c r="P310" i="6"/>
  <c r="O310" i="6"/>
  <c r="N310" i="6"/>
  <c r="M310" i="6"/>
  <c r="L310" i="6"/>
  <c r="K310" i="6"/>
  <c r="J310" i="6"/>
  <c r="I310" i="6"/>
  <c r="H310" i="6"/>
  <c r="G310" i="6"/>
  <c r="F310" i="6"/>
  <c r="E310" i="6"/>
  <c r="D310" i="6"/>
  <c r="C310" i="6"/>
  <c r="B310" i="6"/>
  <c r="S309" i="6"/>
  <c r="R309" i="6"/>
  <c r="Q309" i="6"/>
  <c r="P309" i="6"/>
  <c r="O309" i="6"/>
  <c r="N309" i="6"/>
  <c r="M309" i="6"/>
  <c r="L309" i="6"/>
  <c r="K309" i="6"/>
  <c r="J309" i="6"/>
  <c r="I309" i="6"/>
  <c r="H309" i="6"/>
  <c r="G309" i="6"/>
  <c r="F309" i="6"/>
  <c r="E309" i="6"/>
  <c r="D309" i="6"/>
  <c r="C309" i="6"/>
  <c r="B309" i="6"/>
  <c r="S308" i="6"/>
  <c r="R308" i="6"/>
  <c r="Q308" i="6"/>
  <c r="P308" i="6"/>
  <c r="O308" i="6"/>
  <c r="N308" i="6"/>
  <c r="M308" i="6"/>
  <c r="L308" i="6"/>
  <c r="K308" i="6"/>
  <c r="J308" i="6"/>
  <c r="I308" i="6"/>
  <c r="H308" i="6"/>
  <c r="G308" i="6"/>
  <c r="F308" i="6"/>
  <c r="E308" i="6"/>
  <c r="D308" i="6"/>
  <c r="C308" i="6"/>
  <c r="B308" i="6"/>
  <c r="S307" i="6"/>
  <c r="R307" i="6"/>
  <c r="Q307" i="6"/>
  <c r="P307" i="6"/>
  <c r="O307" i="6"/>
  <c r="N307" i="6"/>
  <c r="M307" i="6"/>
  <c r="L307" i="6"/>
  <c r="K307" i="6"/>
  <c r="J307" i="6"/>
  <c r="I307" i="6"/>
  <c r="H307" i="6"/>
  <c r="G307" i="6"/>
  <c r="F307" i="6"/>
  <c r="E307" i="6"/>
  <c r="D307" i="6"/>
  <c r="C307" i="6"/>
  <c r="B307" i="6"/>
  <c r="S306" i="6"/>
  <c r="R306" i="6"/>
  <c r="Q306" i="6"/>
  <c r="P306" i="6"/>
  <c r="O306" i="6"/>
  <c r="N306" i="6"/>
  <c r="M306" i="6"/>
  <c r="L306" i="6"/>
  <c r="K306" i="6"/>
  <c r="J306" i="6"/>
  <c r="I306" i="6"/>
  <c r="H306" i="6"/>
  <c r="G306" i="6"/>
  <c r="F306" i="6"/>
  <c r="E306" i="6"/>
  <c r="D306" i="6"/>
  <c r="C306" i="6"/>
  <c r="B306" i="6"/>
  <c r="S305" i="6"/>
  <c r="R305" i="6"/>
  <c r="Q305" i="6"/>
  <c r="P305" i="6"/>
  <c r="O305" i="6"/>
  <c r="N305" i="6"/>
  <c r="M305" i="6"/>
  <c r="L305" i="6"/>
  <c r="K305" i="6"/>
  <c r="J305" i="6"/>
  <c r="I305" i="6"/>
  <c r="H305" i="6"/>
  <c r="G305" i="6"/>
  <c r="F305" i="6"/>
  <c r="E305" i="6"/>
  <c r="D305" i="6"/>
  <c r="C305" i="6"/>
  <c r="B305" i="6"/>
  <c r="S304" i="6"/>
  <c r="R304" i="6"/>
  <c r="Q304" i="6"/>
  <c r="P304" i="6"/>
  <c r="O304" i="6"/>
  <c r="N304" i="6"/>
  <c r="M304" i="6"/>
  <c r="L304" i="6"/>
  <c r="K304" i="6"/>
  <c r="J304" i="6"/>
  <c r="I304" i="6"/>
  <c r="H304" i="6"/>
  <c r="G304" i="6"/>
  <c r="F304" i="6"/>
  <c r="E304" i="6"/>
  <c r="D304" i="6"/>
  <c r="C304" i="6"/>
  <c r="B304" i="6"/>
  <c r="S303" i="6"/>
  <c r="R303" i="6"/>
  <c r="Q303" i="6"/>
  <c r="P303" i="6"/>
  <c r="O303" i="6"/>
  <c r="N303" i="6"/>
  <c r="M303" i="6"/>
  <c r="L303" i="6"/>
  <c r="K303" i="6"/>
  <c r="J303" i="6"/>
  <c r="I303" i="6"/>
  <c r="H303" i="6"/>
  <c r="G303" i="6"/>
  <c r="F303" i="6"/>
  <c r="E303" i="6"/>
  <c r="D303" i="6"/>
  <c r="C303" i="6"/>
  <c r="B303" i="6"/>
  <c r="S302" i="6"/>
  <c r="R302" i="6"/>
  <c r="Q302" i="6"/>
  <c r="P302" i="6"/>
  <c r="O302" i="6"/>
  <c r="N302" i="6"/>
  <c r="M302" i="6"/>
  <c r="L302" i="6"/>
  <c r="K302" i="6"/>
  <c r="J302" i="6"/>
  <c r="I302" i="6"/>
  <c r="H302" i="6"/>
  <c r="G302" i="6"/>
  <c r="F302" i="6"/>
  <c r="E302" i="6"/>
  <c r="D302" i="6"/>
  <c r="C302" i="6"/>
  <c r="B302" i="6"/>
  <c r="S301" i="6"/>
  <c r="R301" i="6"/>
  <c r="Q301" i="6"/>
  <c r="P301" i="6"/>
  <c r="O301" i="6"/>
  <c r="N301" i="6"/>
  <c r="M301" i="6"/>
  <c r="L301" i="6"/>
  <c r="K301" i="6"/>
  <c r="J301" i="6"/>
  <c r="I301" i="6"/>
  <c r="H301" i="6"/>
  <c r="G301" i="6"/>
  <c r="F301" i="6"/>
  <c r="E301" i="6"/>
  <c r="D301" i="6"/>
  <c r="C301" i="6"/>
  <c r="B301" i="6"/>
  <c r="S300" i="6"/>
  <c r="R300" i="6"/>
  <c r="Q300" i="6"/>
  <c r="P300" i="6"/>
  <c r="O300" i="6"/>
  <c r="N300" i="6"/>
  <c r="M300" i="6"/>
  <c r="L300" i="6"/>
  <c r="K300" i="6"/>
  <c r="J300" i="6"/>
  <c r="I300" i="6"/>
  <c r="H300" i="6"/>
  <c r="G300" i="6"/>
  <c r="F300" i="6"/>
  <c r="E300" i="6"/>
  <c r="D300" i="6"/>
  <c r="C300" i="6"/>
  <c r="B300" i="6"/>
  <c r="S299" i="6"/>
  <c r="R299" i="6"/>
  <c r="Q299" i="6"/>
  <c r="P299" i="6"/>
  <c r="O299" i="6"/>
  <c r="N299" i="6"/>
  <c r="M299" i="6"/>
  <c r="L299" i="6"/>
  <c r="K299" i="6"/>
  <c r="J299" i="6"/>
  <c r="I299" i="6"/>
  <c r="H299" i="6"/>
  <c r="G299" i="6"/>
  <c r="F299" i="6"/>
  <c r="E299" i="6"/>
  <c r="D299" i="6"/>
  <c r="C299" i="6"/>
  <c r="B299" i="6"/>
  <c r="S298" i="6"/>
  <c r="R298" i="6"/>
  <c r="Q298" i="6"/>
  <c r="P298" i="6"/>
  <c r="O298" i="6"/>
  <c r="N298" i="6"/>
  <c r="M298" i="6"/>
  <c r="L298" i="6"/>
  <c r="K298" i="6"/>
  <c r="J298" i="6"/>
  <c r="I298" i="6"/>
  <c r="H298" i="6"/>
  <c r="G298" i="6"/>
  <c r="F298" i="6"/>
  <c r="E298" i="6"/>
  <c r="D298" i="6"/>
  <c r="C298" i="6"/>
  <c r="B298" i="6"/>
  <c r="S297" i="6"/>
  <c r="R297" i="6"/>
  <c r="Q297" i="6"/>
  <c r="P297" i="6"/>
  <c r="O297" i="6"/>
  <c r="N297" i="6"/>
  <c r="M297" i="6"/>
  <c r="L297" i="6"/>
  <c r="K297" i="6"/>
  <c r="J297" i="6"/>
  <c r="I297" i="6"/>
  <c r="H297" i="6"/>
  <c r="G297" i="6"/>
  <c r="F297" i="6"/>
  <c r="E297" i="6"/>
  <c r="D297" i="6"/>
  <c r="C297" i="6"/>
  <c r="B297" i="6"/>
  <c r="S296" i="6"/>
  <c r="R296" i="6"/>
  <c r="Q296" i="6"/>
  <c r="P296" i="6"/>
  <c r="O296" i="6"/>
  <c r="N296" i="6"/>
  <c r="M296" i="6"/>
  <c r="L296" i="6"/>
  <c r="K296" i="6"/>
  <c r="J296" i="6"/>
  <c r="I296" i="6"/>
  <c r="H296" i="6"/>
  <c r="G296" i="6"/>
  <c r="F296" i="6"/>
  <c r="E296" i="6"/>
  <c r="D296" i="6"/>
  <c r="C296" i="6"/>
  <c r="B296" i="6"/>
  <c r="S295" i="6"/>
  <c r="R295" i="6"/>
  <c r="Q295" i="6"/>
  <c r="P295" i="6"/>
  <c r="O295" i="6"/>
  <c r="N295" i="6"/>
  <c r="M295" i="6"/>
  <c r="L295" i="6"/>
  <c r="K295" i="6"/>
  <c r="J295" i="6"/>
  <c r="I295" i="6"/>
  <c r="H295" i="6"/>
  <c r="G295" i="6"/>
  <c r="F295" i="6"/>
  <c r="E295" i="6"/>
  <c r="D295" i="6"/>
  <c r="C295" i="6"/>
  <c r="B295" i="6"/>
  <c r="S294" i="6"/>
  <c r="R294" i="6"/>
  <c r="Q294" i="6"/>
  <c r="P294" i="6"/>
  <c r="O294" i="6"/>
  <c r="N294" i="6"/>
  <c r="M294" i="6"/>
  <c r="L294" i="6"/>
  <c r="K294" i="6"/>
  <c r="J294" i="6"/>
  <c r="I294" i="6"/>
  <c r="H294" i="6"/>
  <c r="G294" i="6"/>
  <c r="F294" i="6"/>
  <c r="E294" i="6"/>
  <c r="D294" i="6"/>
  <c r="C294" i="6"/>
  <c r="B294" i="6"/>
  <c r="S293" i="6"/>
  <c r="R293" i="6"/>
  <c r="Q293" i="6"/>
  <c r="P293" i="6"/>
  <c r="O293" i="6"/>
  <c r="N293" i="6"/>
  <c r="M293" i="6"/>
  <c r="L293" i="6"/>
  <c r="K293" i="6"/>
  <c r="J293" i="6"/>
  <c r="I293" i="6"/>
  <c r="H293" i="6"/>
  <c r="G293" i="6"/>
  <c r="F293" i="6"/>
  <c r="E293" i="6"/>
  <c r="D293" i="6"/>
  <c r="C293" i="6"/>
  <c r="B293" i="6"/>
  <c r="S292" i="6"/>
  <c r="R292" i="6"/>
  <c r="Q292" i="6"/>
  <c r="P292" i="6"/>
  <c r="O292" i="6"/>
  <c r="N292" i="6"/>
  <c r="M292" i="6"/>
  <c r="L292" i="6"/>
  <c r="K292" i="6"/>
  <c r="J292" i="6"/>
  <c r="I292" i="6"/>
  <c r="H292" i="6"/>
  <c r="G292" i="6"/>
  <c r="F292" i="6"/>
  <c r="E292" i="6"/>
  <c r="D292" i="6"/>
  <c r="C292" i="6"/>
  <c r="B292" i="6"/>
  <c r="S291" i="6"/>
  <c r="R291" i="6"/>
  <c r="Q291" i="6"/>
  <c r="P291" i="6"/>
  <c r="O291" i="6"/>
  <c r="N291" i="6"/>
  <c r="M291" i="6"/>
  <c r="L291" i="6"/>
  <c r="K291" i="6"/>
  <c r="J291" i="6"/>
  <c r="I291" i="6"/>
  <c r="H291" i="6"/>
  <c r="G291" i="6"/>
  <c r="F291" i="6"/>
  <c r="E291" i="6"/>
  <c r="D291" i="6"/>
  <c r="C291" i="6"/>
  <c r="B291" i="6"/>
  <c r="S290" i="6"/>
  <c r="R290" i="6"/>
  <c r="Q290" i="6"/>
  <c r="P290" i="6"/>
  <c r="O290" i="6"/>
  <c r="N290" i="6"/>
  <c r="M290" i="6"/>
  <c r="L290" i="6"/>
  <c r="K290" i="6"/>
  <c r="J290" i="6"/>
  <c r="I290" i="6"/>
  <c r="H290" i="6"/>
  <c r="G290" i="6"/>
  <c r="F290" i="6"/>
  <c r="E290" i="6"/>
  <c r="D290" i="6"/>
  <c r="C290" i="6"/>
  <c r="B290" i="6"/>
  <c r="S289" i="6"/>
  <c r="R289" i="6"/>
  <c r="Q289" i="6"/>
  <c r="P289" i="6"/>
  <c r="O289" i="6"/>
  <c r="N289" i="6"/>
  <c r="M289" i="6"/>
  <c r="L289" i="6"/>
  <c r="K289" i="6"/>
  <c r="J289" i="6"/>
  <c r="I289" i="6"/>
  <c r="H289" i="6"/>
  <c r="G289" i="6"/>
  <c r="F289" i="6"/>
  <c r="E289" i="6"/>
  <c r="D289" i="6"/>
  <c r="C289" i="6"/>
  <c r="B289" i="6"/>
  <c r="S288" i="6"/>
  <c r="R288" i="6"/>
  <c r="Q288" i="6"/>
  <c r="P288" i="6"/>
  <c r="O288" i="6"/>
  <c r="N288" i="6"/>
  <c r="M288" i="6"/>
  <c r="L288" i="6"/>
  <c r="K288" i="6"/>
  <c r="J288" i="6"/>
  <c r="I288" i="6"/>
  <c r="H288" i="6"/>
  <c r="G288" i="6"/>
  <c r="F288" i="6"/>
  <c r="E288" i="6"/>
  <c r="D288" i="6"/>
  <c r="C288" i="6"/>
  <c r="B288" i="6"/>
  <c r="S287" i="6"/>
  <c r="R287" i="6"/>
  <c r="Q287" i="6"/>
  <c r="P287" i="6"/>
  <c r="O287" i="6"/>
  <c r="N287" i="6"/>
  <c r="M287" i="6"/>
  <c r="L287" i="6"/>
  <c r="K287" i="6"/>
  <c r="J287" i="6"/>
  <c r="I287" i="6"/>
  <c r="H287" i="6"/>
  <c r="G287" i="6"/>
  <c r="F287" i="6"/>
  <c r="E287" i="6"/>
  <c r="D287" i="6"/>
  <c r="C287" i="6"/>
  <c r="B287" i="6"/>
  <c r="S286" i="6"/>
  <c r="R286" i="6"/>
  <c r="Q286" i="6"/>
  <c r="P286" i="6"/>
  <c r="O286" i="6"/>
  <c r="N286" i="6"/>
  <c r="M286" i="6"/>
  <c r="L286" i="6"/>
  <c r="K286" i="6"/>
  <c r="J286" i="6"/>
  <c r="I286" i="6"/>
  <c r="H286" i="6"/>
  <c r="G286" i="6"/>
  <c r="F286" i="6"/>
  <c r="E286" i="6"/>
  <c r="D286" i="6"/>
  <c r="C286" i="6"/>
  <c r="B286" i="6"/>
  <c r="S285" i="6"/>
  <c r="R285" i="6"/>
  <c r="Q285" i="6"/>
  <c r="P285" i="6"/>
  <c r="O285" i="6"/>
  <c r="N285" i="6"/>
  <c r="M285" i="6"/>
  <c r="L285" i="6"/>
  <c r="K285" i="6"/>
  <c r="J285" i="6"/>
  <c r="I285" i="6"/>
  <c r="H285" i="6"/>
  <c r="G285" i="6"/>
  <c r="F285" i="6"/>
  <c r="E285" i="6"/>
  <c r="D285" i="6"/>
  <c r="C285" i="6"/>
  <c r="B285" i="6"/>
  <c r="S284" i="6"/>
  <c r="R284" i="6"/>
  <c r="Q284" i="6"/>
  <c r="P284" i="6"/>
  <c r="O284" i="6"/>
  <c r="N284" i="6"/>
  <c r="M284" i="6"/>
  <c r="L284" i="6"/>
  <c r="K284" i="6"/>
  <c r="J284" i="6"/>
  <c r="I284" i="6"/>
  <c r="H284" i="6"/>
  <c r="G284" i="6"/>
  <c r="F284" i="6"/>
  <c r="E284" i="6"/>
  <c r="D284" i="6"/>
  <c r="C284" i="6"/>
  <c r="B284" i="6"/>
  <c r="S283" i="6"/>
  <c r="R283" i="6"/>
  <c r="Q283" i="6"/>
  <c r="P283" i="6"/>
  <c r="O283" i="6"/>
  <c r="N283" i="6"/>
  <c r="M283" i="6"/>
  <c r="L283" i="6"/>
  <c r="K283" i="6"/>
  <c r="J283" i="6"/>
  <c r="I283" i="6"/>
  <c r="H283" i="6"/>
  <c r="G283" i="6"/>
  <c r="F283" i="6"/>
  <c r="E283" i="6"/>
  <c r="D283" i="6"/>
  <c r="C283" i="6"/>
  <c r="B283" i="6"/>
  <c r="S282" i="6"/>
  <c r="R282" i="6"/>
  <c r="Q282" i="6"/>
  <c r="P282" i="6"/>
  <c r="O282" i="6"/>
  <c r="N282" i="6"/>
  <c r="M282" i="6"/>
  <c r="L282" i="6"/>
  <c r="K282" i="6"/>
  <c r="J282" i="6"/>
  <c r="I282" i="6"/>
  <c r="H282" i="6"/>
  <c r="G282" i="6"/>
  <c r="F282" i="6"/>
  <c r="E282" i="6"/>
  <c r="D282" i="6"/>
  <c r="C282" i="6"/>
  <c r="B282" i="6"/>
  <c r="S281" i="6"/>
  <c r="R281" i="6"/>
  <c r="Q281" i="6"/>
  <c r="P281" i="6"/>
  <c r="O281" i="6"/>
  <c r="N281" i="6"/>
  <c r="M281" i="6"/>
  <c r="L281" i="6"/>
  <c r="K281" i="6"/>
  <c r="J281" i="6"/>
  <c r="I281" i="6"/>
  <c r="H281" i="6"/>
  <c r="G281" i="6"/>
  <c r="F281" i="6"/>
  <c r="E281" i="6"/>
  <c r="D281" i="6"/>
  <c r="C281" i="6"/>
  <c r="B281" i="6"/>
  <c r="S280" i="6"/>
  <c r="R280" i="6"/>
  <c r="Q280" i="6"/>
  <c r="P280" i="6"/>
  <c r="O280" i="6"/>
  <c r="N280" i="6"/>
  <c r="M280" i="6"/>
  <c r="L280" i="6"/>
  <c r="K280" i="6"/>
  <c r="J280" i="6"/>
  <c r="I280" i="6"/>
  <c r="H280" i="6"/>
  <c r="G280" i="6"/>
  <c r="F280" i="6"/>
  <c r="E280" i="6"/>
  <c r="D280" i="6"/>
  <c r="C280" i="6"/>
  <c r="B280" i="6"/>
  <c r="S279" i="6"/>
  <c r="R279" i="6"/>
  <c r="Q279" i="6"/>
  <c r="P279" i="6"/>
  <c r="O279" i="6"/>
  <c r="N279" i="6"/>
  <c r="M279" i="6"/>
  <c r="L279" i="6"/>
  <c r="K279" i="6"/>
  <c r="J279" i="6"/>
  <c r="I279" i="6"/>
  <c r="H279" i="6"/>
  <c r="G279" i="6"/>
  <c r="F279" i="6"/>
  <c r="E279" i="6"/>
  <c r="D279" i="6"/>
  <c r="C279" i="6"/>
  <c r="B279" i="6"/>
  <c r="S278" i="6"/>
  <c r="R278" i="6"/>
  <c r="Q278" i="6"/>
  <c r="P278" i="6"/>
  <c r="O278" i="6"/>
  <c r="N278" i="6"/>
  <c r="M278" i="6"/>
  <c r="L278" i="6"/>
  <c r="K278" i="6"/>
  <c r="J278" i="6"/>
  <c r="I278" i="6"/>
  <c r="H278" i="6"/>
  <c r="G278" i="6"/>
  <c r="F278" i="6"/>
  <c r="E278" i="6"/>
  <c r="D278" i="6"/>
  <c r="C278" i="6"/>
  <c r="B278" i="6"/>
  <c r="S277" i="6"/>
  <c r="R277" i="6"/>
  <c r="Q277" i="6"/>
  <c r="P277" i="6"/>
  <c r="O277" i="6"/>
  <c r="N277" i="6"/>
  <c r="M277" i="6"/>
  <c r="L277" i="6"/>
  <c r="K277" i="6"/>
  <c r="J277" i="6"/>
  <c r="I277" i="6"/>
  <c r="H277" i="6"/>
  <c r="G277" i="6"/>
  <c r="F277" i="6"/>
  <c r="E277" i="6"/>
  <c r="D277" i="6"/>
  <c r="C277" i="6"/>
  <c r="B277" i="6"/>
  <c r="S276" i="6"/>
  <c r="R276" i="6"/>
  <c r="Q276" i="6"/>
  <c r="P276" i="6"/>
  <c r="O276" i="6"/>
  <c r="N276" i="6"/>
  <c r="M276" i="6"/>
  <c r="L276" i="6"/>
  <c r="K276" i="6"/>
  <c r="J276" i="6"/>
  <c r="I276" i="6"/>
  <c r="H276" i="6"/>
  <c r="G276" i="6"/>
  <c r="F276" i="6"/>
  <c r="E276" i="6"/>
  <c r="D276" i="6"/>
  <c r="C276" i="6"/>
  <c r="B276" i="6"/>
  <c r="S275" i="6"/>
  <c r="R275" i="6"/>
  <c r="Q275" i="6"/>
  <c r="P275" i="6"/>
  <c r="O275" i="6"/>
  <c r="N275" i="6"/>
  <c r="M275" i="6"/>
  <c r="L275" i="6"/>
  <c r="K275" i="6"/>
  <c r="J275" i="6"/>
  <c r="I275" i="6"/>
  <c r="H275" i="6"/>
  <c r="G275" i="6"/>
  <c r="F275" i="6"/>
  <c r="E275" i="6"/>
  <c r="D275" i="6"/>
  <c r="C275" i="6"/>
  <c r="B275" i="6"/>
  <c r="S274" i="6"/>
  <c r="R274" i="6"/>
  <c r="Q274" i="6"/>
  <c r="P274" i="6"/>
  <c r="O274" i="6"/>
  <c r="N274" i="6"/>
  <c r="M274" i="6"/>
  <c r="L274" i="6"/>
  <c r="K274" i="6"/>
  <c r="J274" i="6"/>
  <c r="I274" i="6"/>
  <c r="H274" i="6"/>
  <c r="G274" i="6"/>
  <c r="F274" i="6"/>
  <c r="E274" i="6"/>
  <c r="D274" i="6"/>
  <c r="C274" i="6"/>
  <c r="B274" i="6"/>
  <c r="S273" i="6"/>
  <c r="R273" i="6"/>
  <c r="Q273" i="6"/>
  <c r="P273" i="6"/>
  <c r="O273" i="6"/>
  <c r="N273" i="6"/>
  <c r="M273" i="6"/>
  <c r="L273" i="6"/>
  <c r="K273" i="6"/>
  <c r="J273" i="6"/>
  <c r="I273" i="6"/>
  <c r="H273" i="6"/>
  <c r="G273" i="6"/>
  <c r="F273" i="6"/>
  <c r="E273" i="6"/>
  <c r="D273" i="6"/>
  <c r="C273" i="6"/>
  <c r="B273" i="6"/>
  <c r="S272" i="6"/>
  <c r="R272" i="6"/>
  <c r="Q272" i="6"/>
  <c r="P272" i="6"/>
  <c r="O272" i="6"/>
  <c r="N272" i="6"/>
  <c r="M272" i="6"/>
  <c r="L272" i="6"/>
  <c r="K272" i="6"/>
  <c r="J272" i="6"/>
  <c r="I272" i="6"/>
  <c r="H272" i="6"/>
  <c r="G272" i="6"/>
  <c r="F272" i="6"/>
  <c r="E272" i="6"/>
  <c r="D272" i="6"/>
  <c r="C272" i="6"/>
  <c r="B272" i="6"/>
  <c r="S271" i="6"/>
  <c r="R271" i="6"/>
  <c r="Q271" i="6"/>
  <c r="P271" i="6"/>
  <c r="O271" i="6"/>
  <c r="N271" i="6"/>
  <c r="M271" i="6"/>
  <c r="L271" i="6"/>
  <c r="K271" i="6"/>
  <c r="J271" i="6"/>
  <c r="I271" i="6"/>
  <c r="H271" i="6"/>
  <c r="G271" i="6"/>
  <c r="F271" i="6"/>
  <c r="E271" i="6"/>
  <c r="D271" i="6"/>
  <c r="C271" i="6"/>
  <c r="B271" i="6"/>
  <c r="S270" i="6"/>
  <c r="R270" i="6"/>
  <c r="Q270" i="6"/>
  <c r="P270" i="6"/>
  <c r="O270" i="6"/>
  <c r="N270" i="6"/>
  <c r="M270" i="6"/>
  <c r="L270" i="6"/>
  <c r="K270" i="6"/>
  <c r="J270" i="6"/>
  <c r="I270" i="6"/>
  <c r="H270" i="6"/>
  <c r="G270" i="6"/>
  <c r="F270" i="6"/>
  <c r="E270" i="6"/>
  <c r="D270" i="6"/>
  <c r="C270" i="6"/>
  <c r="B270" i="6"/>
  <c r="G269" i="6"/>
  <c r="H269" i="6"/>
  <c r="I269" i="6"/>
  <c r="B269" i="6"/>
  <c r="F269" i="6"/>
  <c r="E269" i="6"/>
  <c r="D269" i="6"/>
  <c r="C269" i="6"/>
  <c r="B268" i="6"/>
  <c r="S268" i="6"/>
  <c r="R268" i="6"/>
  <c r="Q268" i="6"/>
  <c r="P268" i="6"/>
  <c r="O268" i="6"/>
  <c r="N268" i="6"/>
  <c r="M268" i="6"/>
  <c r="L268" i="6"/>
  <c r="K268" i="6"/>
  <c r="J268" i="6"/>
  <c r="I268" i="6"/>
  <c r="H268" i="6"/>
  <c r="G268" i="6"/>
  <c r="F268" i="6"/>
  <c r="E268" i="6"/>
  <c r="D268" i="6"/>
  <c r="C268" i="6"/>
  <c r="R267" i="6"/>
  <c r="S267" i="6"/>
  <c r="Q267" i="6"/>
  <c r="P267" i="6"/>
  <c r="O267" i="6"/>
  <c r="N267" i="6"/>
  <c r="M267" i="6"/>
  <c r="L267" i="6"/>
  <c r="K267" i="6"/>
  <c r="J267" i="6"/>
  <c r="I267" i="6"/>
  <c r="H267" i="6"/>
  <c r="G267" i="6"/>
  <c r="F267" i="6"/>
  <c r="E267" i="6"/>
  <c r="D267" i="6"/>
  <c r="C267" i="6"/>
  <c r="B267" i="6"/>
  <c r="S266" i="6"/>
  <c r="R266" i="6"/>
  <c r="Q266" i="6"/>
  <c r="P266" i="6"/>
  <c r="O266" i="6"/>
  <c r="N266" i="6"/>
  <c r="M266" i="6"/>
  <c r="L266" i="6"/>
  <c r="K266" i="6"/>
  <c r="J266" i="6"/>
  <c r="I266" i="6"/>
  <c r="H266" i="6"/>
  <c r="G266" i="6"/>
  <c r="F266" i="6"/>
  <c r="E266" i="6"/>
  <c r="D266" i="6"/>
  <c r="C266" i="6"/>
  <c r="B266" i="6"/>
  <c r="N265" i="6"/>
  <c r="S265" i="6"/>
  <c r="R265" i="6"/>
  <c r="Q265" i="6"/>
  <c r="P265" i="6"/>
  <c r="O265" i="6"/>
  <c r="M265" i="6"/>
  <c r="L265" i="6"/>
  <c r="K265" i="6"/>
  <c r="J265" i="6"/>
  <c r="I265" i="6"/>
  <c r="H265" i="6"/>
  <c r="G265" i="6"/>
  <c r="F265" i="6"/>
  <c r="E265" i="6"/>
  <c r="D265" i="6"/>
  <c r="C265" i="6"/>
  <c r="B265" i="6"/>
  <c r="S264" i="6"/>
  <c r="I264" i="6"/>
  <c r="J264" i="6"/>
  <c r="K264" i="6"/>
  <c r="L264" i="6"/>
  <c r="M264" i="6"/>
  <c r="N264" i="6"/>
  <c r="O264" i="6"/>
  <c r="P264" i="6"/>
  <c r="E264" i="6"/>
  <c r="Q264" i="6"/>
  <c r="R264" i="6"/>
  <c r="H264" i="6"/>
  <c r="G264" i="6"/>
  <c r="F264" i="6"/>
  <c r="D264" i="6"/>
  <c r="C264" i="6"/>
  <c r="B264" i="6"/>
  <c r="F263" i="6"/>
  <c r="B263" i="6"/>
  <c r="C263" i="6"/>
  <c r="O263" i="6"/>
  <c r="D263" i="6"/>
  <c r="H263" i="6"/>
  <c r="I263" i="6"/>
  <c r="E263" i="6"/>
  <c r="J263" i="6"/>
  <c r="K263" i="6"/>
  <c r="L263" i="6"/>
  <c r="G263" i="6"/>
  <c r="S263" i="6"/>
  <c r="R263" i="6"/>
  <c r="Q263" i="6"/>
  <c r="P263" i="6"/>
  <c r="N263" i="6"/>
  <c r="M263" i="6"/>
  <c r="P262" i="6"/>
  <c r="F262" i="6"/>
  <c r="E262" i="6"/>
  <c r="D262" i="6"/>
  <c r="C262" i="6"/>
  <c r="B262" i="6"/>
  <c r="G262" i="6"/>
  <c r="H262" i="6"/>
  <c r="I262" i="6"/>
  <c r="J262" i="6"/>
  <c r="K262" i="6"/>
  <c r="L262" i="6"/>
  <c r="M262" i="6"/>
  <c r="N262" i="6"/>
  <c r="O262" i="6"/>
  <c r="Q262" i="6"/>
  <c r="R262" i="6"/>
  <c r="S262" i="6"/>
  <c r="I261" i="6"/>
  <c r="J261" i="6"/>
  <c r="K261" i="6"/>
  <c r="L261" i="6"/>
  <c r="M261" i="6"/>
  <c r="E261" i="6"/>
  <c r="S261" i="6"/>
  <c r="R261" i="6"/>
  <c r="N261" i="6"/>
  <c r="Q261" i="6"/>
  <c r="P261" i="6"/>
  <c r="O261" i="6"/>
  <c r="B261" i="6"/>
  <c r="C261" i="6"/>
  <c r="D261" i="6"/>
  <c r="F261" i="6"/>
  <c r="G261" i="6"/>
  <c r="H261" i="6"/>
  <c r="I260" i="6"/>
  <c r="J260" i="6"/>
  <c r="K260" i="6"/>
  <c r="L260" i="6"/>
  <c r="M260" i="6"/>
  <c r="N260" i="6"/>
  <c r="O260" i="6"/>
  <c r="P260" i="6"/>
  <c r="Q260" i="6"/>
  <c r="R260" i="6"/>
  <c r="S260" i="6"/>
  <c r="B260" i="6"/>
  <c r="C260" i="6"/>
  <c r="D260" i="6"/>
  <c r="E260" i="6"/>
  <c r="F260" i="6"/>
  <c r="G260" i="6"/>
  <c r="H260" i="6"/>
  <c r="S259" i="6"/>
  <c r="Q259" i="6"/>
  <c r="R259" i="6"/>
  <c r="B259" i="6"/>
  <c r="C259" i="6"/>
  <c r="E259" i="6"/>
  <c r="F259" i="6"/>
  <c r="G259" i="6"/>
  <c r="H259" i="6"/>
  <c r="D259" i="6"/>
  <c r="I259" i="6"/>
  <c r="J259" i="6"/>
  <c r="K259" i="6"/>
  <c r="L259" i="6"/>
  <c r="M259" i="6"/>
  <c r="N259" i="6"/>
  <c r="O259" i="6"/>
  <c r="P259" i="6"/>
  <c r="L258" i="6"/>
  <c r="K258" i="6"/>
  <c r="J258" i="6"/>
  <c r="I258" i="6"/>
  <c r="H258" i="6"/>
  <c r="G258" i="6"/>
  <c r="F258" i="6"/>
  <c r="E258" i="6"/>
  <c r="C258" i="6"/>
  <c r="B258" i="6"/>
  <c r="D258" i="6"/>
  <c r="S258" i="6"/>
  <c r="R258" i="6"/>
  <c r="Q258" i="6"/>
  <c r="P258" i="6"/>
  <c r="O258" i="6"/>
  <c r="N258" i="6"/>
  <c r="M258" i="6"/>
  <c r="S257" i="6"/>
  <c r="R257" i="6"/>
  <c r="Q257" i="6"/>
  <c r="P257" i="6"/>
  <c r="M257" i="6"/>
  <c r="O257" i="6"/>
  <c r="N257" i="6"/>
  <c r="G257" i="6"/>
  <c r="H257" i="6"/>
  <c r="I257" i="6"/>
  <c r="J257" i="6"/>
  <c r="K257" i="6"/>
  <c r="L257" i="6"/>
  <c r="B257" i="6"/>
  <c r="C257" i="6"/>
  <c r="D257" i="6"/>
  <c r="E257" i="6"/>
  <c r="F257" i="6"/>
  <c r="B256" i="6"/>
  <c r="R256" i="6"/>
  <c r="Q256" i="6"/>
  <c r="P256" i="6"/>
  <c r="O256" i="6"/>
  <c r="N256" i="6"/>
  <c r="M256" i="6"/>
  <c r="L256" i="6"/>
  <c r="I256" i="6"/>
  <c r="D256" i="6"/>
  <c r="C256" i="6"/>
  <c r="S256" i="6"/>
  <c r="H256" i="6"/>
  <c r="G256" i="6"/>
  <c r="F256" i="6"/>
  <c r="E256" i="6"/>
  <c r="J256" i="6"/>
  <c r="K256" i="6"/>
  <c r="C255" i="6"/>
  <c r="I255" i="6"/>
  <c r="S255" i="6"/>
  <c r="R255" i="6"/>
  <c r="Q255" i="6"/>
  <c r="P255" i="6"/>
  <c r="O255" i="6"/>
  <c r="N255" i="6"/>
  <c r="M255" i="6"/>
  <c r="L255" i="6"/>
  <c r="K255" i="6"/>
  <c r="J255" i="6"/>
  <c r="H255" i="6"/>
  <c r="G255" i="6"/>
  <c r="F255" i="6"/>
  <c r="E255" i="6"/>
  <c r="D255" i="6"/>
  <c r="B255" i="6"/>
  <c r="F254" i="6"/>
  <c r="E254" i="6"/>
  <c r="D254" i="6"/>
  <c r="C254" i="6"/>
  <c r="B254" i="6"/>
  <c r="O254" i="6"/>
  <c r="M254" i="6"/>
  <c r="P254" i="6"/>
  <c r="Q254" i="6"/>
  <c r="J254" i="6"/>
  <c r="N254" i="6"/>
  <c r="R254" i="6"/>
  <c r="S254" i="6"/>
  <c r="L254" i="6"/>
  <c r="K254" i="6"/>
  <c r="I254" i="6"/>
  <c r="H254" i="6"/>
  <c r="G254" i="6"/>
  <c r="M253" i="6"/>
  <c r="L253" i="6"/>
  <c r="K253" i="6"/>
  <c r="J253" i="6"/>
  <c r="I253" i="6"/>
  <c r="H253" i="6"/>
  <c r="E253" i="6"/>
  <c r="F253" i="6"/>
  <c r="G253" i="6"/>
  <c r="R253" i="6"/>
  <c r="B253" i="6"/>
  <c r="C253" i="6"/>
  <c r="D253" i="6"/>
  <c r="S253" i="6"/>
  <c r="Q253" i="6"/>
  <c r="P253" i="6"/>
  <c r="O253" i="6"/>
  <c r="N253" i="6"/>
  <c r="S252" i="6"/>
  <c r="F252" i="6"/>
  <c r="M252" i="6"/>
  <c r="Q252" i="6"/>
  <c r="L252" i="6"/>
  <c r="O252" i="6"/>
  <c r="P252" i="6"/>
  <c r="E252" i="6"/>
  <c r="C252" i="6"/>
  <c r="D252" i="6"/>
  <c r="R252" i="6"/>
  <c r="N252" i="6"/>
  <c r="J252" i="6"/>
  <c r="I252" i="6"/>
  <c r="H252" i="6"/>
  <c r="K252" i="6"/>
  <c r="G252" i="6"/>
  <c r="B252" i="6"/>
  <c r="B251" i="6"/>
  <c r="C251" i="6"/>
  <c r="L251" i="6"/>
  <c r="K251" i="6"/>
  <c r="I251" i="6"/>
  <c r="H251" i="6"/>
  <c r="J251" i="6"/>
  <c r="G251" i="6"/>
  <c r="F251" i="6"/>
  <c r="E251" i="6"/>
  <c r="D251" i="6"/>
  <c r="S251" i="6"/>
  <c r="R251" i="6"/>
  <c r="Q251" i="6"/>
  <c r="P251" i="6"/>
  <c r="O251" i="6"/>
  <c r="N251" i="6"/>
  <c r="M251" i="6"/>
  <c r="M250" i="6"/>
  <c r="N250" i="6"/>
  <c r="J250" i="6"/>
  <c r="O250" i="6"/>
  <c r="P250" i="6"/>
  <c r="Q250" i="6"/>
  <c r="R250" i="6"/>
  <c r="S250" i="6"/>
  <c r="F250" i="6"/>
  <c r="B250" i="6"/>
  <c r="I250" i="6"/>
  <c r="H250" i="6"/>
  <c r="G250" i="6"/>
  <c r="E250" i="6"/>
  <c r="D250" i="6"/>
  <c r="C250" i="6"/>
  <c r="K250" i="6"/>
  <c r="L250" i="6"/>
  <c r="K249" i="6"/>
  <c r="L249" i="6"/>
  <c r="M249" i="6"/>
  <c r="N249" i="6"/>
  <c r="O249" i="6"/>
  <c r="P249" i="6"/>
  <c r="Q249" i="6"/>
  <c r="R249" i="6"/>
  <c r="S249" i="6"/>
  <c r="B249" i="6"/>
  <c r="C249" i="6"/>
  <c r="D249" i="6"/>
  <c r="E249" i="6"/>
  <c r="F249" i="6"/>
  <c r="G249" i="6"/>
  <c r="H249" i="6"/>
  <c r="I249" i="6"/>
  <c r="J249" i="6"/>
  <c r="K248" i="6"/>
  <c r="J248" i="6"/>
  <c r="I248" i="6"/>
  <c r="H248" i="6"/>
  <c r="G248" i="6"/>
  <c r="F248" i="6"/>
  <c r="E248" i="6"/>
  <c r="D248" i="6"/>
  <c r="C248" i="6"/>
  <c r="B248" i="6"/>
  <c r="O248" i="6"/>
  <c r="N248" i="6"/>
  <c r="M248" i="6"/>
  <c r="L248" i="6"/>
  <c r="S248" i="6"/>
  <c r="R248" i="6"/>
  <c r="Q248" i="6"/>
  <c r="P248" i="6"/>
  <c r="S247" i="6"/>
  <c r="R247" i="6"/>
  <c r="Q247" i="6"/>
  <c r="P247" i="6"/>
  <c r="O247" i="6"/>
  <c r="N247" i="6"/>
  <c r="M247" i="6"/>
  <c r="L247" i="6"/>
  <c r="K247" i="6"/>
  <c r="J247" i="6"/>
  <c r="I247" i="6"/>
  <c r="H247" i="6"/>
  <c r="G247" i="6"/>
  <c r="F247" i="6"/>
  <c r="E247" i="6"/>
  <c r="D247" i="6"/>
  <c r="C247" i="6"/>
  <c r="B247" i="6"/>
  <c r="S246" i="6"/>
  <c r="R246" i="6"/>
  <c r="Q246" i="6"/>
  <c r="P246" i="6"/>
  <c r="O246" i="6"/>
  <c r="N246" i="6"/>
  <c r="M246" i="6"/>
  <c r="L246" i="6"/>
  <c r="K246" i="6"/>
  <c r="J246" i="6"/>
  <c r="I246" i="6"/>
  <c r="H246" i="6"/>
  <c r="G246" i="6"/>
  <c r="F246" i="6"/>
  <c r="E246" i="6"/>
  <c r="D246" i="6"/>
  <c r="C246" i="6"/>
  <c r="B246" i="6"/>
  <c r="S245" i="6"/>
  <c r="R245" i="6"/>
  <c r="Q245" i="6"/>
  <c r="P245" i="6"/>
  <c r="O245" i="6"/>
  <c r="N245" i="6"/>
  <c r="M245" i="6"/>
  <c r="L245" i="6"/>
  <c r="K245" i="6"/>
  <c r="J245" i="6"/>
  <c r="I245" i="6"/>
  <c r="H245" i="6"/>
  <c r="G245" i="6"/>
  <c r="F245" i="6"/>
  <c r="E245" i="6"/>
  <c r="D245" i="6"/>
  <c r="C245" i="6"/>
  <c r="B245" i="6"/>
  <c r="S244" i="6"/>
  <c r="R244" i="6"/>
  <c r="Q244" i="6"/>
  <c r="P244" i="6"/>
  <c r="O244" i="6"/>
  <c r="N244" i="6"/>
  <c r="M244" i="6"/>
  <c r="L244" i="6"/>
  <c r="K244" i="6"/>
  <c r="J244" i="6"/>
  <c r="I244" i="6"/>
  <c r="H244" i="6"/>
  <c r="G244" i="6"/>
  <c r="F244" i="6"/>
  <c r="E244" i="6"/>
  <c r="D244" i="6"/>
  <c r="C244" i="6"/>
  <c r="B244" i="6"/>
  <c r="S243" i="6"/>
  <c r="R243" i="6"/>
  <c r="Q243" i="6"/>
  <c r="P243" i="6"/>
  <c r="O243" i="6"/>
  <c r="N243" i="6"/>
  <c r="M243" i="6"/>
  <c r="L243" i="6"/>
  <c r="K243" i="6"/>
  <c r="J243" i="6"/>
  <c r="I243" i="6"/>
  <c r="H243" i="6"/>
  <c r="G243" i="6"/>
  <c r="F243" i="6"/>
  <c r="E243" i="6"/>
  <c r="D243" i="6"/>
  <c r="C243" i="6"/>
  <c r="B243" i="6"/>
  <c r="S242" i="6"/>
  <c r="R242" i="6"/>
  <c r="Q242" i="6"/>
  <c r="P242" i="6"/>
  <c r="O242" i="6"/>
  <c r="N242" i="6"/>
  <c r="M242" i="6"/>
  <c r="L242" i="6"/>
  <c r="K242" i="6"/>
  <c r="J242" i="6"/>
  <c r="I242" i="6"/>
  <c r="H242" i="6"/>
  <c r="G242" i="6"/>
  <c r="F242" i="6"/>
  <c r="E242" i="6"/>
  <c r="D242" i="6"/>
  <c r="C242" i="6"/>
  <c r="B242" i="6"/>
  <c r="S241" i="6"/>
  <c r="R241" i="6"/>
  <c r="Q241" i="6"/>
  <c r="P241" i="6"/>
  <c r="O241" i="6"/>
  <c r="N241" i="6"/>
  <c r="M241" i="6"/>
  <c r="L241" i="6"/>
  <c r="K241" i="6"/>
  <c r="J241" i="6"/>
  <c r="I241" i="6"/>
  <c r="H241" i="6"/>
  <c r="G241" i="6"/>
  <c r="F241" i="6"/>
  <c r="E241" i="6"/>
  <c r="D241" i="6"/>
  <c r="C241" i="6"/>
  <c r="B241" i="6"/>
  <c r="S240" i="6"/>
  <c r="R240" i="6"/>
  <c r="Q240" i="6"/>
  <c r="P240" i="6"/>
  <c r="O240" i="6"/>
  <c r="N240" i="6"/>
  <c r="M240" i="6"/>
  <c r="L240" i="6"/>
  <c r="K240" i="6"/>
  <c r="J240" i="6"/>
  <c r="I240" i="6"/>
  <c r="H240" i="6"/>
  <c r="G240" i="6"/>
  <c r="F240" i="6"/>
  <c r="E240" i="6"/>
  <c r="D240" i="6"/>
  <c r="C240" i="6"/>
  <c r="B240" i="6"/>
  <c r="S239" i="6"/>
  <c r="R239" i="6"/>
  <c r="Q239" i="6"/>
  <c r="P239" i="6"/>
  <c r="O239" i="6"/>
  <c r="N239" i="6"/>
  <c r="M239" i="6"/>
  <c r="L239" i="6"/>
  <c r="K239" i="6"/>
  <c r="J239" i="6"/>
  <c r="I239" i="6"/>
  <c r="H239" i="6"/>
  <c r="G239" i="6"/>
  <c r="F239" i="6"/>
  <c r="E239" i="6"/>
  <c r="D239" i="6"/>
  <c r="C239" i="6"/>
  <c r="B239" i="6"/>
  <c r="O238" i="6"/>
  <c r="S238" i="6"/>
  <c r="R238" i="6"/>
  <c r="Q238" i="6"/>
  <c r="P238" i="6"/>
  <c r="N238" i="6"/>
  <c r="M238" i="6"/>
  <c r="L238" i="6"/>
  <c r="K238" i="6"/>
  <c r="J238" i="6"/>
  <c r="I238" i="6"/>
  <c r="H238" i="6"/>
  <c r="G238" i="6"/>
  <c r="F238" i="6"/>
  <c r="E238" i="6"/>
  <c r="D238" i="6"/>
  <c r="C238" i="6"/>
  <c r="B238" i="6"/>
  <c r="N237" i="6"/>
  <c r="K237" i="6"/>
  <c r="S237" i="6"/>
  <c r="R237" i="6"/>
  <c r="Q237" i="6"/>
  <c r="P237" i="6"/>
  <c r="O237" i="6"/>
  <c r="M237" i="6"/>
  <c r="L237" i="6"/>
  <c r="B237" i="6"/>
  <c r="C237" i="6"/>
  <c r="D237" i="6"/>
  <c r="E237" i="6"/>
  <c r="F237" i="6"/>
  <c r="J237" i="6"/>
  <c r="G237" i="6"/>
  <c r="H237" i="6"/>
  <c r="I237" i="6"/>
  <c r="K236" i="6"/>
  <c r="L236" i="6"/>
  <c r="M236" i="6"/>
  <c r="N236" i="6"/>
  <c r="O236" i="6"/>
  <c r="P236" i="6"/>
  <c r="Q236" i="6"/>
  <c r="R236" i="6"/>
  <c r="S236" i="6"/>
  <c r="B236" i="6"/>
  <c r="C236" i="6"/>
  <c r="D236" i="6"/>
  <c r="E236" i="6"/>
  <c r="F236" i="6"/>
  <c r="G236" i="6"/>
  <c r="H236" i="6"/>
  <c r="I236" i="6"/>
  <c r="J236" i="6"/>
  <c r="F235" i="6"/>
  <c r="B235" i="6"/>
  <c r="C235" i="6"/>
  <c r="D235" i="6"/>
  <c r="E235" i="6"/>
  <c r="G235" i="6"/>
  <c r="H235" i="6"/>
  <c r="I235" i="6"/>
  <c r="J235" i="6"/>
  <c r="K235" i="6"/>
  <c r="L235" i="6"/>
  <c r="M235" i="6"/>
  <c r="N235" i="6"/>
  <c r="O235" i="6"/>
  <c r="P235" i="6"/>
  <c r="Q235" i="6"/>
  <c r="R235" i="6"/>
  <c r="S235" i="6"/>
  <c r="L234" i="6"/>
  <c r="B234" i="6"/>
  <c r="S234" i="6"/>
  <c r="R234" i="6"/>
  <c r="D234" i="6"/>
  <c r="Q234" i="6"/>
  <c r="P234" i="6"/>
  <c r="O234" i="6"/>
  <c r="N234" i="6"/>
  <c r="M234" i="6"/>
  <c r="E234" i="6"/>
  <c r="F234" i="6"/>
  <c r="G234" i="6"/>
  <c r="H234" i="6"/>
  <c r="I234" i="6"/>
  <c r="J234" i="6"/>
  <c r="K234" i="6"/>
  <c r="C234" i="6"/>
  <c r="Q233" i="6"/>
  <c r="J233" i="6"/>
  <c r="K233" i="6"/>
  <c r="L233" i="6"/>
  <c r="M233" i="6"/>
  <c r="O233" i="6"/>
  <c r="P233" i="6"/>
  <c r="R233" i="6"/>
  <c r="S233" i="6"/>
  <c r="N233" i="6"/>
  <c r="B233" i="6"/>
  <c r="C233" i="6"/>
  <c r="D233" i="6"/>
  <c r="E233" i="6"/>
  <c r="F233" i="6"/>
  <c r="G233" i="6"/>
  <c r="H233" i="6"/>
  <c r="I233" i="6"/>
  <c r="S232" i="6"/>
  <c r="B232" i="6"/>
  <c r="C232" i="6"/>
  <c r="D232" i="6"/>
  <c r="F232" i="6"/>
  <c r="G232" i="6"/>
  <c r="H232" i="6"/>
  <c r="I232" i="6"/>
  <c r="N232" i="6"/>
  <c r="O232" i="6"/>
  <c r="P232" i="6"/>
  <c r="E232" i="6"/>
  <c r="Q232" i="6"/>
  <c r="R232" i="6"/>
  <c r="L232" i="6"/>
  <c r="M232" i="6"/>
  <c r="J232" i="6"/>
  <c r="K232" i="6"/>
  <c r="Q231" i="6"/>
  <c r="P231" i="6"/>
  <c r="O231" i="6"/>
  <c r="N231" i="6"/>
  <c r="M231" i="6"/>
  <c r="L231" i="6"/>
  <c r="K231" i="6"/>
  <c r="J231" i="6"/>
  <c r="I231" i="6"/>
  <c r="H231" i="6"/>
  <c r="G231" i="6"/>
  <c r="B231" i="6"/>
  <c r="C231" i="6"/>
  <c r="D231" i="6"/>
  <c r="E231" i="6"/>
  <c r="F231" i="6"/>
  <c r="S231" i="6"/>
  <c r="R231" i="6"/>
  <c r="G230" i="6"/>
  <c r="Q230" i="6"/>
  <c r="R230" i="6"/>
  <c r="S230" i="6"/>
  <c r="P230" i="6"/>
  <c r="B230" i="6"/>
  <c r="C230" i="6"/>
  <c r="D230" i="6"/>
  <c r="E230" i="6"/>
  <c r="F230" i="6"/>
  <c r="H230" i="6"/>
  <c r="I230" i="6"/>
  <c r="J230" i="6"/>
  <c r="K230" i="6"/>
  <c r="L230" i="6"/>
  <c r="M230" i="6"/>
  <c r="N230" i="6"/>
  <c r="O230" i="6"/>
  <c r="E229" i="6"/>
  <c r="D229" i="6"/>
  <c r="C229" i="6"/>
  <c r="B229" i="6"/>
  <c r="S229" i="6"/>
  <c r="H229" i="6"/>
  <c r="I229" i="6"/>
  <c r="J229" i="6"/>
  <c r="K229" i="6"/>
  <c r="L229" i="6"/>
  <c r="M229" i="6"/>
  <c r="N229" i="6"/>
  <c r="O229" i="6"/>
  <c r="P229" i="6"/>
  <c r="G229" i="6"/>
  <c r="F229" i="6"/>
  <c r="R229" i="6"/>
  <c r="Q229" i="6"/>
  <c r="D228" i="6"/>
  <c r="C228" i="6"/>
  <c r="B228" i="6"/>
  <c r="I228" i="6"/>
  <c r="P228" i="6"/>
  <c r="Q228" i="6"/>
  <c r="R228" i="6"/>
  <c r="S228" i="6"/>
  <c r="J228" i="6"/>
  <c r="K228" i="6"/>
  <c r="L228" i="6"/>
  <c r="M228" i="6"/>
  <c r="N228" i="6"/>
  <c r="O228" i="6"/>
  <c r="H228" i="6"/>
  <c r="G228" i="6"/>
  <c r="F228" i="6"/>
  <c r="E228" i="6"/>
  <c r="P227" i="6"/>
  <c r="D227" i="6"/>
  <c r="C227" i="6"/>
  <c r="B227" i="6"/>
  <c r="S227" i="6"/>
  <c r="Q227" i="6"/>
  <c r="J227" i="6"/>
  <c r="N227" i="6"/>
  <c r="R227" i="6"/>
  <c r="M227" i="6"/>
  <c r="L227" i="6"/>
  <c r="K227" i="6"/>
  <c r="O227" i="6"/>
  <c r="I227" i="6"/>
  <c r="H227" i="6"/>
  <c r="G227" i="6"/>
  <c r="F227" i="6"/>
  <c r="E227" i="6"/>
  <c r="E226" i="6"/>
  <c r="D226" i="6"/>
  <c r="C226" i="6"/>
  <c r="B226" i="6"/>
  <c r="R226" i="6"/>
  <c r="P226" i="6"/>
  <c r="S226" i="6"/>
  <c r="Q226" i="6"/>
  <c r="O226" i="6"/>
  <c r="N226" i="6"/>
  <c r="M226" i="6"/>
  <c r="L226" i="6"/>
  <c r="K226" i="6"/>
  <c r="J226" i="6"/>
  <c r="I226" i="6"/>
  <c r="H226" i="6"/>
  <c r="G226" i="6"/>
  <c r="F226" i="6"/>
  <c r="K225" i="6"/>
  <c r="L225" i="6"/>
  <c r="M225" i="6"/>
  <c r="N225" i="6"/>
  <c r="O225" i="6"/>
  <c r="R225" i="6"/>
  <c r="B225" i="6"/>
  <c r="J225" i="6"/>
  <c r="I225" i="6"/>
  <c r="P225" i="6"/>
  <c r="D225" i="6"/>
  <c r="E225" i="6"/>
  <c r="F225" i="6"/>
  <c r="G225" i="6"/>
  <c r="H225" i="6"/>
  <c r="Q225" i="6"/>
  <c r="S225" i="6"/>
  <c r="C225" i="6"/>
  <c r="P224" i="6"/>
  <c r="O224" i="6"/>
  <c r="N224" i="6"/>
  <c r="M224" i="6"/>
  <c r="L224" i="6"/>
  <c r="K224" i="6"/>
  <c r="J224" i="6"/>
  <c r="I224" i="6"/>
  <c r="H224" i="6"/>
  <c r="G224" i="6"/>
  <c r="F224" i="6"/>
  <c r="E224" i="6"/>
  <c r="D224" i="6"/>
  <c r="C224" i="6"/>
  <c r="B224" i="6"/>
  <c r="S224" i="6"/>
  <c r="R224" i="6"/>
  <c r="Q224" i="6"/>
  <c r="K223" i="6"/>
  <c r="L223" i="6"/>
  <c r="M223" i="6"/>
  <c r="N223" i="6"/>
  <c r="Q223" i="6"/>
  <c r="P223" i="6"/>
  <c r="S223" i="6"/>
  <c r="R223" i="6"/>
  <c r="O223" i="6"/>
  <c r="J223" i="6"/>
  <c r="B223" i="6"/>
  <c r="C223" i="6"/>
  <c r="E223" i="6"/>
  <c r="D223" i="6"/>
  <c r="F223" i="6"/>
  <c r="G223" i="6"/>
  <c r="H223" i="6"/>
  <c r="I223" i="6"/>
  <c r="B222" i="6"/>
  <c r="C222" i="6"/>
  <c r="D222" i="6"/>
  <c r="E222" i="6"/>
  <c r="F222" i="6"/>
  <c r="G222" i="6"/>
  <c r="H222" i="6"/>
  <c r="I222" i="6"/>
  <c r="R222" i="6"/>
  <c r="S222" i="6"/>
  <c r="K222" i="6"/>
  <c r="L222" i="6"/>
  <c r="M222" i="6"/>
  <c r="N222" i="6"/>
  <c r="O222" i="6"/>
  <c r="P222" i="6"/>
  <c r="Q222" i="6"/>
  <c r="J222" i="6"/>
  <c r="N221" i="6"/>
  <c r="L221" i="6"/>
  <c r="C221" i="6"/>
  <c r="S221" i="6"/>
  <c r="R221" i="6"/>
  <c r="Q221" i="6"/>
  <c r="P221" i="6"/>
  <c r="O221" i="6"/>
  <c r="M221" i="6"/>
  <c r="B221" i="6"/>
  <c r="D221" i="6"/>
  <c r="E221" i="6"/>
  <c r="F221" i="6"/>
  <c r="G221" i="6"/>
  <c r="H221" i="6"/>
  <c r="I221" i="6"/>
  <c r="J221" i="6"/>
  <c r="K221" i="6"/>
  <c r="F220" i="6"/>
  <c r="N220" i="6"/>
  <c r="O220" i="6"/>
  <c r="P220" i="6"/>
  <c r="Q220" i="6"/>
  <c r="E220" i="6"/>
  <c r="J220" i="6"/>
  <c r="D220" i="6"/>
  <c r="C220" i="6"/>
  <c r="M220" i="6"/>
  <c r="L220" i="6"/>
  <c r="K220" i="6"/>
  <c r="B220" i="6"/>
  <c r="S220" i="6"/>
  <c r="I220" i="6"/>
  <c r="H220" i="6"/>
  <c r="G220" i="6"/>
  <c r="R220" i="6"/>
  <c r="B219" i="6"/>
  <c r="E219" i="6"/>
  <c r="F219" i="6"/>
  <c r="D219" i="6"/>
  <c r="S219" i="6"/>
  <c r="R219" i="6"/>
  <c r="Q219" i="6"/>
  <c r="P219" i="6"/>
  <c r="O219" i="6"/>
  <c r="N219" i="6"/>
  <c r="C219" i="6"/>
  <c r="M219" i="6"/>
  <c r="L219" i="6"/>
  <c r="J219" i="6"/>
  <c r="I219" i="6"/>
  <c r="H219" i="6"/>
  <c r="G219" i="6"/>
  <c r="K219" i="6"/>
  <c r="S218" i="6"/>
  <c r="R218" i="6"/>
  <c r="Q218" i="6"/>
  <c r="P218" i="6"/>
  <c r="O218" i="6"/>
  <c r="C218" i="6"/>
  <c r="B218" i="6"/>
  <c r="D218" i="6"/>
  <c r="E218" i="6"/>
  <c r="F218" i="6"/>
  <c r="G218" i="6"/>
  <c r="H218" i="6"/>
  <c r="I218" i="6"/>
  <c r="J218" i="6"/>
  <c r="K218" i="6"/>
  <c r="L218" i="6"/>
  <c r="M218" i="6"/>
  <c r="N218" i="6"/>
  <c r="O217" i="6"/>
  <c r="P217" i="6"/>
  <c r="Q217" i="6"/>
  <c r="R217" i="6"/>
  <c r="S217" i="6"/>
  <c r="C217" i="6"/>
  <c r="B217" i="6"/>
  <c r="D217" i="6"/>
  <c r="E217" i="6"/>
  <c r="F217" i="6"/>
  <c r="G217" i="6"/>
  <c r="H217" i="6"/>
  <c r="I217" i="6"/>
  <c r="J217" i="6"/>
  <c r="K217" i="6"/>
  <c r="L217" i="6"/>
  <c r="M217" i="6"/>
  <c r="N217" i="6"/>
  <c r="E216" i="6"/>
  <c r="M216" i="6"/>
  <c r="L216" i="6"/>
  <c r="K216" i="6"/>
  <c r="J216" i="6"/>
  <c r="I216" i="6"/>
  <c r="S216" i="6"/>
  <c r="H216" i="6"/>
  <c r="G216" i="6"/>
  <c r="F216" i="6"/>
  <c r="D216" i="6"/>
  <c r="C216" i="6"/>
  <c r="B216" i="6"/>
  <c r="N216" i="6"/>
  <c r="O216" i="6"/>
  <c r="P216" i="6"/>
  <c r="Q216" i="6"/>
  <c r="R216" i="6"/>
  <c r="F215" i="6"/>
  <c r="G215" i="6"/>
  <c r="H215" i="6"/>
  <c r="I215" i="6"/>
  <c r="L215" i="6"/>
  <c r="M215" i="6"/>
  <c r="N215" i="6"/>
  <c r="O215" i="6"/>
  <c r="P215" i="6"/>
  <c r="J215" i="6"/>
  <c r="R215" i="6"/>
  <c r="S215" i="6"/>
  <c r="Q215" i="6"/>
  <c r="B215" i="6"/>
  <c r="C215" i="6"/>
  <c r="D215" i="6"/>
  <c r="K215" i="6"/>
  <c r="E215" i="6"/>
  <c r="O214" i="6"/>
  <c r="C214" i="6"/>
  <c r="D214" i="6"/>
  <c r="E214" i="6"/>
  <c r="B214" i="6"/>
  <c r="F214" i="6"/>
  <c r="S214" i="6"/>
  <c r="R214" i="6"/>
  <c r="N214" i="6"/>
  <c r="Q214" i="6"/>
  <c r="P214" i="6"/>
  <c r="G214" i="6"/>
  <c r="M214" i="6"/>
  <c r="L214" i="6"/>
  <c r="K214" i="6"/>
  <c r="J214" i="6"/>
  <c r="I214" i="6"/>
  <c r="H214" i="6"/>
  <c r="C213" i="6"/>
  <c r="D213" i="6"/>
  <c r="E213" i="6"/>
  <c r="F213" i="6"/>
  <c r="G213" i="6"/>
  <c r="H213" i="6"/>
  <c r="I213" i="6"/>
  <c r="S213" i="6"/>
  <c r="R213" i="6"/>
  <c r="Q213" i="6"/>
  <c r="P213" i="6"/>
  <c r="O213" i="6"/>
  <c r="N213" i="6"/>
  <c r="M213" i="6"/>
  <c r="L213" i="6"/>
  <c r="K213" i="6"/>
  <c r="J213" i="6"/>
  <c r="B213" i="6"/>
  <c r="M212" i="6"/>
  <c r="L212" i="6"/>
  <c r="K212" i="6"/>
  <c r="J212" i="6"/>
  <c r="I212" i="6"/>
  <c r="H212" i="6"/>
  <c r="O212" i="6"/>
  <c r="P212" i="6"/>
  <c r="Q212" i="6"/>
  <c r="R212" i="6"/>
  <c r="S212" i="6"/>
  <c r="N212" i="6"/>
  <c r="C212" i="6"/>
  <c r="B212" i="6"/>
  <c r="F212" i="6"/>
  <c r="G212" i="6"/>
  <c r="E212" i="6"/>
  <c r="D212" i="6"/>
  <c r="J211" i="6"/>
  <c r="K211" i="6"/>
  <c r="M211" i="6"/>
  <c r="N211" i="6"/>
  <c r="O211" i="6"/>
  <c r="Q211" i="6"/>
  <c r="R211" i="6"/>
  <c r="S211" i="6"/>
  <c r="E211" i="6"/>
  <c r="L211" i="6"/>
  <c r="B211" i="6"/>
  <c r="C211" i="6"/>
  <c r="D211" i="6"/>
  <c r="F211" i="6"/>
  <c r="G211" i="6"/>
  <c r="H211" i="6"/>
  <c r="I211" i="6"/>
  <c r="P211" i="6"/>
  <c r="B210" i="6"/>
  <c r="C210" i="6"/>
  <c r="D210" i="6"/>
  <c r="E210" i="6"/>
  <c r="F210" i="6"/>
  <c r="G210" i="6"/>
  <c r="H210" i="6"/>
  <c r="I210" i="6"/>
  <c r="S210" i="6"/>
  <c r="P210" i="6"/>
  <c r="R210" i="6"/>
  <c r="K210" i="6"/>
  <c r="O210" i="6"/>
  <c r="N210" i="6"/>
  <c r="M210" i="6"/>
  <c r="L210" i="6"/>
  <c r="J210" i="6"/>
  <c r="Q210" i="6"/>
  <c r="S209" i="6"/>
  <c r="R209" i="6"/>
  <c r="Q209" i="6"/>
  <c r="P209" i="6"/>
  <c r="O209" i="6"/>
  <c r="N209" i="6"/>
  <c r="M209" i="6"/>
  <c r="L209" i="6"/>
  <c r="J209" i="6"/>
  <c r="I209" i="6"/>
  <c r="H209" i="6"/>
  <c r="G209" i="6"/>
  <c r="F209" i="6"/>
  <c r="E209" i="6"/>
  <c r="D209" i="6"/>
  <c r="C209" i="6"/>
  <c r="B209" i="6"/>
  <c r="K209" i="6"/>
  <c r="S208" i="6"/>
  <c r="R208" i="6"/>
  <c r="Q208" i="6"/>
  <c r="P208" i="6"/>
  <c r="O208" i="6"/>
  <c r="N208" i="6"/>
  <c r="M208" i="6"/>
  <c r="L208" i="6"/>
  <c r="K208" i="6"/>
  <c r="J208" i="6"/>
  <c r="I208" i="6"/>
  <c r="H208" i="6"/>
  <c r="G208" i="6"/>
  <c r="F208" i="6"/>
  <c r="E208" i="6"/>
  <c r="D208" i="6"/>
  <c r="C208" i="6"/>
  <c r="B208" i="6"/>
  <c r="S207" i="6"/>
  <c r="R207" i="6"/>
  <c r="Q207" i="6"/>
  <c r="P207" i="6"/>
  <c r="O207" i="6"/>
  <c r="N207" i="6"/>
  <c r="M207" i="6"/>
  <c r="L207" i="6"/>
  <c r="K207" i="6"/>
  <c r="J207" i="6"/>
  <c r="I207" i="6"/>
  <c r="H207" i="6"/>
  <c r="G207" i="6"/>
  <c r="F207" i="6"/>
  <c r="E207" i="6"/>
  <c r="D207" i="6"/>
  <c r="C207" i="6"/>
  <c r="B207" i="6"/>
  <c r="S206" i="6"/>
  <c r="R206" i="6"/>
  <c r="Q206" i="6"/>
  <c r="P206" i="6"/>
  <c r="O206" i="6"/>
  <c r="N206" i="6"/>
  <c r="M206" i="6"/>
  <c r="L206" i="6"/>
  <c r="K206" i="6"/>
  <c r="J206" i="6"/>
  <c r="H206" i="6"/>
  <c r="G206" i="6"/>
  <c r="F206" i="6"/>
  <c r="E206" i="6"/>
  <c r="D206" i="6"/>
  <c r="C206" i="6"/>
  <c r="B206" i="6"/>
  <c r="I206" i="6"/>
  <c r="R205" i="6"/>
  <c r="Q205" i="6"/>
  <c r="P205" i="6"/>
  <c r="O205" i="6"/>
  <c r="N205" i="6"/>
  <c r="M205" i="6"/>
  <c r="L205" i="6"/>
  <c r="K205" i="6"/>
  <c r="S205" i="6"/>
  <c r="I205" i="6"/>
  <c r="H205" i="6"/>
  <c r="G205" i="6"/>
  <c r="F205" i="6"/>
  <c r="E205" i="6"/>
  <c r="D205" i="6"/>
  <c r="C205" i="6"/>
  <c r="B205" i="6"/>
  <c r="J205" i="6"/>
  <c r="R204" i="6"/>
  <c r="Q204" i="6"/>
  <c r="P204" i="6"/>
  <c r="O204" i="6"/>
  <c r="N204" i="6"/>
  <c r="M204" i="6"/>
  <c r="L204" i="6"/>
  <c r="K204" i="6"/>
  <c r="J204" i="6"/>
  <c r="I204" i="6"/>
  <c r="S204" i="6"/>
  <c r="B204" i="6"/>
  <c r="C204" i="6"/>
  <c r="D204" i="6"/>
  <c r="E204" i="6"/>
  <c r="F204" i="6"/>
  <c r="G204" i="6"/>
  <c r="H204" i="6"/>
  <c r="Q203" i="6"/>
  <c r="R203" i="6"/>
  <c r="S203" i="6"/>
  <c r="O203" i="6"/>
  <c r="P203" i="6"/>
  <c r="N203" i="6"/>
  <c r="M203" i="6"/>
  <c r="L203" i="6"/>
  <c r="K203" i="6"/>
  <c r="J203" i="6"/>
  <c r="I203" i="6"/>
  <c r="H203" i="6"/>
  <c r="G203" i="6"/>
  <c r="F203" i="6"/>
  <c r="E203" i="6"/>
  <c r="D203" i="6"/>
  <c r="C203" i="6"/>
  <c r="B203" i="6"/>
  <c r="S202" i="6"/>
  <c r="R202" i="6"/>
  <c r="Q202" i="6"/>
  <c r="P202" i="6"/>
  <c r="O202" i="6"/>
  <c r="N202" i="6"/>
  <c r="M202" i="6"/>
  <c r="L202" i="6"/>
  <c r="K202" i="6"/>
  <c r="J202" i="6"/>
  <c r="I202" i="6"/>
  <c r="H202" i="6"/>
  <c r="G202" i="6"/>
  <c r="F202" i="6"/>
  <c r="E202" i="6"/>
  <c r="D202" i="6"/>
  <c r="C202" i="6"/>
  <c r="B202" i="6"/>
  <c r="S201" i="6"/>
  <c r="R201" i="6"/>
  <c r="Q201" i="6"/>
  <c r="P201" i="6"/>
  <c r="O201" i="6"/>
  <c r="N201" i="6"/>
  <c r="M201" i="6"/>
  <c r="L201" i="6"/>
  <c r="K201" i="6"/>
  <c r="J201" i="6"/>
  <c r="I201" i="6"/>
  <c r="H201" i="6"/>
  <c r="G201" i="6"/>
  <c r="F201" i="6"/>
  <c r="E201" i="6"/>
  <c r="D201" i="6"/>
  <c r="C201" i="6"/>
  <c r="B201" i="6"/>
  <c r="S200" i="6"/>
  <c r="R200" i="6"/>
  <c r="Q200" i="6"/>
  <c r="P200" i="6"/>
  <c r="O200" i="6"/>
  <c r="N200" i="6"/>
  <c r="M200" i="6"/>
  <c r="L200" i="6"/>
  <c r="K200" i="6"/>
  <c r="J200" i="6"/>
  <c r="I200" i="6"/>
  <c r="H200" i="6"/>
  <c r="G200" i="6"/>
  <c r="F200" i="6"/>
  <c r="E200" i="6"/>
  <c r="D200" i="6"/>
  <c r="C200" i="6"/>
  <c r="B200" i="6"/>
  <c r="S199" i="6"/>
  <c r="R199" i="6"/>
  <c r="Q199" i="6"/>
  <c r="P199" i="6"/>
  <c r="O199" i="6"/>
  <c r="N199" i="6"/>
  <c r="M199" i="6"/>
  <c r="L199" i="6"/>
  <c r="K199" i="6"/>
  <c r="J199" i="6"/>
  <c r="I199" i="6"/>
  <c r="H199" i="6"/>
  <c r="G199" i="6"/>
  <c r="F199" i="6"/>
  <c r="E199" i="6"/>
  <c r="D199" i="6"/>
  <c r="C199" i="6"/>
  <c r="B199" i="6"/>
  <c r="S198" i="6"/>
  <c r="R198" i="6"/>
  <c r="Q198" i="6"/>
  <c r="P198" i="6"/>
  <c r="O198" i="6"/>
  <c r="N198" i="6"/>
  <c r="M198" i="6"/>
  <c r="L198" i="6"/>
  <c r="K198" i="6"/>
  <c r="J198" i="6"/>
  <c r="I198" i="6"/>
  <c r="H198" i="6"/>
  <c r="G198" i="6"/>
  <c r="F198" i="6"/>
  <c r="E198" i="6"/>
  <c r="D198" i="6"/>
  <c r="C198" i="6"/>
  <c r="B198" i="6"/>
  <c r="S197" i="6"/>
  <c r="R197" i="6"/>
  <c r="Q197" i="6"/>
  <c r="P197" i="6"/>
  <c r="O197" i="6"/>
  <c r="N197" i="6"/>
  <c r="M197" i="6"/>
  <c r="L197" i="6"/>
  <c r="K197" i="6"/>
  <c r="J197" i="6"/>
  <c r="I197" i="6"/>
  <c r="H197" i="6"/>
  <c r="G197" i="6"/>
  <c r="F197" i="6"/>
  <c r="E197" i="6"/>
  <c r="D197" i="6"/>
  <c r="C197" i="6"/>
  <c r="B197" i="6"/>
  <c r="S196" i="6"/>
  <c r="R196" i="6"/>
  <c r="Q196" i="6"/>
  <c r="P196" i="6"/>
  <c r="O196" i="6"/>
  <c r="N196" i="6"/>
  <c r="M196" i="6"/>
  <c r="L196" i="6"/>
  <c r="K196" i="6"/>
  <c r="J196" i="6"/>
  <c r="I196" i="6"/>
  <c r="H196" i="6"/>
  <c r="G196" i="6"/>
  <c r="F196" i="6"/>
  <c r="E196" i="6"/>
  <c r="D196" i="6"/>
  <c r="C196" i="6"/>
  <c r="B196" i="6"/>
  <c r="S195" i="6"/>
  <c r="R195" i="6"/>
  <c r="Q195" i="6"/>
  <c r="P195" i="6"/>
  <c r="O195" i="6"/>
  <c r="N195" i="6"/>
  <c r="M195" i="6"/>
  <c r="L195" i="6"/>
  <c r="K195" i="6"/>
  <c r="J195" i="6"/>
  <c r="I195" i="6"/>
  <c r="H195" i="6"/>
  <c r="G195" i="6"/>
  <c r="F195" i="6"/>
  <c r="E195" i="6"/>
  <c r="D195" i="6"/>
  <c r="C195" i="6"/>
  <c r="B195" i="6"/>
  <c r="S194" i="6"/>
  <c r="R194" i="6"/>
  <c r="Q194" i="6"/>
  <c r="P194" i="6"/>
  <c r="O194" i="6"/>
  <c r="N194" i="6"/>
  <c r="M194" i="6"/>
  <c r="L194" i="6"/>
  <c r="K194" i="6"/>
  <c r="J194" i="6"/>
  <c r="I194" i="6"/>
  <c r="H194" i="6"/>
  <c r="G194" i="6"/>
  <c r="F194" i="6"/>
  <c r="E194" i="6"/>
  <c r="D194" i="6"/>
  <c r="C194" i="6"/>
  <c r="B194" i="6"/>
  <c r="S193" i="6"/>
  <c r="R193" i="6"/>
  <c r="Q193" i="6"/>
  <c r="P193" i="6"/>
  <c r="O193" i="6"/>
  <c r="N193" i="6"/>
  <c r="M193" i="6"/>
  <c r="L193" i="6"/>
  <c r="K193" i="6"/>
  <c r="J193" i="6"/>
  <c r="I193" i="6"/>
  <c r="H193" i="6"/>
  <c r="G193" i="6"/>
  <c r="F193" i="6"/>
  <c r="E193" i="6"/>
  <c r="D193" i="6"/>
  <c r="C193" i="6"/>
  <c r="B193" i="6"/>
  <c r="S192" i="6"/>
  <c r="R192" i="6"/>
  <c r="Q192" i="6"/>
  <c r="P192" i="6"/>
  <c r="O192" i="6"/>
  <c r="N192" i="6"/>
  <c r="M192" i="6"/>
  <c r="L192" i="6"/>
  <c r="K192" i="6"/>
  <c r="J192" i="6"/>
  <c r="I192" i="6"/>
  <c r="H192" i="6"/>
  <c r="G192" i="6"/>
  <c r="F192" i="6"/>
  <c r="E192" i="6"/>
  <c r="D192" i="6"/>
  <c r="C192" i="6"/>
  <c r="B192" i="6"/>
  <c r="D191" i="6"/>
  <c r="S191" i="6"/>
  <c r="R191" i="6"/>
  <c r="Q191" i="6"/>
  <c r="P191" i="6"/>
  <c r="O191" i="6"/>
  <c r="N191" i="6"/>
  <c r="M191" i="6"/>
  <c r="L191" i="6"/>
  <c r="K191" i="6"/>
  <c r="J191" i="6"/>
  <c r="I191" i="6"/>
  <c r="H191" i="6"/>
  <c r="G191" i="6"/>
  <c r="F191" i="6"/>
  <c r="E191" i="6"/>
  <c r="C191" i="6"/>
  <c r="B191" i="6"/>
  <c r="B190" i="6"/>
  <c r="S190" i="6"/>
  <c r="E190" i="6"/>
  <c r="C190" i="6"/>
  <c r="M190" i="6"/>
  <c r="N190" i="6"/>
  <c r="O190" i="6"/>
  <c r="P190" i="6"/>
  <c r="Q190" i="6"/>
  <c r="R190" i="6"/>
  <c r="L190" i="6"/>
  <c r="K190" i="6"/>
  <c r="J190" i="6"/>
  <c r="I190" i="6"/>
  <c r="H190" i="6"/>
  <c r="G190" i="6"/>
  <c r="F190" i="6"/>
  <c r="D190" i="6"/>
  <c r="L189" i="6"/>
  <c r="D189" i="6"/>
  <c r="S189" i="6"/>
  <c r="E189" i="6"/>
  <c r="F189" i="6"/>
  <c r="G189" i="6"/>
  <c r="H189" i="6"/>
  <c r="I189" i="6"/>
  <c r="J189" i="6"/>
  <c r="K189" i="6"/>
  <c r="M189" i="6"/>
  <c r="N189" i="6"/>
  <c r="O189" i="6"/>
  <c r="P189" i="6"/>
  <c r="Q189" i="6"/>
  <c r="R189" i="6"/>
  <c r="C189" i="6"/>
  <c r="B189" i="6"/>
  <c r="H188" i="6"/>
  <c r="D188" i="6"/>
  <c r="B188" i="6"/>
  <c r="C188" i="6"/>
  <c r="E188" i="6"/>
  <c r="F188" i="6"/>
  <c r="G188" i="6"/>
  <c r="K188" i="6"/>
  <c r="I188" i="6"/>
  <c r="P188" i="6"/>
  <c r="S188" i="6"/>
  <c r="R188" i="6"/>
  <c r="Q188" i="6"/>
  <c r="O188" i="6"/>
  <c r="N188" i="6"/>
  <c r="M188" i="6"/>
  <c r="L188" i="6"/>
  <c r="J188" i="6"/>
  <c r="J187" i="6"/>
  <c r="I187" i="6"/>
  <c r="H187" i="6"/>
  <c r="G187" i="6"/>
  <c r="E187" i="6"/>
  <c r="D187" i="6"/>
  <c r="Q187" i="6"/>
  <c r="C187" i="6"/>
  <c r="B187" i="6"/>
  <c r="F187" i="6"/>
  <c r="S187" i="6"/>
  <c r="R187" i="6"/>
  <c r="P187" i="6"/>
  <c r="O187" i="6"/>
  <c r="N187" i="6"/>
  <c r="M187" i="6"/>
  <c r="L187" i="6"/>
  <c r="K187" i="6"/>
  <c r="I186" i="6"/>
  <c r="C186" i="6"/>
  <c r="L186" i="6"/>
  <c r="D186" i="6"/>
  <c r="E186" i="6"/>
  <c r="F186" i="6"/>
  <c r="G186" i="6"/>
  <c r="H186" i="6"/>
  <c r="J186" i="6"/>
  <c r="K186" i="6"/>
  <c r="M186" i="6"/>
  <c r="N186" i="6"/>
  <c r="O186" i="6"/>
  <c r="P186" i="6"/>
  <c r="Q186" i="6"/>
  <c r="R186" i="6"/>
  <c r="S186" i="6"/>
  <c r="B186" i="6"/>
  <c r="S185" i="6"/>
  <c r="K185" i="6"/>
  <c r="R185" i="6"/>
  <c r="Q185" i="6"/>
  <c r="P185" i="6"/>
  <c r="O185" i="6"/>
  <c r="N185" i="6"/>
  <c r="M185" i="6"/>
  <c r="L185" i="6"/>
  <c r="J185" i="6"/>
  <c r="I185" i="6"/>
  <c r="H185" i="6"/>
  <c r="G185" i="6"/>
  <c r="F185" i="6"/>
  <c r="E185" i="6"/>
  <c r="D185" i="6"/>
  <c r="C185" i="6"/>
  <c r="B185" i="6"/>
  <c r="D184" i="6"/>
  <c r="C184" i="6"/>
  <c r="E184" i="6" s="1"/>
  <c r="C127" i="2" s="1"/>
  <c r="B184" i="6"/>
  <c r="D183" i="6"/>
  <c r="B183" i="6"/>
  <c r="C183" i="6"/>
  <c r="E183" i="6" s="1"/>
  <c r="D182" i="6"/>
  <c r="C182" i="6"/>
  <c r="E182" i="6" s="1"/>
  <c r="B182" i="6"/>
  <c r="L182" i="6"/>
  <c r="D181" i="6"/>
  <c r="Q181" i="6"/>
  <c r="B181" i="6"/>
  <c r="C181" i="6"/>
  <c r="E181" i="6"/>
  <c r="D180" i="6"/>
  <c r="C180" i="6"/>
  <c r="B180" i="6"/>
  <c r="E180" i="6"/>
  <c r="O180" i="6"/>
  <c r="Q180" i="6"/>
  <c r="L180" i="6"/>
  <c r="D179" i="6"/>
  <c r="B179" i="6"/>
  <c r="C179" i="6"/>
  <c r="E179" i="6" s="1"/>
  <c r="D178" i="6"/>
  <c r="B178" i="6"/>
  <c r="C178" i="6"/>
  <c r="E178" i="6"/>
  <c r="D177" i="6"/>
  <c r="C177" i="6"/>
  <c r="E177" i="6" s="1"/>
  <c r="B177" i="6"/>
  <c r="Q177" i="6"/>
  <c r="D176" i="6"/>
  <c r="C176" i="6"/>
  <c r="E176" i="6" s="1"/>
  <c r="B176" i="6"/>
  <c r="Q176" i="6"/>
  <c r="D175" i="6"/>
  <c r="C175" i="6"/>
  <c r="E175" i="6" s="1"/>
  <c r="B175" i="6"/>
  <c r="Q175" i="6"/>
  <c r="D174" i="6"/>
  <c r="C174" i="6"/>
  <c r="E174" i="6" s="1"/>
  <c r="B174" i="6"/>
  <c r="L174" i="6"/>
  <c r="D173" i="6"/>
  <c r="L173" i="6"/>
  <c r="C173" i="6"/>
  <c r="E173" i="6" s="1"/>
  <c r="B173" i="6"/>
  <c r="B172" i="6"/>
  <c r="C172" i="6"/>
  <c r="D172" i="6"/>
  <c r="E172" i="6"/>
  <c r="B171" i="6"/>
  <c r="D171" i="6"/>
  <c r="C171" i="6"/>
  <c r="L171" i="6"/>
  <c r="E171" i="6"/>
  <c r="O171" i="6"/>
  <c r="Q171" i="6"/>
  <c r="C170" i="6"/>
  <c r="D170" i="6"/>
  <c r="E170" i="6"/>
  <c r="Q170" i="6"/>
  <c r="O170" i="6"/>
  <c r="L170" i="6"/>
  <c r="B170" i="6"/>
  <c r="B169" i="6"/>
  <c r="C169" i="6"/>
  <c r="D169" i="6"/>
  <c r="E169" i="6"/>
  <c r="Q169" i="6"/>
  <c r="D168" i="6"/>
  <c r="L168" i="6"/>
  <c r="B168" i="6"/>
  <c r="C168" i="6"/>
  <c r="E168" i="6"/>
  <c r="O168" i="6"/>
  <c r="Q168" i="6"/>
  <c r="D167" i="6"/>
  <c r="O167" i="6" s="1"/>
  <c r="Q167" i="6"/>
  <c r="L167" i="6"/>
  <c r="C167" i="6"/>
  <c r="E167" i="6" s="1"/>
  <c r="B167" i="6"/>
  <c r="D166" i="6"/>
  <c r="Q166" i="6"/>
  <c r="C166" i="6"/>
  <c r="E166" i="6" s="1"/>
  <c r="B166" i="6"/>
  <c r="B165" i="6"/>
  <c r="C165" i="6"/>
  <c r="D165" i="6"/>
  <c r="E165" i="6"/>
  <c r="L165" i="6"/>
  <c r="O165" i="6"/>
  <c r="Q165" i="6"/>
  <c r="B164" i="6"/>
  <c r="C164" i="6"/>
  <c r="D164" i="6"/>
  <c r="E164" i="6"/>
  <c r="L164" i="6"/>
  <c r="O164" i="6"/>
  <c r="Q164" i="6"/>
  <c r="C163" i="6"/>
  <c r="B163" i="6"/>
  <c r="E163" i="6"/>
  <c r="D163" i="6"/>
  <c r="O162" i="6"/>
  <c r="Q162" i="6"/>
  <c r="D162" i="6"/>
  <c r="C162" i="6"/>
  <c r="E162" i="6" s="1"/>
  <c r="B162" i="6"/>
  <c r="L162" i="6"/>
  <c r="D161" i="6"/>
  <c r="Q161" i="6"/>
  <c r="O161" i="6"/>
  <c r="C161" i="6"/>
  <c r="E161" i="6" s="1"/>
  <c r="B161" i="6"/>
  <c r="D160" i="6"/>
  <c r="C160" i="6"/>
  <c r="B160" i="6"/>
  <c r="E160" i="6"/>
  <c r="C159" i="6"/>
  <c r="B159" i="6"/>
  <c r="D159" i="6"/>
  <c r="E159" i="6"/>
  <c r="L159" i="6"/>
  <c r="O159" i="6"/>
  <c r="Q159" i="6"/>
  <c r="C158" i="6"/>
  <c r="B158" i="6"/>
  <c r="E158" i="6"/>
  <c r="D158" i="6"/>
  <c r="D157" i="6"/>
  <c r="C157" i="6"/>
  <c r="E157" i="6" s="1"/>
  <c r="B157" i="6"/>
  <c r="Q157" i="6"/>
  <c r="C156" i="6"/>
  <c r="B156" i="6"/>
  <c r="E156" i="6"/>
  <c r="D156" i="6"/>
  <c r="B155" i="6"/>
  <c r="C155" i="6"/>
  <c r="D155" i="6"/>
  <c r="E155" i="6"/>
  <c r="B154" i="6"/>
  <c r="D154" i="6"/>
  <c r="C154" i="6"/>
  <c r="E154" i="6" s="1"/>
  <c r="Q154" i="6"/>
  <c r="B153" i="6"/>
  <c r="C153" i="6"/>
  <c r="D153" i="6"/>
  <c r="E153" i="6"/>
  <c r="B152" i="6"/>
  <c r="D152" i="6"/>
  <c r="C152" i="6"/>
  <c r="E152" i="6" s="1"/>
  <c r="D151" i="6"/>
  <c r="Q151" i="6"/>
  <c r="C151" i="6"/>
  <c r="B151" i="6"/>
  <c r="E151" i="6"/>
  <c r="D150" i="6"/>
  <c r="C150" i="6"/>
  <c r="E150" i="6" s="1"/>
  <c r="B150" i="6"/>
  <c r="C149" i="6"/>
  <c r="E149" i="6"/>
  <c r="D149" i="6"/>
  <c r="B149" i="6"/>
  <c r="B148" i="6"/>
  <c r="D148" i="6"/>
  <c r="C148" i="6"/>
  <c r="E148" i="6" s="1"/>
  <c r="C124" i="2" s="1"/>
  <c r="D147" i="6"/>
  <c r="C147" i="6"/>
  <c r="E147" i="6" s="1"/>
  <c r="Q147" i="6"/>
  <c r="O147" i="6"/>
  <c r="B146" i="6"/>
  <c r="C146" i="6"/>
  <c r="D146" i="6"/>
  <c r="E146" i="6"/>
  <c r="B145" i="6"/>
  <c r="C145" i="6"/>
  <c r="D145" i="6"/>
  <c r="E145" i="6"/>
  <c r="D144" i="6"/>
  <c r="C144" i="6"/>
  <c r="E144" i="6" s="1"/>
  <c r="B144" i="6"/>
  <c r="Q144" i="6"/>
  <c r="O144" i="6"/>
  <c r="L144" i="6"/>
  <c r="B143" i="6"/>
  <c r="D143" i="6"/>
  <c r="L143" i="6"/>
  <c r="Q143" i="6"/>
  <c r="O143" i="6"/>
  <c r="C143" i="6"/>
  <c r="E143" i="6" s="1"/>
  <c r="C142" i="6"/>
  <c r="D142" i="6"/>
  <c r="B142" i="6"/>
  <c r="E142" i="6"/>
  <c r="B141" i="6"/>
  <c r="C141" i="6"/>
  <c r="D141" i="6"/>
  <c r="Q141" i="6" s="1"/>
  <c r="E141" i="6"/>
  <c r="L141" i="6"/>
  <c r="O141" i="6"/>
  <c r="B140" i="6"/>
  <c r="D140" i="6"/>
  <c r="Q140" i="6"/>
  <c r="C140" i="6"/>
  <c r="E140" i="6" s="1"/>
  <c r="C139" i="6"/>
  <c r="E139" i="6" s="1"/>
  <c r="D139" i="6"/>
  <c r="B139" i="6"/>
  <c r="C138" i="6"/>
  <c r="E138" i="6" s="1"/>
  <c r="D138" i="6"/>
  <c r="B138" i="6"/>
  <c r="D137" i="6"/>
  <c r="C137" i="6"/>
  <c r="E137" i="6" s="1"/>
  <c r="B137" i="6"/>
  <c r="O137" i="6"/>
  <c r="P137" i="6" s="1"/>
  <c r="C136" i="6"/>
  <c r="B136" i="6"/>
  <c r="D136" i="6"/>
  <c r="E136" i="6"/>
  <c r="B135" i="6"/>
  <c r="C135" i="6"/>
  <c r="E135" i="6"/>
  <c r="D135" i="6"/>
  <c r="O135" i="6"/>
  <c r="Q135" i="6"/>
  <c r="L135" i="6"/>
  <c r="B134" i="6"/>
  <c r="C134" i="6"/>
  <c r="E134" i="6" s="1"/>
  <c r="D134" i="6"/>
  <c r="D133" i="6"/>
  <c r="B133" i="6"/>
  <c r="C133" i="6"/>
  <c r="E133" i="6"/>
  <c r="Q133" i="6"/>
  <c r="C132" i="6"/>
  <c r="E132" i="6"/>
  <c r="B132" i="6"/>
  <c r="D132" i="6"/>
  <c r="Q132" i="6"/>
  <c r="C131" i="6"/>
  <c r="D131" i="6"/>
  <c r="B131" i="6"/>
  <c r="E131" i="6"/>
  <c r="Q131" i="6"/>
  <c r="O131" i="6"/>
  <c r="D130" i="6"/>
  <c r="C130" i="6"/>
  <c r="E130" i="6" s="1"/>
  <c r="Q130" i="6"/>
  <c r="B130" i="6"/>
  <c r="C129" i="6"/>
  <c r="B129" i="6"/>
  <c r="D129" i="6"/>
  <c r="Q129" i="6"/>
  <c r="E129" i="6"/>
  <c r="L129" i="6"/>
  <c r="O129" i="6"/>
  <c r="D128" i="6"/>
  <c r="B128" i="6"/>
  <c r="C128" i="6"/>
  <c r="E128" i="6"/>
  <c r="D127" i="6"/>
  <c r="B127" i="6"/>
  <c r="C127" i="6"/>
  <c r="E127" i="6"/>
  <c r="C126" i="6"/>
  <c r="B126" i="6"/>
  <c r="D126" i="6"/>
  <c r="O126" i="6"/>
  <c r="Q126" i="6"/>
  <c r="E126" i="6"/>
  <c r="C125" i="6"/>
  <c r="E125" i="6" s="1"/>
  <c r="D125" i="6"/>
  <c r="B125" i="6"/>
  <c r="D124" i="6"/>
  <c r="C124" i="6"/>
  <c r="E124" i="6" s="1"/>
  <c r="C122" i="2" s="1"/>
  <c r="B124" i="6"/>
  <c r="B123" i="6"/>
  <c r="D123" i="6"/>
  <c r="L123" i="6"/>
  <c r="O123" i="6"/>
  <c r="Q123" i="6"/>
  <c r="C123" i="6"/>
  <c r="E123" i="6" s="1"/>
  <c r="B122" i="6"/>
  <c r="C122" i="6"/>
  <c r="E122" i="6" s="1"/>
  <c r="D122" i="6"/>
  <c r="C121" i="6"/>
  <c r="E121" i="6" s="1"/>
  <c r="B121" i="6"/>
  <c r="D121" i="6"/>
  <c r="D120" i="6"/>
  <c r="C120" i="6"/>
  <c r="B120" i="6"/>
  <c r="O120" i="6"/>
  <c r="E120" i="6"/>
  <c r="Q120" i="6"/>
  <c r="C119" i="6"/>
  <c r="D119" i="6"/>
  <c r="E119" i="6"/>
  <c r="B119" i="6"/>
  <c r="D118" i="6"/>
  <c r="C118" i="6"/>
  <c r="E118" i="6" s="1"/>
  <c r="B118" i="6"/>
  <c r="D117" i="6"/>
  <c r="B117" i="6"/>
  <c r="C117" i="6"/>
  <c r="E117" i="6" s="1"/>
  <c r="D116" i="6"/>
  <c r="O116" i="6"/>
  <c r="B116" i="6"/>
  <c r="L116" i="6"/>
  <c r="C116" i="6"/>
  <c r="E116" i="6" s="1"/>
  <c r="D115" i="6"/>
  <c r="B115" i="6"/>
  <c r="C115" i="6"/>
  <c r="Q115" i="6"/>
  <c r="E115" i="6"/>
  <c r="C114" i="6"/>
  <c r="D114" i="6"/>
  <c r="L114" i="6"/>
  <c r="B114" i="6"/>
  <c r="E114" i="6"/>
  <c r="C113" i="6"/>
  <c r="D113" i="6"/>
  <c r="B113" i="6"/>
  <c r="E113" i="6"/>
  <c r="D112" i="6"/>
  <c r="B112" i="6"/>
  <c r="C112" i="6"/>
  <c r="E112" i="6" s="1"/>
  <c r="C121" i="2" s="1"/>
  <c r="D111" i="6"/>
  <c r="B111" i="6"/>
  <c r="C111" i="6"/>
  <c r="E111" i="6" s="1"/>
  <c r="O111" i="6"/>
  <c r="L111" i="6"/>
  <c r="Q111" i="6"/>
  <c r="C110" i="6"/>
  <c r="E110" i="6" s="1"/>
  <c r="D110" i="6"/>
  <c r="B109" i="6"/>
  <c r="D109" i="6"/>
  <c r="Q109" i="6" s="1"/>
  <c r="C109" i="6"/>
  <c r="E109" i="6" s="1"/>
  <c r="D108" i="6"/>
  <c r="Q108" i="6"/>
  <c r="C108" i="6"/>
  <c r="E108" i="6"/>
  <c r="B108" i="6"/>
  <c r="O108" i="6"/>
  <c r="L108" i="6"/>
  <c r="B107" i="6"/>
  <c r="D107" i="6"/>
  <c r="L107" i="6"/>
  <c r="Q107" i="6"/>
  <c r="O107" i="6"/>
  <c r="C107" i="6"/>
  <c r="E107" i="6" s="1"/>
  <c r="B106" i="6"/>
  <c r="C106" i="6"/>
  <c r="D106" i="6"/>
  <c r="E106" i="6"/>
  <c r="B105" i="6"/>
  <c r="C105" i="6"/>
  <c r="E105" i="6" s="1"/>
  <c r="D105" i="6"/>
  <c r="B104" i="6"/>
  <c r="D104" i="6"/>
  <c r="C104" i="6"/>
  <c r="E104" i="6" s="1"/>
  <c r="B103" i="6"/>
  <c r="C103" i="6"/>
  <c r="E103" i="6"/>
  <c r="D103" i="6"/>
  <c r="C102" i="6"/>
  <c r="E102" i="6" s="1"/>
  <c r="B102" i="6"/>
  <c r="D102" i="6"/>
  <c r="B101" i="6"/>
  <c r="D101" i="6"/>
  <c r="Q101" i="6"/>
  <c r="O101" i="6"/>
  <c r="P101" i="6" s="1"/>
  <c r="L101" i="6"/>
  <c r="C101" i="6"/>
  <c r="E101" i="6" s="1"/>
  <c r="D100" i="6"/>
  <c r="B100" i="6"/>
  <c r="C100" i="6"/>
  <c r="E100" i="6" s="1"/>
  <c r="C120" i="2" s="1"/>
  <c r="B99" i="6"/>
  <c r="C99" i="6"/>
  <c r="E99" i="6" s="1"/>
  <c r="D99" i="6"/>
  <c r="B98" i="6"/>
  <c r="C98" i="6"/>
  <c r="E98" i="6" s="1"/>
  <c r="D98" i="6"/>
  <c r="Q98" i="6" s="1"/>
  <c r="O98" i="6"/>
  <c r="L98" i="6"/>
  <c r="B97" i="6"/>
  <c r="C97" i="6"/>
  <c r="D97" i="6"/>
  <c r="E97" i="6"/>
  <c r="D96" i="6"/>
  <c r="B96" i="6"/>
  <c r="C96" i="6"/>
  <c r="E96" i="6" s="1"/>
  <c r="Q96" i="6"/>
  <c r="B95" i="6"/>
  <c r="D95" i="6"/>
  <c r="C95" i="6"/>
  <c r="E95" i="6" s="1"/>
  <c r="B94" i="6"/>
  <c r="D94" i="6"/>
  <c r="C94" i="6"/>
  <c r="E94" i="6" s="1"/>
  <c r="C93" i="6"/>
  <c r="E93" i="6" s="1"/>
  <c r="B93" i="6"/>
  <c r="D93" i="6"/>
  <c r="C92" i="6"/>
  <c r="E92" i="6" s="1"/>
  <c r="B92" i="6"/>
  <c r="D92" i="6"/>
  <c r="O92" i="6"/>
  <c r="Q92" i="6"/>
  <c r="B91" i="6"/>
  <c r="D91" i="6"/>
  <c r="C91" i="6"/>
  <c r="E91" i="6" s="1"/>
  <c r="D90" i="6"/>
  <c r="B90" i="6"/>
  <c r="C90" i="6"/>
  <c r="E90" i="6"/>
  <c r="Q90" i="6"/>
  <c r="O90" i="6"/>
  <c r="C89" i="6"/>
  <c r="E89" i="6" s="1"/>
  <c r="B89" i="6"/>
  <c r="D89" i="6"/>
  <c r="B88" i="6"/>
  <c r="D88" i="6"/>
  <c r="C88" i="6"/>
  <c r="E88" i="6" s="1"/>
  <c r="C119" i="2" s="1"/>
  <c r="B87" i="6"/>
  <c r="C87" i="6"/>
  <c r="E87" i="6" s="1"/>
  <c r="D87" i="6"/>
  <c r="L87" i="6" s="1"/>
  <c r="O87" i="6"/>
  <c r="Q87" i="6"/>
  <c r="B86" i="6"/>
  <c r="D86" i="6"/>
  <c r="C86" i="6"/>
  <c r="E86" i="6" s="1"/>
  <c r="D85" i="6"/>
  <c r="B85" i="6"/>
  <c r="C85" i="6"/>
  <c r="E85" i="6" s="1"/>
  <c r="D84" i="6"/>
  <c r="B84" i="6"/>
  <c r="C84" i="6"/>
  <c r="L84" i="6"/>
  <c r="Q84" i="6"/>
  <c r="O84" i="6"/>
  <c r="E84" i="6"/>
  <c r="C83" i="6"/>
  <c r="E83" i="6" s="1"/>
  <c r="B83" i="6"/>
  <c r="D83" i="6"/>
  <c r="C82" i="6"/>
  <c r="B82" i="6"/>
  <c r="E82" i="6"/>
  <c r="D82" i="6"/>
  <c r="Q82" i="6"/>
  <c r="B81" i="6"/>
  <c r="D81" i="6"/>
  <c r="Q81" i="6"/>
  <c r="O81" i="6"/>
  <c r="L81" i="6"/>
  <c r="C81" i="6"/>
  <c r="E81" i="6" s="1"/>
  <c r="C80" i="6"/>
  <c r="E80" i="6"/>
  <c r="B80" i="6"/>
  <c r="D80" i="6"/>
  <c r="Q80" i="6" s="1"/>
  <c r="O80" i="6"/>
  <c r="L80" i="6"/>
  <c r="B79" i="6"/>
  <c r="C79" i="6"/>
  <c r="E79" i="6" s="1"/>
  <c r="D79" i="6"/>
  <c r="B78" i="6"/>
  <c r="C78" i="6"/>
  <c r="D78" i="6"/>
  <c r="E78" i="6"/>
  <c r="D77" i="6"/>
  <c r="C77" i="6"/>
  <c r="E77" i="6" s="1"/>
  <c r="B77" i="6"/>
  <c r="L77" i="6"/>
  <c r="D76" i="6"/>
  <c r="B76" i="6"/>
  <c r="C76" i="6"/>
  <c r="E76" i="6" s="1"/>
  <c r="C118" i="2" s="1"/>
  <c r="C75" i="6"/>
  <c r="B75" i="6"/>
  <c r="D75" i="6"/>
  <c r="E75" i="6"/>
  <c r="L75" i="6"/>
  <c r="O75" i="6"/>
  <c r="Q75" i="6"/>
  <c r="B74" i="6"/>
  <c r="C74" i="6"/>
  <c r="D74" i="6"/>
  <c r="E74" i="6"/>
  <c r="O74" i="6"/>
  <c r="Q74" i="6"/>
  <c r="L74" i="6"/>
  <c r="B73" i="6"/>
  <c r="C73" i="6"/>
  <c r="D73" i="6"/>
  <c r="E73" i="6"/>
  <c r="D72" i="6"/>
  <c r="L72" i="6"/>
  <c r="O72" i="6"/>
  <c r="Q72" i="6"/>
  <c r="B72" i="6"/>
  <c r="C72" i="6"/>
  <c r="E72" i="6" s="1"/>
  <c r="C71" i="6"/>
  <c r="E71" i="6" s="1"/>
  <c r="B71" i="6"/>
  <c r="D71" i="6"/>
  <c r="O71" i="6"/>
  <c r="D70" i="6"/>
  <c r="C70" i="6"/>
  <c r="E70" i="6" s="1"/>
  <c r="B70" i="6"/>
  <c r="C69" i="6"/>
  <c r="D69" i="6"/>
  <c r="B69" i="6"/>
  <c r="E69" i="6"/>
  <c r="C68" i="6"/>
  <c r="E68" i="6" s="1"/>
  <c r="D68" i="6"/>
  <c r="B68" i="6"/>
  <c r="Q68" i="6"/>
  <c r="O68" i="6"/>
  <c r="L68" i="6"/>
  <c r="C67" i="6"/>
  <c r="E67" i="6" s="1"/>
  <c r="D67" i="6"/>
  <c r="Q67" i="6"/>
  <c r="B67" i="6"/>
  <c r="D66" i="6"/>
  <c r="B66" i="6"/>
  <c r="C66" i="6"/>
  <c r="E66" i="6" s="1"/>
  <c r="Q66" i="6"/>
  <c r="O66" i="6"/>
  <c r="L66" i="6"/>
  <c r="B65" i="6"/>
  <c r="C65" i="6"/>
  <c r="D65" i="6"/>
  <c r="E65" i="6"/>
  <c r="B64" i="6"/>
  <c r="C64" i="6"/>
  <c r="D64" i="6"/>
  <c r="E64" i="6"/>
  <c r="C117" i="2" s="1"/>
  <c r="B63" i="6"/>
  <c r="C63" i="6"/>
  <c r="D63" i="6"/>
  <c r="E63" i="6"/>
  <c r="L63" i="6"/>
  <c r="O63" i="6"/>
  <c r="Q63" i="6"/>
  <c r="D62" i="6"/>
  <c r="C62" i="6"/>
  <c r="E62" i="6" s="1"/>
  <c r="B62" i="6"/>
  <c r="O62" i="6"/>
  <c r="B61" i="6"/>
  <c r="C61" i="6"/>
  <c r="D61" i="6"/>
  <c r="E61" i="6"/>
  <c r="B60" i="6"/>
  <c r="C60" i="6"/>
  <c r="E60" i="6" s="1"/>
  <c r="D60" i="6"/>
  <c r="B59" i="6"/>
  <c r="C59" i="6"/>
  <c r="E59" i="6"/>
  <c r="D59" i="6"/>
  <c r="L59" i="6" s="1"/>
  <c r="O59" i="6"/>
  <c r="Q59" i="6"/>
  <c r="C58" i="6"/>
  <c r="D58" i="6"/>
  <c r="E58" i="6"/>
  <c r="Q58" i="6"/>
  <c r="B58" i="6"/>
  <c r="B57" i="6"/>
  <c r="C57" i="6"/>
  <c r="E57" i="6"/>
  <c r="D57" i="6"/>
  <c r="O57" i="6"/>
  <c r="L57" i="6"/>
  <c r="Q57" i="6"/>
  <c r="B56" i="6"/>
  <c r="C56" i="6"/>
  <c r="D56" i="6"/>
  <c r="L56" i="6" s="1"/>
  <c r="E56" i="6"/>
  <c r="O56" i="6"/>
  <c r="Q56" i="6"/>
  <c r="B55" i="6"/>
  <c r="C55" i="6"/>
  <c r="D55" i="6"/>
  <c r="E55" i="6"/>
  <c r="Q55" i="6"/>
  <c r="D54" i="6"/>
  <c r="C54" i="6"/>
  <c r="E54" i="6" s="1"/>
  <c r="B54" i="6"/>
  <c r="L54" i="6"/>
  <c r="O54" i="6"/>
  <c r="Q54" i="6"/>
  <c r="D53" i="6"/>
  <c r="C53" i="6"/>
  <c r="E53" i="6" s="1"/>
  <c r="B53" i="6"/>
  <c r="Q53" i="6"/>
  <c r="D52" i="6"/>
  <c r="C52" i="6"/>
  <c r="E52" i="6" s="1"/>
  <c r="C116" i="2" s="1"/>
  <c r="B52" i="6"/>
  <c r="D51" i="6"/>
  <c r="C51" i="6"/>
  <c r="E51" i="6" s="1"/>
  <c r="B51" i="6"/>
  <c r="Q51" i="6"/>
  <c r="O51" i="6"/>
  <c r="L51" i="6"/>
  <c r="D50" i="6"/>
  <c r="C50" i="6"/>
  <c r="E50" i="6" s="1"/>
  <c r="B50" i="6"/>
  <c r="Q50" i="6"/>
  <c r="O50" i="6"/>
  <c r="L50" i="6"/>
  <c r="C49" i="6"/>
  <c r="E49" i="6" s="1"/>
  <c r="B49" i="6"/>
  <c r="D49" i="6"/>
  <c r="D48" i="6"/>
  <c r="C48" i="6"/>
  <c r="E48" i="6" s="1"/>
  <c r="B48" i="6"/>
  <c r="Q48" i="6"/>
  <c r="O48" i="6"/>
  <c r="L48" i="6"/>
  <c r="D47" i="6"/>
  <c r="C47" i="6"/>
  <c r="E47" i="6" s="1"/>
  <c r="B47" i="6"/>
  <c r="D46" i="6"/>
  <c r="C46" i="6"/>
  <c r="E46" i="6" s="1"/>
  <c r="B46" i="6"/>
  <c r="Q46" i="6"/>
  <c r="C45" i="6"/>
  <c r="B45" i="6"/>
  <c r="D45" i="6"/>
  <c r="E45" i="6"/>
  <c r="B44" i="6"/>
  <c r="D44" i="6"/>
  <c r="O44" i="6"/>
  <c r="C44" i="6"/>
  <c r="E44" i="6" s="1"/>
  <c r="Q44" i="6"/>
  <c r="L44" i="6"/>
  <c r="B43" i="6"/>
  <c r="D43" i="6"/>
  <c r="C43" i="6"/>
  <c r="E43" i="6" s="1"/>
  <c r="Q43" i="6"/>
  <c r="D42" i="6"/>
  <c r="C42" i="6"/>
  <c r="E42" i="6" s="1"/>
  <c r="B42" i="6"/>
  <c r="B41" i="6"/>
  <c r="C41" i="6"/>
  <c r="D41" i="6"/>
  <c r="E41" i="6"/>
  <c r="D40" i="6"/>
  <c r="B40" i="6"/>
  <c r="C40" i="6"/>
  <c r="E40" i="6" s="1"/>
  <c r="C115" i="2" s="1"/>
  <c r="C39" i="6"/>
  <c r="E39" i="6"/>
  <c r="B39" i="6"/>
  <c r="D39" i="6"/>
  <c r="L39" i="6" s="1"/>
  <c r="O39" i="6"/>
  <c r="Q39" i="6"/>
  <c r="D38" i="6"/>
  <c r="L38" i="6"/>
  <c r="Q38" i="6"/>
  <c r="O38" i="6"/>
  <c r="C38" i="6"/>
  <c r="E38" i="6" s="1"/>
  <c r="B38" i="6"/>
  <c r="D37" i="6"/>
  <c r="C37" i="6"/>
  <c r="E37" i="6" s="1"/>
  <c r="B37" i="6"/>
  <c r="Q37" i="6"/>
  <c r="D36" i="6"/>
  <c r="C36" i="6"/>
  <c r="E36" i="6" s="1"/>
  <c r="B36" i="6"/>
  <c r="Q36" i="6"/>
  <c r="O36" i="6"/>
  <c r="D35" i="6"/>
  <c r="C35" i="6"/>
  <c r="E35" i="6" s="1"/>
  <c r="B35" i="6"/>
  <c r="Q35" i="6"/>
  <c r="O35" i="6"/>
  <c r="D34" i="6"/>
  <c r="C34" i="6"/>
  <c r="E34" i="6" s="1"/>
  <c r="B34" i="6"/>
  <c r="C33" i="6"/>
  <c r="E33" i="6" s="1"/>
  <c r="D33" i="6"/>
  <c r="B33" i="6"/>
  <c r="Q33" i="6"/>
  <c r="O33" i="6"/>
  <c r="L33" i="6"/>
  <c r="D32" i="6"/>
  <c r="C32" i="6"/>
  <c r="E32" i="6" s="1"/>
  <c r="B32" i="6"/>
  <c r="O32" i="6"/>
  <c r="Q32" i="6"/>
  <c r="B31" i="6"/>
  <c r="C31" i="6"/>
  <c r="D31" i="6"/>
  <c r="E31" i="6"/>
  <c r="D30" i="6"/>
  <c r="C30" i="6"/>
  <c r="E30" i="6" s="1"/>
  <c r="B30" i="6"/>
  <c r="C29" i="6"/>
  <c r="E29" i="6" s="1"/>
  <c r="B29" i="6"/>
  <c r="D29" i="6"/>
  <c r="D28" i="6"/>
  <c r="B28" i="6"/>
  <c r="C28" i="6"/>
  <c r="E28" i="6" s="1"/>
  <c r="C114" i="2" s="1"/>
  <c r="B27" i="6"/>
  <c r="C27" i="6"/>
  <c r="D27" i="6"/>
  <c r="E27" i="6"/>
  <c r="B26" i="6"/>
  <c r="C26" i="6"/>
  <c r="E26" i="6" s="1"/>
  <c r="D26" i="6"/>
  <c r="D25" i="6"/>
  <c r="C25" i="6"/>
  <c r="E25" i="6" s="1"/>
  <c r="B25" i="6"/>
  <c r="Q25" i="6"/>
  <c r="B24" i="6"/>
  <c r="C24" i="6"/>
  <c r="D24" i="6"/>
  <c r="E24" i="6"/>
  <c r="L24" i="6"/>
  <c r="D23" i="6"/>
  <c r="C23" i="6"/>
  <c r="E23" i="6" s="1"/>
  <c r="B23" i="6"/>
  <c r="D22" i="6"/>
  <c r="Q22" i="6"/>
  <c r="C22" i="6"/>
  <c r="E22" i="6" s="1"/>
  <c r="B22" i="6"/>
  <c r="B21" i="6"/>
  <c r="D21" i="6"/>
  <c r="C21" i="6"/>
  <c r="E21" i="6" s="1"/>
  <c r="D20" i="6"/>
  <c r="B20" i="6"/>
  <c r="C20" i="6"/>
  <c r="E20" i="6" s="1"/>
  <c r="L20" i="6"/>
  <c r="O20" i="6"/>
  <c r="Q20" i="6"/>
  <c r="D19" i="6"/>
  <c r="C19" i="6"/>
  <c r="E19" i="6" s="1"/>
  <c r="B19" i="6"/>
  <c r="D18" i="6"/>
  <c r="C18" i="6"/>
  <c r="E18" i="6" s="1"/>
  <c r="B18" i="6"/>
  <c r="D17" i="6"/>
  <c r="C17" i="6"/>
  <c r="E17" i="6" s="1"/>
  <c r="B17" i="6"/>
  <c r="D16" i="6"/>
  <c r="C16" i="6"/>
  <c r="E16" i="6" s="1"/>
  <c r="C113" i="2" s="1"/>
  <c r="B16" i="6"/>
  <c r="C15" i="6"/>
  <c r="E15" i="6" s="1"/>
  <c r="B15" i="6"/>
  <c r="D15" i="6"/>
  <c r="C14" i="6"/>
  <c r="B14" i="6"/>
  <c r="D14" i="6"/>
  <c r="E14" i="6"/>
  <c r="B13" i="6"/>
  <c r="C13" i="6"/>
  <c r="D13" i="6"/>
  <c r="E13" i="6"/>
  <c r="Q13" i="6"/>
  <c r="D12" i="6"/>
  <c r="C12" i="6"/>
  <c r="E12" i="6" s="1"/>
  <c r="B12" i="6"/>
  <c r="Q12" i="6"/>
  <c r="O12" i="6"/>
  <c r="L12" i="6"/>
  <c r="D11" i="6"/>
  <c r="C11" i="6"/>
  <c r="E11" i="6" s="1"/>
  <c r="B11" i="6"/>
  <c r="D10" i="6"/>
  <c r="C10" i="6"/>
  <c r="B10" i="6"/>
  <c r="Q10" i="6"/>
  <c r="E10" i="6"/>
  <c r="D9" i="6"/>
  <c r="C9" i="6"/>
  <c r="E9" i="6" s="1"/>
  <c r="B9" i="6"/>
  <c r="Q9" i="6"/>
  <c r="O9" i="6"/>
  <c r="L9" i="6"/>
  <c r="C8" i="6"/>
  <c r="D8" i="6"/>
  <c r="E8" i="6"/>
  <c r="O8" i="6"/>
  <c r="Q8" i="6"/>
  <c r="B8" i="6"/>
  <c r="D7" i="6"/>
  <c r="C7" i="6"/>
  <c r="E7" i="6" s="1"/>
  <c r="Q7" i="6"/>
  <c r="B7" i="6"/>
  <c r="D6" i="6"/>
  <c r="C6" i="6"/>
  <c r="E6" i="6" s="1"/>
  <c r="O6" i="6"/>
  <c r="Q6" i="6"/>
  <c r="B6" i="6"/>
  <c r="F5" i="6"/>
  <c r="B5" i="6"/>
  <c r="C5" i="6"/>
  <c r="E5" i="6" s="1"/>
  <c r="D5" i="6"/>
  <c r="Q5" i="6" s="1"/>
  <c r="E364" i="5"/>
  <c r="F364" i="5"/>
  <c r="P364" i="5"/>
  <c r="G364" i="5"/>
  <c r="H364" i="5"/>
  <c r="Q364" i="5"/>
  <c r="R364" i="5"/>
  <c r="S364" i="5"/>
  <c r="J364" i="5"/>
  <c r="K364" i="5"/>
  <c r="L364" i="5"/>
  <c r="M364" i="5"/>
  <c r="N364" i="5"/>
  <c r="O364" i="5"/>
  <c r="B364" i="5"/>
  <c r="C364" i="5"/>
  <c r="I364" i="5"/>
  <c r="D364" i="5"/>
  <c r="J363" i="5"/>
  <c r="I363" i="5"/>
  <c r="H363" i="5"/>
  <c r="G363" i="5"/>
  <c r="F363" i="5"/>
  <c r="E363" i="5"/>
  <c r="D363" i="5"/>
  <c r="C363" i="5"/>
  <c r="B363" i="5"/>
  <c r="M363" i="5"/>
  <c r="S363" i="5"/>
  <c r="R363" i="5"/>
  <c r="Q363" i="5"/>
  <c r="P363" i="5"/>
  <c r="O363" i="5"/>
  <c r="N363" i="5"/>
  <c r="L363" i="5"/>
  <c r="K363" i="5"/>
  <c r="C362" i="5"/>
  <c r="G362" i="5"/>
  <c r="H362" i="5"/>
  <c r="I362" i="5"/>
  <c r="J362" i="5"/>
  <c r="L362" i="5"/>
  <c r="K362" i="5"/>
  <c r="M362" i="5"/>
  <c r="N362" i="5"/>
  <c r="O362" i="5"/>
  <c r="P362" i="5"/>
  <c r="F362" i="5"/>
  <c r="R362" i="5"/>
  <c r="S362" i="5"/>
  <c r="D362" i="5"/>
  <c r="B362" i="5"/>
  <c r="E362" i="5"/>
  <c r="Q362" i="5"/>
  <c r="J361" i="5"/>
  <c r="I361" i="5"/>
  <c r="H361" i="5"/>
  <c r="G361" i="5"/>
  <c r="F361" i="5"/>
  <c r="E361" i="5"/>
  <c r="D361" i="5"/>
  <c r="C361" i="5"/>
  <c r="B361" i="5"/>
  <c r="S361" i="5"/>
  <c r="R361" i="5"/>
  <c r="Q361" i="5"/>
  <c r="P361" i="5"/>
  <c r="O361" i="5"/>
  <c r="N361" i="5"/>
  <c r="L361" i="5"/>
  <c r="K361" i="5"/>
  <c r="M361" i="5"/>
  <c r="E360" i="5"/>
  <c r="D360" i="5"/>
  <c r="C360" i="5"/>
  <c r="B360" i="5"/>
  <c r="R360" i="5"/>
  <c r="K360" i="5"/>
  <c r="M360" i="5"/>
  <c r="N360" i="5"/>
  <c r="J360" i="5"/>
  <c r="O360" i="5"/>
  <c r="I360" i="5"/>
  <c r="G360" i="5"/>
  <c r="Q360" i="5"/>
  <c r="P360" i="5"/>
  <c r="L360" i="5"/>
  <c r="S360" i="5"/>
  <c r="H360" i="5"/>
  <c r="F360" i="5"/>
  <c r="R359" i="5"/>
  <c r="B359" i="5"/>
  <c r="C359" i="5"/>
  <c r="D359" i="5"/>
  <c r="E359" i="5"/>
  <c r="F359" i="5"/>
  <c r="G359" i="5"/>
  <c r="H359" i="5"/>
  <c r="J359" i="5"/>
  <c r="K359" i="5"/>
  <c r="L359" i="5"/>
  <c r="M359" i="5"/>
  <c r="N359" i="5"/>
  <c r="P359" i="5"/>
  <c r="I359" i="5"/>
  <c r="Q359" i="5"/>
  <c r="S359" i="5"/>
  <c r="O359" i="5"/>
  <c r="K358" i="5"/>
  <c r="L358" i="5"/>
  <c r="M358" i="5"/>
  <c r="E358" i="5"/>
  <c r="N358" i="5"/>
  <c r="O358" i="5"/>
  <c r="P358" i="5"/>
  <c r="Q358" i="5"/>
  <c r="R358" i="5"/>
  <c r="D358" i="5"/>
  <c r="G358" i="5"/>
  <c r="C358" i="5"/>
  <c r="F358" i="5"/>
  <c r="S358" i="5"/>
  <c r="B358" i="5"/>
  <c r="H358" i="5"/>
  <c r="I358" i="5"/>
  <c r="J358" i="5"/>
  <c r="M357" i="5"/>
  <c r="S357" i="5"/>
  <c r="R357" i="5"/>
  <c r="Q357" i="5"/>
  <c r="P357" i="5"/>
  <c r="O357" i="5"/>
  <c r="N357" i="5"/>
  <c r="H357" i="5"/>
  <c r="G357" i="5"/>
  <c r="F357" i="5"/>
  <c r="E357" i="5"/>
  <c r="D357" i="5"/>
  <c r="C357" i="5"/>
  <c r="B357" i="5"/>
  <c r="K357" i="5"/>
  <c r="L357" i="5"/>
  <c r="J357" i="5"/>
  <c r="I357" i="5"/>
  <c r="J356" i="5"/>
  <c r="K356" i="5"/>
  <c r="L356" i="5"/>
  <c r="N356" i="5"/>
  <c r="O356" i="5"/>
  <c r="P356" i="5"/>
  <c r="R356" i="5"/>
  <c r="S356" i="5"/>
  <c r="M356" i="5"/>
  <c r="B356" i="5"/>
  <c r="C356" i="5"/>
  <c r="D356" i="5"/>
  <c r="E356" i="5"/>
  <c r="F356" i="5"/>
  <c r="G356" i="5"/>
  <c r="Q356" i="5"/>
  <c r="H356" i="5"/>
  <c r="I356" i="5"/>
  <c r="J355" i="5"/>
  <c r="I355" i="5"/>
  <c r="F355" i="5"/>
  <c r="H355" i="5"/>
  <c r="E355" i="5"/>
  <c r="S355" i="5"/>
  <c r="R355" i="5"/>
  <c r="Q355" i="5"/>
  <c r="P355" i="5"/>
  <c r="O355" i="5"/>
  <c r="N355" i="5"/>
  <c r="M355" i="5"/>
  <c r="L355" i="5"/>
  <c r="K355" i="5"/>
  <c r="D355" i="5"/>
  <c r="C355" i="5"/>
  <c r="B355" i="5"/>
  <c r="G355" i="5"/>
  <c r="P354" i="5"/>
  <c r="D354" i="5"/>
  <c r="E354" i="5"/>
  <c r="F354" i="5"/>
  <c r="G354" i="5"/>
  <c r="H354" i="5"/>
  <c r="I354" i="5"/>
  <c r="J354" i="5"/>
  <c r="K354" i="5"/>
  <c r="L354" i="5"/>
  <c r="M354" i="5"/>
  <c r="N354" i="5"/>
  <c r="O354" i="5"/>
  <c r="Q354" i="5"/>
  <c r="R354" i="5"/>
  <c r="S354" i="5"/>
  <c r="B354" i="5"/>
  <c r="C354" i="5"/>
  <c r="L353" i="5"/>
  <c r="I353" i="5"/>
  <c r="G353" i="5"/>
  <c r="C353" i="5"/>
  <c r="B353" i="5"/>
  <c r="K353" i="5"/>
  <c r="H353" i="5"/>
  <c r="F353" i="5"/>
  <c r="S353" i="5"/>
  <c r="R353" i="5"/>
  <c r="Q353" i="5"/>
  <c r="P353" i="5"/>
  <c r="O353" i="5"/>
  <c r="J353" i="5"/>
  <c r="M353" i="5"/>
  <c r="N353" i="5"/>
  <c r="E353" i="5"/>
  <c r="D353" i="5"/>
  <c r="Q352" i="5"/>
  <c r="P352" i="5"/>
  <c r="O352" i="5"/>
  <c r="M352" i="5"/>
  <c r="L352" i="5"/>
  <c r="J352" i="5"/>
  <c r="I352" i="5"/>
  <c r="G352" i="5"/>
  <c r="D352" i="5"/>
  <c r="B352" i="5"/>
  <c r="R352" i="5"/>
  <c r="N352" i="5"/>
  <c r="K352" i="5"/>
  <c r="F352" i="5"/>
  <c r="E352" i="5"/>
  <c r="S352" i="5"/>
  <c r="C352" i="5"/>
  <c r="H352" i="5"/>
  <c r="L351" i="5"/>
  <c r="M351" i="5"/>
  <c r="O351" i="5"/>
  <c r="P351" i="5"/>
  <c r="R351" i="5"/>
  <c r="S351" i="5"/>
  <c r="Q351" i="5"/>
  <c r="N351" i="5"/>
  <c r="J351" i="5"/>
  <c r="H351" i="5"/>
  <c r="D351" i="5"/>
  <c r="B351" i="5"/>
  <c r="C351" i="5"/>
  <c r="E351" i="5"/>
  <c r="F351" i="5"/>
  <c r="G351" i="5"/>
  <c r="I351" i="5"/>
  <c r="K351" i="5"/>
  <c r="E350" i="5"/>
  <c r="D350" i="5"/>
  <c r="M350" i="5"/>
  <c r="O350" i="5"/>
  <c r="Q350" i="5"/>
  <c r="P350" i="5"/>
  <c r="L350" i="5"/>
  <c r="S350" i="5"/>
  <c r="R350" i="5"/>
  <c r="N350" i="5"/>
  <c r="H350" i="5"/>
  <c r="B350" i="5"/>
  <c r="C350" i="5"/>
  <c r="F350" i="5"/>
  <c r="G350" i="5"/>
  <c r="I350" i="5"/>
  <c r="J350" i="5"/>
  <c r="K350" i="5"/>
  <c r="S349" i="5"/>
  <c r="O349" i="5"/>
  <c r="N349" i="5"/>
  <c r="L349" i="5"/>
  <c r="I349" i="5"/>
  <c r="P349" i="5"/>
  <c r="Q349" i="5"/>
  <c r="R349" i="5"/>
  <c r="C349" i="5"/>
  <c r="D349" i="5"/>
  <c r="J349" i="5"/>
  <c r="H349" i="5"/>
  <c r="E349" i="5"/>
  <c r="F349" i="5"/>
  <c r="M349" i="5"/>
  <c r="K349" i="5"/>
  <c r="B349" i="5"/>
  <c r="B348" i="5"/>
  <c r="S348" i="5"/>
  <c r="Q348" i="5"/>
  <c r="O348" i="5"/>
  <c r="L348" i="5"/>
  <c r="K348" i="5"/>
  <c r="I348" i="5"/>
  <c r="E348" i="5"/>
  <c r="G348" i="5"/>
  <c r="H348" i="5"/>
  <c r="J348" i="5"/>
  <c r="C348" i="5"/>
  <c r="N348" i="5"/>
  <c r="P348" i="5"/>
  <c r="R348" i="5"/>
  <c r="D348" i="5"/>
  <c r="F348" i="5"/>
  <c r="M348" i="5"/>
  <c r="R347" i="5"/>
  <c r="L347" i="5"/>
  <c r="J347" i="5"/>
  <c r="F347" i="5"/>
  <c r="D347" i="5"/>
  <c r="B347" i="5"/>
  <c r="C347" i="5"/>
  <c r="Q347" i="5"/>
  <c r="N347" i="5"/>
  <c r="S347" i="5"/>
  <c r="I347" i="5"/>
  <c r="K347" i="5"/>
  <c r="G347" i="5"/>
  <c r="O347" i="5"/>
  <c r="P347" i="5"/>
  <c r="M347" i="5"/>
  <c r="H347" i="5"/>
  <c r="E347" i="5"/>
  <c r="E346" i="5"/>
  <c r="D346" i="5"/>
  <c r="G346" i="5"/>
  <c r="I346" i="5"/>
  <c r="J346" i="5"/>
  <c r="K346" i="5"/>
  <c r="P346" i="5"/>
  <c r="R346" i="5"/>
  <c r="O346" i="5"/>
  <c r="Q346" i="5"/>
  <c r="N346" i="5"/>
  <c r="M346" i="5"/>
  <c r="H346" i="5"/>
  <c r="S346" i="5"/>
  <c r="L346" i="5"/>
  <c r="F346" i="5"/>
  <c r="G345" i="5"/>
  <c r="F345" i="5"/>
  <c r="D345" i="5"/>
  <c r="R345" i="5"/>
  <c r="C345" i="5"/>
  <c r="S345" i="5"/>
  <c r="O345" i="5"/>
  <c r="M345" i="5"/>
  <c r="K345" i="5"/>
  <c r="J345" i="5"/>
  <c r="Q345" i="5"/>
  <c r="L345" i="5"/>
  <c r="P345" i="5"/>
  <c r="I345" i="5"/>
  <c r="N345" i="5"/>
  <c r="H345" i="5"/>
  <c r="E345" i="5"/>
  <c r="B345" i="5"/>
  <c r="H344" i="5"/>
  <c r="J344" i="5"/>
  <c r="L344" i="5"/>
  <c r="O344" i="5"/>
  <c r="P344" i="5"/>
  <c r="S344" i="5"/>
  <c r="F344" i="5"/>
  <c r="D344" i="5"/>
  <c r="B344" i="5"/>
  <c r="I344" i="5"/>
  <c r="M344" i="5"/>
  <c r="Q344" i="5"/>
  <c r="R344" i="5"/>
  <c r="C344" i="5"/>
  <c r="E344" i="5"/>
  <c r="G344" i="5"/>
  <c r="N344" i="5"/>
  <c r="K344" i="5"/>
  <c r="P343" i="5"/>
  <c r="O343" i="5"/>
  <c r="I343" i="5"/>
  <c r="H343" i="5"/>
  <c r="S343" i="5"/>
  <c r="Q343" i="5"/>
  <c r="E343" i="5"/>
  <c r="N343" i="5"/>
  <c r="M343" i="5"/>
  <c r="K343" i="5"/>
  <c r="F343" i="5"/>
  <c r="C343" i="5"/>
  <c r="R343" i="5"/>
  <c r="J343" i="5"/>
  <c r="B343" i="5"/>
  <c r="D343" i="5"/>
  <c r="G343" i="5"/>
  <c r="L343" i="5"/>
  <c r="B342" i="5"/>
  <c r="C342" i="5"/>
  <c r="D342" i="5"/>
  <c r="E342" i="5"/>
  <c r="F342" i="5"/>
  <c r="G342" i="5"/>
  <c r="H342" i="5"/>
  <c r="I342" i="5"/>
  <c r="J342" i="5"/>
  <c r="O342" i="5"/>
  <c r="K342" i="5"/>
  <c r="L342" i="5"/>
  <c r="M342" i="5"/>
  <c r="N342" i="5"/>
  <c r="F341" i="5"/>
  <c r="N341" i="5"/>
  <c r="P341" i="5"/>
  <c r="E341" i="5"/>
  <c r="D341" i="5"/>
  <c r="C341" i="5"/>
  <c r="B341" i="5"/>
  <c r="R341" i="5"/>
  <c r="S341" i="5"/>
  <c r="J341" i="5"/>
  <c r="I341" i="5"/>
  <c r="H341" i="5"/>
  <c r="G341" i="5"/>
  <c r="Q341" i="5"/>
  <c r="O341" i="5"/>
  <c r="M341" i="5"/>
  <c r="L341" i="5"/>
  <c r="K341" i="5"/>
  <c r="L340" i="5"/>
  <c r="B340" i="5"/>
  <c r="N340" i="5"/>
  <c r="O340" i="5"/>
  <c r="P340" i="5"/>
  <c r="R340" i="5"/>
  <c r="C340" i="5"/>
  <c r="D340" i="5"/>
  <c r="E340" i="5"/>
  <c r="M340" i="5"/>
  <c r="S340" i="5"/>
  <c r="G340" i="5"/>
  <c r="H340" i="5"/>
  <c r="Q340" i="5"/>
  <c r="I340" i="5"/>
  <c r="J340" i="5"/>
  <c r="K340" i="5"/>
  <c r="F340" i="5"/>
  <c r="F339" i="5"/>
  <c r="G339" i="5"/>
  <c r="H339" i="5"/>
  <c r="I339" i="5"/>
  <c r="J339" i="5"/>
  <c r="K339" i="5"/>
  <c r="L339" i="5"/>
  <c r="M339" i="5"/>
  <c r="N339" i="5"/>
  <c r="O339" i="5"/>
  <c r="P339" i="5"/>
  <c r="Q339" i="5"/>
  <c r="R339" i="5"/>
  <c r="S339" i="5"/>
  <c r="B339" i="5"/>
  <c r="C339" i="5"/>
  <c r="D339" i="5"/>
  <c r="E339" i="5"/>
  <c r="N338" i="5"/>
  <c r="I338" i="5"/>
  <c r="S338" i="5"/>
  <c r="F338" i="5"/>
  <c r="R338" i="5"/>
  <c r="Q338" i="5"/>
  <c r="P338" i="5"/>
  <c r="O338" i="5"/>
  <c r="M338" i="5"/>
  <c r="L338" i="5"/>
  <c r="K338" i="5"/>
  <c r="J338" i="5"/>
  <c r="G338" i="5"/>
  <c r="H338" i="5"/>
  <c r="B338" i="5"/>
  <c r="C338" i="5"/>
  <c r="D338" i="5"/>
  <c r="E338" i="5"/>
  <c r="L337" i="5"/>
  <c r="M337" i="5"/>
  <c r="N337" i="5"/>
  <c r="O337" i="5"/>
  <c r="P337" i="5"/>
  <c r="F337" i="5"/>
  <c r="R337" i="5"/>
  <c r="S337" i="5"/>
  <c r="G337" i="5"/>
  <c r="K337" i="5"/>
  <c r="H337" i="5"/>
  <c r="I337" i="5"/>
  <c r="J337" i="5"/>
  <c r="Q337" i="5"/>
  <c r="B337" i="5"/>
  <c r="C337" i="5"/>
  <c r="D337" i="5"/>
  <c r="E337" i="5"/>
  <c r="N336" i="5"/>
  <c r="S336" i="5"/>
  <c r="B336" i="5"/>
  <c r="C336" i="5"/>
  <c r="D336" i="5"/>
  <c r="E336" i="5"/>
  <c r="F336" i="5"/>
  <c r="G336" i="5"/>
  <c r="H336" i="5"/>
  <c r="I336" i="5"/>
  <c r="J336" i="5"/>
  <c r="K336" i="5"/>
  <c r="L336" i="5"/>
  <c r="M336" i="5"/>
  <c r="O336" i="5"/>
  <c r="P336" i="5"/>
  <c r="Q336" i="5"/>
  <c r="R336" i="5"/>
  <c r="K335" i="5"/>
  <c r="J335" i="5"/>
  <c r="S335" i="5"/>
  <c r="R335" i="5"/>
  <c r="Q335" i="5"/>
  <c r="P335" i="5"/>
  <c r="O335" i="5"/>
  <c r="N335" i="5"/>
  <c r="L335" i="5"/>
  <c r="M335" i="5"/>
  <c r="B335" i="5"/>
  <c r="G335" i="5"/>
  <c r="H335" i="5"/>
  <c r="F335" i="5"/>
  <c r="I335" i="5"/>
  <c r="E335" i="5"/>
  <c r="D335" i="5"/>
  <c r="C335" i="5"/>
  <c r="C334" i="5"/>
  <c r="B334" i="5"/>
  <c r="S334" i="5"/>
  <c r="R334" i="5"/>
  <c r="P334" i="5"/>
  <c r="O334" i="5"/>
  <c r="N334" i="5"/>
  <c r="M334" i="5"/>
  <c r="L334" i="5"/>
  <c r="Q334" i="5"/>
  <c r="J334" i="5"/>
  <c r="I334" i="5"/>
  <c r="H334" i="5"/>
  <c r="K334" i="5"/>
  <c r="F334" i="5"/>
  <c r="G334" i="5"/>
  <c r="E334" i="5"/>
  <c r="D334" i="5"/>
  <c r="Q333" i="5"/>
  <c r="P333" i="5"/>
  <c r="I333" i="5"/>
  <c r="H333" i="5"/>
  <c r="G333" i="5"/>
  <c r="N333" i="5"/>
  <c r="E333" i="5"/>
  <c r="D333" i="5"/>
  <c r="C333" i="5"/>
  <c r="B333" i="5"/>
  <c r="O333" i="5"/>
  <c r="F333" i="5"/>
  <c r="M333" i="5"/>
  <c r="L333" i="5"/>
  <c r="K333" i="5"/>
  <c r="J333" i="5"/>
  <c r="S333" i="5"/>
  <c r="R333" i="5"/>
  <c r="K332" i="5"/>
  <c r="Q332" i="5"/>
  <c r="B332" i="5"/>
  <c r="C332" i="5"/>
  <c r="D332" i="5"/>
  <c r="E332" i="5"/>
  <c r="F332" i="5"/>
  <c r="G332" i="5"/>
  <c r="H332" i="5"/>
  <c r="I332" i="5"/>
  <c r="J332" i="5"/>
  <c r="L332" i="5"/>
  <c r="M332" i="5"/>
  <c r="N332" i="5"/>
  <c r="O332" i="5"/>
  <c r="P332" i="5"/>
  <c r="R332" i="5"/>
  <c r="S332" i="5"/>
  <c r="L331" i="5"/>
  <c r="S331" i="5"/>
  <c r="B331" i="5"/>
  <c r="C331" i="5"/>
  <c r="D331" i="5"/>
  <c r="E331" i="5"/>
  <c r="O331" i="5"/>
  <c r="F331" i="5"/>
  <c r="G331" i="5"/>
  <c r="H331" i="5"/>
  <c r="I331" i="5"/>
  <c r="J331" i="5"/>
  <c r="K331" i="5"/>
  <c r="M331" i="5"/>
  <c r="P331" i="5"/>
  <c r="Q331" i="5"/>
  <c r="R331" i="5"/>
  <c r="N331" i="5"/>
  <c r="H330" i="5"/>
  <c r="P330" i="5"/>
  <c r="F330" i="5"/>
  <c r="G330" i="5"/>
  <c r="I330" i="5"/>
  <c r="J330" i="5"/>
  <c r="L330" i="5"/>
  <c r="M330" i="5"/>
  <c r="N330" i="5"/>
  <c r="Q330" i="5"/>
  <c r="O330" i="5"/>
  <c r="S330" i="5"/>
  <c r="R330" i="5"/>
  <c r="B330" i="5"/>
  <c r="K330" i="5"/>
  <c r="C330" i="5"/>
  <c r="D330" i="5"/>
  <c r="E330" i="5"/>
  <c r="L329" i="5"/>
  <c r="K329" i="5"/>
  <c r="J329" i="5"/>
  <c r="I329" i="5"/>
  <c r="H329" i="5"/>
  <c r="F329" i="5"/>
  <c r="E329" i="5"/>
  <c r="D329" i="5"/>
  <c r="C329" i="5"/>
  <c r="R329" i="5"/>
  <c r="Q329" i="5"/>
  <c r="G329" i="5"/>
  <c r="S329" i="5"/>
  <c r="P329" i="5"/>
  <c r="O329" i="5"/>
  <c r="B329" i="5"/>
  <c r="N329" i="5"/>
  <c r="M329" i="5"/>
  <c r="K328" i="5"/>
  <c r="L328" i="5"/>
  <c r="M328" i="5"/>
  <c r="N328" i="5"/>
  <c r="O328" i="5"/>
  <c r="P328" i="5"/>
  <c r="Q328" i="5"/>
  <c r="R328" i="5"/>
  <c r="S328" i="5"/>
  <c r="F328" i="5"/>
  <c r="B328" i="5"/>
  <c r="C328" i="5"/>
  <c r="D328" i="5"/>
  <c r="E328" i="5"/>
  <c r="G328" i="5"/>
  <c r="H328" i="5"/>
  <c r="I328" i="5"/>
  <c r="J328" i="5"/>
  <c r="K327" i="5"/>
  <c r="J327" i="5"/>
  <c r="I327" i="5"/>
  <c r="H327" i="5"/>
  <c r="G327" i="5"/>
  <c r="F327" i="5"/>
  <c r="S327" i="5"/>
  <c r="E327" i="5"/>
  <c r="D327" i="5"/>
  <c r="Q327" i="5"/>
  <c r="P327" i="5"/>
  <c r="N327" i="5"/>
  <c r="B327" i="5"/>
  <c r="L327" i="5"/>
  <c r="R327" i="5"/>
  <c r="M327" i="5"/>
  <c r="O327" i="5"/>
  <c r="C327" i="5"/>
  <c r="J326" i="5"/>
  <c r="I326" i="5"/>
  <c r="G326" i="5"/>
  <c r="F326" i="5"/>
  <c r="B326" i="5"/>
  <c r="C326" i="5"/>
  <c r="D326" i="5"/>
  <c r="S326" i="5"/>
  <c r="R326" i="5"/>
  <c r="H326" i="5"/>
  <c r="P326" i="5"/>
  <c r="O326" i="5"/>
  <c r="N326" i="5"/>
  <c r="Q326" i="5"/>
  <c r="M326" i="5"/>
  <c r="L326" i="5"/>
  <c r="K326" i="5"/>
  <c r="E326" i="5"/>
  <c r="D325" i="5"/>
  <c r="E325" i="5"/>
  <c r="R325" i="5"/>
  <c r="F325" i="5"/>
  <c r="G325" i="5"/>
  <c r="S325" i="5"/>
  <c r="I325" i="5"/>
  <c r="J325" i="5"/>
  <c r="K325" i="5"/>
  <c r="L325" i="5"/>
  <c r="M325" i="5"/>
  <c r="H325" i="5"/>
  <c r="O325" i="5"/>
  <c r="B325" i="5"/>
  <c r="P325" i="5"/>
  <c r="Q325" i="5"/>
  <c r="C325" i="5"/>
  <c r="N325" i="5"/>
  <c r="N324" i="5"/>
  <c r="M324" i="5"/>
  <c r="L324" i="5"/>
  <c r="K324" i="5"/>
  <c r="J324" i="5"/>
  <c r="I324" i="5"/>
  <c r="H324" i="5"/>
  <c r="G324" i="5"/>
  <c r="F324" i="5"/>
  <c r="E324" i="5"/>
  <c r="D324" i="5"/>
  <c r="C324" i="5"/>
  <c r="B324" i="5"/>
  <c r="S324" i="5"/>
  <c r="R324" i="5"/>
  <c r="Q324" i="5"/>
  <c r="P324" i="5"/>
  <c r="O324" i="5"/>
  <c r="R323" i="5"/>
  <c r="N323" i="5"/>
  <c r="P323" i="5"/>
  <c r="Q323" i="5"/>
  <c r="B323" i="5"/>
  <c r="C323" i="5"/>
  <c r="S323" i="5"/>
  <c r="D323" i="5"/>
  <c r="E323" i="5"/>
  <c r="F323" i="5"/>
  <c r="G323" i="5"/>
  <c r="H323" i="5"/>
  <c r="I323" i="5"/>
  <c r="O323" i="5"/>
  <c r="J323" i="5"/>
  <c r="K323" i="5"/>
  <c r="L323" i="5"/>
  <c r="M323" i="5"/>
  <c r="O322" i="5"/>
  <c r="N322" i="5"/>
  <c r="M322" i="5"/>
  <c r="L322" i="5"/>
  <c r="B322" i="5"/>
  <c r="D322" i="5"/>
  <c r="E322" i="5"/>
  <c r="F322" i="5"/>
  <c r="G322" i="5"/>
  <c r="C322" i="5"/>
  <c r="I322" i="5"/>
  <c r="J322" i="5"/>
  <c r="K322" i="5"/>
  <c r="H322" i="5"/>
  <c r="S322" i="5"/>
  <c r="R322" i="5"/>
  <c r="Q322" i="5"/>
  <c r="P322" i="5"/>
  <c r="B321" i="5"/>
  <c r="C321" i="5"/>
  <c r="D321" i="5"/>
  <c r="L321" i="5"/>
  <c r="K321" i="5"/>
  <c r="J321" i="5"/>
  <c r="I321" i="5"/>
  <c r="H321" i="5"/>
  <c r="G321" i="5"/>
  <c r="F321" i="5"/>
  <c r="E321" i="5"/>
  <c r="S321" i="5"/>
  <c r="Q321" i="5"/>
  <c r="R321" i="5"/>
  <c r="P321" i="5"/>
  <c r="O321" i="5"/>
  <c r="N321" i="5"/>
  <c r="M321" i="5"/>
  <c r="I320" i="5"/>
  <c r="S320" i="5"/>
  <c r="R320" i="5"/>
  <c r="Q320" i="5"/>
  <c r="P320" i="5"/>
  <c r="O320" i="5"/>
  <c r="N320" i="5"/>
  <c r="M320" i="5"/>
  <c r="L320" i="5"/>
  <c r="K320" i="5"/>
  <c r="J320" i="5"/>
  <c r="H320" i="5"/>
  <c r="G320" i="5"/>
  <c r="F320" i="5"/>
  <c r="E320" i="5"/>
  <c r="D320" i="5"/>
  <c r="C320" i="5"/>
  <c r="B320" i="5"/>
  <c r="M319" i="5"/>
  <c r="B319" i="5"/>
  <c r="C319" i="5"/>
  <c r="D319" i="5"/>
  <c r="E319" i="5"/>
  <c r="F319" i="5"/>
  <c r="G319" i="5"/>
  <c r="I319" i="5"/>
  <c r="J319" i="5"/>
  <c r="K319" i="5"/>
  <c r="L319" i="5"/>
  <c r="N319" i="5"/>
  <c r="H319" i="5"/>
  <c r="S319" i="5"/>
  <c r="R319" i="5"/>
  <c r="Q319" i="5"/>
  <c r="P319" i="5"/>
  <c r="O319" i="5"/>
  <c r="H318" i="5"/>
  <c r="I318" i="5"/>
  <c r="J318" i="5"/>
  <c r="K318" i="5"/>
  <c r="R318" i="5"/>
  <c r="L318" i="5"/>
  <c r="M318" i="5"/>
  <c r="N318" i="5"/>
  <c r="B318" i="5"/>
  <c r="O318" i="5"/>
  <c r="P318" i="5"/>
  <c r="Q318" i="5"/>
  <c r="C318" i="5"/>
  <c r="D318" i="5"/>
  <c r="E318" i="5"/>
  <c r="F318" i="5"/>
  <c r="G318" i="5"/>
  <c r="S318" i="5"/>
  <c r="O317" i="5"/>
  <c r="N317" i="5"/>
  <c r="M317" i="5"/>
  <c r="L317" i="5"/>
  <c r="K317" i="5"/>
  <c r="J317" i="5"/>
  <c r="I317" i="5"/>
  <c r="H317" i="5"/>
  <c r="G317" i="5"/>
  <c r="F317" i="5"/>
  <c r="E317" i="5"/>
  <c r="D317" i="5"/>
  <c r="C317" i="5"/>
  <c r="B317" i="5"/>
  <c r="S317" i="5"/>
  <c r="R317" i="5"/>
  <c r="Q317" i="5"/>
  <c r="P317" i="5"/>
  <c r="Q316" i="5"/>
  <c r="H316" i="5"/>
  <c r="G316" i="5"/>
  <c r="F316" i="5"/>
  <c r="R316" i="5"/>
  <c r="P316" i="5"/>
  <c r="N316" i="5"/>
  <c r="O316" i="5"/>
  <c r="M316" i="5"/>
  <c r="B316" i="5"/>
  <c r="C316" i="5"/>
  <c r="D316" i="5"/>
  <c r="E316" i="5"/>
  <c r="S316" i="5"/>
  <c r="L316" i="5"/>
  <c r="K316" i="5"/>
  <c r="J316" i="5"/>
  <c r="I316" i="5"/>
  <c r="M315" i="5"/>
  <c r="N315" i="5"/>
  <c r="O315" i="5"/>
  <c r="P315" i="5"/>
  <c r="Q315" i="5"/>
  <c r="R315" i="5"/>
  <c r="E315" i="5"/>
  <c r="S315" i="5"/>
  <c r="D315" i="5"/>
  <c r="B315" i="5"/>
  <c r="C315" i="5"/>
  <c r="L315" i="5"/>
  <c r="F315" i="5"/>
  <c r="G315" i="5"/>
  <c r="H315" i="5"/>
  <c r="I315" i="5"/>
  <c r="J315" i="5"/>
  <c r="K315" i="5"/>
  <c r="K314" i="5"/>
  <c r="G314" i="5"/>
  <c r="H314" i="5"/>
  <c r="I314" i="5"/>
  <c r="J314" i="5"/>
  <c r="L314" i="5"/>
  <c r="M314" i="5"/>
  <c r="N314" i="5"/>
  <c r="P314" i="5"/>
  <c r="Q314" i="5"/>
  <c r="R314" i="5"/>
  <c r="S314" i="5"/>
  <c r="F314" i="5"/>
  <c r="O314" i="5"/>
  <c r="E314" i="5"/>
  <c r="D314" i="5"/>
  <c r="C314" i="5"/>
  <c r="B314" i="5"/>
  <c r="H313" i="5"/>
  <c r="I313" i="5"/>
  <c r="J313" i="5"/>
  <c r="K313" i="5"/>
  <c r="C313" i="5"/>
  <c r="L313" i="5"/>
  <c r="N313" i="5"/>
  <c r="Q313" i="5"/>
  <c r="M313" i="5"/>
  <c r="S313" i="5"/>
  <c r="D313" i="5"/>
  <c r="O313" i="5"/>
  <c r="B313" i="5"/>
  <c r="E313" i="5"/>
  <c r="F313" i="5"/>
  <c r="G313" i="5"/>
  <c r="P313" i="5"/>
  <c r="R313" i="5"/>
  <c r="J312" i="5"/>
  <c r="I312" i="5"/>
  <c r="H312" i="5"/>
  <c r="G312" i="5"/>
  <c r="F312" i="5"/>
  <c r="E312" i="5"/>
  <c r="D312" i="5"/>
  <c r="C312" i="5"/>
  <c r="B312" i="5"/>
  <c r="S312" i="5"/>
  <c r="P312" i="5"/>
  <c r="Q312" i="5"/>
  <c r="R312" i="5"/>
  <c r="O312" i="5"/>
  <c r="N312" i="5"/>
  <c r="M312" i="5"/>
  <c r="L312" i="5"/>
  <c r="K312" i="5"/>
  <c r="G311" i="5"/>
  <c r="H311" i="5"/>
  <c r="I311" i="5"/>
  <c r="J311" i="5"/>
  <c r="K311" i="5"/>
  <c r="L311" i="5"/>
  <c r="M311" i="5"/>
  <c r="N311" i="5"/>
  <c r="O311" i="5"/>
  <c r="P311" i="5"/>
  <c r="Q311" i="5"/>
  <c r="S311" i="5"/>
  <c r="F311" i="5"/>
  <c r="R311" i="5"/>
  <c r="B311" i="5"/>
  <c r="C311" i="5"/>
  <c r="D311" i="5"/>
  <c r="E311" i="5"/>
  <c r="F310" i="5"/>
  <c r="G310" i="5"/>
  <c r="H310" i="5"/>
  <c r="I310" i="5"/>
  <c r="J310" i="5"/>
  <c r="K310" i="5"/>
  <c r="C310" i="5"/>
  <c r="N310" i="5"/>
  <c r="O310" i="5"/>
  <c r="P310" i="5"/>
  <c r="Q310" i="5"/>
  <c r="R310" i="5"/>
  <c r="S310" i="5"/>
  <c r="M310" i="5"/>
  <c r="B310" i="5"/>
  <c r="D310" i="5"/>
  <c r="E310" i="5"/>
  <c r="L310" i="5"/>
  <c r="S309" i="5"/>
  <c r="R309" i="5"/>
  <c r="Q309" i="5"/>
  <c r="P309" i="5"/>
  <c r="O309" i="5"/>
  <c r="N309" i="5"/>
  <c r="L309" i="5"/>
  <c r="K309" i="5"/>
  <c r="J309" i="5"/>
  <c r="I309" i="5"/>
  <c r="H309" i="5"/>
  <c r="G309" i="5"/>
  <c r="F309" i="5"/>
  <c r="E309" i="5"/>
  <c r="D309" i="5"/>
  <c r="C309" i="5"/>
  <c r="B309" i="5"/>
  <c r="M309" i="5"/>
  <c r="S308" i="5"/>
  <c r="R308" i="5"/>
  <c r="Q308" i="5"/>
  <c r="P308" i="5"/>
  <c r="O308" i="5"/>
  <c r="N308" i="5"/>
  <c r="M308" i="5"/>
  <c r="L308" i="5"/>
  <c r="K308" i="5"/>
  <c r="J308" i="5"/>
  <c r="I308" i="5"/>
  <c r="H308" i="5"/>
  <c r="G308" i="5"/>
  <c r="F308" i="5"/>
  <c r="E308" i="5"/>
  <c r="D308" i="5"/>
  <c r="C308" i="5"/>
  <c r="B308" i="5"/>
  <c r="S307" i="5"/>
  <c r="R307" i="5"/>
  <c r="Q307" i="5"/>
  <c r="P307" i="5"/>
  <c r="O307" i="5"/>
  <c r="N307" i="5"/>
  <c r="M307" i="5"/>
  <c r="L307" i="5"/>
  <c r="K307" i="5"/>
  <c r="J307" i="5"/>
  <c r="I307" i="5"/>
  <c r="H307" i="5"/>
  <c r="G307" i="5"/>
  <c r="F307" i="5"/>
  <c r="E307" i="5"/>
  <c r="D307" i="5"/>
  <c r="C307" i="5"/>
  <c r="B307" i="5"/>
  <c r="S306" i="5"/>
  <c r="R306" i="5"/>
  <c r="Q306" i="5"/>
  <c r="P306" i="5"/>
  <c r="O306" i="5"/>
  <c r="N306" i="5"/>
  <c r="M306" i="5"/>
  <c r="L306" i="5"/>
  <c r="K306" i="5"/>
  <c r="J306" i="5"/>
  <c r="I306" i="5"/>
  <c r="H306" i="5"/>
  <c r="G306" i="5"/>
  <c r="F306" i="5"/>
  <c r="E306" i="5"/>
  <c r="D306" i="5"/>
  <c r="C306" i="5"/>
  <c r="B306" i="5"/>
  <c r="S305" i="5"/>
  <c r="R305" i="5"/>
  <c r="P305" i="5"/>
  <c r="O305" i="5"/>
  <c r="N305" i="5"/>
  <c r="M305" i="5"/>
  <c r="L305" i="5"/>
  <c r="K305" i="5"/>
  <c r="J305" i="5"/>
  <c r="I305" i="5"/>
  <c r="H305" i="5"/>
  <c r="G305" i="5"/>
  <c r="F305" i="5"/>
  <c r="E305" i="5"/>
  <c r="D305" i="5"/>
  <c r="C305" i="5"/>
  <c r="B305" i="5"/>
  <c r="Q305" i="5"/>
  <c r="R304" i="5"/>
  <c r="Q304" i="5"/>
  <c r="P304" i="5"/>
  <c r="O304" i="5"/>
  <c r="N304" i="5"/>
  <c r="M304" i="5"/>
  <c r="L304" i="5"/>
  <c r="K304" i="5"/>
  <c r="J304" i="5"/>
  <c r="I304" i="5"/>
  <c r="S304" i="5"/>
  <c r="H304" i="5"/>
  <c r="B304" i="5"/>
  <c r="C304" i="5"/>
  <c r="D304" i="5"/>
  <c r="E304" i="5"/>
  <c r="F304" i="5"/>
  <c r="G304" i="5"/>
  <c r="N303" i="5"/>
  <c r="M303" i="5"/>
  <c r="L303" i="5"/>
  <c r="K303" i="5"/>
  <c r="J303" i="5"/>
  <c r="I303" i="5"/>
  <c r="G303" i="5"/>
  <c r="H303" i="5"/>
  <c r="E303" i="5"/>
  <c r="C303" i="5"/>
  <c r="F303" i="5"/>
  <c r="B303" i="5"/>
  <c r="D303" i="5"/>
  <c r="O303" i="5"/>
  <c r="P303" i="5"/>
  <c r="Q303" i="5"/>
  <c r="R303" i="5"/>
  <c r="S303" i="5"/>
  <c r="G302" i="5"/>
  <c r="I302" i="5"/>
  <c r="J302" i="5"/>
  <c r="K302" i="5"/>
  <c r="M302" i="5"/>
  <c r="N302" i="5"/>
  <c r="O302" i="5"/>
  <c r="P302" i="5"/>
  <c r="Q302" i="5"/>
  <c r="L302" i="5"/>
  <c r="S302" i="5"/>
  <c r="R302" i="5"/>
  <c r="B302" i="5"/>
  <c r="C302" i="5"/>
  <c r="D302" i="5"/>
  <c r="E302" i="5"/>
  <c r="F302" i="5"/>
  <c r="H302" i="5"/>
  <c r="O301" i="5"/>
  <c r="N301" i="5"/>
  <c r="M301" i="5"/>
  <c r="L301" i="5"/>
  <c r="K301" i="5"/>
  <c r="C301" i="5"/>
  <c r="B301" i="5"/>
  <c r="S301" i="5"/>
  <c r="D301" i="5"/>
  <c r="R301" i="5"/>
  <c r="E301" i="5"/>
  <c r="Q301" i="5"/>
  <c r="F301" i="5"/>
  <c r="G301" i="5"/>
  <c r="H301" i="5"/>
  <c r="I301" i="5"/>
  <c r="J301" i="5"/>
  <c r="P301" i="5"/>
  <c r="S300" i="5"/>
  <c r="R300" i="5"/>
  <c r="Q300" i="5"/>
  <c r="P300" i="5"/>
  <c r="O300" i="5"/>
  <c r="N300" i="5"/>
  <c r="M300" i="5"/>
  <c r="L300" i="5"/>
  <c r="K300" i="5"/>
  <c r="J300" i="5"/>
  <c r="I300" i="5"/>
  <c r="H300" i="5"/>
  <c r="G300" i="5"/>
  <c r="F300" i="5"/>
  <c r="E300" i="5"/>
  <c r="D300" i="5"/>
  <c r="C300" i="5"/>
  <c r="B300" i="5"/>
  <c r="S299" i="5"/>
  <c r="R299" i="5"/>
  <c r="Q299" i="5"/>
  <c r="P299" i="5"/>
  <c r="O299" i="5"/>
  <c r="N299" i="5"/>
  <c r="M299" i="5"/>
  <c r="L299" i="5"/>
  <c r="K299" i="5"/>
  <c r="J299" i="5"/>
  <c r="I299" i="5"/>
  <c r="H299" i="5"/>
  <c r="G299" i="5"/>
  <c r="F299" i="5"/>
  <c r="E299" i="5"/>
  <c r="D299" i="5"/>
  <c r="C299" i="5"/>
  <c r="B299" i="5"/>
  <c r="S298" i="5"/>
  <c r="R298" i="5"/>
  <c r="Q298" i="5"/>
  <c r="P298" i="5"/>
  <c r="O298" i="5"/>
  <c r="N298" i="5"/>
  <c r="M298" i="5"/>
  <c r="L298" i="5"/>
  <c r="K298" i="5"/>
  <c r="J298" i="5"/>
  <c r="I298" i="5"/>
  <c r="H298" i="5"/>
  <c r="G298" i="5"/>
  <c r="F298" i="5"/>
  <c r="E298" i="5"/>
  <c r="D298" i="5"/>
  <c r="C298" i="5"/>
  <c r="B298" i="5"/>
  <c r="S297" i="5"/>
  <c r="R297" i="5"/>
  <c r="Q297" i="5"/>
  <c r="P297" i="5"/>
  <c r="O297" i="5"/>
  <c r="N297" i="5"/>
  <c r="M297" i="5"/>
  <c r="L297" i="5"/>
  <c r="K297" i="5"/>
  <c r="J297" i="5"/>
  <c r="I297" i="5"/>
  <c r="H297" i="5"/>
  <c r="G297" i="5"/>
  <c r="F297" i="5"/>
  <c r="E297" i="5"/>
  <c r="D297" i="5"/>
  <c r="C297" i="5"/>
  <c r="B297" i="5"/>
  <c r="S296" i="5"/>
  <c r="R296" i="5"/>
  <c r="Q296" i="5"/>
  <c r="P296" i="5"/>
  <c r="O296" i="5"/>
  <c r="N296" i="5"/>
  <c r="M296" i="5"/>
  <c r="L296" i="5"/>
  <c r="K296" i="5"/>
  <c r="J296" i="5"/>
  <c r="I296" i="5"/>
  <c r="H296" i="5"/>
  <c r="G296" i="5"/>
  <c r="F296" i="5"/>
  <c r="E296" i="5"/>
  <c r="D296" i="5"/>
  <c r="C296" i="5"/>
  <c r="B296" i="5"/>
  <c r="S295" i="5"/>
  <c r="R295" i="5"/>
  <c r="Q295" i="5"/>
  <c r="P295" i="5"/>
  <c r="O295" i="5"/>
  <c r="N295" i="5"/>
  <c r="M295" i="5"/>
  <c r="L295" i="5"/>
  <c r="K295" i="5"/>
  <c r="J295" i="5"/>
  <c r="I295" i="5"/>
  <c r="H295" i="5"/>
  <c r="G295" i="5"/>
  <c r="F295" i="5"/>
  <c r="E295" i="5"/>
  <c r="D295" i="5"/>
  <c r="C295" i="5"/>
  <c r="B295" i="5"/>
  <c r="S294" i="5"/>
  <c r="R294" i="5"/>
  <c r="Q294" i="5"/>
  <c r="P294" i="5"/>
  <c r="O294" i="5"/>
  <c r="N294" i="5"/>
  <c r="M294" i="5"/>
  <c r="L294" i="5"/>
  <c r="K294" i="5"/>
  <c r="J294" i="5"/>
  <c r="I294" i="5"/>
  <c r="H294" i="5"/>
  <c r="G294" i="5"/>
  <c r="F294" i="5"/>
  <c r="E294" i="5"/>
  <c r="D294" i="5"/>
  <c r="C294" i="5"/>
  <c r="B294" i="5"/>
  <c r="S293" i="5"/>
  <c r="R293" i="5"/>
  <c r="Q293" i="5"/>
  <c r="P293" i="5"/>
  <c r="O293" i="5"/>
  <c r="N293" i="5"/>
  <c r="M293" i="5"/>
  <c r="L293" i="5"/>
  <c r="K293" i="5"/>
  <c r="J293" i="5"/>
  <c r="I293" i="5"/>
  <c r="H293" i="5"/>
  <c r="G293" i="5"/>
  <c r="F293" i="5"/>
  <c r="E293" i="5"/>
  <c r="D293" i="5"/>
  <c r="C293" i="5"/>
  <c r="B293" i="5"/>
  <c r="S292" i="5"/>
  <c r="R292" i="5"/>
  <c r="Q292" i="5"/>
  <c r="P292" i="5"/>
  <c r="O292" i="5"/>
  <c r="N292" i="5"/>
  <c r="M292" i="5"/>
  <c r="L292" i="5"/>
  <c r="K292" i="5"/>
  <c r="J292" i="5"/>
  <c r="I292" i="5"/>
  <c r="H292" i="5"/>
  <c r="G292" i="5"/>
  <c r="F292" i="5"/>
  <c r="E292" i="5"/>
  <c r="D292" i="5"/>
  <c r="C292" i="5"/>
  <c r="B292" i="5"/>
  <c r="Q291" i="5"/>
  <c r="S291" i="5"/>
  <c r="R291" i="5"/>
  <c r="P291" i="5"/>
  <c r="O291" i="5"/>
  <c r="N291" i="5"/>
  <c r="M291" i="5"/>
  <c r="L291" i="5"/>
  <c r="K291" i="5"/>
  <c r="J291" i="5"/>
  <c r="I291" i="5"/>
  <c r="H291" i="5"/>
  <c r="G291" i="5"/>
  <c r="F291" i="5"/>
  <c r="E291" i="5"/>
  <c r="D291" i="5"/>
  <c r="C291" i="5"/>
  <c r="B291" i="5"/>
  <c r="J290" i="5"/>
  <c r="G290" i="5"/>
  <c r="L290" i="5"/>
  <c r="E290" i="5"/>
  <c r="C290" i="5"/>
  <c r="D290" i="5"/>
  <c r="M290" i="5"/>
  <c r="B290" i="5"/>
  <c r="H290" i="5"/>
  <c r="F290" i="5"/>
  <c r="I290" i="5"/>
  <c r="N290" i="5"/>
  <c r="O290" i="5"/>
  <c r="K290" i="5"/>
  <c r="P290" i="5"/>
  <c r="Q290" i="5"/>
  <c r="R290" i="5"/>
  <c r="S290" i="5"/>
  <c r="B289" i="5"/>
  <c r="N289" i="5"/>
  <c r="O289" i="5"/>
  <c r="P289" i="5"/>
  <c r="Q289" i="5"/>
  <c r="R289" i="5"/>
  <c r="S289" i="5"/>
  <c r="D289" i="5"/>
  <c r="M289" i="5"/>
  <c r="C289" i="5"/>
  <c r="E289" i="5"/>
  <c r="F289" i="5"/>
  <c r="G289" i="5"/>
  <c r="H289" i="5"/>
  <c r="I289" i="5"/>
  <c r="J289" i="5"/>
  <c r="K289" i="5"/>
  <c r="L289" i="5"/>
  <c r="Q288" i="5"/>
  <c r="R288" i="5"/>
  <c r="S288" i="5"/>
  <c r="P288" i="5"/>
  <c r="O288" i="5"/>
  <c r="N288" i="5"/>
  <c r="M288" i="5"/>
  <c r="L288" i="5"/>
  <c r="J288" i="5"/>
  <c r="I288" i="5"/>
  <c r="H288" i="5"/>
  <c r="K288" i="5"/>
  <c r="G288" i="5"/>
  <c r="F288" i="5"/>
  <c r="E288" i="5"/>
  <c r="D288" i="5"/>
  <c r="C288" i="5"/>
  <c r="B288" i="5"/>
  <c r="F287" i="5"/>
  <c r="E287" i="5"/>
  <c r="D287" i="5"/>
  <c r="J287" i="5"/>
  <c r="K287" i="5"/>
  <c r="C287" i="5"/>
  <c r="B287" i="5"/>
  <c r="I287" i="5"/>
  <c r="R287" i="5"/>
  <c r="M287" i="5"/>
  <c r="N287" i="5"/>
  <c r="O287" i="5"/>
  <c r="P287" i="5"/>
  <c r="Q287" i="5"/>
  <c r="S287" i="5"/>
  <c r="G287" i="5"/>
  <c r="H287" i="5"/>
  <c r="L287" i="5"/>
  <c r="L286" i="5"/>
  <c r="M286" i="5"/>
  <c r="N286" i="5"/>
  <c r="O286" i="5"/>
  <c r="Q286" i="5"/>
  <c r="R286" i="5"/>
  <c r="S286" i="5"/>
  <c r="P286" i="5"/>
  <c r="B286" i="5"/>
  <c r="C286" i="5"/>
  <c r="D286" i="5"/>
  <c r="E286" i="5"/>
  <c r="F286" i="5"/>
  <c r="G286" i="5"/>
  <c r="H286" i="5"/>
  <c r="I286" i="5"/>
  <c r="J286" i="5"/>
  <c r="K286" i="5"/>
  <c r="L285" i="5"/>
  <c r="G285" i="5"/>
  <c r="F285" i="5"/>
  <c r="E285" i="5"/>
  <c r="D285" i="5"/>
  <c r="C285" i="5"/>
  <c r="B285" i="5"/>
  <c r="S285" i="5"/>
  <c r="R285" i="5"/>
  <c r="Q285" i="5"/>
  <c r="P285" i="5"/>
  <c r="N285" i="5"/>
  <c r="M285" i="5"/>
  <c r="K285" i="5"/>
  <c r="J285" i="5"/>
  <c r="I285" i="5"/>
  <c r="H285" i="5"/>
  <c r="O285" i="5"/>
  <c r="S284" i="5"/>
  <c r="R284" i="5"/>
  <c r="Q284" i="5"/>
  <c r="P284" i="5"/>
  <c r="O284" i="5"/>
  <c r="N284" i="5"/>
  <c r="M284" i="5"/>
  <c r="B284" i="5"/>
  <c r="K284" i="5"/>
  <c r="J284" i="5"/>
  <c r="I284" i="5"/>
  <c r="H284" i="5"/>
  <c r="G284" i="5"/>
  <c r="F284" i="5"/>
  <c r="E284" i="5"/>
  <c r="D284" i="5"/>
  <c r="C284" i="5"/>
  <c r="L284" i="5"/>
  <c r="S283" i="5"/>
  <c r="R283" i="5"/>
  <c r="F283" i="5"/>
  <c r="E283" i="5"/>
  <c r="D283" i="5"/>
  <c r="P283" i="5"/>
  <c r="B283" i="5"/>
  <c r="O283" i="5"/>
  <c r="N283" i="5"/>
  <c r="M283" i="5"/>
  <c r="K283" i="5"/>
  <c r="Q283" i="5"/>
  <c r="J283" i="5"/>
  <c r="I283" i="5"/>
  <c r="L283" i="5"/>
  <c r="H283" i="5"/>
  <c r="G283" i="5"/>
  <c r="C283" i="5"/>
  <c r="M282" i="5"/>
  <c r="N282" i="5"/>
  <c r="O282" i="5"/>
  <c r="P282" i="5"/>
  <c r="Q282" i="5"/>
  <c r="R282" i="5"/>
  <c r="S282" i="5"/>
  <c r="I282" i="5"/>
  <c r="K282" i="5"/>
  <c r="L282" i="5"/>
  <c r="J282" i="5"/>
  <c r="B282" i="5"/>
  <c r="C282" i="5"/>
  <c r="D282" i="5"/>
  <c r="E282" i="5"/>
  <c r="F282" i="5"/>
  <c r="G282" i="5"/>
  <c r="H282" i="5"/>
  <c r="C281" i="5"/>
  <c r="B281" i="5"/>
  <c r="D281" i="5"/>
  <c r="S281" i="5"/>
  <c r="R281" i="5"/>
  <c r="Q281" i="5"/>
  <c r="P281" i="5"/>
  <c r="O281" i="5"/>
  <c r="N281" i="5"/>
  <c r="M281" i="5"/>
  <c r="K281" i="5"/>
  <c r="J281" i="5"/>
  <c r="I281" i="5"/>
  <c r="L281" i="5"/>
  <c r="H281" i="5"/>
  <c r="G281" i="5"/>
  <c r="F281" i="5"/>
  <c r="E281" i="5"/>
  <c r="S280" i="5"/>
  <c r="R280" i="5"/>
  <c r="Q280" i="5"/>
  <c r="P280" i="5"/>
  <c r="O280" i="5"/>
  <c r="N280" i="5"/>
  <c r="E280" i="5"/>
  <c r="F280" i="5"/>
  <c r="M280" i="5"/>
  <c r="H280" i="5"/>
  <c r="I280" i="5"/>
  <c r="J280" i="5"/>
  <c r="K280" i="5"/>
  <c r="B280" i="5"/>
  <c r="C280" i="5"/>
  <c r="D280" i="5"/>
  <c r="L280" i="5"/>
  <c r="G280" i="5"/>
  <c r="L279" i="5"/>
  <c r="B279" i="5"/>
  <c r="C279" i="5"/>
  <c r="D279" i="5"/>
  <c r="E279" i="5"/>
  <c r="F279" i="5"/>
  <c r="G279" i="5"/>
  <c r="H279" i="5"/>
  <c r="I279" i="5"/>
  <c r="J279" i="5"/>
  <c r="K279" i="5"/>
  <c r="M279" i="5"/>
  <c r="N279" i="5"/>
  <c r="O279" i="5"/>
  <c r="P279" i="5"/>
  <c r="Q279" i="5"/>
  <c r="R279" i="5"/>
  <c r="S279" i="5"/>
  <c r="P278" i="5"/>
  <c r="E278" i="5"/>
  <c r="Q278" i="5"/>
  <c r="B278" i="5"/>
  <c r="M278" i="5"/>
  <c r="C278" i="5"/>
  <c r="G278" i="5"/>
  <c r="S278" i="5"/>
  <c r="R278" i="5"/>
  <c r="F278" i="5"/>
  <c r="D278" i="5"/>
  <c r="O278" i="5"/>
  <c r="N278" i="5"/>
  <c r="L278" i="5"/>
  <c r="K278" i="5"/>
  <c r="J278" i="5"/>
  <c r="I278" i="5"/>
  <c r="H278" i="5"/>
  <c r="M277" i="5"/>
  <c r="R277" i="5"/>
  <c r="S277" i="5"/>
  <c r="N277" i="5"/>
  <c r="E277" i="5"/>
  <c r="B277" i="5"/>
  <c r="C277" i="5"/>
  <c r="D277" i="5"/>
  <c r="F277" i="5"/>
  <c r="L277" i="5"/>
  <c r="G277" i="5"/>
  <c r="H277" i="5"/>
  <c r="I277" i="5"/>
  <c r="J277" i="5"/>
  <c r="K277" i="5"/>
  <c r="O277" i="5"/>
  <c r="P277" i="5"/>
  <c r="Q277" i="5"/>
  <c r="L276" i="5"/>
  <c r="N276" i="5"/>
  <c r="O276" i="5"/>
  <c r="P276" i="5"/>
  <c r="Q276" i="5"/>
  <c r="R276" i="5"/>
  <c r="S276" i="5"/>
  <c r="M276" i="5"/>
  <c r="B276" i="5"/>
  <c r="D276" i="5"/>
  <c r="C276" i="5"/>
  <c r="E276" i="5"/>
  <c r="F276" i="5"/>
  <c r="G276" i="5"/>
  <c r="H276" i="5"/>
  <c r="I276" i="5"/>
  <c r="J276" i="5"/>
  <c r="K276" i="5"/>
  <c r="M275" i="5"/>
  <c r="S275" i="5"/>
  <c r="L275" i="5"/>
  <c r="I275" i="5"/>
  <c r="E275" i="5"/>
  <c r="J275" i="5"/>
  <c r="K275" i="5"/>
  <c r="N275" i="5"/>
  <c r="O275" i="5"/>
  <c r="P275" i="5"/>
  <c r="Q275" i="5"/>
  <c r="R275" i="5"/>
  <c r="F275" i="5"/>
  <c r="D275" i="5"/>
  <c r="C275" i="5"/>
  <c r="B275" i="5"/>
  <c r="G275" i="5"/>
  <c r="H275" i="5"/>
  <c r="B274" i="5"/>
  <c r="O274" i="5"/>
  <c r="N274" i="5"/>
  <c r="M274" i="5"/>
  <c r="L274" i="5"/>
  <c r="K274" i="5"/>
  <c r="J274" i="5"/>
  <c r="I274" i="5"/>
  <c r="H274" i="5"/>
  <c r="G274" i="5"/>
  <c r="S274" i="5"/>
  <c r="F274" i="5"/>
  <c r="R274" i="5"/>
  <c r="E274" i="5"/>
  <c r="Q274" i="5"/>
  <c r="C274" i="5"/>
  <c r="P274" i="5"/>
  <c r="D274" i="5"/>
  <c r="L273" i="5"/>
  <c r="M273" i="5"/>
  <c r="N273" i="5"/>
  <c r="O273" i="5"/>
  <c r="P273" i="5"/>
  <c r="Q273" i="5"/>
  <c r="R273" i="5"/>
  <c r="S273" i="5"/>
  <c r="E273" i="5"/>
  <c r="B273" i="5"/>
  <c r="C273" i="5"/>
  <c r="D273" i="5"/>
  <c r="F273" i="5"/>
  <c r="G273" i="5"/>
  <c r="H273" i="5"/>
  <c r="I273" i="5"/>
  <c r="J273" i="5"/>
  <c r="K273" i="5"/>
  <c r="R272" i="5"/>
  <c r="S272" i="5"/>
  <c r="H272" i="5"/>
  <c r="D272" i="5"/>
  <c r="E272" i="5"/>
  <c r="F272" i="5"/>
  <c r="G272" i="5"/>
  <c r="C272" i="5"/>
  <c r="J272" i="5"/>
  <c r="K272" i="5"/>
  <c r="L272" i="5"/>
  <c r="M272" i="5"/>
  <c r="B272" i="5"/>
  <c r="N272" i="5"/>
  <c r="O272" i="5"/>
  <c r="I272" i="5"/>
  <c r="P272" i="5"/>
  <c r="Q272" i="5"/>
  <c r="M271" i="5"/>
  <c r="N271" i="5"/>
  <c r="O271" i="5"/>
  <c r="P271" i="5"/>
  <c r="Q271" i="5"/>
  <c r="S271" i="5"/>
  <c r="C271" i="5"/>
  <c r="B271" i="5"/>
  <c r="R271" i="5"/>
  <c r="D271" i="5"/>
  <c r="E271" i="5"/>
  <c r="F271" i="5"/>
  <c r="G271" i="5"/>
  <c r="H271" i="5"/>
  <c r="I271" i="5"/>
  <c r="J271" i="5"/>
  <c r="K271" i="5"/>
  <c r="L271" i="5"/>
  <c r="S270" i="5"/>
  <c r="L270" i="5"/>
  <c r="B270" i="5"/>
  <c r="M270" i="5"/>
  <c r="N270" i="5"/>
  <c r="O270" i="5"/>
  <c r="P270" i="5"/>
  <c r="F270" i="5"/>
  <c r="K270" i="5"/>
  <c r="Q270" i="5"/>
  <c r="J270" i="5"/>
  <c r="I270" i="5"/>
  <c r="H270" i="5"/>
  <c r="G270" i="5"/>
  <c r="R270" i="5"/>
  <c r="E270" i="5"/>
  <c r="D270" i="5"/>
  <c r="C270" i="5"/>
  <c r="G269" i="5"/>
  <c r="E269" i="5"/>
  <c r="F269" i="5"/>
  <c r="H269" i="5"/>
  <c r="K269" i="5"/>
  <c r="I269" i="5"/>
  <c r="J269" i="5"/>
  <c r="L269" i="5"/>
  <c r="M269" i="5"/>
  <c r="N269" i="5"/>
  <c r="R269" i="5"/>
  <c r="S269" i="5"/>
  <c r="P269" i="5"/>
  <c r="B269" i="5"/>
  <c r="Q269" i="5"/>
  <c r="D269" i="5"/>
  <c r="C269" i="5"/>
  <c r="O269" i="5"/>
  <c r="M268" i="5"/>
  <c r="N268" i="5"/>
  <c r="O268" i="5"/>
  <c r="P268" i="5"/>
  <c r="Q268" i="5"/>
  <c r="R268" i="5"/>
  <c r="S268" i="5"/>
  <c r="J268" i="5"/>
  <c r="F268" i="5"/>
  <c r="B268" i="5"/>
  <c r="C268" i="5"/>
  <c r="D268" i="5"/>
  <c r="E268" i="5"/>
  <c r="G268" i="5"/>
  <c r="H268" i="5"/>
  <c r="I268" i="5"/>
  <c r="K268" i="5"/>
  <c r="L268" i="5"/>
  <c r="H267" i="5"/>
  <c r="G267" i="5"/>
  <c r="M267" i="5"/>
  <c r="S267" i="5"/>
  <c r="R267" i="5"/>
  <c r="Q267" i="5"/>
  <c r="F267" i="5"/>
  <c r="E267" i="5"/>
  <c r="P267" i="5"/>
  <c r="L267" i="5"/>
  <c r="K267" i="5"/>
  <c r="O267" i="5"/>
  <c r="N267" i="5"/>
  <c r="D267" i="5"/>
  <c r="C267" i="5"/>
  <c r="B267" i="5"/>
  <c r="J267" i="5"/>
  <c r="I267" i="5"/>
  <c r="G266" i="5"/>
  <c r="Q266" i="5"/>
  <c r="C266" i="5"/>
  <c r="E266" i="5"/>
  <c r="S266" i="5"/>
  <c r="M266" i="5"/>
  <c r="P266" i="5"/>
  <c r="N266" i="5"/>
  <c r="D266" i="5"/>
  <c r="O266" i="5"/>
  <c r="L266" i="5"/>
  <c r="K266" i="5"/>
  <c r="J266" i="5"/>
  <c r="F266" i="5"/>
  <c r="I266" i="5"/>
  <c r="H266" i="5"/>
  <c r="B266" i="5"/>
  <c r="H265" i="5"/>
  <c r="R265" i="5"/>
  <c r="S265" i="5"/>
  <c r="I265" i="5"/>
  <c r="K265" i="5"/>
  <c r="M265" i="5"/>
  <c r="O265" i="5"/>
  <c r="Q265" i="5"/>
  <c r="P265" i="5"/>
  <c r="F265" i="5"/>
  <c r="J265" i="5"/>
  <c r="N265" i="5"/>
  <c r="L265" i="5"/>
  <c r="D265" i="5"/>
  <c r="B265" i="5"/>
  <c r="C265" i="5"/>
  <c r="E265" i="5"/>
  <c r="G265" i="5"/>
  <c r="O264" i="5"/>
  <c r="P264" i="5"/>
  <c r="K264" i="5"/>
  <c r="B264" i="5"/>
  <c r="F264" i="5"/>
  <c r="R264" i="5"/>
  <c r="H264" i="5"/>
  <c r="C264" i="5"/>
  <c r="E264" i="5"/>
  <c r="D264" i="5"/>
  <c r="L264" i="5"/>
  <c r="J264" i="5"/>
  <c r="G264" i="5"/>
  <c r="I264" i="5"/>
  <c r="N264" i="5"/>
  <c r="S264" i="5"/>
  <c r="M264" i="5"/>
  <c r="Q264" i="5"/>
  <c r="I263" i="5"/>
  <c r="L263" i="5"/>
  <c r="N263" i="5"/>
  <c r="P263" i="5"/>
  <c r="Q263" i="5"/>
  <c r="S263" i="5"/>
  <c r="H263" i="5"/>
  <c r="R263" i="5"/>
  <c r="M263" i="5"/>
  <c r="J263" i="5"/>
  <c r="D263" i="5"/>
  <c r="F263" i="5"/>
  <c r="K263" i="5"/>
  <c r="O263" i="5"/>
  <c r="B263" i="5"/>
  <c r="C263" i="5"/>
  <c r="E263" i="5"/>
  <c r="G263" i="5"/>
  <c r="G262" i="5"/>
  <c r="E262" i="5"/>
  <c r="M262" i="5"/>
  <c r="N262" i="5"/>
  <c r="C262" i="5"/>
  <c r="I262" i="5"/>
  <c r="B262" i="5"/>
  <c r="D262" i="5"/>
  <c r="F262" i="5"/>
  <c r="H262" i="5"/>
  <c r="J262" i="5"/>
  <c r="L262" i="5"/>
  <c r="K262" i="5"/>
  <c r="P262" i="5"/>
  <c r="Q262" i="5"/>
  <c r="R262" i="5"/>
  <c r="S262" i="5"/>
  <c r="O262" i="5"/>
  <c r="Q261" i="5"/>
  <c r="S261" i="5"/>
  <c r="B261" i="5"/>
  <c r="G261" i="5"/>
  <c r="K261" i="5"/>
  <c r="N261" i="5"/>
  <c r="C261" i="5"/>
  <c r="E261" i="5"/>
  <c r="F261" i="5"/>
  <c r="H261" i="5"/>
  <c r="R261" i="5"/>
  <c r="P261" i="5"/>
  <c r="L261" i="5"/>
  <c r="O261" i="5"/>
  <c r="M261" i="5"/>
  <c r="J261" i="5"/>
  <c r="I261" i="5"/>
  <c r="D261" i="5"/>
  <c r="E260" i="5"/>
  <c r="H260" i="5"/>
  <c r="M260" i="5"/>
  <c r="P260" i="5"/>
  <c r="S260" i="5"/>
  <c r="N260" i="5"/>
  <c r="K260" i="5"/>
  <c r="I260" i="5"/>
  <c r="D260" i="5"/>
  <c r="C260" i="5"/>
  <c r="R260" i="5"/>
  <c r="Q260" i="5"/>
  <c r="O260" i="5"/>
  <c r="L260" i="5"/>
  <c r="J260" i="5"/>
  <c r="G260" i="5"/>
  <c r="F260" i="5"/>
  <c r="B260" i="5"/>
  <c r="D259" i="5"/>
  <c r="Q259" i="5"/>
  <c r="R259" i="5"/>
  <c r="E259" i="5"/>
  <c r="H259" i="5"/>
  <c r="M259" i="5"/>
  <c r="L259" i="5"/>
  <c r="P259" i="5"/>
  <c r="K259" i="5"/>
  <c r="I259" i="5"/>
  <c r="G259" i="5"/>
  <c r="O259" i="5"/>
  <c r="C259" i="5"/>
  <c r="B259" i="5"/>
  <c r="F259" i="5"/>
  <c r="S259" i="5"/>
  <c r="J259" i="5"/>
  <c r="N259" i="5"/>
  <c r="N258" i="5"/>
  <c r="P258" i="5"/>
  <c r="O258" i="5"/>
  <c r="D258" i="5"/>
  <c r="F258" i="5"/>
  <c r="K258" i="5"/>
  <c r="R258" i="5"/>
  <c r="B258" i="5"/>
  <c r="H258" i="5"/>
  <c r="M258" i="5"/>
  <c r="J258" i="5"/>
  <c r="I258" i="5"/>
  <c r="G258" i="5"/>
  <c r="E258" i="5"/>
  <c r="C258" i="5"/>
  <c r="Q258" i="5"/>
  <c r="S258" i="5"/>
  <c r="L258" i="5"/>
  <c r="R257" i="5"/>
  <c r="J257" i="5"/>
  <c r="D257" i="5"/>
  <c r="B257" i="5"/>
  <c r="F257" i="5"/>
  <c r="H257" i="5"/>
  <c r="L257" i="5"/>
  <c r="O257" i="5"/>
  <c r="S257" i="5"/>
  <c r="Q257" i="5"/>
  <c r="C257" i="5"/>
  <c r="E257" i="5"/>
  <c r="G257" i="5"/>
  <c r="I257" i="5"/>
  <c r="K257" i="5"/>
  <c r="M257" i="5"/>
  <c r="P257" i="5"/>
  <c r="N257" i="5"/>
  <c r="R256" i="5"/>
  <c r="E256" i="5"/>
  <c r="J256" i="5"/>
  <c r="S256" i="5"/>
  <c r="H256" i="5"/>
  <c r="K256" i="5"/>
  <c r="G256" i="5"/>
  <c r="F256" i="5"/>
  <c r="C256" i="5"/>
  <c r="B256" i="5"/>
  <c r="Q256" i="5"/>
  <c r="D256" i="5"/>
  <c r="I256" i="5"/>
  <c r="L256" i="5"/>
  <c r="O256" i="5"/>
  <c r="N256" i="5"/>
  <c r="P256" i="5"/>
  <c r="M256" i="5"/>
  <c r="M255" i="5"/>
  <c r="H255" i="5"/>
  <c r="O255" i="5"/>
  <c r="K255" i="5"/>
  <c r="I255" i="5"/>
  <c r="S255" i="5"/>
  <c r="D255" i="5"/>
  <c r="F255" i="5"/>
  <c r="C255" i="5"/>
  <c r="R255" i="5"/>
  <c r="B255" i="5"/>
  <c r="E255" i="5"/>
  <c r="G255" i="5"/>
  <c r="Q255" i="5"/>
  <c r="P255" i="5"/>
  <c r="N255" i="5"/>
  <c r="L255" i="5"/>
  <c r="J255" i="5"/>
  <c r="M254" i="5"/>
  <c r="P254" i="5"/>
  <c r="J254" i="5"/>
  <c r="I254" i="5"/>
  <c r="D254" i="5"/>
  <c r="B254" i="5"/>
  <c r="C254" i="5"/>
  <c r="E254" i="5"/>
  <c r="H254" i="5"/>
  <c r="F254" i="5"/>
  <c r="G254" i="5"/>
  <c r="R254" i="5"/>
  <c r="S254" i="5"/>
  <c r="O254" i="5"/>
  <c r="K254" i="5"/>
  <c r="L254" i="5"/>
  <c r="Q254" i="5"/>
  <c r="N254" i="5"/>
  <c r="O253" i="5"/>
  <c r="P253" i="5"/>
  <c r="R253" i="5"/>
  <c r="S253" i="5"/>
  <c r="Q253" i="5"/>
  <c r="M253" i="5"/>
  <c r="I253" i="5"/>
  <c r="G253" i="5"/>
  <c r="E253" i="5"/>
  <c r="C253" i="5"/>
  <c r="L253" i="5"/>
  <c r="K253" i="5"/>
  <c r="J253" i="5"/>
  <c r="H253" i="5"/>
  <c r="F253" i="5"/>
  <c r="D253" i="5"/>
  <c r="B253" i="5"/>
  <c r="N253" i="5"/>
  <c r="C252" i="5"/>
  <c r="F252" i="5"/>
  <c r="K252" i="5"/>
  <c r="M252" i="5"/>
  <c r="P252" i="5"/>
  <c r="R252" i="5"/>
  <c r="N252" i="5"/>
  <c r="I252" i="5"/>
  <c r="S252" i="5"/>
  <c r="Q252" i="5"/>
  <c r="O252" i="5"/>
  <c r="L252" i="5"/>
  <c r="J252" i="5"/>
  <c r="H252" i="5"/>
  <c r="G252" i="5"/>
  <c r="D252" i="5"/>
  <c r="E252" i="5"/>
  <c r="B252" i="5"/>
  <c r="S251" i="5"/>
  <c r="G251" i="5"/>
  <c r="L251" i="5"/>
  <c r="C251" i="5"/>
  <c r="Q251" i="5"/>
  <c r="F251" i="5"/>
  <c r="R251" i="5"/>
  <c r="P251" i="5"/>
  <c r="M251" i="5"/>
  <c r="K251" i="5"/>
  <c r="I251" i="5"/>
  <c r="D251" i="5"/>
  <c r="B251" i="5"/>
  <c r="E251" i="5"/>
  <c r="O251" i="5"/>
  <c r="N251" i="5"/>
  <c r="J251" i="5"/>
  <c r="H251" i="5"/>
  <c r="M250" i="5"/>
  <c r="G250" i="5"/>
  <c r="B250" i="5"/>
  <c r="O250" i="5"/>
  <c r="S250" i="5"/>
  <c r="J250" i="5"/>
  <c r="C250" i="5"/>
  <c r="I250" i="5"/>
  <c r="K250" i="5"/>
  <c r="D250" i="5"/>
  <c r="N250" i="5"/>
  <c r="P250" i="5"/>
  <c r="R250" i="5"/>
  <c r="F250" i="5"/>
  <c r="Q250" i="5"/>
  <c r="L250" i="5"/>
  <c r="H250" i="5"/>
  <c r="E250" i="5"/>
  <c r="C249" i="5"/>
  <c r="D249" i="5"/>
  <c r="G249" i="5"/>
  <c r="K249" i="5"/>
  <c r="N249" i="5"/>
  <c r="S249" i="5"/>
  <c r="F249" i="5"/>
  <c r="B249" i="5"/>
  <c r="H249" i="5"/>
  <c r="I249" i="5"/>
  <c r="R249" i="5"/>
  <c r="E249" i="5"/>
  <c r="L249" i="5"/>
  <c r="M249" i="5"/>
  <c r="P249" i="5"/>
  <c r="Q249" i="5"/>
  <c r="O249" i="5"/>
  <c r="J249" i="5"/>
  <c r="R248" i="5"/>
  <c r="S248" i="5"/>
  <c r="F248" i="5"/>
  <c r="P248" i="5"/>
  <c r="O248" i="5"/>
  <c r="L248" i="5"/>
  <c r="J248" i="5"/>
  <c r="I248" i="5"/>
  <c r="G248" i="5"/>
  <c r="E248" i="5"/>
  <c r="C248" i="5"/>
  <c r="B248" i="5"/>
  <c r="K248" i="5"/>
  <c r="M248" i="5"/>
  <c r="Q248" i="5"/>
  <c r="N248" i="5"/>
  <c r="H248" i="5"/>
  <c r="D248" i="5"/>
  <c r="G247" i="5"/>
  <c r="M247" i="5"/>
  <c r="R247" i="5"/>
  <c r="I247" i="5"/>
  <c r="F247" i="5"/>
  <c r="D247" i="5"/>
  <c r="H247" i="5"/>
  <c r="E247" i="5"/>
  <c r="C247" i="5"/>
  <c r="L247" i="5"/>
  <c r="Q247" i="5"/>
  <c r="O247" i="5"/>
  <c r="B247" i="5"/>
  <c r="S247" i="5"/>
  <c r="P247" i="5"/>
  <c r="N247" i="5"/>
  <c r="K247" i="5"/>
  <c r="J247" i="5"/>
  <c r="Q246" i="5"/>
  <c r="O246" i="5"/>
  <c r="L246" i="5"/>
  <c r="F246" i="5"/>
  <c r="D246" i="5"/>
  <c r="J246" i="5"/>
  <c r="E246" i="5"/>
  <c r="K246" i="5"/>
  <c r="S246" i="5"/>
  <c r="P246" i="5"/>
  <c r="C246" i="5"/>
  <c r="B246" i="5"/>
  <c r="H246" i="5"/>
  <c r="G246" i="5"/>
  <c r="I246" i="5"/>
  <c r="N246" i="5"/>
  <c r="M246" i="5"/>
  <c r="R246" i="5"/>
  <c r="R245" i="5"/>
  <c r="S245" i="5"/>
  <c r="Q245" i="5"/>
  <c r="L245" i="5"/>
  <c r="G245" i="5"/>
  <c r="D245" i="5"/>
  <c r="F245" i="5"/>
  <c r="J245" i="5"/>
  <c r="M245" i="5"/>
  <c r="P245" i="5"/>
  <c r="C245" i="5"/>
  <c r="E245" i="5"/>
  <c r="H245" i="5"/>
  <c r="I245" i="5"/>
  <c r="K245" i="5"/>
  <c r="N245" i="5"/>
  <c r="O245" i="5"/>
  <c r="M244" i="5"/>
  <c r="K244" i="5"/>
  <c r="Q244" i="5"/>
  <c r="G244" i="5"/>
  <c r="L244" i="5"/>
  <c r="J244" i="5"/>
  <c r="I244" i="5"/>
  <c r="H244" i="5"/>
  <c r="F244" i="5"/>
  <c r="E244" i="5"/>
  <c r="D244" i="5"/>
  <c r="B244" i="5"/>
  <c r="N244" i="5"/>
  <c r="C244" i="5"/>
  <c r="O244" i="5"/>
  <c r="S244" i="5"/>
  <c r="R244" i="5"/>
  <c r="P244" i="5"/>
  <c r="D243" i="5"/>
  <c r="R243" i="5"/>
  <c r="B243" i="5"/>
  <c r="E243" i="5"/>
  <c r="H243" i="5"/>
  <c r="L243" i="5"/>
  <c r="C243" i="5"/>
  <c r="F243" i="5"/>
  <c r="J243" i="5"/>
  <c r="P243" i="5"/>
  <c r="Q243" i="5"/>
  <c r="S243" i="5"/>
  <c r="O243" i="5"/>
  <c r="N243" i="5"/>
  <c r="K243" i="5"/>
  <c r="I243" i="5"/>
  <c r="G243" i="5"/>
  <c r="M243" i="5"/>
  <c r="S242" i="5"/>
  <c r="P242" i="5"/>
  <c r="B242" i="5"/>
  <c r="E242" i="5"/>
  <c r="F242" i="5"/>
  <c r="I242" i="5"/>
  <c r="L242" i="5"/>
  <c r="O242" i="5"/>
  <c r="Q242" i="5"/>
  <c r="J242" i="5"/>
  <c r="H242" i="5"/>
  <c r="R242" i="5"/>
  <c r="K242" i="5"/>
  <c r="M242" i="5"/>
  <c r="G242" i="5"/>
  <c r="C242" i="5"/>
  <c r="N242" i="5"/>
  <c r="D242" i="5"/>
  <c r="S241" i="5"/>
  <c r="P241" i="5"/>
  <c r="N241" i="5"/>
  <c r="K241" i="5"/>
  <c r="J241" i="5"/>
  <c r="H241" i="5"/>
  <c r="G241" i="5"/>
  <c r="E241" i="5"/>
  <c r="C241" i="5"/>
  <c r="R241" i="5"/>
  <c r="M241" i="5"/>
  <c r="O241" i="5"/>
  <c r="Q241" i="5"/>
  <c r="D241" i="5"/>
  <c r="B241" i="5"/>
  <c r="F241" i="5"/>
  <c r="I241" i="5"/>
  <c r="L241" i="5"/>
  <c r="M240" i="5"/>
  <c r="L240" i="5"/>
  <c r="K240" i="5"/>
  <c r="I240" i="5"/>
  <c r="H240" i="5"/>
  <c r="D240" i="5"/>
  <c r="N240" i="5"/>
  <c r="F240" i="5"/>
  <c r="G240" i="5"/>
  <c r="C240" i="5"/>
  <c r="B240" i="5"/>
  <c r="Q240" i="5"/>
  <c r="E240" i="5"/>
  <c r="R240" i="5"/>
  <c r="P240" i="5"/>
  <c r="J240" i="5"/>
  <c r="O240" i="5"/>
  <c r="Q239" i="5"/>
  <c r="E239" i="5"/>
  <c r="D239" i="5"/>
  <c r="C239" i="5"/>
  <c r="I239" i="5"/>
  <c r="F239" i="5"/>
  <c r="H239" i="5"/>
  <c r="M239" i="5"/>
  <c r="J239" i="5"/>
  <c r="S239" i="5"/>
  <c r="R239" i="5"/>
  <c r="P239" i="5"/>
  <c r="O239" i="5"/>
  <c r="N239" i="5"/>
  <c r="L239" i="5"/>
  <c r="K239" i="5"/>
  <c r="G239" i="5"/>
  <c r="J238" i="5"/>
  <c r="H238" i="5"/>
  <c r="G238" i="5"/>
  <c r="F238" i="5"/>
  <c r="E238" i="5"/>
  <c r="R238" i="5"/>
  <c r="D238" i="5"/>
  <c r="O238" i="5"/>
  <c r="B238" i="5"/>
  <c r="S238" i="5"/>
  <c r="L238" i="5"/>
  <c r="Q238" i="5"/>
  <c r="C238" i="5"/>
  <c r="P238" i="5"/>
  <c r="N238" i="5"/>
  <c r="M238" i="5"/>
  <c r="K238" i="5"/>
  <c r="K237" i="5"/>
  <c r="L237" i="5"/>
  <c r="M237" i="5"/>
  <c r="N237" i="5"/>
  <c r="O237" i="5"/>
  <c r="Q237" i="5"/>
  <c r="S237" i="5"/>
  <c r="R237" i="5"/>
  <c r="P237" i="5"/>
  <c r="C237" i="5"/>
  <c r="B237" i="5"/>
  <c r="D237" i="5"/>
  <c r="E237" i="5"/>
  <c r="F237" i="5"/>
  <c r="G237" i="5"/>
  <c r="H237" i="5"/>
  <c r="I237" i="5"/>
  <c r="J237" i="5"/>
  <c r="O236" i="5"/>
  <c r="I236" i="5"/>
  <c r="H236" i="5"/>
  <c r="B236" i="5"/>
  <c r="G236" i="5"/>
  <c r="E236" i="5"/>
  <c r="D236" i="5"/>
  <c r="C236" i="5"/>
  <c r="S236" i="5"/>
  <c r="R236" i="5"/>
  <c r="Q236" i="5"/>
  <c r="P236" i="5"/>
  <c r="F236" i="5"/>
  <c r="N236" i="5"/>
  <c r="M236" i="5"/>
  <c r="L236" i="5"/>
  <c r="K236" i="5"/>
  <c r="J236" i="5"/>
  <c r="D235" i="5"/>
  <c r="C235" i="5"/>
  <c r="B235" i="5"/>
  <c r="I235" i="5"/>
  <c r="L235" i="5"/>
  <c r="E235" i="5"/>
  <c r="H235" i="5"/>
  <c r="K235" i="5"/>
  <c r="S235" i="5"/>
  <c r="R235" i="5"/>
  <c r="Q235" i="5"/>
  <c r="P235" i="5"/>
  <c r="O235" i="5"/>
  <c r="N235" i="5"/>
  <c r="M235" i="5"/>
  <c r="F235" i="5"/>
  <c r="G235" i="5"/>
  <c r="J235" i="5"/>
  <c r="S234" i="5"/>
  <c r="R234" i="5"/>
  <c r="P234" i="5"/>
  <c r="D234" i="5"/>
  <c r="E234" i="5"/>
  <c r="O234" i="5"/>
  <c r="G234" i="5"/>
  <c r="H234" i="5"/>
  <c r="I234" i="5"/>
  <c r="K234" i="5"/>
  <c r="L234" i="5"/>
  <c r="J234" i="5"/>
  <c r="B234" i="5"/>
  <c r="C234" i="5"/>
  <c r="Q234" i="5"/>
  <c r="M234" i="5"/>
  <c r="N234" i="5"/>
  <c r="F234" i="5"/>
  <c r="B233" i="5"/>
  <c r="C233" i="5"/>
  <c r="H233" i="5"/>
  <c r="I233" i="5"/>
  <c r="J233" i="5"/>
  <c r="K233" i="5"/>
  <c r="L233" i="5"/>
  <c r="M233" i="5"/>
  <c r="N233" i="5"/>
  <c r="O233" i="5"/>
  <c r="P233" i="5"/>
  <c r="Q233" i="5"/>
  <c r="R233" i="5"/>
  <c r="S233" i="5"/>
  <c r="G233" i="5"/>
  <c r="F233" i="5"/>
  <c r="E233" i="5"/>
  <c r="D233" i="5"/>
  <c r="Q232" i="5"/>
  <c r="S232" i="5"/>
  <c r="P232" i="5"/>
  <c r="O232" i="5"/>
  <c r="N232" i="5"/>
  <c r="R232" i="5"/>
  <c r="E232" i="5"/>
  <c r="M232" i="5"/>
  <c r="L232" i="5"/>
  <c r="K232" i="5"/>
  <c r="J232" i="5"/>
  <c r="I232" i="5"/>
  <c r="H232" i="5"/>
  <c r="G232" i="5"/>
  <c r="F232" i="5"/>
  <c r="D232" i="5"/>
  <c r="C232" i="5"/>
  <c r="B232" i="5"/>
  <c r="P231" i="5"/>
  <c r="D231" i="5"/>
  <c r="C231" i="5"/>
  <c r="B231" i="5"/>
  <c r="L231" i="5"/>
  <c r="K231" i="5"/>
  <c r="J231" i="5"/>
  <c r="I231" i="5"/>
  <c r="H231" i="5"/>
  <c r="Q231" i="5"/>
  <c r="E231" i="5"/>
  <c r="F231" i="5"/>
  <c r="M231" i="5"/>
  <c r="G231" i="5"/>
  <c r="N231" i="5"/>
  <c r="O231" i="5"/>
  <c r="S231" i="5"/>
  <c r="R231" i="5"/>
  <c r="B230" i="5"/>
  <c r="C230" i="5"/>
  <c r="D230" i="5"/>
  <c r="E230" i="5"/>
  <c r="F230" i="5"/>
  <c r="G230" i="5"/>
  <c r="H230" i="5"/>
  <c r="J230" i="5"/>
  <c r="K230" i="5"/>
  <c r="L230" i="5"/>
  <c r="M230" i="5"/>
  <c r="N230" i="5"/>
  <c r="O230" i="5"/>
  <c r="P230" i="5"/>
  <c r="Q230" i="5"/>
  <c r="R230" i="5"/>
  <c r="S230" i="5"/>
  <c r="I230" i="5"/>
  <c r="L229" i="5"/>
  <c r="N229" i="5"/>
  <c r="O229" i="5"/>
  <c r="B229" i="5"/>
  <c r="H229" i="5"/>
  <c r="G229" i="5"/>
  <c r="Q229" i="5"/>
  <c r="R229" i="5"/>
  <c r="C229" i="5"/>
  <c r="M229" i="5"/>
  <c r="I229" i="5"/>
  <c r="J229" i="5"/>
  <c r="D229" i="5"/>
  <c r="E229" i="5"/>
  <c r="P229" i="5"/>
  <c r="F229" i="5"/>
  <c r="K229" i="5"/>
  <c r="S229" i="5"/>
  <c r="H228" i="5"/>
  <c r="J228" i="5"/>
  <c r="L228" i="5"/>
  <c r="M228" i="5"/>
  <c r="N228" i="5"/>
  <c r="O228" i="5"/>
  <c r="P228" i="5"/>
  <c r="Q228" i="5"/>
  <c r="S228" i="5"/>
  <c r="K228" i="5"/>
  <c r="I228" i="5"/>
  <c r="G228" i="5"/>
  <c r="F228" i="5"/>
  <c r="D228" i="5"/>
  <c r="C228" i="5"/>
  <c r="R228" i="5"/>
  <c r="B228" i="5"/>
  <c r="E228" i="5"/>
  <c r="O227" i="5"/>
  <c r="Q227" i="5"/>
  <c r="S227" i="5"/>
  <c r="G227" i="5"/>
  <c r="R227" i="5"/>
  <c r="M227" i="5"/>
  <c r="I227" i="5"/>
  <c r="E227" i="5"/>
  <c r="K227" i="5"/>
  <c r="N227" i="5"/>
  <c r="P227" i="5"/>
  <c r="F227" i="5"/>
  <c r="H227" i="5"/>
  <c r="J227" i="5"/>
  <c r="C227" i="5"/>
  <c r="L227" i="5"/>
  <c r="B227" i="5"/>
  <c r="D227" i="5"/>
  <c r="R226" i="5"/>
  <c r="M226" i="5"/>
  <c r="K226" i="5"/>
  <c r="E226" i="5"/>
  <c r="C226" i="5"/>
  <c r="G226" i="5"/>
  <c r="I226" i="5"/>
  <c r="O226" i="5"/>
  <c r="D226" i="5"/>
  <c r="F226" i="5"/>
  <c r="H226" i="5"/>
  <c r="J226" i="5"/>
  <c r="L226" i="5"/>
  <c r="N226" i="5"/>
  <c r="P226" i="5"/>
  <c r="Q226" i="5"/>
  <c r="S226" i="5"/>
  <c r="B226" i="5"/>
  <c r="D225" i="5"/>
  <c r="I225" i="5"/>
  <c r="J225" i="5"/>
  <c r="L225" i="5"/>
  <c r="N225" i="5"/>
  <c r="P225" i="5"/>
  <c r="R225" i="5"/>
  <c r="K225" i="5"/>
  <c r="O225" i="5"/>
  <c r="S225" i="5"/>
  <c r="C225" i="5"/>
  <c r="Q225" i="5"/>
  <c r="F225" i="5"/>
  <c r="G225" i="5"/>
  <c r="M225" i="5"/>
  <c r="E225" i="5"/>
  <c r="H225" i="5"/>
  <c r="B225" i="5"/>
  <c r="C224" i="5"/>
  <c r="J224" i="5"/>
  <c r="B224" i="5"/>
  <c r="G224" i="5"/>
  <c r="D224" i="5"/>
  <c r="Q224" i="5"/>
  <c r="K224" i="5"/>
  <c r="E224" i="5"/>
  <c r="I224" i="5"/>
  <c r="M224" i="5"/>
  <c r="N224" i="5"/>
  <c r="P224" i="5"/>
  <c r="R224" i="5"/>
  <c r="S224" i="5"/>
  <c r="L224" i="5"/>
  <c r="O224" i="5"/>
  <c r="H224" i="5"/>
  <c r="F224" i="5"/>
  <c r="S223" i="5"/>
  <c r="P223" i="5"/>
  <c r="F223" i="5"/>
  <c r="B223" i="5"/>
  <c r="M223" i="5"/>
  <c r="C223" i="5"/>
  <c r="N223" i="5"/>
  <c r="L223" i="5"/>
  <c r="I223" i="5"/>
  <c r="K223" i="5"/>
  <c r="R223" i="5"/>
  <c r="G223" i="5"/>
  <c r="E223" i="5"/>
  <c r="D223" i="5"/>
  <c r="H223" i="5"/>
  <c r="J223" i="5"/>
  <c r="Q223" i="5"/>
  <c r="O223" i="5"/>
  <c r="P222" i="5"/>
  <c r="B222" i="5"/>
  <c r="D222" i="5"/>
  <c r="F222" i="5"/>
  <c r="L222" i="5"/>
  <c r="N222" i="5"/>
  <c r="Q222" i="5"/>
  <c r="R222" i="5"/>
  <c r="M222" i="5"/>
  <c r="O222" i="5"/>
  <c r="G222" i="5"/>
  <c r="K222" i="5"/>
  <c r="S222" i="5"/>
  <c r="J222" i="5"/>
  <c r="I222" i="5"/>
  <c r="E222" i="5"/>
  <c r="C222" i="5"/>
  <c r="H222" i="5"/>
  <c r="M221" i="5"/>
  <c r="B221" i="5"/>
  <c r="J221" i="5"/>
  <c r="Q221" i="5"/>
  <c r="O221" i="5"/>
  <c r="I221" i="5"/>
  <c r="D221" i="5"/>
  <c r="F221" i="5"/>
  <c r="K221" i="5"/>
  <c r="R221" i="5"/>
  <c r="L221" i="5"/>
  <c r="C221" i="5"/>
  <c r="E221" i="5"/>
  <c r="G221" i="5"/>
  <c r="H221" i="5"/>
  <c r="S221" i="5"/>
  <c r="P221" i="5"/>
  <c r="N221" i="5"/>
  <c r="B220" i="5"/>
  <c r="G220" i="5"/>
  <c r="S220" i="5"/>
  <c r="O220" i="5"/>
  <c r="K220" i="5"/>
  <c r="E220" i="5"/>
  <c r="C220" i="5"/>
  <c r="I220" i="5"/>
  <c r="M220" i="5"/>
  <c r="R220" i="5"/>
  <c r="Q220" i="5"/>
  <c r="P220" i="5"/>
  <c r="N220" i="5"/>
  <c r="L220" i="5"/>
  <c r="J220" i="5"/>
  <c r="H220" i="5"/>
  <c r="F220" i="5"/>
  <c r="D220" i="5"/>
  <c r="R219" i="5"/>
  <c r="B219" i="5"/>
  <c r="J219" i="5"/>
  <c r="E219" i="5"/>
  <c r="C219" i="5"/>
  <c r="F219" i="5"/>
  <c r="G219" i="5"/>
  <c r="I219" i="5"/>
  <c r="K219" i="5"/>
  <c r="Q219" i="5"/>
  <c r="M219" i="5"/>
  <c r="O219" i="5"/>
  <c r="P219" i="5"/>
  <c r="S219" i="5"/>
  <c r="D219" i="5"/>
  <c r="H219" i="5"/>
  <c r="L219" i="5"/>
  <c r="N219" i="5"/>
  <c r="N218" i="5"/>
  <c r="K218" i="5"/>
  <c r="G218" i="5"/>
  <c r="E218" i="5"/>
  <c r="P218" i="5"/>
  <c r="R218" i="5"/>
  <c r="B218" i="5"/>
  <c r="J218" i="5"/>
  <c r="F218" i="5"/>
  <c r="S218" i="5"/>
  <c r="Q218" i="5"/>
  <c r="L218" i="5"/>
  <c r="I218" i="5"/>
  <c r="M218" i="5"/>
  <c r="H218" i="5"/>
  <c r="C218" i="5"/>
  <c r="D218" i="5"/>
  <c r="O218" i="5"/>
  <c r="Q217" i="5"/>
  <c r="K217" i="5"/>
  <c r="M217" i="5"/>
  <c r="C217" i="5"/>
  <c r="G217" i="5"/>
  <c r="P217" i="5"/>
  <c r="J217" i="5"/>
  <c r="O217" i="5"/>
  <c r="N217" i="5"/>
  <c r="L217" i="5"/>
  <c r="I217" i="5"/>
  <c r="E217" i="5"/>
  <c r="S217" i="5"/>
  <c r="R217" i="5"/>
  <c r="B217" i="5"/>
  <c r="D217" i="5"/>
  <c r="F217" i="5"/>
  <c r="H217" i="5"/>
  <c r="P216" i="5"/>
  <c r="M216" i="5"/>
  <c r="J216" i="5"/>
  <c r="H216" i="5"/>
  <c r="E216" i="5"/>
  <c r="G216" i="5"/>
  <c r="S216" i="5"/>
  <c r="I216" i="5"/>
  <c r="R216" i="5"/>
  <c r="O216" i="5"/>
  <c r="N216" i="5"/>
  <c r="D216" i="5"/>
  <c r="C216" i="5"/>
  <c r="K216" i="5"/>
  <c r="B216" i="5"/>
  <c r="F216" i="5"/>
  <c r="L216" i="5"/>
  <c r="Q216" i="5"/>
  <c r="N215" i="5"/>
  <c r="R215" i="5"/>
  <c r="S215" i="5"/>
  <c r="Q215" i="5"/>
  <c r="O215" i="5"/>
  <c r="M215" i="5"/>
  <c r="J215" i="5"/>
  <c r="H215" i="5"/>
  <c r="G215" i="5"/>
  <c r="C215" i="5"/>
  <c r="B215" i="5"/>
  <c r="F215" i="5"/>
  <c r="P215" i="5"/>
  <c r="K215" i="5"/>
  <c r="D215" i="5"/>
  <c r="L215" i="5"/>
  <c r="I215" i="5"/>
  <c r="E215" i="5"/>
  <c r="R214" i="5"/>
  <c r="D214" i="5"/>
  <c r="B214" i="5"/>
  <c r="E214" i="5"/>
  <c r="J214" i="5"/>
  <c r="O214" i="5"/>
  <c r="H214" i="5"/>
  <c r="P214" i="5"/>
  <c r="N214" i="5"/>
  <c r="M214" i="5"/>
  <c r="K214" i="5"/>
  <c r="I214" i="5"/>
  <c r="Q214" i="5"/>
  <c r="F214" i="5"/>
  <c r="C214" i="5"/>
  <c r="G214" i="5"/>
  <c r="L214" i="5"/>
  <c r="S214" i="5"/>
  <c r="R213" i="5"/>
  <c r="O213" i="5"/>
  <c r="N213" i="5"/>
  <c r="M213" i="5"/>
  <c r="L213" i="5"/>
  <c r="J213" i="5"/>
  <c r="I213" i="5"/>
  <c r="H213" i="5"/>
  <c r="F213" i="5"/>
  <c r="E213" i="5"/>
  <c r="D213" i="5"/>
  <c r="C213" i="5"/>
  <c r="B213" i="5"/>
  <c r="P213" i="5"/>
  <c r="K213" i="5"/>
  <c r="Q213" i="5"/>
  <c r="G213" i="5"/>
  <c r="S213" i="5"/>
  <c r="K212" i="5"/>
  <c r="J212" i="5"/>
  <c r="E212" i="5"/>
  <c r="F212" i="5"/>
  <c r="Q212" i="5"/>
  <c r="L212" i="5"/>
  <c r="O212" i="5"/>
  <c r="C212" i="5"/>
  <c r="G212" i="5"/>
  <c r="D212" i="5"/>
  <c r="H212" i="5"/>
  <c r="P212" i="5"/>
  <c r="N212" i="5"/>
  <c r="I212" i="5"/>
  <c r="R212" i="5"/>
  <c r="S212" i="5"/>
  <c r="M212" i="5"/>
  <c r="O211" i="5"/>
  <c r="Q211" i="5"/>
  <c r="B211" i="5"/>
  <c r="C211" i="5"/>
  <c r="D211" i="5"/>
  <c r="F211" i="5"/>
  <c r="H211" i="5"/>
  <c r="P211" i="5"/>
  <c r="R211" i="5"/>
  <c r="J211" i="5"/>
  <c r="G211" i="5"/>
  <c r="E211" i="5"/>
  <c r="S211" i="5"/>
  <c r="I211" i="5"/>
  <c r="K211" i="5"/>
  <c r="L211" i="5"/>
  <c r="M211" i="5"/>
  <c r="N211" i="5"/>
  <c r="Q210" i="5"/>
  <c r="L210" i="5"/>
  <c r="N210" i="5"/>
  <c r="P210" i="5"/>
  <c r="R210" i="5"/>
  <c r="O210" i="5"/>
  <c r="B210" i="5"/>
  <c r="K210" i="5"/>
  <c r="H210" i="5"/>
  <c r="M210" i="5"/>
  <c r="F210" i="5"/>
  <c r="D210" i="5"/>
  <c r="S210" i="5"/>
  <c r="I210" i="5"/>
  <c r="C210" i="5"/>
  <c r="E210" i="5"/>
  <c r="G210" i="5"/>
  <c r="J210" i="5"/>
  <c r="J209" i="5"/>
  <c r="R209" i="5"/>
  <c r="F209" i="5"/>
  <c r="S209" i="5"/>
  <c r="N209" i="5"/>
  <c r="K209" i="5"/>
  <c r="G209" i="5"/>
  <c r="B209" i="5"/>
  <c r="O209" i="5"/>
  <c r="Q209" i="5"/>
  <c r="P209" i="5"/>
  <c r="D209" i="5"/>
  <c r="E209" i="5"/>
  <c r="M209" i="5"/>
  <c r="L209" i="5"/>
  <c r="H209" i="5"/>
  <c r="I209" i="5"/>
  <c r="C209" i="5"/>
  <c r="L208" i="5"/>
  <c r="K208" i="5"/>
  <c r="N208" i="5"/>
  <c r="P208" i="5"/>
  <c r="S208" i="5"/>
  <c r="G208" i="5"/>
  <c r="H208" i="5"/>
  <c r="E208" i="5"/>
  <c r="J208" i="5"/>
  <c r="M208" i="5"/>
  <c r="O208" i="5"/>
  <c r="Q208" i="5"/>
  <c r="B208" i="5"/>
  <c r="C208" i="5"/>
  <c r="D208" i="5"/>
  <c r="R208" i="5"/>
  <c r="F208" i="5"/>
  <c r="I208" i="5"/>
  <c r="F207" i="5"/>
  <c r="J207" i="5"/>
  <c r="K207" i="5"/>
  <c r="N207" i="5"/>
  <c r="O207" i="5"/>
  <c r="R207" i="5"/>
  <c r="S207" i="5"/>
  <c r="H207" i="5"/>
  <c r="G207" i="5"/>
  <c r="P207" i="5"/>
  <c r="L207" i="5"/>
  <c r="I207" i="5"/>
  <c r="D207" i="5"/>
  <c r="B207" i="5"/>
  <c r="E207" i="5"/>
  <c r="M207" i="5"/>
  <c r="Q207" i="5"/>
  <c r="C207" i="5"/>
  <c r="F206" i="5"/>
  <c r="Q206" i="5"/>
  <c r="R206" i="5"/>
  <c r="O206" i="5"/>
  <c r="K206" i="5"/>
  <c r="I206" i="5"/>
  <c r="S206" i="5"/>
  <c r="C206" i="5"/>
  <c r="D206" i="5"/>
  <c r="G206" i="5"/>
  <c r="L206" i="5"/>
  <c r="P206" i="5"/>
  <c r="J206" i="5"/>
  <c r="H206" i="5"/>
  <c r="E206" i="5"/>
  <c r="B206" i="5"/>
  <c r="M206" i="5"/>
  <c r="N206" i="5"/>
  <c r="S205" i="5"/>
  <c r="Q205" i="5"/>
  <c r="E205" i="5"/>
  <c r="M205" i="5"/>
  <c r="I205" i="5"/>
  <c r="K205" i="5"/>
  <c r="O205" i="5"/>
  <c r="R205" i="5"/>
  <c r="H205" i="5"/>
  <c r="C205" i="5"/>
  <c r="B205" i="5"/>
  <c r="D205" i="5"/>
  <c r="F205" i="5"/>
  <c r="G205" i="5"/>
  <c r="J205" i="5"/>
  <c r="L205" i="5"/>
  <c r="N205" i="5"/>
  <c r="P205" i="5"/>
  <c r="M204" i="5"/>
  <c r="N204" i="5"/>
  <c r="P204" i="5"/>
  <c r="R204" i="5"/>
  <c r="B204" i="5"/>
  <c r="D204" i="5"/>
  <c r="S204" i="5"/>
  <c r="E204" i="5"/>
  <c r="C204" i="5"/>
  <c r="F204" i="5"/>
  <c r="H204" i="5"/>
  <c r="J204" i="5"/>
  <c r="K204" i="5"/>
  <c r="G204" i="5"/>
  <c r="L204" i="5"/>
  <c r="Q204" i="5"/>
  <c r="I204" i="5"/>
  <c r="O204" i="5"/>
  <c r="F203" i="5"/>
  <c r="B203" i="5"/>
  <c r="H203" i="5"/>
  <c r="P203" i="5"/>
  <c r="C203" i="5"/>
  <c r="D203" i="5"/>
  <c r="E203" i="5"/>
  <c r="G203" i="5"/>
  <c r="I203" i="5"/>
  <c r="K203" i="5"/>
  <c r="M203" i="5"/>
  <c r="O203" i="5"/>
  <c r="R203" i="5"/>
  <c r="S203" i="5"/>
  <c r="Q203" i="5"/>
  <c r="N203" i="5"/>
  <c r="L203" i="5"/>
  <c r="J203" i="5"/>
  <c r="O202" i="5"/>
  <c r="R202" i="5"/>
  <c r="N202" i="5"/>
  <c r="L202" i="5"/>
  <c r="H202" i="5"/>
  <c r="D202" i="5"/>
  <c r="E202" i="5"/>
  <c r="C202" i="5"/>
  <c r="J202" i="5"/>
  <c r="P202" i="5"/>
  <c r="B202" i="5"/>
  <c r="S202" i="5"/>
  <c r="F202" i="5"/>
  <c r="G202" i="5"/>
  <c r="I202" i="5"/>
  <c r="Q202" i="5"/>
  <c r="K202" i="5"/>
  <c r="M202" i="5"/>
  <c r="F201" i="5"/>
  <c r="D201" i="5"/>
  <c r="E201" i="5"/>
  <c r="M201" i="5"/>
  <c r="R201" i="5"/>
  <c r="K201" i="5"/>
  <c r="L201" i="5"/>
  <c r="Q201" i="5"/>
  <c r="O201" i="5"/>
  <c r="B201" i="5"/>
  <c r="I201" i="5"/>
  <c r="H201" i="5"/>
  <c r="G201" i="5"/>
  <c r="C201" i="5"/>
  <c r="P201" i="5"/>
  <c r="N201" i="5"/>
  <c r="J201" i="5"/>
  <c r="S201" i="5"/>
  <c r="J200" i="5"/>
  <c r="H200" i="5"/>
  <c r="B200" i="5"/>
  <c r="D200" i="5"/>
  <c r="S200" i="5"/>
  <c r="O200" i="5"/>
  <c r="L200" i="5"/>
  <c r="I200" i="5"/>
  <c r="C200" i="5"/>
  <c r="E200" i="5"/>
  <c r="R200" i="5"/>
  <c r="Q200" i="5"/>
  <c r="N200" i="5"/>
  <c r="K200" i="5"/>
  <c r="G200" i="5"/>
  <c r="F200" i="5"/>
  <c r="P200" i="5"/>
  <c r="M200" i="5"/>
  <c r="Q199" i="5"/>
  <c r="J199" i="5"/>
  <c r="K199" i="5"/>
  <c r="D199" i="5"/>
  <c r="L199" i="5"/>
  <c r="C199" i="5"/>
  <c r="I199" i="5"/>
  <c r="H199" i="5"/>
  <c r="N199" i="5"/>
  <c r="B199" i="5"/>
  <c r="S199" i="5"/>
  <c r="M199" i="5"/>
  <c r="F199" i="5"/>
  <c r="R199" i="5"/>
  <c r="P199" i="5"/>
  <c r="O199" i="5"/>
  <c r="E199" i="5"/>
  <c r="G199" i="5"/>
  <c r="R198" i="5"/>
  <c r="S198" i="5"/>
  <c r="P198" i="5"/>
  <c r="J198" i="5"/>
  <c r="F198" i="5"/>
  <c r="D198" i="5"/>
  <c r="H198" i="5"/>
  <c r="L198" i="5"/>
  <c r="B198" i="5"/>
  <c r="C198" i="5"/>
  <c r="E198" i="5"/>
  <c r="G198" i="5"/>
  <c r="I198" i="5"/>
  <c r="K198" i="5"/>
  <c r="M198" i="5"/>
  <c r="N198" i="5"/>
  <c r="O198" i="5"/>
  <c r="Q198" i="5"/>
  <c r="D197" i="5"/>
  <c r="F197" i="5"/>
  <c r="J197" i="5"/>
  <c r="M197" i="5"/>
  <c r="Q197" i="5"/>
  <c r="R197" i="5"/>
  <c r="P197" i="5"/>
  <c r="O197" i="5"/>
  <c r="N197" i="5"/>
  <c r="L197" i="5"/>
  <c r="K197" i="5"/>
  <c r="I197" i="5"/>
  <c r="H197" i="5"/>
  <c r="C197" i="5"/>
  <c r="E197" i="5"/>
  <c r="G197" i="5"/>
  <c r="B197" i="5"/>
  <c r="S197" i="5"/>
  <c r="Q196" i="5"/>
  <c r="G196" i="5"/>
  <c r="J196" i="5"/>
  <c r="M196" i="5"/>
  <c r="F196" i="5"/>
  <c r="B196" i="5"/>
  <c r="P196" i="5"/>
  <c r="S196" i="5"/>
  <c r="O196" i="5"/>
  <c r="H196" i="5"/>
  <c r="R196" i="5"/>
  <c r="N196" i="5"/>
  <c r="L196" i="5"/>
  <c r="K196" i="5"/>
  <c r="I196" i="5"/>
  <c r="E196" i="5"/>
  <c r="C196" i="5"/>
  <c r="D196" i="5"/>
  <c r="L195" i="5"/>
  <c r="F195" i="5"/>
  <c r="S195" i="5"/>
  <c r="R195" i="5"/>
  <c r="P195" i="5"/>
  <c r="N195" i="5"/>
  <c r="M195" i="5"/>
  <c r="K195" i="5"/>
  <c r="J195" i="5"/>
  <c r="Q195" i="5"/>
  <c r="O195" i="5"/>
  <c r="I195" i="5"/>
  <c r="G195" i="5"/>
  <c r="E195" i="5"/>
  <c r="D195" i="5"/>
  <c r="C195" i="5"/>
  <c r="B195" i="5"/>
  <c r="H195" i="5"/>
  <c r="G194" i="5"/>
  <c r="H194" i="5"/>
  <c r="I194" i="5"/>
  <c r="K194" i="5"/>
  <c r="O194" i="5"/>
  <c r="R194" i="5"/>
  <c r="J194" i="5"/>
  <c r="S194" i="5"/>
  <c r="D194" i="5"/>
  <c r="E194" i="5"/>
  <c r="B194" i="5"/>
  <c r="C194" i="5"/>
  <c r="F194" i="5"/>
  <c r="L194" i="5"/>
  <c r="Q194" i="5"/>
  <c r="N194" i="5"/>
  <c r="P194" i="5"/>
  <c r="M194" i="5"/>
  <c r="O193" i="5"/>
  <c r="L193" i="5"/>
  <c r="I193" i="5"/>
  <c r="F193" i="5"/>
  <c r="N193" i="5"/>
  <c r="D193" i="5"/>
  <c r="G193" i="5"/>
  <c r="C193" i="5"/>
  <c r="B193" i="5"/>
  <c r="E193" i="5"/>
  <c r="H193" i="5"/>
  <c r="J193" i="5"/>
  <c r="K193" i="5"/>
  <c r="M193" i="5"/>
  <c r="P193" i="5"/>
  <c r="R193" i="5"/>
  <c r="S193" i="5"/>
  <c r="Q193" i="5"/>
  <c r="F192" i="5"/>
  <c r="H192" i="5"/>
  <c r="N192" i="5"/>
  <c r="B192" i="5"/>
  <c r="P192" i="5"/>
  <c r="R192" i="5"/>
  <c r="M192" i="5"/>
  <c r="L192" i="5"/>
  <c r="J192" i="5"/>
  <c r="I192" i="5"/>
  <c r="G192" i="5"/>
  <c r="Q192" i="5"/>
  <c r="K192" i="5"/>
  <c r="S192" i="5"/>
  <c r="O192" i="5"/>
  <c r="E192" i="5"/>
  <c r="D192" i="5"/>
  <c r="C192" i="5"/>
  <c r="I191" i="5"/>
  <c r="J191" i="5"/>
  <c r="L191" i="5"/>
  <c r="M191" i="5"/>
  <c r="N191" i="5"/>
  <c r="O191" i="5"/>
  <c r="K191" i="5"/>
  <c r="P191" i="5"/>
  <c r="Q191" i="5"/>
  <c r="R191" i="5"/>
  <c r="S191" i="5"/>
  <c r="D191" i="5"/>
  <c r="H191" i="5"/>
  <c r="C191" i="5"/>
  <c r="E191" i="5"/>
  <c r="F191" i="5"/>
  <c r="G191" i="5"/>
  <c r="J190" i="5"/>
  <c r="F190" i="5"/>
  <c r="D190" i="5"/>
  <c r="G190" i="5"/>
  <c r="K190" i="5"/>
  <c r="E190" i="5"/>
  <c r="O190" i="5"/>
  <c r="R190" i="5"/>
  <c r="Q190" i="5"/>
  <c r="C190" i="5"/>
  <c r="P190" i="5"/>
  <c r="N190" i="5"/>
  <c r="M190" i="5"/>
  <c r="L190" i="5"/>
  <c r="S190" i="5"/>
  <c r="B190" i="5"/>
  <c r="I190" i="5"/>
  <c r="H190" i="5"/>
  <c r="K189" i="5"/>
  <c r="H189" i="5"/>
  <c r="S189" i="5"/>
  <c r="Q189" i="5"/>
  <c r="J189" i="5"/>
  <c r="R189" i="5"/>
  <c r="P189" i="5"/>
  <c r="M189" i="5"/>
  <c r="L189" i="5"/>
  <c r="G189" i="5"/>
  <c r="E189" i="5"/>
  <c r="C189" i="5"/>
  <c r="I189" i="5"/>
  <c r="F189" i="5"/>
  <c r="D189" i="5"/>
  <c r="B189" i="5"/>
  <c r="N189" i="5"/>
  <c r="O189" i="5"/>
  <c r="E188" i="5"/>
  <c r="O188" i="5"/>
  <c r="S188" i="5"/>
  <c r="M188" i="5"/>
  <c r="B188" i="5"/>
  <c r="D188" i="5"/>
  <c r="R188" i="5"/>
  <c r="H188" i="5"/>
  <c r="Q188" i="5"/>
  <c r="P188" i="5"/>
  <c r="J188" i="5"/>
  <c r="K188" i="5"/>
  <c r="I188" i="5"/>
  <c r="L188" i="5"/>
  <c r="F188" i="5"/>
  <c r="N188" i="5"/>
  <c r="G188" i="5"/>
  <c r="C188" i="5"/>
  <c r="E187" i="5"/>
  <c r="H187" i="5"/>
  <c r="I187" i="5"/>
  <c r="J187" i="5"/>
  <c r="L187" i="5"/>
  <c r="M187" i="5"/>
  <c r="N187" i="5"/>
  <c r="P187" i="5"/>
  <c r="S187" i="5"/>
  <c r="C187" i="5"/>
  <c r="B187" i="5"/>
  <c r="Q187" i="5"/>
  <c r="G187" i="5"/>
  <c r="R187" i="5"/>
  <c r="O187" i="5"/>
  <c r="K187" i="5"/>
  <c r="F187" i="5"/>
  <c r="D187" i="5"/>
  <c r="R186" i="5"/>
  <c r="M186" i="5"/>
  <c r="J186" i="5"/>
  <c r="F186" i="5"/>
  <c r="I186" i="5"/>
  <c r="B186" i="5"/>
  <c r="D186" i="5"/>
  <c r="N186" i="5"/>
  <c r="P186" i="5"/>
  <c r="Q186" i="5"/>
  <c r="C186" i="5"/>
  <c r="L186" i="5"/>
  <c r="H186" i="5"/>
  <c r="S186" i="5"/>
  <c r="O186" i="5"/>
  <c r="K186" i="5"/>
  <c r="G186" i="5"/>
  <c r="E186" i="5"/>
  <c r="P185" i="5"/>
  <c r="S185" i="5"/>
  <c r="C185" i="5"/>
  <c r="R185" i="5"/>
  <c r="Q185" i="5"/>
  <c r="M185" i="5"/>
  <c r="N185" i="5"/>
  <c r="B185" i="5"/>
  <c r="E185" i="5"/>
  <c r="H185" i="5"/>
  <c r="I185" i="5"/>
  <c r="D185" i="5"/>
  <c r="F185" i="5"/>
  <c r="K185" i="5"/>
  <c r="L185" i="5"/>
  <c r="O185" i="5"/>
  <c r="G185" i="5"/>
  <c r="J185" i="5"/>
  <c r="B184" i="5"/>
  <c r="C184" i="5"/>
  <c r="D184" i="5"/>
  <c r="E184" i="5"/>
  <c r="C183" i="5"/>
  <c r="E183" i="5" s="1"/>
  <c r="B183" i="5"/>
  <c r="O183" i="5"/>
  <c r="D183" i="5"/>
  <c r="B182" i="5"/>
  <c r="D182" i="5"/>
  <c r="O182" i="5"/>
  <c r="Q182" i="5"/>
  <c r="C182" i="5"/>
  <c r="E182" i="5" s="1"/>
  <c r="C181" i="5"/>
  <c r="D181" i="5"/>
  <c r="E181" i="5"/>
  <c r="B180" i="5"/>
  <c r="D180" i="5"/>
  <c r="C180" i="5"/>
  <c r="E180" i="5" s="1"/>
  <c r="B179" i="5"/>
  <c r="D179" i="5"/>
  <c r="C179" i="5"/>
  <c r="E179" i="5" s="1"/>
  <c r="L179" i="5"/>
  <c r="C178" i="5"/>
  <c r="E178" i="5" s="1"/>
  <c r="D178" i="5"/>
  <c r="B178" i="5"/>
  <c r="Q178" i="5"/>
  <c r="C177" i="5"/>
  <c r="B177" i="5"/>
  <c r="E177" i="5"/>
  <c r="D177" i="5"/>
  <c r="B176" i="5"/>
  <c r="C176" i="5"/>
  <c r="E176" i="5" s="1"/>
  <c r="D176" i="5"/>
  <c r="L176" i="5"/>
  <c r="C175" i="5"/>
  <c r="B175" i="5"/>
  <c r="D175" i="5"/>
  <c r="Q175" i="5"/>
  <c r="E175" i="5"/>
  <c r="C174" i="5"/>
  <c r="E174" i="5" s="1"/>
  <c r="L174" i="5"/>
  <c r="D174" i="5"/>
  <c r="Q174" i="5" s="1"/>
  <c r="O174" i="5"/>
  <c r="C173" i="5"/>
  <c r="B173" i="5"/>
  <c r="D173" i="5"/>
  <c r="Q173" i="5"/>
  <c r="E173" i="5"/>
  <c r="B172" i="5"/>
  <c r="D172" i="5"/>
  <c r="C172" i="5"/>
  <c r="E172" i="5"/>
  <c r="C93" i="2" s="1"/>
  <c r="C171" i="5"/>
  <c r="E171" i="5" s="1"/>
  <c r="B171" i="5"/>
  <c r="D171" i="5"/>
  <c r="O171" i="5"/>
  <c r="C170" i="5"/>
  <c r="E170" i="5"/>
  <c r="B170" i="5"/>
  <c r="D170" i="5"/>
  <c r="D169" i="5"/>
  <c r="C169" i="5"/>
  <c r="E169" i="5"/>
  <c r="Q169" i="5"/>
  <c r="B169" i="5"/>
  <c r="D168" i="5"/>
  <c r="B168" i="5"/>
  <c r="O168" i="5"/>
  <c r="C168" i="5"/>
  <c r="E168" i="5" s="1"/>
  <c r="L168" i="5"/>
  <c r="B167" i="5"/>
  <c r="E167" i="5"/>
  <c r="C167" i="5"/>
  <c r="D167" i="5"/>
  <c r="L167" i="5"/>
  <c r="C166" i="5"/>
  <c r="E166" i="5" s="1"/>
  <c r="B166" i="5"/>
  <c r="D166" i="5"/>
  <c r="B165" i="5"/>
  <c r="D165" i="5"/>
  <c r="C165" i="5"/>
  <c r="E165" i="5" s="1"/>
  <c r="B164" i="5"/>
  <c r="D164" i="5"/>
  <c r="Q164" i="5"/>
  <c r="C164" i="5"/>
  <c r="E164" i="5" s="1"/>
  <c r="B163" i="5"/>
  <c r="C163" i="5"/>
  <c r="E163" i="5" s="1"/>
  <c r="D163" i="5"/>
  <c r="B162" i="5"/>
  <c r="D162" i="5"/>
  <c r="O162" i="5"/>
  <c r="Q162" i="5"/>
  <c r="C162" i="5"/>
  <c r="L162" i="5"/>
  <c r="E162" i="5"/>
  <c r="C161" i="5"/>
  <c r="D161" i="5"/>
  <c r="L161" i="5"/>
  <c r="B161" i="5"/>
  <c r="Q161" i="5"/>
  <c r="E161" i="5"/>
  <c r="O161" i="5"/>
  <c r="P161" i="5" s="1"/>
  <c r="P162" i="5" s="1"/>
  <c r="B160" i="5"/>
  <c r="C160" i="5"/>
  <c r="E160" i="5"/>
  <c r="D160" i="5"/>
  <c r="D159" i="5"/>
  <c r="L159" i="5"/>
  <c r="O159" i="5"/>
  <c r="B159" i="5"/>
  <c r="Q159" i="5"/>
  <c r="C159" i="5"/>
  <c r="E159" i="5" s="1"/>
  <c r="B158" i="5"/>
  <c r="C158" i="5"/>
  <c r="E158" i="5"/>
  <c r="D158" i="5"/>
  <c r="Q158" i="5"/>
  <c r="L158" i="5"/>
  <c r="B157" i="5"/>
  <c r="D157" i="5"/>
  <c r="C157" i="5"/>
  <c r="E157" i="5" s="1"/>
  <c r="D156" i="5"/>
  <c r="B156" i="5"/>
  <c r="C156" i="5"/>
  <c r="E156" i="5" s="1"/>
  <c r="D155" i="5"/>
  <c r="C155" i="5"/>
  <c r="E155" i="5" s="1"/>
  <c r="B155" i="5"/>
  <c r="O155" i="5"/>
  <c r="L155" i="5"/>
  <c r="B154" i="5"/>
  <c r="D154" i="5"/>
  <c r="C154" i="5"/>
  <c r="E154" i="5" s="1"/>
  <c r="Q154" i="5"/>
  <c r="D153" i="5"/>
  <c r="L153" i="5"/>
  <c r="B153" i="5"/>
  <c r="C153" i="5"/>
  <c r="E153" i="5" s="1"/>
  <c r="Q153" i="5"/>
  <c r="O153" i="5"/>
  <c r="D152" i="5"/>
  <c r="B152" i="5"/>
  <c r="Q152" i="5"/>
  <c r="C152" i="5"/>
  <c r="E152" i="5" s="1"/>
  <c r="C151" i="5"/>
  <c r="E151" i="5" s="1"/>
  <c r="D151" i="5"/>
  <c r="B151" i="5"/>
  <c r="C150" i="5"/>
  <c r="E150" i="5" s="1"/>
  <c r="B150" i="5"/>
  <c r="D150" i="5"/>
  <c r="L150" i="5"/>
  <c r="C149" i="5"/>
  <c r="E149" i="5"/>
  <c r="D149" i="5"/>
  <c r="Q149" i="5"/>
  <c r="L149" i="5"/>
  <c r="B149" i="5"/>
  <c r="O149" i="5"/>
  <c r="P149" i="5" s="1"/>
  <c r="C148" i="5"/>
  <c r="E148" i="5" s="1"/>
  <c r="C91" i="2" s="1"/>
  <c r="D148" i="5"/>
  <c r="B148" i="5"/>
  <c r="C147" i="5"/>
  <c r="E147" i="5" s="1"/>
  <c r="D147" i="5"/>
  <c r="B147" i="5"/>
  <c r="D146" i="5"/>
  <c r="B146" i="5"/>
  <c r="C146" i="5"/>
  <c r="E146" i="5" s="1"/>
  <c r="C145" i="5"/>
  <c r="E145" i="5" s="1"/>
  <c r="B145" i="5"/>
  <c r="D145" i="5"/>
  <c r="C144" i="5"/>
  <c r="E144" i="5" s="1"/>
  <c r="D144" i="5"/>
  <c r="C143" i="5"/>
  <c r="E143" i="5" s="1"/>
  <c r="B143" i="5"/>
  <c r="D143" i="5"/>
  <c r="C142" i="5"/>
  <c r="E142" i="5" s="1"/>
  <c r="B142" i="5"/>
  <c r="D142" i="5"/>
  <c r="C141" i="5"/>
  <c r="E141" i="5" s="1"/>
  <c r="B141" i="5"/>
  <c r="D141" i="5"/>
  <c r="B140" i="5"/>
  <c r="C140" i="5"/>
  <c r="D140" i="5"/>
  <c r="E140" i="5"/>
  <c r="L140" i="5"/>
  <c r="O140" i="5"/>
  <c r="C139" i="5"/>
  <c r="E139" i="5" s="1"/>
  <c r="B139" i="5"/>
  <c r="D139" i="5"/>
  <c r="Q139" i="5" s="1"/>
  <c r="D138" i="5"/>
  <c r="C138" i="5"/>
  <c r="E138" i="5" s="1"/>
  <c r="B138" i="5"/>
  <c r="Q138" i="5"/>
  <c r="O138" i="5"/>
  <c r="L138" i="5"/>
  <c r="B137" i="5"/>
  <c r="E137" i="5"/>
  <c r="D137" i="5"/>
  <c r="L137" i="5"/>
  <c r="D136" i="5"/>
  <c r="B136" i="5"/>
  <c r="C136" i="5"/>
  <c r="E136" i="5" s="1"/>
  <c r="C90" i="2" s="1"/>
  <c r="B135" i="5"/>
  <c r="D135" i="5"/>
  <c r="E135" i="5"/>
  <c r="D134" i="5"/>
  <c r="C134" i="5"/>
  <c r="E134" i="5" s="1"/>
  <c r="B134" i="5"/>
  <c r="O134" i="5"/>
  <c r="D133" i="5"/>
  <c r="C133" i="5"/>
  <c r="E133" i="5" s="1"/>
  <c r="B133" i="5"/>
  <c r="Q133" i="5"/>
  <c r="D132" i="5"/>
  <c r="Q132" i="5" s="1"/>
  <c r="B132" i="5"/>
  <c r="C132" i="5"/>
  <c r="E132" i="5" s="1"/>
  <c r="O132" i="5"/>
  <c r="B131" i="5"/>
  <c r="D131" i="5"/>
  <c r="C131" i="5"/>
  <c r="L131" i="5"/>
  <c r="E131" i="5"/>
  <c r="Q131" i="5"/>
  <c r="D130" i="5"/>
  <c r="C130" i="5"/>
  <c r="E130" i="5"/>
  <c r="B130" i="5"/>
  <c r="C129" i="5"/>
  <c r="B129" i="5"/>
  <c r="E129" i="5"/>
  <c r="D129" i="5"/>
  <c r="B128" i="5"/>
  <c r="D128" i="5"/>
  <c r="C128" i="5"/>
  <c r="E128" i="5" s="1"/>
  <c r="C127" i="5"/>
  <c r="E127" i="5" s="1"/>
  <c r="D127" i="5"/>
  <c r="B127" i="5"/>
  <c r="C126" i="5"/>
  <c r="E126" i="5" s="1"/>
  <c r="D126" i="5"/>
  <c r="Q126" i="5" s="1"/>
  <c r="B126" i="5"/>
  <c r="C125" i="5"/>
  <c r="E125" i="5" s="1"/>
  <c r="B125" i="5"/>
  <c r="D125" i="5"/>
  <c r="Q125" i="5" s="1"/>
  <c r="C124" i="5"/>
  <c r="E124" i="5" s="1"/>
  <c r="C89" i="2" s="1"/>
  <c r="D124" i="5"/>
  <c r="B124" i="5"/>
  <c r="D123" i="5"/>
  <c r="Q123" i="5" s="1"/>
  <c r="B123" i="5"/>
  <c r="O123" i="5"/>
  <c r="C123" i="5"/>
  <c r="E123" i="5" s="1"/>
  <c r="D122" i="5"/>
  <c r="C122" i="5"/>
  <c r="E122" i="5" s="1"/>
  <c r="B122" i="5"/>
  <c r="B121" i="5"/>
  <c r="D121" i="5"/>
  <c r="C121" i="5"/>
  <c r="E121" i="5" s="1"/>
  <c r="B120" i="5"/>
  <c r="D120" i="5"/>
  <c r="L120" i="5" s="1"/>
  <c r="O120" i="5"/>
  <c r="C120" i="5"/>
  <c r="E120" i="5" s="1"/>
  <c r="Q120" i="5"/>
  <c r="D119" i="5"/>
  <c r="C119" i="5"/>
  <c r="E119" i="5" s="1"/>
  <c r="B119" i="5"/>
  <c r="Q119" i="5"/>
  <c r="D118" i="5"/>
  <c r="Q118" i="5" s="1"/>
  <c r="C118" i="5"/>
  <c r="E118" i="5" s="1"/>
  <c r="B117" i="5"/>
  <c r="D117" i="5"/>
  <c r="C117" i="5"/>
  <c r="E117" i="5" s="1"/>
  <c r="C116" i="5"/>
  <c r="E116" i="5" s="1"/>
  <c r="B116" i="5"/>
  <c r="D116" i="5"/>
  <c r="C115" i="5"/>
  <c r="E115" i="5" s="1"/>
  <c r="B115" i="5"/>
  <c r="D115" i="5"/>
  <c r="D114" i="5"/>
  <c r="B114" i="5"/>
  <c r="C114" i="5"/>
  <c r="E114" i="5" s="1"/>
  <c r="O114" i="5"/>
  <c r="L114" i="5"/>
  <c r="D113" i="5"/>
  <c r="L113" i="5" s="1"/>
  <c r="C113" i="5"/>
  <c r="E113" i="5" s="1"/>
  <c r="Q113" i="5"/>
  <c r="B113" i="5"/>
  <c r="B112" i="5"/>
  <c r="D112" i="5"/>
  <c r="C112" i="5"/>
  <c r="E112" i="5" s="1"/>
  <c r="C88" i="2" s="1"/>
  <c r="C111" i="5"/>
  <c r="E111" i="5" s="1"/>
  <c r="D111" i="5"/>
  <c r="Q111" i="5"/>
  <c r="D110" i="5"/>
  <c r="Q110" i="5" s="1"/>
  <c r="B110" i="5"/>
  <c r="L110" i="5"/>
  <c r="C110" i="5"/>
  <c r="E110" i="5" s="1"/>
  <c r="O110" i="5"/>
  <c r="D109" i="5"/>
  <c r="B109" i="5"/>
  <c r="C109" i="5"/>
  <c r="E109" i="5" s="1"/>
  <c r="D108" i="5"/>
  <c r="B108" i="5"/>
  <c r="L108" i="5"/>
  <c r="O108" i="5"/>
  <c r="Q108" i="5"/>
  <c r="C108" i="5"/>
  <c r="E108" i="5" s="1"/>
  <c r="D107" i="5"/>
  <c r="C107" i="5"/>
  <c r="E107" i="5" s="1"/>
  <c r="B107" i="5"/>
  <c r="B106" i="5"/>
  <c r="C106" i="5"/>
  <c r="E106" i="5" s="1"/>
  <c r="D106" i="5"/>
  <c r="B105" i="5"/>
  <c r="D105" i="5"/>
  <c r="L105" i="5"/>
  <c r="C105" i="5"/>
  <c r="E105" i="5" s="1"/>
  <c r="C104" i="5"/>
  <c r="D104" i="5"/>
  <c r="E104" i="5"/>
  <c r="L104" i="5"/>
  <c r="D103" i="5"/>
  <c r="B103" i="5"/>
  <c r="C103" i="5"/>
  <c r="E103" i="5" s="1"/>
  <c r="Q103" i="5"/>
  <c r="D102" i="5"/>
  <c r="L102" i="5" s="1"/>
  <c r="C102" i="5"/>
  <c r="E102" i="5" s="1"/>
  <c r="B102" i="5"/>
  <c r="Q102" i="5"/>
  <c r="O102" i="5"/>
  <c r="B101" i="5"/>
  <c r="D101" i="5"/>
  <c r="C101" i="5"/>
  <c r="E101" i="5" s="1"/>
  <c r="C100" i="5"/>
  <c r="E100" i="5" s="1"/>
  <c r="C87" i="2" s="1"/>
  <c r="D100" i="5"/>
  <c r="B100" i="5"/>
  <c r="D99" i="5"/>
  <c r="L99" i="5" s="1"/>
  <c r="C99" i="5"/>
  <c r="E99" i="5" s="1"/>
  <c r="B99" i="5"/>
  <c r="O99" i="5"/>
  <c r="Q99" i="5"/>
  <c r="D98" i="5"/>
  <c r="Q98" i="5"/>
  <c r="B98" i="5"/>
  <c r="O98" i="5"/>
  <c r="C98" i="5"/>
  <c r="E98" i="5" s="1"/>
  <c r="D97" i="5"/>
  <c r="C97" i="5"/>
  <c r="E97" i="5" s="1"/>
  <c r="Q97" i="5"/>
  <c r="C96" i="5"/>
  <c r="E96" i="5" s="1"/>
  <c r="B96" i="5"/>
  <c r="D96" i="5"/>
  <c r="Q96" i="5" s="1"/>
  <c r="D95" i="5"/>
  <c r="O95" i="5"/>
  <c r="C95" i="5"/>
  <c r="E95" i="5" s="1"/>
  <c r="B95" i="5"/>
  <c r="L95" i="5"/>
  <c r="Q95" i="5"/>
  <c r="C94" i="5"/>
  <c r="B94" i="5"/>
  <c r="E94" i="5"/>
  <c r="D94" i="5"/>
  <c r="B93" i="5"/>
  <c r="D93" i="5"/>
  <c r="C93" i="5"/>
  <c r="E93" i="5" s="1"/>
  <c r="L93" i="5"/>
  <c r="C92" i="5"/>
  <c r="E92" i="5" s="1"/>
  <c r="D92" i="5"/>
  <c r="Q92" i="5" s="1"/>
  <c r="O92" i="5"/>
  <c r="B92" i="5"/>
  <c r="C91" i="5"/>
  <c r="E91" i="5" s="1"/>
  <c r="D91" i="5"/>
  <c r="Q91" i="5" s="1"/>
  <c r="B91" i="5"/>
  <c r="C90" i="5"/>
  <c r="E90" i="5" s="1"/>
  <c r="D90" i="5"/>
  <c r="Q90" i="5" s="1"/>
  <c r="B90" i="5"/>
  <c r="C89" i="5"/>
  <c r="E89" i="5" s="1"/>
  <c r="D89" i="5"/>
  <c r="D88" i="5"/>
  <c r="C88" i="5"/>
  <c r="E88" i="5" s="1"/>
  <c r="C86" i="2" s="1"/>
  <c r="B87" i="5"/>
  <c r="C87" i="5"/>
  <c r="E87" i="5" s="1"/>
  <c r="D87" i="5"/>
  <c r="Q87" i="5"/>
  <c r="D86" i="5"/>
  <c r="C86" i="5"/>
  <c r="E86" i="5" s="1"/>
  <c r="C85" i="5"/>
  <c r="B85" i="5"/>
  <c r="D85" i="5"/>
  <c r="E85" i="5"/>
  <c r="D84" i="5"/>
  <c r="L84" i="5" s="1"/>
  <c r="C84" i="5"/>
  <c r="E84" i="5" s="1"/>
  <c r="C83" i="5"/>
  <c r="E83" i="5" s="1"/>
  <c r="B83" i="5"/>
  <c r="D83" i="5"/>
  <c r="O83" i="5" s="1"/>
  <c r="L83" i="5"/>
  <c r="D82" i="5"/>
  <c r="Q82" i="5" s="1"/>
  <c r="B82" i="5"/>
  <c r="C82" i="5"/>
  <c r="E82" i="5"/>
  <c r="B81" i="5"/>
  <c r="D81" i="5"/>
  <c r="C81" i="5"/>
  <c r="E81" i="5" s="1"/>
  <c r="D80" i="5"/>
  <c r="B80" i="5"/>
  <c r="C80" i="5"/>
  <c r="E80" i="5" s="1"/>
  <c r="L80" i="5"/>
  <c r="C79" i="5"/>
  <c r="B79" i="5"/>
  <c r="E79" i="5"/>
  <c r="D79" i="5"/>
  <c r="D78" i="5"/>
  <c r="L78" i="5" s="1"/>
  <c r="C78" i="5"/>
  <c r="E78" i="5" s="1"/>
  <c r="B78" i="5"/>
  <c r="D77" i="5"/>
  <c r="B77" i="5"/>
  <c r="L77" i="5"/>
  <c r="C77" i="5"/>
  <c r="E77" i="5" s="1"/>
  <c r="D76" i="5"/>
  <c r="C76" i="5"/>
  <c r="E76" i="5" s="1"/>
  <c r="C85" i="2" s="1"/>
  <c r="D75" i="5"/>
  <c r="O75" i="5"/>
  <c r="C75" i="5"/>
  <c r="E75" i="5" s="1"/>
  <c r="B75" i="5"/>
  <c r="L75" i="5"/>
  <c r="Q75" i="5"/>
  <c r="D74" i="5"/>
  <c r="B74" i="5"/>
  <c r="C74" i="5"/>
  <c r="E74" i="5" s="1"/>
  <c r="Q74" i="5"/>
  <c r="B73" i="5"/>
  <c r="D73" i="5"/>
  <c r="C73" i="5"/>
  <c r="E73" i="5" s="1"/>
  <c r="C72" i="5"/>
  <c r="E72" i="5"/>
  <c r="B72" i="5"/>
  <c r="D72" i="5"/>
  <c r="Q72" i="5"/>
  <c r="O72" i="5"/>
  <c r="L72" i="5"/>
  <c r="D71" i="5"/>
  <c r="O71" i="5" s="1"/>
  <c r="C71" i="5"/>
  <c r="E71" i="5" s="1"/>
  <c r="B71" i="5"/>
  <c r="L71" i="5"/>
  <c r="Q71" i="5"/>
  <c r="D70" i="5"/>
  <c r="Q70" i="5" s="1"/>
  <c r="B70" i="5"/>
  <c r="C70" i="5"/>
  <c r="E70" i="5"/>
  <c r="B69" i="5"/>
  <c r="D69" i="5"/>
  <c r="C69" i="5"/>
  <c r="E69" i="5" s="1"/>
  <c r="C68" i="5"/>
  <c r="E68" i="5" s="1"/>
  <c r="B68" i="5"/>
  <c r="D68" i="5"/>
  <c r="C67" i="5"/>
  <c r="B67" i="5"/>
  <c r="E67" i="5"/>
  <c r="D67" i="5"/>
  <c r="B66" i="5"/>
  <c r="C66" i="5"/>
  <c r="E66" i="5" s="1"/>
  <c r="D66" i="5"/>
  <c r="D65" i="5"/>
  <c r="L65" i="5" s="1"/>
  <c r="E65" i="5"/>
  <c r="O65" i="5"/>
  <c r="P65" i="5" s="1"/>
  <c r="Q65" i="5"/>
  <c r="C64" i="5"/>
  <c r="E64" i="5" s="1"/>
  <c r="C84" i="2" s="1"/>
  <c r="B64" i="5"/>
  <c r="D64" i="5"/>
  <c r="B63" i="5"/>
  <c r="D63" i="5"/>
  <c r="O63" i="5" s="1"/>
  <c r="L63" i="5"/>
  <c r="Q63" i="5"/>
  <c r="C63" i="5"/>
  <c r="E63" i="5" s="1"/>
  <c r="Q62" i="5"/>
  <c r="L62" i="5"/>
  <c r="B62" i="5"/>
  <c r="C62" i="5"/>
  <c r="E62" i="5" s="1"/>
  <c r="O62" i="5"/>
  <c r="D61" i="5"/>
  <c r="C61" i="5"/>
  <c r="E61" i="5" s="1"/>
  <c r="Q61" i="5"/>
  <c r="B61" i="5"/>
  <c r="D60" i="5"/>
  <c r="C60" i="5"/>
  <c r="E60" i="5" s="1"/>
  <c r="Q60" i="5"/>
  <c r="O60" i="5"/>
  <c r="L60" i="5"/>
  <c r="C59" i="5"/>
  <c r="E59" i="5" s="1"/>
  <c r="D59" i="5"/>
  <c r="B59" i="5"/>
  <c r="O59" i="5"/>
  <c r="C58" i="5"/>
  <c r="D58" i="5"/>
  <c r="B58" i="5"/>
  <c r="E58" i="5"/>
  <c r="E57" i="5"/>
  <c r="D57" i="5"/>
  <c r="L57" i="5" s="1"/>
  <c r="O57" i="5"/>
  <c r="Q57" i="5"/>
  <c r="B57" i="5"/>
  <c r="Q56" i="5"/>
  <c r="L56" i="5"/>
  <c r="O56" i="5"/>
  <c r="D55" i="5"/>
  <c r="C55" i="5"/>
  <c r="E55" i="5" s="1"/>
  <c r="B55" i="5"/>
  <c r="B54" i="5"/>
  <c r="C54" i="5"/>
  <c r="E54" i="5" s="1"/>
  <c r="D54" i="5"/>
  <c r="B53" i="5"/>
  <c r="C53" i="5"/>
  <c r="E53" i="5" s="1"/>
  <c r="D53" i="5"/>
  <c r="D52" i="5"/>
  <c r="C52" i="5"/>
  <c r="E52" i="5" s="1"/>
  <c r="C83" i="2" s="1"/>
  <c r="B52" i="5"/>
  <c r="D51" i="5"/>
  <c r="C51" i="5"/>
  <c r="E51" i="5" s="1"/>
  <c r="B51" i="5"/>
  <c r="Q51" i="5"/>
  <c r="O51" i="5"/>
  <c r="L51" i="5"/>
  <c r="D50" i="5"/>
  <c r="C50" i="5"/>
  <c r="E50" i="5" s="1"/>
  <c r="B50" i="5"/>
  <c r="D49" i="5"/>
  <c r="Q49" i="5" s="1"/>
  <c r="C49" i="5"/>
  <c r="E49" i="5" s="1"/>
  <c r="B49" i="5"/>
  <c r="D48" i="5"/>
  <c r="B48" i="5"/>
  <c r="C48" i="5"/>
  <c r="E48" i="5" s="1"/>
  <c r="C47" i="5"/>
  <c r="B47" i="5"/>
  <c r="D47" i="5"/>
  <c r="E47" i="5"/>
  <c r="D46" i="5"/>
  <c r="Q46" i="5" s="1"/>
  <c r="C46" i="5"/>
  <c r="E46" i="5" s="1"/>
  <c r="B46" i="5"/>
  <c r="C45" i="5"/>
  <c r="E45" i="5" s="1"/>
  <c r="D45" i="5"/>
  <c r="L45" i="5"/>
  <c r="Q45" i="5"/>
  <c r="O45" i="5"/>
  <c r="B45" i="5"/>
  <c r="D44" i="5"/>
  <c r="C44" i="5"/>
  <c r="B44" i="5"/>
  <c r="L44" i="5"/>
  <c r="Q44" i="5"/>
  <c r="O44" i="5"/>
  <c r="E44" i="5"/>
  <c r="D43" i="5"/>
  <c r="B43" i="5"/>
  <c r="C43" i="5"/>
  <c r="E43" i="5" s="1"/>
  <c r="D42" i="5"/>
  <c r="C42" i="5"/>
  <c r="E42" i="5" s="1"/>
  <c r="L42" i="5"/>
  <c r="B42" i="5"/>
  <c r="O42" i="5"/>
  <c r="Q42" i="5"/>
  <c r="D41" i="5"/>
  <c r="C41" i="5"/>
  <c r="E41" i="5" s="1"/>
  <c r="B41" i="5"/>
  <c r="L41" i="5"/>
  <c r="Q41" i="5"/>
  <c r="O41" i="5"/>
  <c r="P41" i="5" s="1"/>
  <c r="P42" i="5" s="1"/>
  <c r="D40" i="5"/>
  <c r="C40" i="5"/>
  <c r="E40" i="5" s="1"/>
  <c r="C82" i="2" s="1"/>
  <c r="B40" i="5"/>
  <c r="C39" i="5"/>
  <c r="D39" i="5"/>
  <c r="E39" i="5"/>
  <c r="B39" i="5"/>
  <c r="O39" i="5"/>
  <c r="D38" i="5"/>
  <c r="Q38" i="5" s="1"/>
  <c r="C38" i="5"/>
  <c r="E38" i="5" s="1"/>
  <c r="B38" i="5"/>
  <c r="O38" i="5"/>
  <c r="L38" i="5"/>
  <c r="B37" i="5"/>
  <c r="C37" i="5"/>
  <c r="E37" i="5" s="1"/>
  <c r="D37" i="5"/>
  <c r="D36" i="5"/>
  <c r="L36" i="5" s="1"/>
  <c r="B36" i="5"/>
  <c r="O36" i="5"/>
  <c r="C36" i="5"/>
  <c r="E36" i="5" s="1"/>
  <c r="C35" i="5"/>
  <c r="E35" i="5" s="1"/>
  <c r="B35" i="5"/>
  <c r="D35" i="5"/>
  <c r="D34" i="5"/>
  <c r="Q34" i="5" s="1"/>
  <c r="B34" i="5"/>
  <c r="C34" i="5"/>
  <c r="E34" i="5" s="1"/>
  <c r="C33" i="5"/>
  <c r="B33" i="5"/>
  <c r="D33" i="5"/>
  <c r="Q33" i="5" s="1"/>
  <c r="E33" i="5"/>
  <c r="B32" i="5"/>
  <c r="D32" i="5"/>
  <c r="L32" i="5" s="1"/>
  <c r="C32" i="5"/>
  <c r="E32" i="5" s="1"/>
  <c r="B31" i="5"/>
  <c r="C31" i="5"/>
  <c r="E31" i="5" s="1"/>
  <c r="D31" i="5"/>
  <c r="C30" i="5"/>
  <c r="E30" i="5" s="1"/>
  <c r="D30" i="5"/>
  <c r="B30" i="5"/>
  <c r="C29" i="5"/>
  <c r="D29" i="5"/>
  <c r="E29" i="5"/>
  <c r="O29" i="5"/>
  <c r="P29" i="5" s="1"/>
  <c r="Q29" i="5"/>
  <c r="L29" i="5"/>
  <c r="B29" i="5"/>
  <c r="D28" i="5"/>
  <c r="C28" i="5"/>
  <c r="E28" i="5" s="1"/>
  <c r="C81" i="2" s="1"/>
  <c r="B28" i="5"/>
  <c r="D27" i="5"/>
  <c r="C27" i="5"/>
  <c r="E27" i="5" s="1"/>
  <c r="B27" i="5"/>
  <c r="D26" i="5"/>
  <c r="C26" i="5"/>
  <c r="E26" i="5" s="1"/>
  <c r="B26" i="5"/>
  <c r="O26" i="5"/>
  <c r="Q26" i="5"/>
  <c r="L26" i="5"/>
  <c r="C25" i="5"/>
  <c r="E25" i="5" s="1"/>
  <c r="D25" i="5"/>
  <c r="B25" i="5"/>
  <c r="D24" i="5"/>
  <c r="C24" i="5"/>
  <c r="B24" i="5"/>
  <c r="O24" i="5"/>
  <c r="Q24" i="5"/>
  <c r="E24" i="5"/>
  <c r="D23" i="5"/>
  <c r="B23" i="5"/>
  <c r="C23" i="5"/>
  <c r="E23" i="5" s="1"/>
  <c r="B22" i="5"/>
  <c r="C22" i="5"/>
  <c r="D22" i="5"/>
  <c r="E22" i="5"/>
  <c r="D21" i="5"/>
  <c r="B21" i="5"/>
  <c r="C21" i="5"/>
  <c r="E21" i="5" s="1"/>
  <c r="B20" i="5"/>
  <c r="C20" i="5"/>
  <c r="D20" i="5"/>
  <c r="E20" i="5"/>
  <c r="D19" i="5"/>
  <c r="C19" i="5"/>
  <c r="E19" i="5" s="1"/>
  <c r="B19" i="5"/>
  <c r="Q19" i="5"/>
  <c r="B18" i="5"/>
  <c r="C18" i="5"/>
  <c r="E18" i="5" s="1"/>
  <c r="D18" i="5"/>
  <c r="O18" i="5" s="1"/>
  <c r="D17" i="5"/>
  <c r="Q17" i="5" s="1"/>
  <c r="C17" i="5"/>
  <c r="E17" i="5" s="1"/>
  <c r="B17" i="5"/>
  <c r="O17" i="5"/>
  <c r="P17" i="5" s="1"/>
  <c r="L17" i="5"/>
  <c r="B16" i="5"/>
  <c r="C16" i="5"/>
  <c r="E16" i="5" s="1"/>
  <c r="C80" i="2" s="1"/>
  <c r="D16" i="5"/>
  <c r="D15" i="5"/>
  <c r="L15" i="5" s="1"/>
  <c r="B15" i="5"/>
  <c r="C15" i="5"/>
  <c r="E15" i="5" s="1"/>
  <c r="Q15" i="5"/>
  <c r="O15" i="5"/>
  <c r="B14" i="5"/>
  <c r="C14" i="5"/>
  <c r="D14" i="5"/>
  <c r="O14" i="5" s="1"/>
  <c r="E14" i="5"/>
  <c r="D13" i="5"/>
  <c r="C13" i="5"/>
  <c r="E13" i="5" s="1"/>
  <c r="B13" i="5"/>
  <c r="D12" i="5"/>
  <c r="C12" i="5"/>
  <c r="B12" i="5"/>
  <c r="Q12" i="5"/>
  <c r="O12" i="5"/>
  <c r="L12" i="5"/>
  <c r="E12" i="5"/>
  <c r="D11" i="5"/>
  <c r="Q11" i="5" s="1"/>
  <c r="C11" i="5"/>
  <c r="B11" i="5"/>
  <c r="O11" i="5"/>
  <c r="L11" i="5"/>
  <c r="E11" i="5"/>
  <c r="C10" i="5"/>
  <c r="E10" i="5" s="1"/>
  <c r="B10" i="5"/>
  <c r="D10" i="5"/>
  <c r="Q10" i="5" s="1"/>
  <c r="B9" i="5"/>
  <c r="C9" i="5"/>
  <c r="E9" i="5" s="1"/>
  <c r="D9" i="5"/>
  <c r="D8" i="5"/>
  <c r="B8" i="5"/>
  <c r="C8" i="5"/>
  <c r="E8" i="5" s="1"/>
  <c r="Q8" i="5"/>
  <c r="O8" i="5"/>
  <c r="L8" i="5"/>
  <c r="D7" i="5"/>
  <c r="C7" i="5"/>
  <c r="B7" i="5"/>
  <c r="Q7" i="5"/>
  <c r="E7" i="5"/>
  <c r="B6" i="5"/>
  <c r="C6" i="5"/>
  <c r="E6" i="5" s="1"/>
  <c r="D6" i="5"/>
  <c r="L6" i="5" s="1"/>
  <c r="B5" i="5"/>
  <c r="C5" i="5"/>
  <c r="D5" i="5"/>
  <c r="E5" i="5"/>
  <c r="F5" i="5"/>
  <c r="D80" i="2" s="1"/>
  <c r="S364" i="4"/>
  <c r="R364" i="4"/>
  <c r="Q364" i="4"/>
  <c r="P364" i="4"/>
  <c r="O364" i="4"/>
  <c r="N364" i="4"/>
  <c r="M364" i="4"/>
  <c r="L364" i="4"/>
  <c r="K364" i="4"/>
  <c r="J364" i="4"/>
  <c r="I364" i="4"/>
  <c r="H364" i="4"/>
  <c r="G364" i="4"/>
  <c r="F364" i="4"/>
  <c r="E364" i="4"/>
  <c r="D364" i="4"/>
  <c r="C364" i="4"/>
  <c r="B364" i="4"/>
  <c r="E363" i="4"/>
  <c r="S363" i="4"/>
  <c r="R363" i="4"/>
  <c r="Q363" i="4"/>
  <c r="P363" i="4"/>
  <c r="O363" i="4"/>
  <c r="N363" i="4"/>
  <c r="M363" i="4"/>
  <c r="L363" i="4"/>
  <c r="K363" i="4"/>
  <c r="J363" i="4"/>
  <c r="I363" i="4"/>
  <c r="H363" i="4"/>
  <c r="G363" i="4"/>
  <c r="F363" i="4"/>
  <c r="D363" i="4"/>
  <c r="C363" i="4"/>
  <c r="B363" i="4"/>
  <c r="E362" i="4"/>
  <c r="C362" i="4"/>
  <c r="D362" i="4"/>
  <c r="B362" i="4"/>
  <c r="S362" i="4"/>
  <c r="R362" i="4"/>
  <c r="Q362" i="4"/>
  <c r="P362" i="4"/>
  <c r="O362" i="4"/>
  <c r="N362" i="4"/>
  <c r="M362" i="4"/>
  <c r="L362" i="4"/>
  <c r="K362" i="4"/>
  <c r="J362" i="4"/>
  <c r="I362" i="4"/>
  <c r="H362" i="4"/>
  <c r="G362" i="4"/>
  <c r="F362" i="4"/>
  <c r="Q361" i="4"/>
  <c r="O361" i="4"/>
  <c r="P361" i="4"/>
  <c r="R361" i="4"/>
  <c r="S361" i="4"/>
  <c r="D361" i="4"/>
  <c r="B361" i="4"/>
  <c r="C361" i="4"/>
  <c r="E361" i="4"/>
  <c r="F361" i="4"/>
  <c r="G361" i="4"/>
  <c r="H361" i="4"/>
  <c r="I361" i="4"/>
  <c r="J361" i="4"/>
  <c r="K361" i="4"/>
  <c r="L361" i="4"/>
  <c r="M361" i="4"/>
  <c r="N361" i="4"/>
  <c r="K360" i="4"/>
  <c r="L360" i="4"/>
  <c r="M360" i="4"/>
  <c r="N360" i="4"/>
  <c r="O360" i="4"/>
  <c r="P360" i="4"/>
  <c r="Q360" i="4"/>
  <c r="R360" i="4"/>
  <c r="S360" i="4"/>
  <c r="D360" i="4"/>
  <c r="B360" i="4"/>
  <c r="C360" i="4"/>
  <c r="E360" i="4"/>
  <c r="F360" i="4"/>
  <c r="G360" i="4"/>
  <c r="H360" i="4"/>
  <c r="I360" i="4"/>
  <c r="J360" i="4"/>
  <c r="C359" i="4"/>
  <c r="L359" i="4"/>
  <c r="K359" i="4"/>
  <c r="J359" i="4"/>
  <c r="I359" i="4"/>
  <c r="H359" i="4"/>
  <c r="G359" i="4"/>
  <c r="F359" i="4"/>
  <c r="E359" i="4"/>
  <c r="D359" i="4"/>
  <c r="B359" i="4"/>
  <c r="S359" i="4"/>
  <c r="R359" i="4"/>
  <c r="Q359" i="4"/>
  <c r="P359" i="4"/>
  <c r="O359" i="4"/>
  <c r="N359" i="4"/>
  <c r="M359" i="4"/>
  <c r="L358" i="4"/>
  <c r="K358" i="4"/>
  <c r="J358" i="4"/>
  <c r="I358" i="4"/>
  <c r="H358" i="4"/>
  <c r="G358" i="4"/>
  <c r="F358" i="4"/>
  <c r="E358" i="4"/>
  <c r="D358" i="4"/>
  <c r="C358" i="4"/>
  <c r="B358" i="4"/>
  <c r="S358" i="4"/>
  <c r="R358" i="4"/>
  <c r="Q358" i="4"/>
  <c r="P358" i="4"/>
  <c r="O358" i="4"/>
  <c r="N358" i="4"/>
  <c r="M358" i="4"/>
  <c r="B357" i="4"/>
  <c r="L357" i="4"/>
  <c r="K357" i="4"/>
  <c r="J357" i="4"/>
  <c r="I357" i="4"/>
  <c r="H357" i="4"/>
  <c r="G357" i="4"/>
  <c r="F357" i="4"/>
  <c r="E357" i="4"/>
  <c r="D357" i="4"/>
  <c r="M357" i="4"/>
  <c r="S357" i="4"/>
  <c r="R357" i="4"/>
  <c r="Q357" i="4"/>
  <c r="P357" i="4"/>
  <c r="C357" i="4"/>
  <c r="O357" i="4"/>
  <c r="N357" i="4"/>
  <c r="M356" i="4"/>
  <c r="R356" i="4"/>
  <c r="Q356" i="4"/>
  <c r="P356" i="4"/>
  <c r="O356" i="4"/>
  <c r="N356" i="4"/>
  <c r="S356" i="4"/>
  <c r="L356" i="4"/>
  <c r="K356" i="4"/>
  <c r="J356" i="4"/>
  <c r="I356" i="4"/>
  <c r="H356" i="4"/>
  <c r="G356" i="4"/>
  <c r="F356" i="4"/>
  <c r="E356" i="4"/>
  <c r="D356" i="4"/>
  <c r="C356" i="4"/>
  <c r="B356" i="4"/>
  <c r="C355" i="4"/>
  <c r="K355" i="4"/>
  <c r="J355" i="4"/>
  <c r="I355" i="4"/>
  <c r="H355" i="4"/>
  <c r="G355" i="4"/>
  <c r="F355" i="4"/>
  <c r="E355" i="4"/>
  <c r="D355" i="4"/>
  <c r="L355" i="4"/>
  <c r="B355" i="4"/>
  <c r="M355" i="4"/>
  <c r="S355" i="4"/>
  <c r="R355" i="4"/>
  <c r="Q355" i="4"/>
  <c r="P355" i="4"/>
  <c r="O355" i="4"/>
  <c r="N355" i="4"/>
  <c r="J354" i="4"/>
  <c r="E354" i="4"/>
  <c r="C354" i="4"/>
  <c r="D354" i="4"/>
  <c r="S354" i="4"/>
  <c r="B354" i="4"/>
  <c r="F354" i="4"/>
  <c r="G354" i="4"/>
  <c r="H354" i="4"/>
  <c r="I354" i="4"/>
  <c r="K354" i="4"/>
  <c r="L354" i="4"/>
  <c r="M354" i="4"/>
  <c r="N354" i="4"/>
  <c r="O354" i="4"/>
  <c r="P354" i="4"/>
  <c r="Q354" i="4"/>
  <c r="R354" i="4"/>
  <c r="P353" i="4"/>
  <c r="O353" i="4"/>
  <c r="N353" i="4"/>
  <c r="Q353" i="4"/>
  <c r="K353" i="4"/>
  <c r="J353" i="4"/>
  <c r="I353" i="4"/>
  <c r="H353" i="4"/>
  <c r="R353" i="4"/>
  <c r="G353" i="4"/>
  <c r="F353" i="4"/>
  <c r="E353" i="4"/>
  <c r="D353" i="4"/>
  <c r="C353" i="4"/>
  <c r="B353" i="4"/>
  <c r="L353" i="4"/>
  <c r="S353" i="4"/>
  <c r="M353" i="4"/>
  <c r="C352" i="4"/>
  <c r="B352" i="4"/>
  <c r="D352" i="4"/>
  <c r="E352" i="4"/>
  <c r="F352" i="4"/>
  <c r="G352" i="4"/>
  <c r="H352" i="4"/>
  <c r="I352" i="4"/>
  <c r="J352" i="4"/>
  <c r="K352" i="4"/>
  <c r="L352" i="4"/>
  <c r="M352" i="4"/>
  <c r="N352" i="4"/>
  <c r="O352" i="4"/>
  <c r="P352" i="4"/>
  <c r="Q352" i="4"/>
  <c r="R352" i="4"/>
  <c r="S352" i="4"/>
  <c r="D351" i="4"/>
  <c r="E351" i="4"/>
  <c r="F351" i="4"/>
  <c r="G351" i="4"/>
  <c r="H351" i="4"/>
  <c r="I351" i="4"/>
  <c r="J351" i="4"/>
  <c r="K351" i="4"/>
  <c r="L351" i="4"/>
  <c r="M351" i="4"/>
  <c r="N351" i="4"/>
  <c r="O351" i="4"/>
  <c r="P351" i="4"/>
  <c r="Q351" i="4"/>
  <c r="R351" i="4"/>
  <c r="S351" i="4"/>
  <c r="C351" i="4"/>
  <c r="B351" i="4"/>
  <c r="C350" i="4"/>
  <c r="E350" i="4"/>
  <c r="B350" i="4"/>
  <c r="F350" i="4"/>
  <c r="G350" i="4"/>
  <c r="H350" i="4"/>
  <c r="I350" i="4"/>
  <c r="J350" i="4"/>
  <c r="K350" i="4"/>
  <c r="L350" i="4"/>
  <c r="N350" i="4"/>
  <c r="O350" i="4"/>
  <c r="P350" i="4"/>
  <c r="Q350" i="4"/>
  <c r="R350" i="4"/>
  <c r="S350" i="4"/>
  <c r="M350" i="4"/>
  <c r="D350" i="4"/>
  <c r="C349" i="4"/>
  <c r="O349" i="4"/>
  <c r="D349" i="4"/>
  <c r="E349" i="4"/>
  <c r="F349" i="4"/>
  <c r="G349" i="4"/>
  <c r="H349" i="4"/>
  <c r="I349" i="4"/>
  <c r="J349" i="4"/>
  <c r="K349" i="4"/>
  <c r="L349" i="4"/>
  <c r="M349" i="4"/>
  <c r="B349" i="4"/>
  <c r="P349" i="4"/>
  <c r="Q349" i="4"/>
  <c r="R349" i="4"/>
  <c r="S349" i="4"/>
  <c r="N349" i="4"/>
  <c r="S348" i="4"/>
  <c r="N348" i="4"/>
  <c r="M348" i="4"/>
  <c r="L348" i="4"/>
  <c r="K348" i="4"/>
  <c r="J348" i="4"/>
  <c r="I348" i="4"/>
  <c r="Q348" i="4"/>
  <c r="P348" i="4"/>
  <c r="H348" i="4"/>
  <c r="G348" i="4"/>
  <c r="F348" i="4"/>
  <c r="E348" i="4"/>
  <c r="D348" i="4"/>
  <c r="C348" i="4"/>
  <c r="B348" i="4"/>
  <c r="O348" i="4"/>
  <c r="R348" i="4"/>
  <c r="B347" i="4"/>
  <c r="S347" i="4"/>
  <c r="R347" i="4"/>
  <c r="Q347" i="4"/>
  <c r="P347" i="4"/>
  <c r="O347" i="4"/>
  <c r="N347" i="4"/>
  <c r="M347" i="4"/>
  <c r="L347" i="4"/>
  <c r="K347" i="4"/>
  <c r="J347" i="4"/>
  <c r="I347" i="4"/>
  <c r="H347" i="4"/>
  <c r="G347" i="4"/>
  <c r="F347" i="4"/>
  <c r="E347" i="4"/>
  <c r="D347" i="4"/>
  <c r="C347" i="4"/>
  <c r="F346" i="4"/>
  <c r="D346" i="4"/>
  <c r="C346" i="4"/>
  <c r="B346" i="4"/>
  <c r="O346" i="4"/>
  <c r="N346" i="4"/>
  <c r="M346" i="4"/>
  <c r="L346" i="4"/>
  <c r="K346" i="4"/>
  <c r="P346" i="4"/>
  <c r="E346" i="4"/>
  <c r="Q346" i="4"/>
  <c r="R346" i="4"/>
  <c r="S346" i="4"/>
  <c r="J346" i="4"/>
  <c r="I346" i="4"/>
  <c r="H346" i="4"/>
  <c r="G346" i="4"/>
  <c r="D345" i="4"/>
  <c r="O345" i="4"/>
  <c r="N345" i="4"/>
  <c r="M345" i="4"/>
  <c r="L345" i="4"/>
  <c r="K345" i="4"/>
  <c r="J345" i="4"/>
  <c r="I345" i="4"/>
  <c r="H345" i="4"/>
  <c r="F345" i="4"/>
  <c r="G345" i="4"/>
  <c r="P345" i="4"/>
  <c r="Q345" i="4"/>
  <c r="R345" i="4"/>
  <c r="S345" i="4"/>
  <c r="E345" i="4"/>
  <c r="C345" i="4"/>
  <c r="B345" i="4"/>
  <c r="G344" i="4"/>
  <c r="F344" i="4"/>
  <c r="E344" i="4"/>
  <c r="D344" i="4"/>
  <c r="C344" i="4"/>
  <c r="B344" i="4"/>
  <c r="Q344" i="4"/>
  <c r="P344" i="4"/>
  <c r="O344" i="4"/>
  <c r="N344" i="4"/>
  <c r="M344" i="4"/>
  <c r="L344" i="4"/>
  <c r="K344" i="4"/>
  <c r="I344" i="4"/>
  <c r="H344" i="4"/>
  <c r="S344" i="4"/>
  <c r="R344" i="4"/>
  <c r="J344" i="4"/>
  <c r="S343" i="4"/>
  <c r="G343" i="4"/>
  <c r="H343" i="4"/>
  <c r="E343" i="4"/>
  <c r="I343" i="4"/>
  <c r="C343" i="4"/>
  <c r="J343" i="4"/>
  <c r="D343" i="4"/>
  <c r="F343" i="4"/>
  <c r="K343" i="4"/>
  <c r="N343" i="4"/>
  <c r="M343" i="4"/>
  <c r="O343" i="4"/>
  <c r="P343" i="4"/>
  <c r="B343" i="4"/>
  <c r="Q343" i="4"/>
  <c r="R343" i="4"/>
  <c r="L343" i="4"/>
  <c r="R342" i="4"/>
  <c r="Q342" i="4"/>
  <c r="P342" i="4"/>
  <c r="O342" i="4"/>
  <c r="N342" i="4"/>
  <c r="M342" i="4"/>
  <c r="L342" i="4"/>
  <c r="K342" i="4"/>
  <c r="J342" i="4"/>
  <c r="I342" i="4"/>
  <c r="H342" i="4"/>
  <c r="G342" i="4"/>
  <c r="F342" i="4"/>
  <c r="D342" i="4"/>
  <c r="C342" i="4"/>
  <c r="B342" i="4"/>
  <c r="S342" i="4"/>
  <c r="E342" i="4"/>
  <c r="S341" i="4"/>
  <c r="R341" i="4"/>
  <c r="G341" i="4"/>
  <c r="P341" i="4"/>
  <c r="O341" i="4"/>
  <c r="N341" i="4"/>
  <c r="M341" i="4"/>
  <c r="L341" i="4"/>
  <c r="K341" i="4"/>
  <c r="J341" i="4"/>
  <c r="I341" i="4"/>
  <c r="F341" i="4"/>
  <c r="Q341" i="4"/>
  <c r="E341" i="4"/>
  <c r="D341" i="4"/>
  <c r="C341" i="4"/>
  <c r="B341" i="4"/>
  <c r="H341" i="4"/>
  <c r="D340" i="4"/>
  <c r="S340" i="4"/>
  <c r="M340" i="4"/>
  <c r="C340" i="4"/>
  <c r="F340" i="4"/>
  <c r="R340" i="4"/>
  <c r="O340" i="4"/>
  <c r="N340" i="4"/>
  <c r="Q340" i="4"/>
  <c r="L340" i="4"/>
  <c r="K340" i="4"/>
  <c r="J340" i="4"/>
  <c r="I340" i="4"/>
  <c r="H340" i="4"/>
  <c r="G340" i="4"/>
  <c r="P340" i="4"/>
  <c r="E340" i="4"/>
  <c r="B340" i="4"/>
  <c r="N339" i="4"/>
  <c r="R339" i="4"/>
  <c r="C339" i="4"/>
  <c r="D339" i="4"/>
  <c r="E339" i="4"/>
  <c r="F339" i="4"/>
  <c r="G339" i="4"/>
  <c r="H339" i="4"/>
  <c r="I339" i="4"/>
  <c r="J339" i="4"/>
  <c r="K339" i="4"/>
  <c r="L339" i="4"/>
  <c r="M339" i="4"/>
  <c r="O339" i="4"/>
  <c r="P339" i="4"/>
  <c r="Q339" i="4"/>
  <c r="S339" i="4"/>
  <c r="B339" i="4"/>
  <c r="F338" i="4"/>
  <c r="E338" i="4"/>
  <c r="C338" i="4"/>
  <c r="B338" i="4"/>
  <c r="S338" i="4"/>
  <c r="N338" i="4"/>
  <c r="I338" i="4"/>
  <c r="O338" i="4"/>
  <c r="P338" i="4"/>
  <c r="G338" i="4"/>
  <c r="D338" i="4"/>
  <c r="H338" i="4"/>
  <c r="M338" i="4"/>
  <c r="J338" i="4"/>
  <c r="K338" i="4"/>
  <c r="L338" i="4"/>
  <c r="Q338" i="4"/>
  <c r="R338" i="4"/>
  <c r="S337" i="4"/>
  <c r="N337" i="4"/>
  <c r="Q337" i="4"/>
  <c r="P337" i="4"/>
  <c r="O337" i="4"/>
  <c r="R337" i="4"/>
  <c r="B337" i="4"/>
  <c r="M337" i="4"/>
  <c r="F337" i="4"/>
  <c r="C337" i="4"/>
  <c r="L337" i="4"/>
  <c r="D337" i="4"/>
  <c r="E337" i="4"/>
  <c r="G337" i="4"/>
  <c r="H337" i="4"/>
  <c r="I337" i="4"/>
  <c r="J337" i="4"/>
  <c r="K337" i="4"/>
  <c r="F336" i="4"/>
  <c r="E336" i="4"/>
  <c r="M336" i="4"/>
  <c r="D336" i="4"/>
  <c r="L336" i="4"/>
  <c r="R336" i="4"/>
  <c r="Q336" i="4"/>
  <c r="P336" i="4"/>
  <c r="K336" i="4"/>
  <c r="S336" i="4"/>
  <c r="O336" i="4"/>
  <c r="B336" i="4"/>
  <c r="J336" i="4"/>
  <c r="I336" i="4"/>
  <c r="H336" i="4"/>
  <c r="G336" i="4"/>
  <c r="N336" i="4"/>
  <c r="C336" i="4"/>
  <c r="J335" i="4"/>
  <c r="L335" i="4"/>
  <c r="M335" i="4"/>
  <c r="N335" i="4"/>
  <c r="O335" i="4"/>
  <c r="P335" i="4"/>
  <c r="Q335" i="4"/>
  <c r="R335" i="4"/>
  <c r="S335" i="4"/>
  <c r="K335" i="4"/>
  <c r="B335" i="4"/>
  <c r="C335" i="4"/>
  <c r="D335" i="4"/>
  <c r="E335" i="4"/>
  <c r="F335" i="4"/>
  <c r="G335" i="4"/>
  <c r="H335" i="4"/>
  <c r="I335" i="4"/>
  <c r="J334" i="4"/>
  <c r="P334" i="4"/>
  <c r="B334" i="4"/>
  <c r="C334" i="4"/>
  <c r="D334" i="4"/>
  <c r="E334" i="4"/>
  <c r="N334" i="4"/>
  <c r="F334" i="4"/>
  <c r="G334" i="4"/>
  <c r="H334" i="4"/>
  <c r="I334" i="4"/>
  <c r="K334" i="4"/>
  <c r="L334" i="4"/>
  <c r="O334" i="4"/>
  <c r="M334" i="4"/>
  <c r="S334" i="4"/>
  <c r="R334" i="4"/>
  <c r="Q334" i="4"/>
  <c r="R333" i="4"/>
  <c r="S333" i="4"/>
  <c r="C333" i="4"/>
  <c r="D333" i="4"/>
  <c r="E333" i="4"/>
  <c r="F333" i="4"/>
  <c r="G333" i="4"/>
  <c r="H333" i="4"/>
  <c r="I333" i="4"/>
  <c r="J333" i="4"/>
  <c r="K333" i="4"/>
  <c r="B333" i="4"/>
  <c r="L333" i="4"/>
  <c r="M333" i="4"/>
  <c r="N333" i="4"/>
  <c r="O333" i="4"/>
  <c r="P333" i="4"/>
  <c r="Q333" i="4"/>
  <c r="K332" i="4"/>
  <c r="L332" i="4"/>
  <c r="M332" i="4"/>
  <c r="N332" i="4"/>
  <c r="O332" i="4"/>
  <c r="P332" i="4"/>
  <c r="Q332" i="4"/>
  <c r="R332" i="4"/>
  <c r="S332" i="4"/>
  <c r="I332" i="4"/>
  <c r="H332" i="4"/>
  <c r="G332" i="4"/>
  <c r="E332" i="4"/>
  <c r="D332" i="4"/>
  <c r="C332" i="4"/>
  <c r="B332" i="4"/>
  <c r="F332" i="4"/>
  <c r="J332" i="4"/>
  <c r="S331" i="4"/>
  <c r="P331" i="4"/>
  <c r="C331" i="4"/>
  <c r="D331" i="4"/>
  <c r="H331" i="4"/>
  <c r="E331" i="4"/>
  <c r="O331" i="4"/>
  <c r="F331" i="4"/>
  <c r="G331" i="4"/>
  <c r="I331" i="4"/>
  <c r="J331" i="4"/>
  <c r="K331" i="4"/>
  <c r="L331" i="4"/>
  <c r="M331" i="4"/>
  <c r="N331" i="4"/>
  <c r="B331" i="4"/>
  <c r="Q331" i="4"/>
  <c r="R331" i="4"/>
  <c r="J330" i="4"/>
  <c r="L330" i="4"/>
  <c r="M330" i="4"/>
  <c r="O330" i="4"/>
  <c r="P330" i="4"/>
  <c r="Q330" i="4"/>
  <c r="R330" i="4"/>
  <c r="N330" i="4"/>
  <c r="S330" i="4"/>
  <c r="K330" i="4"/>
  <c r="H330" i="4"/>
  <c r="I330" i="4"/>
  <c r="G330" i="4"/>
  <c r="F330" i="4"/>
  <c r="E330" i="4"/>
  <c r="D330" i="4"/>
  <c r="C330" i="4"/>
  <c r="B330" i="4"/>
  <c r="B329" i="4"/>
  <c r="S329" i="4"/>
  <c r="R329" i="4"/>
  <c r="Q329" i="4"/>
  <c r="P329" i="4"/>
  <c r="O329" i="4"/>
  <c r="N329" i="4"/>
  <c r="M329" i="4"/>
  <c r="L329" i="4"/>
  <c r="K329" i="4"/>
  <c r="J329" i="4"/>
  <c r="I329" i="4"/>
  <c r="H329" i="4"/>
  <c r="G329" i="4"/>
  <c r="F329" i="4"/>
  <c r="E329" i="4"/>
  <c r="D329" i="4"/>
  <c r="C329" i="4"/>
  <c r="B328" i="4"/>
  <c r="S328" i="4"/>
  <c r="R328" i="4"/>
  <c r="Q328" i="4"/>
  <c r="P328" i="4"/>
  <c r="O328" i="4"/>
  <c r="N328" i="4"/>
  <c r="M328" i="4"/>
  <c r="L328" i="4"/>
  <c r="K328" i="4"/>
  <c r="J328" i="4"/>
  <c r="I328" i="4"/>
  <c r="H328" i="4"/>
  <c r="G328" i="4"/>
  <c r="F328" i="4"/>
  <c r="E328" i="4"/>
  <c r="D328" i="4"/>
  <c r="C328" i="4"/>
  <c r="G327" i="4"/>
  <c r="S327" i="4"/>
  <c r="R327" i="4"/>
  <c r="Q327" i="4"/>
  <c r="P327" i="4"/>
  <c r="O327" i="4"/>
  <c r="N327" i="4"/>
  <c r="M327" i="4"/>
  <c r="L327" i="4"/>
  <c r="K327" i="4"/>
  <c r="J327" i="4"/>
  <c r="I327" i="4"/>
  <c r="H327" i="4"/>
  <c r="B327" i="4"/>
  <c r="F327" i="4"/>
  <c r="E327" i="4"/>
  <c r="D327" i="4"/>
  <c r="C327" i="4"/>
  <c r="L326" i="4"/>
  <c r="S326" i="4"/>
  <c r="R326" i="4"/>
  <c r="Q326" i="4"/>
  <c r="P326" i="4"/>
  <c r="O326" i="4"/>
  <c r="N326" i="4"/>
  <c r="M326" i="4"/>
  <c r="B326" i="4"/>
  <c r="K326" i="4"/>
  <c r="J326" i="4"/>
  <c r="I326" i="4"/>
  <c r="H326" i="4"/>
  <c r="G326" i="4"/>
  <c r="F326" i="4"/>
  <c r="E326" i="4"/>
  <c r="D326" i="4"/>
  <c r="C326" i="4"/>
  <c r="R325" i="4"/>
  <c r="S325" i="4"/>
  <c r="Q325" i="4"/>
  <c r="P325" i="4"/>
  <c r="O325" i="4"/>
  <c r="N325" i="4"/>
  <c r="M325" i="4"/>
  <c r="L325" i="4"/>
  <c r="K325" i="4"/>
  <c r="J325" i="4"/>
  <c r="I325" i="4"/>
  <c r="H325" i="4"/>
  <c r="G325" i="4"/>
  <c r="F325" i="4"/>
  <c r="E325" i="4"/>
  <c r="D325" i="4"/>
  <c r="C325" i="4"/>
  <c r="B325" i="4"/>
  <c r="S324" i="4"/>
  <c r="R324" i="4"/>
  <c r="Q324" i="4"/>
  <c r="P324" i="4"/>
  <c r="O324" i="4"/>
  <c r="N324" i="4"/>
  <c r="M324" i="4"/>
  <c r="L324" i="4"/>
  <c r="K324" i="4"/>
  <c r="J324" i="4"/>
  <c r="I324" i="4"/>
  <c r="H324" i="4"/>
  <c r="G324" i="4"/>
  <c r="F324" i="4"/>
  <c r="E324" i="4"/>
  <c r="D324" i="4"/>
  <c r="C324" i="4"/>
  <c r="B324" i="4"/>
  <c r="S323" i="4"/>
  <c r="R323" i="4"/>
  <c r="Q323" i="4"/>
  <c r="P323" i="4"/>
  <c r="O323" i="4"/>
  <c r="N323" i="4"/>
  <c r="M323" i="4"/>
  <c r="L323" i="4"/>
  <c r="K323" i="4"/>
  <c r="J323" i="4"/>
  <c r="I323" i="4"/>
  <c r="H323" i="4"/>
  <c r="G323" i="4"/>
  <c r="F323" i="4"/>
  <c r="E323" i="4"/>
  <c r="D323" i="4"/>
  <c r="C323" i="4"/>
  <c r="B323" i="4"/>
  <c r="S322" i="4"/>
  <c r="R322" i="4"/>
  <c r="Q322" i="4"/>
  <c r="P322" i="4"/>
  <c r="O322" i="4"/>
  <c r="N322" i="4"/>
  <c r="M322" i="4"/>
  <c r="L322" i="4"/>
  <c r="K322" i="4"/>
  <c r="J322" i="4"/>
  <c r="I322" i="4"/>
  <c r="H322" i="4"/>
  <c r="G322" i="4"/>
  <c r="F322" i="4"/>
  <c r="E322" i="4"/>
  <c r="D322" i="4"/>
  <c r="C322" i="4"/>
  <c r="B322" i="4"/>
  <c r="G321" i="4"/>
  <c r="H321" i="4"/>
  <c r="I321" i="4"/>
  <c r="J321" i="4"/>
  <c r="K321" i="4"/>
  <c r="L321" i="4"/>
  <c r="M321" i="4"/>
  <c r="N321" i="4"/>
  <c r="D321" i="4"/>
  <c r="B321" i="4"/>
  <c r="C321" i="4"/>
  <c r="E321" i="4"/>
  <c r="F321" i="4"/>
  <c r="S321" i="4"/>
  <c r="R321" i="4"/>
  <c r="Q321" i="4"/>
  <c r="P321" i="4"/>
  <c r="O321" i="4"/>
  <c r="C320" i="4"/>
  <c r="B320" i="4"/>
  <c r="J320" i="4"/>
  <c r="K320" i="4"/>
  <c r="H320" i="4"/>
  <c r="G320" i="4"/>
  <c r="F320" i="4"/>
  <c r="I320" i="4"/>
  <c r="E320" i="4"/>
  <c r="D320" i="4"/>
  <c r="K319" i="4"/>
  <c r="L319" i="4"/>
  <c r="M319" i="4"/>
  <c r="N319" i="4"/>
  <c r="O319" i="4"/>
  <c r="E319" i="4"/>
  <c r="P319" i="4"/>
  <c r="Q319" i="4"/>
  <c r="B319" i="4"/>
  <c r="D319" i="4"/>
  <c r="G319" i="4"/>
  <c r="C319" i="4"/>
  <c r="S319" i="4"/>
  <c r="R319" i="4"/>
  <c r="F319" i="4"/>
  <c r="H319" i="4"/>
  <c r="I319" i="4"/>
  <c r="J319" i="4"/>
  <c r="P318" i="4"/>
  <c r="O318" i="4"/>
  <c r="N318" i="4"/>
  <c r="M318" i="4"/>
  <c r="K318" i="4"/>
  <c r="I318" i="4"/>
  <c r="H318" i="4"/>
  <c r="G318" i="4"/>
  <c r="F318" i="4"/>
  <c r="E318" i="4"/>
  <c r="D318" i="4"/>
  <c r="Q318" i="4"/>
  <c r="J318" i="4"/>
  <c r="L318" i="4"/>
  <c r="B318" i="4"/>
  <c r="C318" i="4"/>
  <c r="R318" i="4"/>
  <c r="S318" i="4"/>
  <c r="S317" i="4"/>
  <c r="R317" i="4"/>
  <c r="Q317" i="4"/>
  <c r="O317" i="4"/>
  <c r="N317" i="4"/>
  <c r="M317" i="4"/>
  <c r="L317" i="4"/>
  <c r="K317" i="4"/>
  <c r="J317" i="4"/>
  <c r="I317" i="4"/>
  <c r="H317" i="4"/>
  <c r="G317" i="4"/>
  <c r="F317" i="4"/>
  <c r="E317" i="4"/>
  <c r="D317" i="4"/>
  <c r="C317" i="4"/>
  <c r="B317" i="4"/>
  <c r="P317" i="4"/>
  <c r="S316" i="4"/>
  <c r="R316" i="4"/>
  <c r="Q316" i="4"/>
  <c r="P316" i="4"/>
  <c r="O316" i="4"/>
  <c r="E316" i="4"/>
  <c r="D316" i="4"/>
  <c r="C316" i="4"/>
  <c r="B316" i="4"/>
  <c r="F316" i="4"/>
  <c r="N316" i="4"/>
  <c r="M316" i="4"/>
  <c r="L316" i="4"/>
  <c r="K316" i="4"/>
  <c r="J316" i="4"/>
  <c r="I316" i="4"/>
  <c r="H316" i="4"/>
  <c r="G316" i="4"/>
  <c r="M315" i="4"/>
  <c r="L315" i="4"/>
  <c r="K315" i="4"/>
  <c r="J315" i="4"/>
  <c r="I315" i="4"/>
  <c r="H315" i="4"/>
  <c r="G315" i="4"/>
  <c r="F315" i="4"/>
  <c r="E315" i="4"/>
  <c r="D315" i="4"/>
  <c r="C315" i="4"/>
  <c r="B315" i="4"/>
  <c r="P315" i="4"/>
  <c r="O315" i="4"/>
  <c r="N315" i="4"/>
  <c r="Q315" i="4"/>
  <c r="R315" i="4"/>
  <c r="S315" i="4"/>
  <c r="S314" i="4"/>
  <c r="R314" i="4"/>
  <c r="Q314" i="4"/>
  <c r="P314" i="4"/>
  <c r="O314" i="4"/>
  <c r="N314" i="4"/>
  <c r="B314" i="4"/>
  <c r="C314" i="4"/>
  <c r="D314" i="4"/>
  <c r="E314" i="4"/>
  <c r="F314" i="4"/>
  <c r="G314" i="4"/>
  <c r="H314" i="4"/>
  <c r="I314" i="4"/>
  <c r="J314" i="4"/>
  <c r="K314" i="4"/>
  <c r="L314" i="4"/>
  <c r="M314" i="4"/>
  <c r="P313" i="4"/>
  <c r="O313" i="4"/>
  <c r="N313" i="4"/>
  <c r="M313" i="4"/>
  <c r="L313" i="4"/>
  <c r="K313" i="4"/>
  <c r="J313" i="4"/>
  <c r="I313" i="4"/>
  <c r="R313" i="4"/>
  <c r="H313" i="4"/>
  <c r="G313" i="4"/>
  <c r="F313" i="4"/>
  <c r="E313" i="4"/>
  <c r="D313" i="4"/>
  <c r="C313" i="4"/>
  <c r="B313" i="4"/>
  <c r="S313" i="4"/>
  <c r="Q313" i="4"/>
  <c r="P312" i="4"/>
  <c r="Q312" i="4"/>
  <c r="R312" i="4"/>
  <c r="S312" i="4"/>
  <c r="O312" i="4"/>
  <c r="B312" i="4"/>
  <c r="C312" i="4"/>
  <c r="D312" i="4"/>
  <c r="E312" i="4"/>
  <c r="F312" i="4"/>
  <c r="G312" i="4"/>
  <c r="H312" i="4"/>
  <c r="I312" i="4"/>
  <c r="J312" i="4"/>
  <c r="K312" i="4"/>
  <c r="L312" i="4"/>
  <c r="M312" i="4"/>
  <c r="N312" i="4"/>
  <c r="P311" i="4"/>
  <c r="O311" i="4"/>
  <c r="N311" i="4"/>
  <c r="M311" i="4"/>
  <c r="L311" i="4"/>
  <c r="K311" i="4"/>
  <c r="J311" i="4"/>
  <c r="I311" i="4"/>
  <c r="H311" i="4"/>
  <c r="G311" i="4"/>
  <c r="F311" i="4"/>
  <c r="E311" i="4"/>
  <c r="D311" i="4"/>
  <c r="C311" i="4"/>
  <c r="B311" i="4"/>
  <c r="Q311" i="4"/>
  <c r="S311" i="4"/>
  <c r="R311" i="4"/>
  <c r="P310" i="4"/>
  <c r="O310" i="4"/>
  <c r="N310" i="4"/>
  <c r="M310" i="4"/>
  <c r="K310" i="4"/>
  <c r="J310" i="4"/>
  <c r="I310" i="4"/>
  <c r="H310" i="4"/>
  <c r="G310" i="4"/>
  <c r="F310" i="4"/>
  <c r="E310" i="4"/>
  <c r="D310" i="4"/>
  <c r="C310" i="4"/>
  <c r="B310" i="4"/>
  <c r="S310" i="4"/>
  <c r="L310" i="4"/>
  <c r="R310" i="4"/>
  <c r="Q310" i="4"/>
  <c r="O309" i="4"/>
  <c r="N309" i="4"/>
  <c r="M309" i="4"/>
  <c r="L309" i="4"/>
  <c r="K309" i="4"/>
  <c r="S309" i="4"/>
  <c r="I309" i="4"/>
  <c r="H309" i="4"/>
  <c r="G309" i="4"/>
  <c r="F309" i="4"/>
  <c r="E309" i="4"/>
  <c r="J309" i="4"/>
  <c r="C309" i="4"/>
  <c r="B309" i="4"/>
  <c r="R309" i="4"/>
  <c r="Q309" i="4"/>
  <c r="P309" i="4"/>
  <c r="D309" i="4"/>
  <c r="O308" i="4"/>
  <c r="N308" i="4"/>
  <c r="M308" i="4"/>
  <c r="L308" i="4"/>
  <c r="K308" i="4"/>
  <c r="J308" i="4"/>
  <c r="I308" i="4"/>
  <c r="H308" i="4"/>
  <c r="G308" i="4"/>
  <c r="F308" i="4"/>
  <c r="E308" i="4"/>
  <c r="D308" i="4"/>
  <c r="C308" i="4"/>
  <c r="B308" i="4"/>
  <c r="S308" i="4"/>
  <c r="R308" i="4"/>
  <c r="Q308" i="4"/>
  <c r="P308" i="4"/>
  <c r="O307" i="4"/>
  <c r="N307" i="4"/>
  <c r="M307" i="4"/>
  <c r="L307" i="4"/>
  <c r="K307" i="4"/>
  <c r="J307" i="4"/>
  <c r="I307" i="4"/>
  <c r="H307" i="4"/>
  <c r="G307" i="4"/>
  <c r="F307" i="4"/>
  <c r="E307" i="4"/>
  <c r="D307" i="4"/>
  <c r="C307" i="4"/>
  <c r="B307" i="4"/>
  <c r="S307" i="4"/>
  <c r="R307" i="4"/>
  <c r="Q307" i="4"/>
  <c r="P307" i="4"/>
  <c r="P306" i="4"/>
  <c r="S306" i="4"/>
  <c r="R306" i="4"/>
  <c r="Q306" i="4"/>
  <c r="O306" i="4"/>
  <c r="N306" i="4"/>
  <c r="M306" i="4"/>
  <c r="L306" i="4"/>
  <c r="K306" i="4"/>
  <c r="J306" i="4"/>
  <c r="I306" i="4"/>
  <c r="H306" i="4"/>
  <c r="G306" i="4"/>
  <c r="F306" i="4"/>
  <c r="E306" i="4"/>
  <c r="D306" i="4"/>
  <c r="C306" i="4"/>
  <c r="B306" i="4"/>
  <c r="S305" i="4"/>
  <c r="R305" i="4"/>
  <c r="Q305" i="4"/>
  <c r="P305" i="4"/>
  <c r="O305" i="4"/>
  <c r="N305" i="4"/>
  <c r="M305" i="4"/>
  <c r="L305" i="4"/>
  <c r="K305" i="4"/>
  <c r="J305" i="4"/>
  <c r="I305" i="4"/>
  <c r="H305" i="4"/>
  <c r="G305" i="4"/>
  <c r="F305" i="4"/>
  <c r="E305" i="4"/>
  <c r="D305" i="4"/>
  <c r="C305" i="4"/>
  <c r="B305" i="4"/>
  <c r="S304" i="4"/>
  <c r="R304" i="4"/>
  <c r="Q304" i="4"/>
  <c r="P304" i="4"/>
  <c r="O304" i="4"/>
  <c r="N304" i="4"/>
  <c r="M304" i="4"/>
  <c r="L304" i="4"/>
  <c r="K304" i="4"/>
  <c r="J304" i="4"/>
  <c r="I304" i="4"/>
  <c r="H304" i="4"/>
  <c r="G304" i="4"/>
  <c r="F304" i="4"/>
  <c r="E304" i="4"/>
  <c r="D304" i="4"/>
  <c r="C304" i="4"/>
  <c r="B304" i="4"/>
  <c r="S303" i="4"/>
  <c r="R303" i="4"/>
  <c r="Q303" i="4"/>
  <c r="P303" i="4"/>
  <c r="O303" i="4"/>
  <c r="N303" i="4"/>
  <c r="M303" i="4"/>
  <c r="L303" i="4"/>
  <c r="K303" i="4"/>
  <c r="J303" i="4"/>
  <c r="I303" i="4"/>
  <c r="H303" i="4"/>
  <c r="G303" i="4"/>
  <c r="F303" i="4"/>
  <c r="E303" i="4"/>
  <c r="D303" i="4"/>
  <c r="C303" i="4"/>
  <c r="B303" i="4"/>
  <c r="S302" i="4"/>
  <c r="R302" i="4"/>
  <c r="Q302" i="4"/>
  <c r="P302" i="4"/>
  <c r="O302" i="4"/>
  <c r="N302" i="4"/>
  <c r="M302" i="4"/>
  <c r="L302" i="4"/>
  <c r="K302" i="4"/>
  <c r="J302" i="4"/>
  <c r="I302" i="4"/>
  <c r="H302" i="4"/>
  <c r="G302" i="4"/>
  <c r="F302" i="4"/>
  <c r="E302" i="4"/>
  <c r="D302" i="4"/>
  <c r="C302" i="4"/>
  <c r="B302" i="4"/>
  <c r="S301" i="4"/>
  <c r="R301" i="4"/>
  <c r="Q301" i="4"/>
  <c r="P301" i="4"/>
  <c r="O301" i="4"/>
  <c r="N301" i="4"/>
  <c r="M301" i="4"/>
  <c r="L301" i="4"/>
  <c r="K301" i="4"/>
  <c r="J301" i="4"/>
  <c r="I301" i="4"/>
  <c r="H301" i="4"/>
  <c r="G301" i="4"/>
  <c r="F301" i="4"/>
  <c r="E301" i="4"/>
  <c r="D301" i="4"/>
  <c r="C301" i="4"/>
  <c r="B301" i="4"/>
  <c r="S300" i="4"/>
  <c r="R300" i="4"/>
  <c r="Q300" i="4"/>
  <c r="P300" i="4"/>
  <c r="O300" i="4"/>
  <c r="N300" i="4"/>
  <c r="M300" i="4"/>
  <c r="L300" i="4"/>
  <c r="K300" i="4"/>
  <c r="J300" i="4"/>
  <c r="I300" i="4"/>
  <c r="H300" i="4"/>
  <c r="G300" i="4"/>
  <c r="F300" i="4"/>
  <c r="E300" i="4"/>
  <c r="D300" i="4"/>
  <c r="C300" i="4"/>
  <c r="B300" i="4"/>
  <c r="S299" i="4"/>
  <c r="R299" i="4"/>
  <c r="Q299" i="4"/>
  <c r="P299" i="4"/>
  <c r="O299" i="4"/>
  <c r="N299" i="4"/>
  <c r="M299" i="4"/>
  <c r="L299" i="4"/>
  <c r="K299" i="4"/>
  <c r="J299" i="4"/>
  <c r="I299" i="4"/>
  <c r="H299" i="4"/>
  <c r="G299" i="4"/>
  <c r="F299" i="4"/>
  <c r="E299" i="4"/>
  <c r="D299" i="4"/>
  <c r="C299" i="4"/>
  <c r="B299" i="4"/>
  <c r="I298" i="4"/>
  <c r="S298" i="4"/>
  <c r="R298" i="4"/>
  <c r="Q298" i="4"/>
  <c r="P298" i="4"/>
  <c r="O298" i="4"/>
  <c r="N298" i="4"/>
  <c r="M298" i="4"/>
  <c r="L298" i="4"/>
  <c r="K298" i="4"/>
  <c r="J298" i="4"/>
  <c r="H298" i="4"/>
  <c r="G298" i="4"/>
  <c r="F298" i="4"/>
  <c r="E298" i="4"/>
  <c r="D298" i="4"/>
  <c r="C298" i="4"/>
  <c r="B298" i="4"/>
  <c r="C297" i="4"/>
  <c r="L297" i="4"/>
  <c r="K297" i="4"/>
  <c r="J297" i="4"/>
  <c r="F297" i="4"/>
  <c r="E297" i="4"/>
  <c r="G297" i="4"/>
  <c r="I297" i="4"/>
  <c r="D297" i="4"/>
  <c r="B297" i="4"/>
  <c r="S297" i="4"/>
  <c r="R297" i="4"/>
  <c r="Q297" i="4"/>
  <c r="H297" i="4"/>
  <c r="P297" i="4"/>
  <c r="O297" i="4"/>
  <c r="N297" i="4"/>
  <c r="M297" i="4"/>
  <c r="M296" i="4"/>
  <c r="N296" i="4"/>
  <c r="O296" i="4"/>
  <c r="P296" i="4"/>
  <c r="Q296" i="4"/>
  <c r="R296" i="4"/>
  <c r="S296" i="4"/>
  <c r="B296" i="4"/>
  <c r="C296" i="4"/>
  <c r="D296" i="4"/>
  <c r="E296" i="4"/>
  <c r="F296" i="4"/>
  <c r="G296" i="4"/>
  <c r="H296" i="4"/>
  <c r="I296" i="4"/>
  <c r="J296" i="4"/>
  <c r="K296" i="4"/>
  <c r="L296" i="4"/>
  <c r="R295" i="4"/>
  <c r="P295" i="4"/>
  <c r="O295" i="4"/>
  <c r="N295" i="4"/>
  <c r="M295" i="4"/>
  <c r="L295" i="4"/>
  <c r="D295" i="4"/>
  <c r="B295" i="4"/>
  <c r="C295" i="4"/>
  <c r="Q295" i="4"/>
  <c r="K295" i="4"/>
  <c r="J295" i="4"/>
  <c r="H295" i="4"/>
  <c r="G295" i="4"/>
  <c r="I295" i="4"/>
  <c r="F295" i="4"/>
  <c r="E295" i="4"/>
  <c r="S295" i="4"/>
  <c r="H294" i="4"/>
  <c r="E294" i="4"/>
  <c r="F294" i="4"/>
  <c r="B294" i="4"/>
  <c r="C294" i="4"/>
  <c r="S294" i="4"/>
  <c r="L294" i="4"/>
  <c r="R294" i="4"/>
  <c r="Q294" i="4"/>
  <c r="G294" i="4"/>
  <c r="P294" i="4"/>
  <c r="D294" i="4"/>
  <c r="O294" i="4"/>
  <c r="N294" i="4"/>
  <c r="M294" i="4"/>
  <c r="K294" i="4"/>
  <c r="J294" i="4"/>
  <c r="I294" i="4"/>
  <c r="Q293" i="4"/>
  <c r="C293" i="4"/>
  <c r="O293" i="4"/>
  <c r="N293" i="4"/>
  <c r="M293" i="4"/>
  <c r="B293" i="4"/>
  <c r="J293" i="4"/>
  <c r="I293" i="4"/>
  <c r="H293" i="4"/>
  <c r="G293" i="4"/>
  <c r="P293" i="4"/>
  <c r="D293" i="4"/>
  <c r="L293" i="4"/>
  <c r="E293" i="4"/>
  <c r="F293" i="4"/>
  <c r="R293" i="4"/>
  <c r="S293" i="4"/>
  <c r="K293" i="4"/>
  <c r="J292" i="4"/>
  <c r="B292" i="4"/>
  <c r="C292" i="4"/>
  <c r="D292" i="4"/>
  <c r="O292" i="4"/>
  <c r="E292" i="4"/>
  <c r="F292" i="4"/>
  <c r="H292" i="4"/>
  <c r="I292" i="4"/>
  <c r="K292" i="4"/>
  <c r="L292" i="4"/>
  <c r="M292" i="4"/>
  <c r="N292" i="4"/>
  <c r="P292" i="4"/>
  <c r="Q292" i="4"/>
  <c r="R292" i="4"/>
  <c r="S292" i="4"/>
  <c r="G292" i="4"/>
  <c r="P291" i="4"/>
  <c r="O291" i="4"/>
  <c r="N291" i="4"/>
  <c r="M291" i="4"/>
  <c r="L291" i="4"/>
  <c r="R291" i="4"/>
  <c r="S291" i="4"/>
  <c r="Q291" i="4"/>
  <c r="K291" i="4"/>
  <c r="J291" i="4"/>
  <c r="I291" i="4"/>
  <c r="H291" i="4"/>
  <c r="G291" i="4"/>
  <c r="F291" i="4"/>
  <c r="E291" i="4"/>
  <c r="D291" i="4"/>
  <c r="C291" i="4"/>
  <c r="B291" i="4"/>
  <c r="N290" i="4"/>
  <c r="D290" i="4"/>
  <c r="S290" i="4"/>
  <c r="R290" i="4"/>
  <c r="Q290" i="4"/>
  <c r="P290" i="4"/>
  <c r="O290" i="4"/>
  <c r="M290" i="4"/>
  <c r="L290" i="4"/>
  <c r="K290" i="4"/>
  <c r="J290" i="4"/>
  <c r="I290" i="4"/>
  <c r="H290" i="4"/>
  <c r="G290" i="4"/>
  <c r="F290" i="4"/>
  <c r="E290" i="4"/>
  <c r="C290" i="4"/>
  <c r="B290" i="4"/>
  <c r="L289" i="4"/>
  <c r="D289" i="4"/>
  <c r="B289" i="4"/>
  <c r="C289" i="4"/>
  <c r="E289" i="4"/>
  <c r="F289" i="4"/>
  <c r="G289" i="4"/>
  <c r="H289" i="4"/>
  <c r="I289" i="4"/>
  <c r="J289" i="4"/>
  <c r="M289" i="4"/>
  <c r="N289" i="4"/>
  <c r="O289" i="4"/>
  <c r="K289" i="4"/>
  <c r="S289" i="4"/>
  <c r="P289" i="4"/>
  <c r="Q289" i="4"/>
  <c r="R289" i="4"/>
  <c r="C288" i="4"/>
  <c r="S288" i="4"/>
  <c r="D288" i="4"/>
  <c r="E288" i="4"/>
  <c r="F288" i="4"/>
  <c r="G288" i="4"/>
  <c r="H288" i="4"/>
  <c r="I288" i="4"/>
  <c r="J288" i="4"/>
  <c r="B288" i="4"/>
  <c r="R288" i="4"/>
  <c r="Q288" i="4"/>
  <c r="P288" i="4"/>
  <c r="O288" i="4"/>
  <c r="N288" i="4"/>
  <c r="M288" i="4"/>
  <c r="L288" i="4"/>
  <c r="K288" i="4"/>
  <c r="K287" i="4"/>
  <c r="L287" i="4"/>
  <c r="M287" i="4"/>
  <c r="N287" i="4"/>
  <c r="P287" i="4"/>
  <c r="Q287" i="4"/>
  <c r="R287" i="4"/>
  <c r="S287" i="4"/>
  <c r="C287" i="4"/>
  <c r="O287" i="4"/>
  <c r="D287" i="4"/>
  <c r="B287" i="4"/>
  <c r="E287" i="4"/>
  <c r="F287" i="4"/>
  <c r="G287" i="4"/>
  <c r="H287" i="4"/>
  <c r="I287" i="4"/>
  <c r="J287" i="4"/>
  <c r="S286" i="4"/>
  <c r="E286" i="4"/>
  <c r="L286" i="4"/>
  <c r="F286" i="4"/>
  <c r="G286" i="4"/>
  <c r="H286" i="4"/>
  <c r="K286" i="4"/>
  <c r="I286" i="4"/>
  <c r="J286" i="4"/>
  <c r="C286" i="4"/>
  <c r="D286" i="4"/>
  <c r="R286" i="4"/>
  <c r="Q286" i="4"/>
  <c r="P286" i="4"/>
  <c r="O286" i="4"/>
  <c r="N286" i="4"/>
  <c r="B286" i="4"/>
  <c r="M286" i="4"/>
  <c r="K285" i="4"/>
  <c r="J285" i="4"/>
  <c r="I285" i="4"/>
  <c r="H285" i="4"/>
  <c r="G285" i="4"/>
  <c r="F285" i="4"/>
  <c r="E285" i="4"/>
  <c r="D285" i="4"/>
  <c r="B285" i="4"/>
  <c r="C285" i="4"/>
  <c r="S285" i="4"/>
  <c r="R285" i="4"/>
  <c r="Q285" i="4"/>
  <c r="P285" i="4"/>
  <c r="O285" i="4"/>
  <c r="N285" i="4"/>
  <c r="M285" i="4"/>
  <c r="L285" i="4"/>
  <c r="Q284" i="4"/>
  <c r="R284" i="4"/>
  <c r="S284" i="4"/>
  <c r="B284" i="4"/>
  <c r="C284" i="4"/>
  <c r="D284" i="4"/>
  <c r="E284" i="4"/>
  <c r="F284" i="4"/>
  <c r="G284" i="4"/>
  <c r="H284" i="4"/>
  <c r="I284" i="4"/>
  <c r="J284" i="4"/>
  <c r="K284" i="4"/>
  <c r="L284" i="4"/>
  <c r="M284" i="4"/>
  <c r="N284" i="4"/>
  <c r="O284" i="4"/>
  <c r="P284" i="4"/>
  <c r="B283" i="4"/>
  <c r="K283" i="4"/>
  <c r="J283" i="4"/>
  <c r="S283" i="4"/>
  <c r="R283" i="4"/>
  <c r="Q283" i="4"/>
  <c r="P283" i="4"/>
  <c r="O283" i="4"/>
  <c r="N283" i="4"/>
  <c r="M283" i="4"/>
  <c r="L283" i="4"/>
  <c r="I283" i="4"/>
  <c r="H283" i="4"/>
  <c r="G283" i="4"/>
  <c r="F283" i="4"/>
  <c r="E283" i="4"/>
  <c r="D283" i="4"/>
  <c r="C283" i="4"/>
  <c r="S282" i="4"/>
  <c r="R282" i="4"/>
  <c r="Q282" i="4"/>
  <c r="P282" i="4"/>
  <c r="O282" i="4"/>
  <c r="N282" i="4"/>
  <c r="L282" i="4"/>
  <c r="K282" i="4"/>
  <c r="J282" i="4"/>
  <c r="I282" i="4"/>
  <c r="H282" i="4"/>
  <c r="G282" i="4"/>
  <c r="F282" i="4"/>
  <c r="E282" i="4"/>
  <c r="D282" i="4"/>
  <c r="C282" i="4"/>
  <c r="B282" i="4"/>
  <c r="M282" i="4"/>
  <c r="K281" i="4"/>
  <c r="S281" i="4"/>
  <c r="R281" i="4"/>
  <c r="Q281" i="4"/>
  <c r="P281" i="4"/>
  <c r="O281" i="4"/>
  <c r="N281" i="4"/>
  <c r="M281" i="4"/>
  <c r="L281" i="4"/>
  <c r="J281" i="4"/>
  <c r="I281" i="4"/>
  <c r="H281" i="4"/>
  <c r="G281" i="4"/>
  <c r="F281" i="4"/>
  <c r="E281" i="4"/>
  <c r="D281" i="4"/>
  <c r="C281" i="4"/>
  <c r="B281" i="4"/>
  <c r="Q280" i="4"/>
  <c r="P280" i="4"/>
  <c r="O280" i="4"/>
  <c r="N280" i="4"/>
  <c r="M280" i="4"/>
  <c r="L280" i="4"/>
  <c r="K280" i="4"/>
  <c r="J280" i="4"/>
  <c r="S280" i="4"/>
  <c r="I280" i="4"/>
  <c r="H280" i="4"/>
  <c r="G280" i="4"/>
  <c r="F280" i="4"/>
  <c r="E280" i="4"/>
  <c r="D280" i="4"/>
  <c r="C280" i="4"/>
  <c r="R280" i="4"/>
  <c r="B280" i="4"/>
  <c r="J279" i="4"/>
  <c r="K279" i="4"/>
  <c r="L279" i="4"/>
  <c r="N279" i="4"/>
  <c r="O279" i="4"/>
  <c r="P279" i="4"/>
  <c r="Q279" i="4"/>
  <c r="R279" i="4"/>
  <c r="S279" i="4"/>
  <c r="M279" i="4"/>
  <c r="B279" i="4"/>
  <c r="C279" i="4"/>
  <c r="D279" i="4"/>
  <c r="E279" i="4"/>
  <c r="F279" i="4"/>
  <c r="G279" i="4"/>
  <c r="H279" i="4"/>
  <c r="I279" i="4"/>
  <c r="O278" i="4"/>
  <c r="L278" i="4"/>
  <c r="B278" i="4"/>
  <c r="C278" i="4"/>
  <c r="D278" i="4"/>
  <c r="E278" i="4"/>
  <c r="K278" i="4"/>
  <c r="S278" i="4"/>
  <c r="R278" i="4"/>
  <c r="Q278" i="4"/>
  <c r="P278" i="4"/>
  <c r="F278" i="4"/>
  <c r="N278" i="4"/>
  <c r="M278" i="4"/>
  <c r="G278" i="4"/>
  <c r="H278" i="4"/>
  <c r="I278" i="4"/>
  <c r="J278" i="4"/>
  <c r="S277" i="4"/>
  <c r="R277" i="4"/>
  <c r="B277" i="4"/>
  <c r="H277" i="4"/>
  <c r="N277" i="4"/>
  <c r="M277" i="4"/>
  <c r="L277" i="4"/>
  <c r="K277" i="4"/>
  <c r="Q277" i="4"/>
  <c r="P277" i="4"/>
  <c r="J277" i="4"/>
  <c r="I277" i="4"/>
  <c r="G277" i="4"/>
  <c r="F277" i="4"/>
  <c r="E277" i="4"/>
  <c r="D277" i="4"/>
  <c r="O277" i="4"/>
  <c r="C277" i="4"/>
  <c r="K276" i="4"/>
  <c r="L276" i="4"/>
  <c r="M276" i="4"/>
  <c r="P276" i="4"/>
  <c r="Q276" i="4"/>
  <c r="R276" i="4"/>
  <c r="S276" i="4"/>
  <c r="N276" i="4"/>
  <c r="O276" i="4"/>
  <c r="C276" i="4"/>
  <c r="B276" i="4"/>
  <c r="D276" i="4"/>
  <c r="E276" i="4"/>
  <c r="F276" i="4"/>
  <c r="G276" i="4"/>
  <c r="H276" i="4"/>
  <c r="I276" i="4"/>
  <c r="J276" i="4"/>
  <c r="O275" i="4"/>
  <c r="H275" i="4"/>
  <c r="G275" i="4"/>
  <c r="E275" i="4"/>
  <c r="D275" i="4"/>
  <c r="C275" i="4"/>
  <c r="B275" i="4"/>
  <c r="P275" i="4"/>
  <c r="Q275" i="4"/>
  <c r="R275" i="4"/>
  <c r="S275" i="4"/>
  <c r="N275" i="4"/>
  <c r="F275" i="4"/>
  <c r="I275" i="4"/>
  <c r="M275" i="4"/>
  <c r="L275" i="4"/>
  <c r="K275" i="4"/>
  <c r="J275" i="4"/>
  <c r="B274" i="4"/>
  <c r="C274" i="4"/>
  <c r="D274" i="4"/>
  <c r="E274" i="4"/>
  <c r="F274" i="4"/>
  <c r="G274" i="4"/>
  <c r="H274" i="4"/>
  <c r="S274" i="4"/>
  <c r="R274" i="4"/>
  <c r="P274" i="4"/>
  <c r="O274" i="4"/>
  <c r="N274" i="4"/>
  <c r="M274" i="4"/>
  <c r="L274" i="4"/>
  <c r="K274" i="4"/>
  <c r="J274" i="4"/>
  <c r="I274" i="4"/>
  <c r="Q274" i="4"/>
  <c r="I273" i="4"/>
  <c r="J273" i="4"/>
  <c r="K273" i="4"/>
  <c r="L273" i="4"/>
  <c r="M273" i="4"/>
  <c r="H273" i="4"/>
  <c r="O273" i="4"/>
  <c r="P273" i="4"/>
  <c r="Q273" i="4"/>
  <c r="R273" i="4"/>
  <c r="S273" i="4"/>
  <c r="N273" i="4"/>
  <c r="G273" i="4"/>
  <c r="B273" i="4"/>
  <c r="C273" i="4"/>
  <c r="D273" i="4"/>
  <c r="E273" i="4"/>
  <c r="F273" i="4"/>
  <c r="O272" i="4"/>
  <c r="P272" i="4"/>
  <c r="S272" i="4"/>
  <c r="R272" i="4"/>
  <c r="Q272" i="4"/>
  <c r="N272" i="4"/>
  <c r="M272" i="4"/>
  <c r="K272" i="4"/>
  <c r="J272" i="4"/>
  <c r="I272" i="4"/>
  <c r="H272" i="4"/>
  <c r="G272" i="4"/>
  <c r="F272" i="4"/>
  <c r="E272" i="4"/>
  <c r="D272" i="4"/>
  <c r="C272" i="4"/>
  <c r="B272" i="4"/>
  <c r="L272" i="4"/>
  <c r="N271" i="4"/>
  <c r="M271" i="4"/>
  <c r="L271" i="4"/>
  <c r="K271" i="4"/>
  <c r="J271" i="4"/>
  <c r="C271" i="4"/>
  <c r="I271" i="4"/>
  <c r="H271" i="4"/>
  <c r="G271" i="4"/>
  <c r="F271" i="4"/>
  <c r="E271" i="4"/>
  <c r="D271" i="4"/>
  <c r="B271" i="4"/>
  <c r="S271" i="4"/>
  <c r="R271" i="4"/>
  <c r="Q271" i="4"/>
  <c r="P271" i="4"/>
  <c r="O271" i="4"/>
  <c r="H270" i="4"/>
  <c r="I270" i="4"/>
  <c r="J270" i="4"/>
  <c r="K270" i="4"/>
  <c r="L270" i="4"/>
  <c r="M270" i="4"/>
  <c r="N270" i="4"/>
  <c r="O270" i="4"/>
  <c r="P270" i="4"/>
  <c r="Q270" i="4"/>
  <c r="R270" i="4"/>
  <c r="S270" i="4"/>
  <c r="G270" i="4"/>
  <c r="B270" i="4"/>
  <c r="C270" i="4"/>
  <c r="D270" i="4"/>
  <c r="E270" i="4"/>
  <c r="F270" i="4"/>
  <c r="Q269" i="4"/>
  <c r="P269" i="4"/>
  <c r="O269" i="4"/>
  <c r="N269" i="4"/>
  <c r="M269" i="4"/>
  <c r="L269" i="4"/>
  <c r="K269" i="4"/>
  <c r="J269" i="4"/>
  <c r="G269" i="4"/>
  <c r="F269" i="4"/>
  <c r="D269" i="4"/>
  <c r="C269" i="4"/>
  <c r="B269" i="4"/>
  <c r="E269" i="4"/>
  <c r="S269" i="4"/>
  <c r="R269" i="4"/>
  <c r="I269" i="4"/>
  <c r="H269" i="4"/>
  <c r="F268" i="4"/>
  <c r="E268" i="4"/>
  <c r="J268" i="4"/>
  <c r="D268" i="4"/>
  <c r="C268" i="4"/>
  <c r="B268" i="4"/>
  <c r="S268" i="4"/>
  <c r="R268" i="4"/>
  <c r="Q268" i="4"/>
  <c r="P268" i="4"/>
  <c r="O268" i="4"/>
  <c r="N268" i="4"/>
  <c r="M268" i="4"/>
  <c r="L268" i="4"/>
  <c r="K268" i="4"/>
  <c r="I268" i="4"/>
  <c r="H268" i="4"/>
  <c r="G268" i="4"/>
  <c r="I267" i="4"/>
  <c r="J267" i="4"/>
  <c r="K267" i="4"/>
  <c r="L267" i="4"/>
  <c r="M267" i="4"/>
  <c r="B267" i="4"/>
  <c r="N267" i="4"/>
  <c r="O267" i="4"/>
  <c r="S267" i="4"/>
  <c r="R267" i="4"/>
  <c r="Q267" i="4"/>
  <c r="P267" i="4"/>
  <c r="D267" i="4"/>
  <c r="E267" i="4"/>
  <c r="F267" i="4"/>
  <c r="G267" i="4"/>
  <c r="H267" i="4"/>
  <c r="C267" i="4"/>
  <c r="R266" i="4"/>
  <c r="Q266" i="4"/>
  <c r="P266" i="4"/>
  <c r="O266" i="4"/>
  <c r="N266" i="4"/>
  <c r="M266" i="4"/>
  <c r="L266" i="4"/>
  <c r="K266" i="4"/>
  <c r="J266" i="4"/>
  <c r="I266" i="4"/>
  <c r="H266" i="4"/>
  <c r="G266" i="4"/>
  <c r="F266" i="4"/>
  <c r="E266" i="4"/>
  <c r="D266" i="4"/>
  <c r="C266" i="4"/>
  <c r="B266" i="4"/>
  <c r="S266" i="4"/>
  <c r="D265" i="4"/>
  <c r="S265" i="4"/>
  <c r="Q265" i="4"/>
  <c r="I265" i="4"/>
  <c r="H265" i="4"/>
  <c r="G265" i="4"/>
  <c r="C265" i="4"/>
  <c r="F265" i="4"/>
  <c r="E265" i="4"/>
  <c r="J265" i="4"/>
  <c r="B265" i="4"/>
  <c r="K265" i="4"/>
  <c r="L265" i="4"/>
  <c r="M265" i="4"/>
  <c r="N265" i="4"/>
  <c r="R265" i="4"/>
  <c r="O265" i="4"/>
  <c r="P265" i="4"/>
  <c r="S264" i="4"/>
  <c r="L264" i="4"/>
  <c r="B264" i="4"/>
  <c r="C264" i="4"/>
  <c r="D264" i="4"/>
  <c r="E264" i="4"/>
  <c r="F264" i="4"/>
  <c r="G264" i="4"/>
  <c r="H264" i="4"/>
  <c r="I264" i="4"/>
  <c r="J264" i="4"/>
  <c r="K264" i="4"/>
  <c r="M264" i="4"/>
  <c r="N264" i="4"/>
  <c r="O264" i="4"/>
  <c r="P264" i="4"/>
  <c r="Q264" i="4"/>
  <c r="R264" i="4"/>
  <c r="B263" i="4"/>
  <c r="S263" i="4"/>
  <c r="R263" i="4"/>
  <c r="Q263" i="4"/>
  <c r="P263" i="4"/>
  <c r="N263" i="4"/>
  <c r="M263" i="4"/>
  <c r="L263" i="4"/>
  <c r="K263" i="4"/>
  <c r="J263" i="4"/>
  <c r="O263" i="4"/>
  <c r="F263" i="4"/>
  <c r="I263" i="4"/>
  <c r="H263" i="4"/>
  <c r="G263" i="4"/>
  <c r="E263" i="4"/>
  <c r="D263" i="4"/>
  <c r="C263" i="4"/>
  <c r="S262" i="4"/>
  <c r="J262" i="4"/>
  <c r="K262" i="4"/>
  <c r="L262" i="4"/>
  <c r="M262" i="4"/>
  <c r="N262" i="4"/>
  <c r="O262" i="4"/>
  <c r="P262" i="4"/>
  <c r="Q262" i="4"/>
  <c r="R262" i="4"/>
  <c r="C262" i="4"/>
  <c r="B262" i="4"/>
  <c r="D262" i="4"/>
  <c r="E262" i="4"/>
  <c r="F262" i="4"/>
  <c r="G262" i="4"/>
  <c r="H262" i="4"/>
  <c r="I262" i="4"/>
  <c r="H261" i="4"/>
  <c r="F261" i="4"/>
  <c r="S261" i="4"/>
  <c r="R261" i="4"/>
  <c r="Q261" i="4"/>
  <c r="P261" i="4"/>
  <c r="J261" i="4"/>
  <c r="O261" i="4"/>
  <c r="I261" i="4"/>
  <c r="B261" i="4"/>
  <c r="C261" i="4"/>
  <c r="D261" i="4"/>
  <c r="N261" i="4"/>
  <c r="L261" i="4"/>
  <c r="K261" i="4"/>
  <c r="M261" i="4"/>
  <c r="G261" i="4"/>
  <c r="E261" i="4"/>
  <c r="J260" i="4"/>
  <c r="K260" i="4"/>
  <c r="L260" i="4"/>
  <c r="M260" i="4"/>
  <c r="O260" i="4"/>
  <c r="P260" i="4"/>
  <c r="Q260" i="4"/>
  <c r="R260" i="4"/>
  <c r="S260" i="4"/>
  <c r="D260" i="4"/>
  <c r="H260" i="4"/>
  <c r="N260" i="4"/>
  <c r="B260" i="4"/>
  <c r="C260" i="4"/>
  <c r="E260" i="4"/>
  <c r="F260" i="4"/>
  <c r="G260" i="4"/>
  <c r="I260" i="4"/>
  <c r="D259" i="4"/>
  <c r="Q259" i="4"/>
  <c r="R259" i="4"/>
  <c r="P259" i="4"/>
  <c r="O259" i="4"/>
  <c r="C259" i="4"/>
  <c r="J259" i="4"/>
  <c r="L259" i="4"/>
  <c r="S259" i="4"/>
  <c r="K259" i="4"/>
  <c r="H259" i="4"/>
  <c r="B259" i="4"/>
  <c r="I259" i="4"/>
  <c r="G259" i="4"/>
  <c r="F259" i="4"/>
  <c r="M259" i="4"/>
  <c r="E259" i="4"/>
  <c r="N259" i="4"/>
  <c r="J258" i="4"/>
  <c r="I258" i="4"/>
  <c r="H258" i="4"/>
  <c r="G258" i="4"/>
  <c r="F258" i="4"/>
  <c r="E258" i="4"/>
  <c r="D258" i="4"/>
  <c r="C258" i="4"/>
  <c r="B258" i="4"/>
  <c r="S258" i="4"/>
  <c r="R258" i="4"/>
  <c r="Q258" i="4"/>
  <c r="P258" i="4"/>
  <c r="O258" i="4"/>
  <c r="N258" i="4"/>
  <c r="M258" i="4"/>
  <c r="L258" i="4"/>
  <c r="K258" i="4"/>
  <c r="C257" i="4"/>
  <c r="R257" i="4"/>
  <c r="S257" i="4"/>
  <c r="D257" i="4"/>
  <c r="N257" i="4"/>
  <c r="O257" i="4"/>
  <c r="P257" i="4"/>
  <c r="Q257" i="4"/>
  <c r="B257" i="4"/>
  <c r="E257" i="4"/>
  <c r="F257" i="4"/>
  <c r="G257" i="4"/>
  <c r="H257" i="4"/>
  <c r="I257" i="4"/>
  <c r="J257" i="4"/>
  <c r="K257" i="4"/>
  <c r="L257" i="4"/>
  <c r="M257" i="4"/>
  <c r="B256" i="4"/>
  <c r="M256" i="4"/>
  <c r="N256" i="4"/>
  <c r="O256" i="4"/>
  <c r="P256" i="4"/>
  <c r="Q256" i="4"/>
  <c r="I256" i="4"/>
  <c r="R256" i="4"/>
  <c r="S256" i="4"/>
  <c r="L256" i="4"/>
  <c r="C256" i="4"/>
  <c r="D256" i="4"/>
  <c r="E256" i="4"/>
  <c r="F256" i="4"/>
  <c r="G256" i="4"/>
  <c r="H256" i="4"/>
  <c r="J256" i="4"/>
  <c r="K256" i="4"/>
  <c r="F255" i="4"/>
  <c r="J255" i="4"/>
  <c r="H255" i="4"/>
  <c r="G255" i="4"/>
  <c r="R255" i="4"/>
  <c r="E255" i="4"/>
  <c r="D255" i="4"/>
  <c r="C255" i="4"/>
  <c r="S255" i="4"/>
  <c r="I255" i="4"/>
  <c r="K255" i="4"/>
  <c r="L255" i="4"/>
  <c r="M255" i="4"/>
  <c r="N255" i="4"/>
  <c r="O255" i="4"/>
  <c r="P255" i="4"/>
  <c r="Q255" i="4"/>
  <c r="B255" i="4"/>
  <c r="S254" i="4"/>
  <c r="R254" i="4"/>
  <c r="B254" i="4"/>
  <c r="P254" i="4"/>
  <c r="O254" i="4"/>
  <c r="N254" i="4"/>
  <c r="K254" i="4"/>
  <c r="M254" i="4"/>
  <c r="I254" i="4"/>
  <c r="Q254" i="4"/>
  <c r="C254" i="4"/>
  <c r="D254" i="4"/>
  <c r="E254" i="4"/>
  <c r="F254" i="4"/>
  <c r="G254" i="4"/>
  <c r="L254" i="4"/>
  <c r="H254" i="4"/>
  <c r="J254" i="4"/>
  <c r="K253" i="4"/>
  <c r="L253" i="4"/>
  <c r="M253" i="4"/>
  <c r="N253" i="4"/>
  <c r="O253" i="4"/>
  <c r="P253" i="4"/>
  <c r="Q253" i="4"/>
  <c r="R253" i="4"/>
  <c r="S253" i="4"/>
  <c r="G253" i="4"/>
  <c r="B253" i="4"/>
  <c r="C253" i="4"/>
  <c r="D253" i="4"/>
  <c r="E253" i="4"/>
  <c r="F253" i="4"/>
  <c r="H253" i="4"/>
  <c r="I253" i="4"/>
  <c r="J253" i="4"/>
  <c r="C252" i="4"/>
  <c r="D252" i="4"/>
  <c r="E252" i="4"/>
  <c r="F252" i="4"/>
  <c r="G252" i="4"/>
  <c r="H252" i="4"/>
  <c r="I252" i="4"/>
  <c r="J252" i="4"/>
  <c r="K252" i="4"/>
  <c r="L252" i="4"/>
  <c r="B252" i="4"/>
  <c r="M252" i="4"/>
  <c r="N252" i="4"/>
  <c r="O252" i="4"/>
  <c r="P252" i="4"/>
  <c r="Q252" i="4"/>
  <c r="S252" i="4"/>
  <c r="R252" i="4"/>
  <c r="S251" i="4"/>
  <c r="C251" i="4"/>
  <c r="D251" i="4"/>
  <c r="N251" i="4"/>
  <c r="M251" i="4"/>
  <c r="O251" i="4"/>
  <c r="P251" i="4"/>
  <c r="Q251" i="4"/>
  <c r="K251" i="4"/>
  <c r="E251" i="4"/>
  <c r="F251" i="4"/>
  <c r="G251" i="4"/>
  <c r="J251" i="4"/>
  <c r="H251" i="4"/>
  <c r="I251" i="4"/>
  <c r="R251" i="4"/>
  <c r="L251" i="4"/>
  <c r="B251" i="4"/>
  <c r="P250" i="4"/>
  <c r="H250" i="4"/>
  <c r="B250" i="4"/>
  <c r="C250" i="4"/>
  <c r="D250" i="4"/>
  <c r="E250" i="4"/>
  <c r="F250" i="4"/>
  <c r="G250" i="4"/>
  <c r="I250" i="4"/>
  <c r="J250" i="4"/>
  <c r="K250" i="4"/>
  <c r="L250" i="4"/>
  <c r="M250" i="4"/>
  <c r="N250" i="4"/>
  <c r="O250" i="4"/>
  <c r="Q250" i="4"/>
  <c r="R250" i="4"/>
  <c r="S250" i="4"/>
  <c r="C249" i="4"/>
  <c r="D249" i="4"/>
  <c r="P249" i="4"/>
  <c r="Q249" i="4"/>
  <c r="F249" i="4"/>
  <c r="B249" i="4"/>
  <c r="K249" i="4"/>
  <c r="R249" i="4"/>
  <c r="E249" i="4"/>
  <c r="S249" i="4"/>
  <c r="O249" i="4"/>
  <c r="N249" i="4"/>
  <c r="M249" i="4"/>
  <c r="L249" i="4"/>
  <c r="J249" i="4"/>
  <c r="I249" i="4"/>
  <c r="H249" i="4"/>
  <c r="G249" i="4"/>
  <c r="H248" i="4"/>
  <c r="G248" i="4"/>
  <c r="F248" i="4"/>
  <c r="E248" i="4"/>
  <c r="D248" i="4"/>
  <c r="R248" i="4"/>
  <c r="C248" i="4"/>
  <c r="B248" i="4"/>
  <c r="Q248" i="4"/>
  <c r="L248" i="4"/>
  <c r="P248" i="4"/>
  <c r="O248" i="4"/>
  <c r="N248" i="4"/>
  <c r="M248" i="4"/>
  <c r="K248" i="4"/>
  <c r="J248" i="4"/>
  <c r="I248" i="4"/>
  <c r="S248" i="4"/>
  <c r="B247" i="4"/>
  <c r="L247" i="4"/>
  <c r="M247" i="4"/>
  <c r="N247" i="4"/>
  <c r="P247" i="4"/>
  <c r="Q247" i="4"/>
  <c r="R247" i="4"/>
  <c r="S247" i="4"/>
  <c r="I247" i="4"/>
  <c r="K247" i="4"/>
  <c r="H247" i="4"/>
  <c r="O247" i="4"/>
  <c r="G247" i="4"/>
  <c r="F247" i="4"/>
  <c r="E247" i="4"/>
  <c r="D247" i="4"/>
  <c r="C247" i="4"/>
  <c r="J247" i="4"/>
  <c r="K246" i="4"/>
  <c r="L246" i="4"/>
  <c r="M246" i="4"/>
  <c r="N246" i="4"/>
  <c r="O246" i="4"/>
  <c r="P246" i="4"/>
  <c r="Q246" i="4"/>
  <c r="R246" i="4"/>
  <c r="S246" i="4"/>
  <c r="I246" i="4"/>
  <c r="B246" i="4"/>
  <c r="C246" i="4"/>
  <c r="D246" i="4"/>
  <c r="E246" i="4"/>
  <c r="F246" i="4"/>
  <c r="G246" i="4"/>
  <c r="H246" i="4"/>
  <c r="J246" i="4"/>
  <c r="N245" i="4"/>
  <c r="M245" i="4"/>
  <c r="L245" i="4"/>
  <c r="K245" i="4"/>
  <c r="J245" i="4"/>
  <c r="I245" i="4"/>
  <c r="H245" i="4"/>
  <c r="G245" i="4"/>
  <c r="F245" i="4"/>
  <c r="E245" i="4"/>
  <c r="D245" i="4"/>
  <c r="C245" i="4"/>
  <c r="B245" i="4"/>
  <c r="S245" i="4"/>
  <c r="R245" i="4"/>
  <c r="Q245" i="4"/>
  <c r="P245" i="4"/>
  <c r="O245" i="4"/>
  <c r="N244" i="4"/>
  <c r="M244" i="4"/>
  <c r="L244" i="4"/>
  <c r="K244" i="4"/>
  <c r="J244" i="4"/>
  <c r="I244" i="4"/>
  <c r="H244" i="4"/>
  <c r="G244" i="4"/>
  <c r="F244" i="4"/>
  <c r="E244" i="4"/>
  <c r="D244" i="4"/>
  <c r="S244" i="4"/>
  <c r="R244" i="4"/>
  <c r="Q244" i="4"/>
  <c r="P244" i="4"/>
  <c r="O244" i="4"/>
  <c r="C244" i="4"/>
  <c r="B244" i="4"/>
  <c r="J243" i="4"/>
  <c r="I243" i="4"/>
  <c r="H243" i="4"/>
  <c r="G243" i="4"/>
  <c r="F243" i="4"/>
  <c r="E243" i="4"/>
  <c r="D243" i="4"/>
  <c r="S243" i="4"/>
  <c r="C243" i="4"/>
  <c r="B243" i="4"/>
  <c r="R243" i="4"/>
  <c r="Q243" i="4"/>
  <c r="P243" i="4"/>
  <c r="O243" i="4"/>
  <c r="N243" i="4"/>
  <c r="M243" i="4"/>
  <c r="L243" i="4"/>
  <c r="K243" i="4"/>
  <c r="F242" i="4"/>
  <c r="E242" i="4"/>
  <c r="D242" i="4"/>
  <c r="O242" i="4"/>
  <c r="C242" i="4"/>
  <c r="R242" i="4"/>
  <c r="B242" i="4"/>
  <c r="P242" i="4"/>
  <c r="S242" i="4"/>
  <c r="N242" i="4"/>
  <c r="M242" i="4"/>
  <c r="L242" i="4"/>
  <c r="K242" i="4"/>
  <c r="J242" i="4"/>
  <c r="I242" i="4"/>
  <c r="H242" i="4"/>
  <c r="Q242" i="4"/>
  <c r="G242" i="4"/>
  <c r="L241" i="4"/>
  <c r="M241" i="4"/>
  <c r="N241" i="4"/>
  <c r="O241" i="4"/>
  <c r="P241" i="4"/>
  <c r="Q241" i="4"/>
  <c r="R241" i="4"/>
  <c r="S241" i="4"/>
  <c r="F241" i="4"/>
  <c r="I241" i="4"/>
  <c r="B241" i="4"/>
  <c r="C241" i="4"/>
  <c r="D241" i="4"/>
  <c r="E241" i="4"/>
  <c r="G241" i="4"/>
  <c r="H241" i="4"/>
  <c r="J241" i="4"/>
  <c r="K241" i="4"/>
  <c r="D240" i="4"/>
  <c r="E240" i="4"/>
  <c r="F240" i="4"/>
  <c r="G240" i="4"/>
  <c r="H240" i="4"/>
  <c r="I240" i="4"/>
  <c r="J240" i="4"/>
  <c r="K240" i="4"/>
  <c r="L240" i="4"/>
  <c r="M240" i="4"/>
  <c r="N240" i="4"/>
  <c r="O240" i="4"/>
  <c r="P240" i="4"/>
  <c r="Q240" i="4"/>
  <c r="R240" i="4"/>
  <c r="S240" i="4"/>
  <c r="B240" i="4"/>
  <c r="C240" i="4"/>
  <c r="S239" i="4"/>
  <c r="J239" i="4"/>
  <c r="R239" i="4"/>
  <c r="H239" i="4"/>
  <c r="B239" i="4"/>
  <c r="C239" i="4"/>
  <c r="D239" i="4"/>
  <c r="E239" i="4"/>
  <c r="F239" i="4"/>
  <c r="G239" i="4"/>
  <c r="L239" i="4"/>
  <c r="M239" i="4"/>
  <c r="N239" i="4"/>
  <c r="K239" i="4"/>
  <c r="O239" i="4"/>
  <c r="P239" i="4"/>
  <c r="Q239" i="4"/>
  <c r="I239" i="4"/>
  <c r="S238" i="4"/>
  <c r="D238" i="4"/>
  <c r="O238" i="4"/>
  <c r="P238" i="4"/>
  <c r="G238" i="4"/>
  <c r="J238" i="4"/>
  <c r="H238" i="4"/>
  <c r="L238" i="4"/>
  <c r="I238" i="4"/>
  <c r="F238" i="4"/>
  <c r="E238" i="4"/>
  <c r="M238" i="4"/>
  <c r="N238" i="4"/>
  <c r="R238" i="4"/>
  <c r="K238" i="4"/>
  <c r="Q238" i="4"/>
  <c r="B238" i="4"/>
  <c r="C238" i="4"/>
  <c r="H237" i="4"/>
  <c r="I237" i="4"/>
  <c r="J237" i="4"/>
  <c r="K237" i="4"/>
  <c r="L237" i="4"/>
  <c r="M237" i="4"/>
  <c r="N237" i="4"/>
  <c r="O237" i="4"/>
  <c r="P237" i="4"/>
  <c r="Q237" i="4"/>
  <c r="R237" i="4"/>
  <c r="S237" i="4"/>
  <c r="G237" i="4"/>
  <c r="F237" i="4"/>
  <c r="E237" i="4"/>
  <c r="D237" i="4"/>
  <c r="C237" i="4"/>
  <c r="B237" i="4"/>
  <c r="Q236" i="4"/>
  <c r="B236" i="4"/>
  <c r="C236" i="4"/>
  <c r="D236" i="4"/>
  <c r="E236" i="4"/>
  <c r="F236" i="4"/>
  <c r="H236" i="4"/>
  <c r="S236" i="4"/>
  <c r="R236" i="4"/>
  <c r="P236" i="4"/>
  <c r="O236" i="4"/>
  <c r="N236" i="4"/>
  <c r="M236" i="4"/>
  <c r="L236" i="4"/>
  <c r="K236" i="4"/>
  <c r="J236" i="4"/>
  <c r="I236" i="4"/>
  <c r="G236" i="4"/>
  <c r="M235" i="4"/>
  <c r="J235" i="4"/>
  <c r="S235" i="4"/>
  <c r="R235" i="4"/>
  <c r="Q235" i="4"/>
  <c r="P235" i="4"/>
  <c r="O235" i="4"/>
  <c r="N235" i="4"/>
  <c r="B235" i="4"/>
  <c r="L235" i="4"/>
  <c r="K235" i="4"/>
  <c r="I235" i="4"/>
  <c r="H235" i="4"/>
  <c r="G235" i="4"/>
  <c r="F235" i="4"/>
  <c r="E235" i="4"/>
  <c r="D235" i="4"/>
  <c r="C235" i="4"/>
  <c r="K234" i="4"/>
  <c r="L234" i="4"/>
  <c r="M234" i="4"/>
  <c r="N234" i="4"/>
  <c r="O234" i="4"/>
  <c r="P234" i="4"/>
  <c r="Q234" i="4"/>
  <c r="R234" i="4"/>
  <c r="S234" i="4"/>
  <c r="H234" i="4"/>
  <c r="B234" i="4"/>
  <c r="C234" i="4"/>
  <c r="D234" i="4"/>
  <c r="E234" i="4"/>
  <c r="F234" i="4"/>
  <c r="G234" i="4"/>
  <c r="I234" i="4"/>
  <c r="J234" i="4"/>
  <c r="M233" i="4"/>
  <c r="F233" i="4"/>
  <c r="L233" i="4"/>
  <c r="H233" i="4"/>
  <c r="I233" i="4"/>
  <c r="J233" i="4"/>
  <c r="K233" i="4"/>
  <c r="B233" i="4"/>
  <c r="C233" i="4"/>
  <c r="D233" i="4"/>
  <c r="E233" i="4"/>
  <c r="N233" i="4"/>
  <c r="O233" i="4"/>
  <c r="P233" i="4"/>
  <c r="Q233" i="4"/>
  <c r="R233" i="4"/>
  <c r="S233" i="4"/>
  <c r="G233" i="4"/>
  <c r="M232" i="4"/>
  <c r="N232" i="4"/>
  <c r="O232" i="4"/>
  <c r="P232" i="4"/>
  <c r="Q232" i="4"/>
  <c r="R232" i="4"/>
  <c r="S232" i="4"/>
  <c r="I232" i="4"/>
  <c r="D232" i="4"/>
  <c r="L232" i="4"/>
  <c r="C232" i="4"/>
  <c r="K232" i="4"/>
  <c r="B232" i="4"/>
  <c r="H232" i="4"/>
  <c r="J232" i="4"/>
  <c r="G232" i="4"/>
  <c r="F232" i="4"/>
  <c r="E232" i="4"/>
  <c r="H231" i="4"/>
  <c r="N231" i="4"/>
  <c r="M231" i="4"/>
  <c r="L231" i="4"/>
  <c r="K231" i="4"/>
  <c r="J231" i="4"/>
  <c r="I231" i="4"/>
  <c r="O231" i="4"/>
  <c r="S231" i="4"/>
  <c r="G231" i="4"/>
  <c r="F231" i="4"/>
  <c r="E231" i="4"/>
  <c r="D231" i="4"/>
  <c r="C231" i="4"/>
  <c r="R231" i="4"/>
  <c r="B231" i="4"/>
  <c r="Q231" i="4"/>
  <c r="P231" i="4"/>
  <c r="E230" i="4"/>
  <c r="D230" i="4"/>
  <c r="C230" i="4"/>
  <c r="B230" i="4"/>
  <c r="H230" i="4"/>
  <c r="R230" i="4"/>
  <c r="I230" i="4"/>
  <c r="S230" i="4"/>
  <c r="K230" i="4"/>
  <c r="Q230" i="4"/>
  <c r="P230" i="4"/>
  <c r="O230" i="4"/>
  <c r="N230" i="4"/>
  <c r="M230" i="4"/>
  <c r="L230" i="4"/>
  <c r="G230" i="4"/>
  <c r="F230" i="4"/>
  <c r="J230" i="4"/>
  <c r="J229" i="4"/>
  <c r="B229" i="4"/>
  <c r="C229" i="4"/>
  <c r="D229" i="4"/>
  <c r="E229" i="4"/>
  <c r="F229" i="4"/>
  <c r="G229" i="4"/>
  <c r="H229" i="4"/>
  <c r="I229" i="4"/>
  <c r="K229" i="4"/>
  <c r="L229" i="4"/>
  <c r="M229" i="4"/>
  <c r="N229" i="4"/>
  <c r="O229" i="4"/>
  <c r="P229" i="4"/>
  <c r="Q229" i="4"/>
  <c r="R229" i="4"/>
  <c r="S229" i="4"/>
  <c r="L228" i="4"/>
  <c r="B228" i="4"/>
  <c r="D228" i="4"/>
  <c r="E228" i="4"/>
  <c r="F228" i="4"/>
  <c r="R228" i="4"/>
  <c r="Q228" i="4"/>
  <c r="P228" i="4"/>
  <c r="O228" i="4"/>
  <c r="G228" i="4"/>
  <c r="H228" i="4"/>
  <c r="I228" i="4"/>
  <c r="J228" i="4"/>
  <c r="K228" i="4"/>
  <c r="M228" i="4"/>
  <c r="S228" i="4"/>
  <c r="N228" i="4"/>
  <c r="C228" i="4"/>
  <c r="C227" i="4"/>
  <c r="B227" i="4"/>
  <c r="J227" i="4"/>
  <c r="I227" i="4"/>
  <c r="H227" i="4"/>
  <c r="G227" i="4"/>
  <c r="S227" i="4"/>
  <c r="E227" i="4"/>
  <c r="D227" i="4"/>
  <c r="F227" i="4"/>
  <c r="R227" i="4"/>
  <c r="Q227" i="4"/>
  <c r="P227" i="4"/>
  <c r="O227" i="4"/>
  <c r="N227" i="4"/>
  <c r="M227" i="4"/>
  <c r="L227" i="4"/>
  <c r="K227" i="4"/>
  <c r="R226" i="4"/>
  <c r="Q226" i="4"/>
  <c r="P226" i="4"/>
  <c r="O226" i="4"/>
  <c r="M226" i="4"/>
  <c r="L226" i="4"/>
  <c r="B226" i="4"/>
  <c r="S226" i="4"/>
  <c r="C226" i="4"/>
  <c r="E226" i="4"/>
  <c r="F226" i="4"/>
  <c r="N226" i="4"/>
  <c r="G226" i="4"/>
  <c r="H226" i="4"/>
  <c r="I226" i="4"/>
  <c r="J226" i="4"/>
  <c r="K226" i="4"/>
  <c r="D226" i="4"/>
  <c r="R224" i="4"/>
  <c r="S224" i="4"/>
  <c r="B224" i="4"/>
  <c r="C224" i="4"/>
  <c r="D224" i="4"/>
  <c r="E224" i="4"/>
  <c r="F224" i="4"/>
  <c r="G224" i="4"/>
  <c r="H224" i="4"/>
  <c r="I224" i="4"/>
  <c r="J224" i="4"/>
  <c r="K224" i="4"/>
  <c r="L224" i="4"/>
  <c r="M224" i="4"/>
  <c r="N224" i="4"/>
  <c r="O224" i="4"/>
  <c r="P224" i="4"/>
  <c r="Q224" i="4"/>
  <c r="S223" i="4"/>
  <c r="B223" i="4"/>
  <c r="C223" i="4"/>
  <c r="D223" i="4"/>
  <c r="E223" i="4"/>
  <c r="F223" i="4"/>
  <c r="H223" i="4"/>
  <c r="I223" i="4"/>
  <c r="J223" i="4"/>
  <c r="L223" i="4"/>
  <c r="G223" i="4"/>
  <c r="K223" i="4"/>
  <c r="M223" i="4"/>
  <c r="N223" i="4"/>
  <c r="O223" i="4"/>
  <c r="P223" i="4"/>
  <c r="Q223" i="4"/>
  <c r="R223" i="4"/>
  <c r="B222" i="4"/>
  <c r="L222" i="4"/>
  <c r="S222" i="4"/>
  <c r="O222" i="4"/>
  <c r="R222" i="4"/>
  <c r="Q222" i="4"/>
  <c r="P222" i="4"/>
  <c r="N222" i="4"/>
  <c r="M222" i="4"/>
  <c r="K222" i="4"/>
  <c r="J222" i="4"/>
  <c r="I222" i="4"/>
  <c r="H222" i="4"/>
  <c r="G222" i="4"/>
  <c r="F222" i="4"/>
  <c r="E222" i="4"/>
  <c r="D222" i="4"/>
  <c r="C222" i="4"/>
  <c r="S221" i="4"/>
  <c r="R221" i="4"/>
  <c r="Q221" i="4"/>
  <c r="P221" i="4"/>
  <c r="O221" i="4"/>
  <c r="N221" i="4"/>
  <c r="M221" i="4"/>
  <c r="L221" i="4"/>
  <c r="J221" i="4"/>
  <c r="I221" i="4"/>
  <c r="H221" i="4"/>
  <c r="G221" i="4"/>
  <c r="F221" i="4"/>
  <c r="E221" i="4"/>
  <c r="D221" i="4"/>
  <c r="B221" i="4"/>
  <c r="C221" i="4"/>
  <c r="K221" i="4"/>
  <c r="S220" i="4"/>
  <c r="B220" i="4"/>
  <c r="D220" i="4"/>
  <c r="E220" i="4"/>
  <c r="F220" i="4"/>
  <c r="G220" i="4"/>
  <c r="C220" i="4"/>
  <c r="H220" i="4"/>
  <c r="R220" i="4"/>
  <c r="I220" i="4"/>
  <c r="K220" i="4"/>
  <c r="J220" i="4"/>
  <c r="L220" i="4"/>
  <c r="M220" i="4"/>
  <c r="N220" i="4"/>
  <c r="O220" i="4"/>
  <c r="P220" i="4"/>
  <c r="Q220" i="4"/>
  <c r="J219" i="4"/>
  <c r="K219" i="4"/>
  <c r="L219" i="4"/>
  <c r="N219" i="4"/>
  <c r="O219" i="4"/>
  <c r="P219" i="4"/>
  <c r="Q219" i="4"/>
  <c r="R219" i="4"/>
  <c r="S219" i="4"/>
  <c r="M219" i="4"/>
  <c r="B219" i="4"/>
  <c r="C219" i="4"/>
  <c r="D219" i="4"/>
  <c r="E219" i="4"/>
  <c r="F219" i="4"/>
  <c r="G219" i="4"/>
  <c r="H219" i="4"/>
  <c r="I219" i="4"/>
  <c r="H218" i="4"/>
  <c r="G218" i="4"/>
  <c r="E218" i="4"/>
  <c r="F218" i="4"/>
  <c r="D218" i="4"/>
  <c r="C218" i="4"/>
  <c r="S218" i="4"/>
  <c r="B218" i="4"/>
  <c r="J218" i="4"/>
  <c r="I218" i="4"/>
  <c r="K218" i="4"/>
  <c r="L218" i="4"/>
  <c r="M218" i="4"/>
  <c r="N218" i="4"/>
  <c r="O218" i="4"/>
  <c r="P218" i="4"/>
  <c r="Q218" i="4"/>
  <c r="R218" i="4"/>
  <c r="I217" i="4"/>
  <c r="H217" i="4"/>
  <c r="G217" i="4"/>
  <c r="E217" i="4"/>
  <c r="S217" i="4"/>
  <c r="D217" i="4"/>
  <c r="C217" i="4"/>
  <c r="B217" i="4"/>
  <c r="F217" i="4"/>
  <c r="L217" i="4"/>
  <c r="R217" i="4"/>
  <c r="Q217" i="4"/>
  <c r="P217" i="4"/>
  <c r="O217" i="4"/>
  <c r="N217" i="4"/>
  <c r="M217" i="4"/>
  <c r="K217" i="4"/>
  <c r="J217" i="4"/>
  <c r="Q216" i="4"/>
  <c r="R216" i="4"/>
  <c r="S216" i="4"/>
  <c r="I216" i="4"/>
  <c r="B216" i="4"/>
  <c r="L216" i="4"/>
  <c r="H216" i="4"/>
  <c r="M216" i="4"/>
  <c r="J216" i="4"/>
  <c r="N216" i="4"/>
  <c r="P216" i="4"/>
  <c r="O216" i="4"/>
  <c r="G216" i="4"/>
  <c r="F216" i="4"/>
  <c r="E216" i="4"/>
  <c r="D216" i="4"/>
  <c r="C216" i="4"/>
  <c r="K216" i="4"/>
  <c r="N215" i="4"/>
  <c r="B215" i="4"/>
  <c r="C215" i="4"/>
  <c r="E215" i="4"/>
  <c r="F215" i="4"/>
  <c r="G215" i="4"/>
  <c r="H215" i="4"/>
  <c r="I215" i="4"/>
  <c r="J215" i="4"/>
  <c r="K215" i="4"/>
  <c r="L215" i="4"/>
  <c r="M215" i="4"/>
  <c r="O215" i="4"/>
  <c r="P215" i="4"/>
  <c r="Q215" i="4"/>
  <c r="R215" i="4"/>
  <c r="S215" i="4"/>
  <c r="D215" i="4"/>
  <c r="S214" i="4"/>
  <c r="Q214" i="4"/>
  <c r="P214" i="4"/>
  <c r="O214" i="4"/>
  <c r="N214" i="4"/>
  <c r="M214" i="4"/>
  <c r="L214" i="4"/>
  <c r="R214" i="4"/>
  <c r="B214" i="4"/>
  <c r="C214" i="4"/>
  <c r="D214" i="4"/>
  <c r="E214" i="4"/>
  <c r="F214" i="4"/>
  <c r="G214" i="4"/>
  <c r="H214" i="4"/>
  <c r="I214" i="4"/>
  <c r="J214" i="4"/>
  <c r="K214" i="4"/>
  <c r="B213" i="4"/>
  <c r="C213" i="4"/>
  <c r="D213" i="4"/>
  <c r="E213" i="4"/>
  <c r="F213" i="4"/>
  <c r="G213" i="4"/>
  <c r="H213" i="4"/>
  <c r="I213" i="4"/>
  <c r="J213" i="4"/>
  <c r="K213" i="4"/>
  <c r="L213" i="4"/>
  <c r="R213" i="4"/>
  <c r="S213" i="4"/>
  <c r="N213" i="4"/>
  <c r="O213" i="4"/>
  <c r="Q213" i="4"/>
  <c r="P213" i="4"/>
  <c r="M213" i="4"/>
  <c r="S212" i="4"/>
  <c r="R212" i="4"/>
  <c r="P212" i="4"/>
  <c r="O212" i="4"/>
  <c r="N212" i="4"/>
  <c r="M212" i="4"/>
  <c r="L212" i="4"/>
  <c r="K212" i="4"/>
  <c r="J212" i="4"/>
  <c r="I212" i="4"/>
  <c r="H212" i="4"/>
  <c r="G212" i="4"/>
  <c r="F212" i="4"/>
  <c r="E212" i="4"/>
  <c r="D212" i="4"/>
  <c r="C212" i="4"/>
  <c r="B212" i="4"/>
  <c r="Q212" i="4"/>
  <c r="S211" i="4"/>
  <c r="J211" i="4"/>
  <c r="I211" i="4"/>
  <c r="H211" i="4"/>
  <c r="G211" i="4"/>
  <c r="F211" i="4"/>
  <c r="O211" i="4"/>
  <c r="E211" i="4"/>
  <c r="D211" i="4"/>
  <c r="B211" i="4"/>
  <c r="Q211" i="4"/>
  <c r="P211" i="4"/>
  <c r="C211" i="4"/>
  <c r="N211" i="4"/>
  <c r="M211" i="4"/>
  <c r="R211" i="4"/>
  <c r="L211" i="4"/>
  <c r="K211" i="4"/>
  <c r="I210" i="4"/>
  <c r="H210" i="4"/>
  <c r="G210" i="4"/>
  <c r="E210" i="4"/>
  <c r="D210" i="4"/>
  <c r="B210" i="4"/>
  <c r="C210" i="4"/>
  <c r="F210" i="4"/>
  <c r="S210" i="4"/>
  <c r="R210" i="4"/>
  <c r="Q210" i="4"/>
  <c r="P210" i="4"/>
  <c r="O210" i="4"/>
  <c r="N210" i="4"/>
  <c r="M210" i="4"/>
  <c r="L210" i="4"/>
  <c r="K210" i="4"/>
  <c r="J210" i="4"/>
  <c r="J209" i="4"/>
  <c r="S209" i="4"/>
  <c r="R209" i="4"/>
  <c r="Q209" i="4"/>
  <c r="P209" i="4"/>
  <c r="N209" i="4"/>
  <c r="M209" i="4"/>
  <c r="O209" i="4"/>
  <c r="B209" i="4"/>
  <c r="L209" i="4"/>
  <c r="C209" i="4"/>
  <c r="D209" i="4"/>
  <c r="K209" i="4"/>
  <c r="E209" i="4"/>
  <c r="F209" i="4"/>
  <c r="G209" i="4"/>
  <c r="H209" i="4"/>
  <c r="I209" i="4"/>
  <c r="I208" i="4"/>
  <c r="H208" i="4"/>
  <c r="G208" i="4"/>
  <c r="F208" i="4"/>
  <c r="E208" i="4"/>
  <c r="D208" i="4"/>
  <c r="C208" i="4"/>
  <c r="B208" i="4"/>
  <c r="P208" i="4"/>
  <c r="N208" i="4"/>
  <c r="S208" i="4"/>
  <c r="R208" i="4"/>
  <c r="Q208" i="4"/>
  <c r="O208" i="4"/>
  <c r="M208" i="4"/>
  <c r="L208" i="4"/>
  <c r="K208" i="4"/>
  <c r="J208" i="4"/>
  <c r="I207" i="4"/>
  <c r="H207" i="4"/>
  <c r="G207" i="4"/>
  <c r="F207" i="4"/>
  <c r="E207" i="4"/>
  <c r="D207" i="4"/>
  <c r="C207" i="4"/>
  <c r="B207" i="4"/>
  <c r="K207" i="4"/>
  <c r="L207" i="4"/>
  <c r="R207" i="4"/>
  <c r="S207" i="4"/>
  <c r="M207" i="4"/>
  <c r="Q207" i="4"/>
  <c r="P207" i="4"/>
  <c r="O207" i="4"/>
  <c r="J207" i="4"/>
  <c r="N207" i="4"/>
  <c r="I206" i="4"/>
  <c r="J206" i="4"/>
  <c r="K206" i="4"/>
  <c r="N206" i="4"/>
  <c r="O206" i="4"/>
  <c r="P206" i="4"/>
  <c r="Q206" i="4"/>
  <c r="R206" i="4"/>
  <c r="S206" i="4"/>
  <c r="L206" i="4"/>
  <c r="B206" i="4"/>
  <c r="C206" i="4"/>
  <c r="M206" i="4"/>
  <c r="D206" i="4"/>
  <c r="E206" i="4"/>
  <c r="F206" i="4"/>
  <c r="G206" i="4"/>
  <c r="H206" i="4"/>
  <c r="D205" i="4"/>
  <c r="B205" i="4"/>
  <c r="C205" i="4"/>
  <c r="E205" i="4"/>
  <c r="F205" i="4"/>
  <c r="G205" i="4"/>
  <c r="H205" i="4"/>
  <c r="I205" i="4"/>
  <c r="J205" i="4"/>
  <c r="M205" i="4"/>
  <c r="N205" i="4"/>
  <c r="K205" i="4"/>
  <c r="O205" i="4"/>
  <c r="P205" i="4"/>
  <c r="Q205" i="4"/>
  <c r="R205" i="4"/>
  <c r="S205" i="4"/>
  <c r="L205" i="4"/>
  <c r="K204" i="4"/>
  <c r="L204" i="4"/>
  <c r="M204" i="4"/>
  <c r="N204" i="4"/>
  <c r="O204" i="4"/>
  <c r="P204" i="4"/>
  <c r="Q204" i="4"/>
  <c r="R204" i="4"/>
  <c r="S204" i="4"/>
  <c r="G204" i="4"/>
  <c r="B204" i="4"/>
  <c r="C204" i="4"/>
  <c r="D204" i="4"/>
  <c r="E204" i="4"/>
  <c r="F204" i="4"/>
  <c r="H204" i="4"/>
  <c r="I204" i="4"/>
  <c r="J204" i="4"/>
  <c r="D203" i="4"/>
  <c r="G203" i="4"/>
  <c r="H203" i="4"/>
  <c r="I203" i="4"/>
  <c r="J203" i="4"/>
  <c r="S203" i="4"/>
  <c r="R203" i="4"/>
  <c r="B203" i="4"/>
  <c r="C203" i="4"/>
  <c r="Q203" i="4"/>
  <c r="E203" i="4"/>
  <c r="F203" i="4"/>
  <c r="P203" i="4"/>
  <c r="O203" i="4"/>
  <c r="N203" i="4"/>
  <c r="M203" i="4"/>
  <c r="L203" i="4"/>
  <c r="K203" i="4"/>
  <c r="L202" i="4"/>
  <c r="B202" i="4"/>
  <c r="I202" i="4"/>
  <c r="C202" i="4"/>
  <c r="D202" i="4"/>
  <c r="H202" i="4"/>
  <c r="J202" i="4"/>
  <c r="K202" i="4"/>
  <c r="R202" i="4"/>
  <c r="E202" i="4"/>
  <c r="M202" i="4"/>
  <c r="N202" i="4"/>
  <c r="O202" i="4"/>
  <c r="F202" i="4"/>
  <c r="P202" i="4"/>
  <c r="Q202" i="4"/>
  <c r="G202" i="4"/>
  <c r="S202" i="4"/>
  <c r="L201" i="4"/>
  <c r="K201" i="4"/>
  <c r="J201" i="4"/>
  <c r="I201" i="4"/>
  <c r="H201" i="4"/>
  <c r="G201" i="4"/>
  <c r="F201" i="4"/>
  <c r="E201" i="4"/>
  <c r="D201" i="4"/>
  <c r="C201" i="4"/>
  <c r="B201" i="4"/>
  <c r="S201" i="4"/>
  <c r="R201" i="4"/>
  <c r="Q201" i="4"/>
  <c r="P201" i="4"/>
  <c r="O201" i="4"/>
  <c r="N201" i="4"/>
  <c r="M201" i="4"/>
  <c r="Q200" i="4"/>
  <c r="P200" i="4"/>
  <c r="O200" i="4"/>
  <c r="N200" i="4"/>
  <c r="M200" i="4"/>
  <c r="L200" i="4"/>
  <c r="K200" i="4"/>
  <c r="J200" i="4"/>
  <c r="S200" i="4"/>
  <c r="I200" i="4"/>
  <c r="H200" i="4"/>
  <c r="G200" i="4"/>
  <c r="F200" i="4"/>
  <c r="E200" i="4"/>
  <c r="D200" i="4"/>
  <c r="C200" i="4"/>
  <c r="R200" i="4"/>
  <c r="B200" i="4"/>
  <c r="J199" i="4"/>
  <c r="I199" i="4"/>
  <c r="H199" i="4"/>
  <c r="G199" i="4"/>
  <c r="F199" i="4"/>
  <c r="C199" i="4"/>
  <c r="B199" i="4"/>
  <c r="S199" i="4"/>
  <c r="E199" i="4"/>
  <c r="D199" i="4"/>
  <c r="R199" i="4"/>
  <c r="Q199" i="4"/>
  <c r="P199" i="4"/>
  <c r="O199" i="4"/>
  <c r="M199" i="4"/>
  <c r="L199" i="4"/>
  <c r="K199" i="4"/>
  <c r="N199" i="4"/>
  <c r="J198" i="4"/>
  <c r="I198" i="4"/>
  <c r="H198" i="4"/>
  <c r="F198" i="4"/>
  <c r="E198" i="4"/>
  <c r="D198" i="4"/>
  <c r="C198" i="4"/>
  <c r="B198" i="4"/>
  <c r="K198" i="4"/>
  <c r="R198" i="4"/>
  <c r="Q198" i="4"/>
  <c r="G198" i="4"/>
  <c r="S198" i="4"/>
  <c r="P198" i="4"/>
  <c r="O198" i="4"/>
  <c r="N198" i="4"/>
  <c r="M198" i="4"/>
  <c r="L198" i="4"/>
  <c r="Q197" i="4"/>
  <c r="J197" i="4"/>
  <c r="B197" i="4"/>
  <c r="P197" i="4"/>
  <c r="O197" i="4"/>
  <c r="N197" i="4"/>
  <c r="M197" i="4"/>
  <c r="L197" i="4"/>
  <c r="K197" i="4"/>
  <c r="S197" i="4"/>
  <c r="R197" i="4"/>
  <c r="I197" i="4"/>
  <c r="H197" i="4"/>
  <c r="G197" i="4"/>
  <c r="F197" i="4"/>
  <c r="E197" i="4"/>
  <c r="D197" i="4"/>
  <c r="C197" i="4"/>
  <c r="S196" i="4"/>
  <c r="R196" i="4"/>
  <c r="Q196" i="4"/>
  <c r="P196" i="4"/>
  <c r="O196" i="4"/>
  <c r="N196" i="4"/>
  <c r="M196" i="4"/>
  <c r="L196" i="4"/>
  <c r="K196" i="4"/>
  <c r="J196" i="4"/>
  <c r="I196" i="4"/>
  <c r="H196" i="4"/>
  <c r="G196" i="4"/>
  <c r="F196" i="4"/>
  <c r="E196" i="4"/>
  <c r="D196" i="4"/>
  <c r="C196" i="4"/>
  <c r="B196" i="4"/>
  <c r="B195" i="4"/>
  <c r="C195" i="4"/>
  <c r="D195" i="4"/>
  <c r="E195" i="4"/>
  <c r="F195" i="4"/>
  <c r="G195" i="4"/>
  <c r="O195" i="4"/>
  <c r="H195" i="4"/>
  <c r="S195" i="4"/>
  <c r="R195" i="4"/>
  <c r="Q195" i="4"/>
  <c r="P195" i="4"/>
  <c r="N195" i="4"/>
  <c r="M195" i="4"/>
  <c r="L195" i="4"/>
  <c r="K195" i="4"/>
  <c r="J195" i="4"/>
  <c r="I195" i="4"/>
  <c r="L194" i="4"/>
  <c r="S194" i="4"/>
  <c r="R194" i="4"/>
  <c r="Q194" i="4"/>
  <c r="P194" i="4"/>
  <c r="O194" i="4"/>
  <c r="N194" i="4"/>
  <c r="M194" i="4"/>
  <c r="K194" i="4"/>
  <c r="J194" i="4"/>
  <c r="I194" i="4"/>
  <c r="H194" i="4"/>
  <c r="G194" i="4"/>
  <c r="F194" i="4"/>
  <c r="E194" i="4"/>
  <c r="D194" i="4"/>
  <c r="C194" i="4"/>
  <c r="B194" i="4"/>
  <c r="S193" i="4"/>
  <c r="R193" i="4"/>
  <c r="G193" i="4"/>
  <c r="B193" i="4"/>
  <c r="C193" i="4"/>
  <c r="D193" i="4"/>
  <c r="E193" i="4"/>
  <c r="F193" i="4"/>
  <c r="H193" i="4"/>
  <c r="I193" i="4"/>
  <c r="J193" i="4"/>
  <c r="K193" i="4"/>
  <c r="L193" i="4"/>
  <c r="M193" i="4"/>
  <c r="N193" i="4"/>
  <c r="O193" i="4"/>
  <c r="P193" i="4"/>
  <c r="Q193" i="4"/>
  <c r="K192" i="4"/>
  <c r="L192" i="4"/>
  <c r="N192" i="4"/>
  <c r="O192" i="4"/>
  <c r="P192" i="4"/>
  <c r="M192" i="4"/>
  <c r="S192" i="4"/>
  <c r="Q192" i="4"/>
  <c r="B192" i="4"/>
  <c r="C192" i="4"/>
  <c r="D192" i="4"/>
  <c r="R192" i="4"/>
  <c r="E192" i="4"/>
  <c r="F192" i="4"/>
  <c r="G192" i="4"/>
  <c r="H192" i="4"/>
  <c r="I192" i="4"/>
  <c r="J192" i="4"/>
  <c r="S191" i="4"/>
  <c r="C191" i="4"/>
  <c r="R191" i="4"/>
  <c r="J191" i="4"/>
  <c r="H191" i="4"/>
  <c r="G191" i="4"/>
  <c r="F191" i="4"/>
  <c r="E191" i="4"/>
  <c r="D191" i="4"/>
  <c r="B191" i="4"/>
  <c r="K191" i="4"/>
  <c r="L191" i="4"/>
  <c r="M191" i="4"/>
  <c r="N191" i="4"/>
  <c r="I191" i="4"/>
  <c r="O191" i="4"/>
  <c r="P191" i="4"/>
  <c r="Q191" i="4"/>
  <c r="L190" i="4"/>
  <c r="D190" i="4"/>
  <c r="C190" i="4"/>
  <c r="S190" i="4"/>
  <c r="R190" i="4"/>
  <c r="Q190" i="4"/>
  <c r="P190" i="4"/>
  <c r="O190" i="4"/>
  <c r="N190" i="4"/>
  <c r="M190" i="4"/>
  <c r="B190" i="4"/>
  <c r="K190" i="4"/>
  <c r="J190" i="4"/>
  <c r="I190" i="4"/>
  <c r="H190" i="4"/>
  <c r="G190" i="4"/>
  <c r="F190" i="4"/>
  <c r="E190" i="4"/>
  <c r="B189" i="4"/>
  <c r="G189" i="4"/>
  <c r="F189" i="4"/>
  <c r="E189" i="4"/>
  <c r="D189" i="4"/>
  <c r="C189" i="4"/>
  <c r="Q189" i="4"/>
  <c r="R189" i="4"/>
  <c r="N189" i="4"/>
  <c r="S189" i="4"/>
  <c r="H189" i="4"/>
  <c r="K189" i="4"/>
  <c r="M189" i="4"/>
  <c r="L189" i="4"/>
  <c r="J189" i="4"/>
  <c r="I189" i="4"/>
  <c r="O189" i="4"/>
  <c r="P189" i="4"/>
  <c r="I188" i="4"/>
  <c r="P188" i="4"/>
  <c r="O188" i="4"/>
  <c r="N188" i="4"/>
  <c r="L188" i="4"/>
  <c r="K188" i="4"/>
  <c r="H188" i="4"/>
  <c r="J188" i="4"/>
  <c r="M188" i="4"/>
  <c r="Q188" i="4"/>
  <c r="B188" i="4"/>
  <c r="C188" i="4"/>
  <c r="D188" i="4"/>
  <c r="F188" i="4"/>
  <c r="G188" i="4"/>
  <c r="S188" i="4"/>
  <c r="R188" i="4"/>
  <c r="E188" i="4"/>
  <c r="R187" i="4"/>
  <c r="S187" i="4"/>
  <c r="J187" i="4"/>
  <c r="K187" i="4"/>
  <c r="L187" i="4"/>
  <c r="G187" i="4"/>
  <c r="M187" i="4"/>
  <c r="N187" i="4"/>
  <c r="F187" i="4"/>
  <c r="D187" i="4"/>
  <c r="C187" i="4"/>
  <c r="I187" i="4"/>
  <c r="B187" i="4"/>
  <c r="E187" i="4"/>
  <c r="P187" i="4"/>
  <c r="O187" i="4"/>
  <c r="H187" i="4"/>
  <c r="Q187" i="4"/>
  <c r="B186" i="4"/>
  <c r="R186" i="4"/>
  <c r="S186" i="4"/>
  <c r="Q186" i="4"/>
  <c r="P186" i="4"/>
  <c r="O186" i="4"/>
  <c r="N186" i="4"/>
  <c r="M186" i="4"/>
  <c r="L186" i="4"/>
  <c r="K186" i="4"/>
  <c r="J186" i="4"/>
  <c r="I186" i="4"/>
  <c r="H186" i="4"/>
  <c r="G186" i="4"/>
  <c r="F186" i="4"/>
  <c r="E186" i="4"/>
  <c r="D186" i="4"/>
  <c r="C186" i="4"/>
  <c r="J185" i="4"/>
  <c r="L185" i="4"/>
  <c r="K185" i="4"/>
  <c r="M185" i="4"/>
  <c r="N185" i="4"/>
  <c r="O185" i="4"/>
  <c r="P185" i="4"/>
  <c r="Q185" i="4"/>
  <c r="R185" i="4"/>
  <c r="S185" i="4"/>
  <c r="B185" i="4"/>
  <c r="C185" i="4"/>
  <c r="H185" i="4"/>
  <c r="D185" i="4"/>
  <c r="E185" i="4"/>
  <c r="F185" i="4"/>
  <c r="G185" i="4"/>
  <c r="I185" i="4"/>
  <c r="D184" i="4"/>
  <c r="C184" i="4"/>
  <c r="E184" i="4" s="1"/>
  <c r="C61" i="2" s="1"/>
  <c r="B184" i="4"/>
  <c r="D183" i="4"/>
  <c r="C183" i="4"/>
  <c r="B183" i="4"/>
  <c r="E183" i="4"/>
  <c r="B182" i="4"/>
  <c r="D182" i="4"/>
  <c r="C182" i="4"/>
  <c r="E182" i="4" s="1"/>
  <c r="B181" i="4"/>
  <c r="C181" i="4"/>
  <c r="D181" i="4"/>
  <c r="E181" i="4"/>
  <c r="B180" i="4"/>
  <c r="D180" i="4"/>
  <c r="C180" i="4"/>
  <c r="E180" i="4" s="1"/>
  <c r="B179" i="4"/>
  <c r="C179" i="4"/>
  <c r="D179" i="4"/>
  <c r="E179" i="4"/>
  <c r="L179" i="4"/>
  <c r="O179" i="4"/>
  <c r="Q179" i="4"/>
  <c r="D178" i="4"/>
  <c r="B178" i="4"/>
  <c r="C178" i="4"/>
  <c r="E178" i="4"/>
  <c r="Q178" i="4"/>
  <c r="D177" i="4"/>
  <c r="C177" i="4"/>
  <c r="E177" i="4" s="1"/>
  <c r="B177" i="4"/>
  <c r="D176" i="4"/>
  <c r="C176" i="4"/>
  <c r="E176" i="4" s="1"/>
  <c r="B176" i="4"/>
  <c r="D175" i="4"/>
  <c r="C175" i="4"/>
  <c r="E175" i="4" s="1"/>
  <c r="B175" i="4"/>
  <c r="D174" i="4"/>
  <c r="C174" i="4"/>
  <c r="E174" i="4" s="1"/>
  <c r="B174" i="4"/>
  <c r="D173" i="4"/>
  <c r="C173" i="4"/>
  <c r="E173" i="4" s="1"/>
  <c r="B173" i="4"/>
  <c r="D172" i="4"/>
  <c r="C172" i="4"/>
  <c r="E172" i="4" s="1"/>
  <c r="C60" i="2" s="1"/>
  <c r="B172" i="4"/>
  <c r="D171" i="4"/>
  <c r="C171" i="4"/>
  <c r="E171" i="4" s="1"/>
  <c r="B171" i="4"/>
  <c r="D170" i="4"/>
  <c r="C170" i="4"/>
  <c r="E170" i="4" s="1"/>
  <c r="B170" i="4"/>
  <c r="D169" i="4"/>
  <c r="C169" i="4"/>
  <c r="E169" i="4" s="1"/>
  <c r="B169" i="4"/>
  <c r="D168" i="4"/>
  <c r="C168" i="4"/>
  <c r="E168" i="4" s="1"/>
  <c r="B168" i="4"/>
  <c r="D167" i="4"/>
  <c r="C167" i="4"/>
  <c r="E167" i="4" s="1"/>
  <c r="B167" i="4"/>
  <c r="D166" i="4"/>
  <c r="C166" i="4"/>
  <c r="E166" i="4" s="1"/>
  <c r="B166" i="4"/>
  <c r="D165" i="4"/>
  <c r="C165" i="4"/>
  <c r="E165" i="4" s="1"/>
  <c r="B165" i="4"/>
  <c r="D164" i="4"/>
  <c r="C164" i="4"/>
  <c r="E164" i="4" s="1"/>
  <c r="B164" i="4"/>
  <c r="D163" i="4"/>
  <c r="C163" i="4"/>
  <c r="E163" i="4" s="1"/>
  <c r="B163" i="4"/>
  <c r="D162" i="4"/>
  <c r="C162" i="4"/>
  <c r="E162" i="4" s="1"/>
  <c r="B162" i="4"/>
  <c r="D161" i="4"/>
  <c r="C161" i="4"/>
  <c r="E161" i="4" s="1"/>
  <c r="B161" i="4"/>
  <c r="D160" i="4"/>
  <c r="C160" i="4"/>
  <c r="E160" i="4" s="1"/>
  <c r="C59" i="2" s="1"/>
  <c r="B160" i="4"/>
  <c r="D159" i="4"/>
  <c r="C159" i="4"/>
  <c r="E159" i="4" s="1"/>
  <c r="B159" i="4"/>
  <c r="D158" i="4"/>
  <c r="C158" i="4"/>
  <c r="E158" i="4" s="1"/>
  <c r="B158" i="4"/>
  <c r="D157" i="4"/>
  <c r="C157" i="4"/>
  <c r="E157" i="4" s="1"/>
  <c r="B157" i="4"/>
  <c r="D156" i="4"/>
  <c r="C156" i="4"/>
  <c r="E156" i="4" s="1"/>
  <c r="B156" i="4"/>
  <c r="D155" i="4"/>
  <c r="C155" i="4"/>
  <c r="E155" i="4" s="1"/>
  <c r="B155" i="4"/>
  <c r="D154" i="4"/>
  <c r="C154" i="4"/>
  <c r="E154" i="4" s="1"/>
  <c r="B154" i="4"/>
  <c r="D153" i="4"/>
  <c r="C153" i="4"/>
  <c r="E153" i="4" s="1"/>
  <c r="B153" i="4"/>
  <c r="D152" i="4"/>
  <c r="C152" i="4"/>
  <c r="E152" i="4" s="1"/>
  <c r="B152" i="4"/>
  <c r="D151" i="4"/>
  <c r="C151" i="4"/>
  <c r="E151" i="4" s="1"/>
  <c r="B151" i="4"/>
  <c r="D150" i="4"/>
  <c r="C150" i="4"/>
  <c r="E150" i="4" s="1"/>
  <c r="B150" i="4"/>
  <c r="D149" i="4"/>
  <c r="C149" i="4"/>
  <c r="E149" i="4" s="1"/>
  <c r="B149" i="4"/>
  <c r="D148" i="4"/>
  <c r="C148" i="4"/>
  <c r="E148" i="4" s="1"/>
  <c r="C58" i="2" s="1"/>
  <c r="B148" i="4"/>
  <c r="D147" i="4"/>
  <c r="C147" i="4"/>
  <c r="E147" i="4" s="1"/>
  <c r="B147" i="4"/>
  <c r="D146" i="4"/>
  <c r="C146" i="4"/>
  <c r="E146" i="4" s="1"/>
  <c r="B146" i="4"/>
  <c r="D145" i="4"/>
  <c r="C145" i="4"/>
  <c r="E145" i="4" s="1"/>
  <c r="B145" i="4"/>
  <c r="D144" i="4"/>
  <c r="C144" i="4"/>
  <c r="E144" i="4" s="1"/>
  <c r="B144" i="4"/>
  <c r="B143" i="4"/>
  <c r="C143" i="4"/>
  <c r="D143" i="4"/>
  <c r="E143" i="4"/>
  <c r="D142" i="4"/>
  <c r="C142" i="4"/>
  <c r="E142" i="4" s="1"/>
  <c r="B142" i="4"/>
  <c r="D141" i="4"/>
  <c r="B141" i="4"/>
  <c r="C141" i="4"/>
  <c r="E141" i="4" s="1"/>
  <c r="Q141" i="4"/>
  <c r="O141" i="4"/>
  <c r="D140" i="4"/>
  <c r="C140" i="4"/>
  <c r="E140" i="4"/>
  <c r="B140" i="4"/>
  <c r="L140" i="4"/>
  <c r="D139" i="4"/>
  <c r="C139" i="4"/>
  <c r="B139" i="4"/>
  <c r="E139" i="4"/>
  <c r="D138" i="4"/>
  <c r="C138" i="4"/>
  <c r="E138" i="4" s="1"/>
  <c r="B138" i="4"/>
  <c r="Q138" i="4"/>
  <c r="O138" i="4"/>
  <c r="L138" i="4"/>
  <c r="B137" i="4"/>
  <c r="D137" i="4"/>
  <c r="C137" i="4"/>
  <c r="E137" i="4" s="1"/>
  <c r="Q137" i="4"/>
  <c r="O137" i="4"/>
  <c r="P137" i="4" s="1"/>
  <c r="P138" i="4" s="1"/>
  <c r="L137" i="4"/>
  <c r="B136" i="4"/>
  <c r="C136" i="4"/>
  <c r="D136" i="4"/>
  <c r="E136" i="4"/>
  <c r="B135" i="4"/>
  <c r="C135" i="4"/>
  <c r="E135" i="4" s="1"/>
  <c r="D135" i="4"/>
  <c r="L135" i="4" s="1"/>
  <c r="O135" i="4"/>
  <c r="C134" i="4"/>
  <c r="B134" i="4"/>
  <c r="E134" i="4"/>
  <c r="D134" i="4"/>
  <c r="O134" i="4"/>
  <c r="B133" i="4"/>
  <c r="C133" i="4"/>
  <c r="D133" i="4"/>
  <c r="E133" i="4"/>
  <c r="D132" i="4"/>
  <c r="C132" i="4"/>
  <c r="B132" i="4"/>
  <c r="L132" i="4"/>
  <c r="Q132" i="4"/>
  <c r="O132" i="4"/>
  <c r="E132" i="4"/>
  <c r="D131" i="4"/>
  <c r="C131" i="4"/>
  <c r="E131" i="4" s="1"/>
  <c r="B131" i="4"/>
  <c r="O131" i="4"/>
  <c r="B130" i="4"/>
  <c r="C130" i="4"/>
  <c r="D130" i="4"/>
  <c r="Q130" i="4" s="1"/>
  <c r="E130" i="4"/>
  <c r="D129" i="4"/>
  <c r="C129" i="4"/>
  <c r="E129" i="4" s="1"/>
  <c r="B129" i="4"/>
  <c r="D128" i="4"/>
  <c r="L128" i="4" s="1"/>
  <c r="C128" i="4"/>
  <c r="E128" i="4" s="1"/>
  <c r="B128" i="4"/>
  <c r="O128" i="4"/>
  <c r="Q128" i="4"/>
  <c r="B127" i="4"/>
  <c r="C127" i="4"/>
  <c r="D127" i="4"/>
  <c r="E127" i="4"/>
  <c r="B126" i="4"/>
  <c r="C126" i="4"/>
  <c r="D126" i="4"/>
  <c r="Q126" i="4" s="1"/>
  <c r="E126" i="4"/>
  <c r="O126" i="4"/>
  <c r="L126" i="4"/>
  <c r="D125" i="4"/>
  <c r="C125" i="4"/>
  <c r="E125" i="4" s="1"/>
  <c r="B125" i="4"/>
  <c r="Q125" i="4"/>
  <c r="O125" i="4"/>
  <c r="P125" i="4" s="1"/>
  <c r="P126" i="4" s="1"/>
  <c r="L125" i="4"/>
  <c r="D124" i="4"/>
  <c r="C124" i="4"/>
  <c r="E124" i="4" s="1"/>
  <c r="C56" i="2" s="1"/>
  <c r="B124" i="4"/>
  <c r="B123" i="4"/>
  <c r="C123" i="4"/>
  <c r="D123" i="4"/>
  <c r="E123" i="4"/>
  <c r="L123" i="4"/>
  <c r="O123" i="4"/>
  <c r="Q123" i="4"/>
  <c r="B122" i="4"/>
  <c r="C122" i="4"/>
  <c r="E122" i="4" s="1"/>
  <c r="D122" i="4"/>
  <c r="Q122" i="4"/>
  <c r="O122" i="4"/>
  <c r="L122" i="4"/>
  <c r="B121" i="4"/>
  <c r="C121" i="4"/>
  <c r="D121" i="4"/>
  <c r="E121" i="4"/>
  <c r="C120" i="4"/>
  <c r="D120" i="4"/>
  <c r="E120" i="4"/>
  <c r="L120" i="4"/>
  <c r="O120" i="4"/>
  <c r="Q120" i="4"/>
  <c r="B120" i="4"/>
  <c r="B119" i="4"/>
  <c r="D119" i="4"/>
  <c r="C119" i="4"/>
  <c r="E119" i="4" s="1"/>
  <c r="B118" i="4"/>
  <c r="C118" i="4"/>
  <c r="E118" i="4" s="1"/>
  <c r="D118" i="4"/>
  <c r="B117" i="4"/>
  <c r="D117" i="4"/>
  <c r="C117" i="4"/>
  <c r="E117" i="4" s="1"/>
  <c r="L117" i="4"/>
  <c r="B116" i="4"/>
  <c r="C116" i="4"/>
  <c r="E116" i="4" s="1"/>
  <c r="D116" i="4"/>
  <c r="O116" i="4" s="1"/>
  <c r="B115" i="4"/>
  <c r="C115" i="4"/>
  <c r="D115" i="4"/>
  <c r="E115" i="4"/>
  <c r="Q115" i="4"/>
  <c r="D114" i="4"/>
  <c r="C114" i="4"/>
  <c r="E114" i="4" s="1"/>
  <c r="B114" i="4"/>
  <c r="Q114" i="4"/>
  <c r="O114" i="4"/>
  <c r="L114" i="4"/>
  <c r="C113" i="4"/>
  <c r="E113" i="4" s="1"/>
  <c r="D113" i="4"/>
  <c r="B113" i="4"/>
  <c r="D112" i="4"/>
  <c r="C112" i="4"/>
  <c r="E112" i="4" s="1"/>
  <c r="C55" i="2" s="1"/>
  <c r="B112" i="4"/>
  <c r="D111" i="4"/>
  <c r="C111" i="4"/>
  <c r="E111" i="4" s="1"/>
  <c r="B111" i="4"/>
  <c r="D110" i="4"/>
  <c r="C110" i="4"/>
  <c r="E110" i="4" s="1"/>
  <c r="B110" i="4"/>
  <c r="D109" i="4"/>
  <c r="C109" i="4"/>
  <c r="E109" i="4" s="1"/>
  <c r="B109" i="4"/>
  <c r="D108" i="4"/>
  <c r="C108" i="4"/>
  <c r="E108" i="4" s="1"/>
  <c r="B108" i="4"/>
  <c r="D107" i="4"/>
  <c r="C107" i="4"/>
  <c r="E107" i="4" s="1"/>
  <c r="B107" i="4"/>
  <c r="B106" i="4"/>
  <c r="C106" i="4"/>
  <c r="D106" i="4"/>
  <c r="E106" i="4"/>
  <c r="Q106" i="4"/>
  <c r="B105" i="4"/>
  <c r="D105" i="4"/>
  <c r="C105" i="4"/>
  <c r="E105" i="4" s="1"/>
  <c r="D104" i="4"/>
  <c r="C104" i="4"/>
  <c r="E104" i="4" s="1"/>
  <c r="B104" i="4"/>
  <c r="B103" i="4"/>
  <c r="C103" i="4"/>
  <c r="D103" i="4"/>
  <c r="E103" i="4"/>
  <c r="D102" i="4"/>
  <c r="C102" i="4"/>
  <c r="E102" i="4" s="1"/>
  <c r="B102" i="4"/>
  <c r="B101" i="4"/>
  <c r="C101" i="4"/>
  <c r="D101" i="4"/>
  <c r="E101" i="4"/>
  <c r="L101" i="4"/>
  <c r="O101" i="4"/>
  <c r="P101" i="4"/>
  <c r="Q101" i="4"/>
  <c r="D100" i="4"/>
  <c r="C100" i="4"/>
  <c r="E100" i="4" s="1"/>
  <c r="C54" i="2" s="1"/>
  <c r="B100" i="4"/>
  <c r="B99" i="4"/>
  <c r="C99" i="4"/>
  <c r="D99" i="4"/>
  <c r="E99" i="4"/>
  <c r="Q99" i="4"/>
  <c r="C98" i="4"/>
  <c r="D98" i="4"/>
  <c r="O98" i="4" s="1"/>
  <c r="E98" i="4"/>
  <c r="B98" i="4"/>
  <c r="L98" i="4"/>
  <c r="Q98" i="4"/>
  <c r="B97" i="4"/>
  <c r="C97" i="4"/>
  <c r="D97" i="4"/>
  <c r="E97" i="4"/>
  <c r="Q97" i="4"/>
  <c r="D96" i="4"/>
  <c r="C96" i="4"/>
  <c r="E96" i="4" s="1"/>
  <c r="B96" i="4"/>
  <c r="Q96" i="4"/>
  <c r="O96" i="4"/>
  <c r="L96" i="4"/>
  <c r="B95" i="4"/>
  <c r="C95" i="4"/>
  <c r="D95" i="4"/>
  <c r="E95" i="4"/>
  <c r="L95" i="4"/>
  <c r="O95" i="4"/>
  <c r="D94" i="4"/>
  <c r="C94" i="4"/>
  <c r="E94" i="4" s="1"/>
  <c r="B94" i="4"/>
  <c r="B93" i="4"/>
  <c r="C93" i="4"/>
  <c r="D93" i="4"/>
  <c r="E93" i="4"/>
  <c r="B92" i="4"/>
  <c r="D92" i="4"/>
  <c r="C92" i="4"/>
  <c r="E92" i="4"/>
  <c r="D91" i="4"/>
  <c r="B91" i="4"/>
  <c r="Q91" i="4"/>
  <c r="C91" i="4"/>
  <c r="E91" i="4" s="1"/>
  <c r="B90" i="4"/>
  <c r="C90" i="4"/>
  <c r="E90" i="4" s="1"/>
  <c r="D90" i="4"/>
  <c r="D89" i="4"/>
  <c r="C89" i="4"/>
  <c r="E89" i="4" s="1"/>
  <c r="B89" i="4"/>
  <c r="B88" i="4"/>
  <c r="C88" i="4"/>
  <c r="D88" i="4"/>
  <c r="E88" i="4"/>
  <c r="C53" i="2" s="1"/>
  <c r="D87" i="4"/>
  <c r="C87" i="4"/>
  <c r="B87" i="4"/>
  <c r="E87" i="4"/>
  <c r="Q87" i="4"/>
  <c r="O87" i="4"/>
  <c r="L87" i="4"/>
  <c r="B86" i="4"/>
  <c r="D86" i="4"/>
  <c r="C86" i="4"/>
  <c r="E86" i="4" s="1"/>
  <c r="C85" i="4"/>
  <c r="E85" i="4"/>
  <c r="D85" i="4"/>
  <c r="Q85" i="4"/>
  <c r="B85" i="4"/>
  <c r="D84" i="4"/>
  <c r="O84" i="4" s="1"/>
  <c r="C84" i="4"/>
  <c r="E84" i="4" s="1"/>
  <c r="B84" i="4"/>
  <c r="L84" i="4"/>
  <c r="Q84" i="4"/>
  <c r="D83" i="4"/>
  <c r="B83" i="4"/>
  <c r="C83" i="4"/>
  <c r="E83" i="4"/>
  <c r="B82" i="4"/>
  <c r="C82" i="4"/>
  <c r="D82" i="4"/>
  <c r="E82" i="4"/>
  <c r="B81" i="4"/>
  <c r="D81" i="4"/>
  <c r="L81" i="4"/>
  <c r="O81" i="4"/>
  <c r="Q81" i="4"/>
  <c r="C81" i="4"/>
  <c r="E81" i="4" s="1"/>
  <c r="D80" i="4"/>
  <c r="C80" i="4"/>
  <c r="L80" i="4"/>
  <c r="B80" i="4"/>
  <c r="E80" i="4"/>
  <c r="D79" i="4"/>
  <c r="C79" i="4"/>
  <c r="E79" i="4" s="1"/>
  <c r="B79" i="4"/>
  <c r="Q79" i="4"/>
  <c r="B78" i="4"/>
  <c r="D78" i="4"/>
  <c r="C78" i="4"/>
  <c r="E78" i="4" s="1"/>
  <c r="B77" i="4"/>
  <c r="C77" i="4"/>
  <c r="E77" i="4"/>
  <c r="D77" i="4"/>
  <c r="Q77" i="4"/>
  <c r="O77" i="4"/>
  <c r="C76" i="4"/>
  <c r="E76" i="4" s="1"/>
  <c r="C52" i="2" s="1"/>
  <c r="B76" i="4"/>
  <c r="D76" i="4"/>
  <c r="D75" i="4"/>
  <c r="C75" i="4"/>
  <c r="E75" i="4" s="1"/>
  <c r="Q75" i="4"/>
  <c r="B75" i="4"/>
  <c r="C74" i="4"/>
  <c r="E74" i="4" s="1"/>
  <c r="D74" i="4"/>
  <c r="L74" i="4" s="1"/>
  <c r="B74" i="4"/>
  <c r="Q74" i="4"/>
  <c r="O74" i="4"/>
  <c r="B73" i="4"/>
  <c r="C73" i="4"/>
  <c r="E73" i="4"/>
  <c r="D73" i="4"/>
  <c r="B72" i="4"/>
  <c r="C72" i="4"/>
  <c r="E72" i="4" s="1"/>
  <c r="D72" i="4"/>
  <c r="D71" i="4"/>
  <c r="C71" i="4"/>
  <c r="E71" i="4" s="1"/>
  <c r="B71" i="4"/>
  <c r="L71" i="4"/>
  <c r="Q71" i="4"/>
  <c r="O71" i="4"/>
  <c r="D70" i="4"/>
  <c r="B70" i="4"/>
  <c r="Q70" i="4"/>
  <c r="C70" i="4"/>
  <c r="E70" i="4" s="1"/>
  <c r="D69" i="4"/>
  <c r="O69" i="4" s="1"/>
  <c r="L69" i="4"/>
  <c r="C69" i="4"/>
  <c r="B69" i="4"/>
  <c r="Q69" i="4"/>
  <c r="E69" i="4"/>
  <c r="D68" i="4"/>
  <c r="B68" i="4"/>
  <c r="C68" i="4"/>
  <c r="E68" i="4" s="1"/>
  <c r="L68" i="4"/>
  <c r="O68" i="4"/>
  <c r="Q68" i="4"/>
  <c r="C67" i="4"/>
  <c r="E67" i="4"/>
  <c r="D67" i="4"/>
  <c r="Q67" i="4"/>
  <c r="D66" i="4"/>
  <c r="C66" i="4"/>
  <c r="E66" i="4" s="1"/>
  <c r="B66" i="4"/>
  <c r="Q66" i="4"/>
  <c r="C65" i="4"/>
  <c r="E65" i="4" s="1"/>
  <c r="B65" i="4"/>
  <c r="D65" i="4"/>
  <c r="D64" i="4"/>
  <c r="C64" i="4"/>
  <c r="E64" i="4" s="1"/>
  <c r="C51" i="2" s="1"/>
  <c r="B64" i="4"/>
  <c r="D63" i="4"/>
  <c r="C63" i="4"/>
  <c r="E63" i="4" s="1"/>
  <c r="B63" i="4"/>
  <c r="Q63" i="4"/>
  <c r="C62" i="4"/>
  <c r="D62" i="4"/>
  <c r="E62" i="4"/>
  <c r="B62" i="4"/>
  <c r="L62" i="4"/>
  <c r="O62" i="4"/>
  <c r="Q62" i="4"/>
  <c r="C61" i="4"/>
  <c r="E61" i="4"/>
  <c r="D61" i="4"/>
  <c r="B61" i="4"/>
  <c r="B60" i="4"/>
  <c r="C60" i="4"/>
  <c r="E60" i="4" s="1"/>
  <c r="D60" i="4"/>
  <c r="O60" i="4"/>
  <c r="D59" i="4"/>
  <c r="C59" i="4"/>
  <c r="B59" i="4"/>
  <c r="O59" i="4"/>
  <c r="Q59" i="4"/>
  <c r="E59" i="4"/>
  <c r="L59" i="4"/>
  <c r="B58" i="4"/>
  <c r="C58" i="4"/>
  <c r="E58" i="4" s="1"/>
  <c r="D58" i="4"/>
  <c r="Q58" i="4"/>
  <c r="D57" i="4"/>
  <c r="C57" i="4"/>
  <c r="E57" i="4" s="1"/>
  <c r="B57" i="4"/>
  <c r="Q57" i="4"/>
  <c r="O57" i="4"/>
  <c r="L57" i="4"/>
  <c r="D56" i="4"/>
  <c r="C56" i="4"/>
  <c r="E56" i="4" s="1"/>
  <c r="B56" i="4"/>
  <c r="D55" i="4"/>
  <c r="C55" i="4"/>
  <c r="E55" i="4" s="1"/>
  <c r="B55" i="4"/>
  <c r="C54" i="4"/>
  <c r="E54" i="4" s="1"/>
  <c r="D54" i="4"/>
  <c r="L54" i="4"/>
  <c r="B54" i="4"/>
  <c r="C53" i="4"/>
  <c r="D53" i="4"/>
  <c r="E53" i="4"/>
  <c r="L53" i="4"/>
  <c r="O53" i="4"/>
  <c r="P53" i="4"/>
  <c r="Q53" i="4"/>
  <c r="B53" i="4"/>
  <c r="D52" i="4"/>
  <c r="C52" i="4"/>
  <c r="E52" i="4" s="1"/>
  <c r="C50" i="2" s="1"/>
  <c r="B52" i="4"/>
  <c r="B51" i="4"/>
  <c r="C51" i="4"/>
  <c r="D51" i="4"/>
  <c r="E51" i="4"/>
  <c r="L51" i="4"/>
  <c r="O51" i="4"/>
  <c r="Q51" i="4"/>
  <c r="C50" i="4"/>
  <c r="D50" i="4"/>
  <c r="E50" i="4"/>
  <c r="L50" i="4"/>
  <c r="B50" i="4"/>
  <c r="O50" i="4"/>
  <c r="Q50" i="4"/>
  <c r="D49" i="4"/>
  <c r="C49" i="4"/>
  <c r="E49" i="4" s="1"/>
  <c r="B49" i="4"/>
  <c r="B48" i="4"/>
  <c r="D48" i="4"/>
  <c r="C48" i="4"/>
  <c r="E48" i="4" s="1"/>
  <c r="E47" i="4"/>
  <c r="D47" i="4"/>
  <c r="B47" i="4"/>
  <c r="D46" i="4"/>
  <c r="C46" i="4"/>
  <c r="E46" i="4" s="1"/>
  <c r="B46" i="4"/>
  <c r="Q46" i="4"/>
  <c r="D45" i="4"/>
  <c r="B45" i="4"/>
  <c r="L45" i="4"/>
  <c r="O45" i="4"/>
  <c r="Q45" i="4"/>
  <c r="C45" i="4"/>
  <c r="E45" i="4" s="1"/>
  <c r="D44" i="4"/>
  <c r="C44" i="4"/>
  <c r="E44" i="4" s="1"/>
  <c r="B44" i="4"/>
  <c r="C43" i="4"/>
  <c r="E43" i="4" s="1"/>
  <c r="B43" i="4"/>
  <c r="D43" i="4"/>
  <c r="Q43" i="4"/>
  <c r="C42" i="4"/>
  <c r="E42" i="4" s="1"/>
  <c r="D42" i="4"/>
  <c r="B42" i="4"/>
  <c r="D41" i="4"/>
  <c r="L41" i="4"/>
  <c r="C41" i="4"/>
  <c r="E41" i="4" s="1"/>
  <c r="O41" i="4"/>
  <c r="Q41" i="4"/>
  <c r="P41" i="4"/>
  <c r="D40" i="4"/>
  <c r="C40" i="4"/>
  <c r="E40" i="4" s="1"/>
  <c r="C49" i="2" s="1"/>
  <c r="B40" i="4"/>
  <c r="D39" i="4"/>
  <c r="C39" i="4"/>
  <c r="E39" i="4" s="1"/>
  <c r="B39" i="4"/>
  <c r="L39" i="4"/>
  <c r="D38" i="4"/>
  <c r="O38" i="4"/>
  <c r="Q38" i="4"/>
  <c r="L38" i="4"/>
  <c r="C38" i="4"/>
  <c r="E38" i="4" s="1"/>
  <c r="B38" i="4"/>
  <c r="B37" i="4"/>
  <c r="D37" i="4"/>
  <c r="C37" i="4"/>
  <c r="E37" i="4" s="1"/>
  <c r="Q37" i="4"/>
  <c r="D36" i="4"/>
  <c r="B36" i="4"/>
  <c r="C36" i="4"/>
  <c r="E36" i="4" s="1"/>
  <c r="D35" i="4"/>
  <c r="C35" i="4"/>
  <c r="E35" i="4" s="1"/>
  <c r="B35" i="4"/>
  <c r="D34" i="4"/>
  <c r="C34" i="4"/>
  <c r="E34" i="4" s="1"/>
  <c r="B34" i="4"/>
  <c r="D33" i="4"/>
  <c r="B33" i="4"/>
  <c r="Q33" i="4"/>
  <c r="O33" i="4"/>
  <c r="C33" i="4"/>
  <c r="E33" i="4" s="1"/>
  <c r="D32" i="4"/>
  <c r="C32" i="4"/>
  <c r="E32" i="4" s="1"/>
  <c r="B32" i="4"/>
  <c r="L32" i="4"/>
  <c r="O32" i="4"/>
  <c r="Q32" i="4"/>
  <c r="D31" i="4"/>
  <c r="B31" i="4"/>
  <c r="Q31" i="4"/>
  <c r="C31" i="4"/>
  <c r="E31" i="4" s="1"/>
  <c r="B30" i="4"/>
  <c r="C30" i="4"/>
  <c r="D30" i="4"/>
  <c r="E30" i="4"/>
  <c r="Q30" i="4"/>
  <c r="O30" i="4"/>
  <c r="L30" i="4"/>
  <c r="B29" i="4"/>
  <c r="C29" i="4"/>
  <c r="D29" i="4"/>
  <c r="E29" i="4"/>
  <c r="B28" i="4"/>
  <c r="C28" i="4"/>
  <c r="D28" i="4"/>
  <c r="E28" i="4"/>
  <c r="C48" i="2" s="1"/>
  <c r="B27" i="4"/>
  <c r="C27" i="4"/>
  <c r="D27" i="4"/>
  <c r="L27" i="4" s="1"/>
  <c r="Q27" i="4"/>
  <c r="O27" i="4"/>
  <c r="E27" i="4"/>
  <c r="D26" i="4"/>
  <c r="C26" i="4"/>
  <c r="E26" i="4" s="1"/>
  <c r="B26" i="4"/>
  <c r="Q26" i="4"/>
  <c r="O26" i="4"/>
  <c r="L26" i="4"/>
  <c r="D25" i="4"/>
  <c r="C25" i="4"/>
  <c r="E25" i="4"/>
  <c r="B25" i="4"/>
  <c r="Q25" i="4"/>
  <c r="D24" i="4"/>
  <c r="C24" i="4"/>
  <c r="E24" i="4" s="1"/>
  <c r="B24" i="4"/>
  <c r="D23" i="4"/>
  <c r="C23" i="4"/>
  <c r="E23" i="4" s="1"/>
  <c r="B23" i="4"/>
  <c r="D22" i="4"/>
  <c r="C22" i="4"/>
  <c r="E22" i="4" s="1"/>
  <c r="B22" i="4"/>
  <c r="D21" i="4"/>
  <c r="C21" i="4"/>
  <c r="E21" i="4" s="1"/>
  <c r="B21" i="4"/>
  <c r="L21" i="4"/>
  <c r="D20" i="4"/>
  <c r="C20" i="4"/>
  <c r="E20" i="4" s="1"/>
  <c r="B20" i="4"/>
  <c r="Q20" i="4"/>
  <c r="O20" i="4"/>
  <c r="L20" i="4"/>
  <c r="B19" i="4"/>
  <c r="C19" i="4"/>
  <c r="E19" i="4" s="1"/>
  <c r="D19" i="4"/>
  <c r="B18" i="4"/>
  <c r="C18" i="4"/>
  <c r="E18" i="4"/>
  <c r="D18" i="4"/>
  <c r="L18" i="4" s="1"/>
  <c r="D17" i="4"/>
  <c r="C17" i="4"/>
  <c r="E17" i="4" s="1"/>
  <c r="B17" i="4"/>
  <c r="Q17" i="4"/>
  <c r="O17" i="4"/>
  <c r="P17" i="4" s="1"/>
  <c r="L17" i="4"/>
  <c r="C16" i="4"/>
  <c r="D16" i="4"/>
  <c r="E16" i="4"/>
  <c r="C47" i="2" s="1"/>
  <c r="B16" i="4"/>
  <c r="B15" i="4"/>
  <c r="C15" i="4"/>
  <c r="D15" i="4"/>
  <c r="E15" i="4"/>
  <c r="L15" i="4"/>
  <c r="O15" i="4"/>
  <c r="Q15" i="4"/>
  <c r="D14" i="4"/>
  <c r="C14" i="4"/>
  <c r="E14" i="4" s="1"/>
  <c r="B14" i="4"/>
  <c r="Q14" i="4"/>
  <c r="D13" i="4"/>
  <c r="C13" i="4"/>
  <c r="E13" i="4" s="1"/>
  <c r="B13" i="4"/>
  <c r="D12" i="4"/>
  <c r="C12" i="4"/>
  <c r="E12" i="4" s="1"/>
  <c r="B12" i="4"/>
  <c r="Q12" i="4"/>
  <c r="O12" i="4"/>
  <c r="L12" i="4"/>
  <c r="D11" i="4"/>
  <c r="C11" i="4"/>
  <c r="E11" i="4" s="1"/>
  <c r="B11" i="4"/>
  <c r="B10" i="4"/>
  <c r="C10" i="4"/>
  <c r="E10" i="4"/>
  <c r="D10" i="4"/>
  <c r="B9" i="4"/>
  <c r="D9" i="4"/>
  <c r="C9" i="4"/>
  <c r="E9" i="4" s="1"/>
  <c r="B8" i="4"/>
  <c r="C8" i="4"/>
  <c r="D8" i="4"/>
  <c r="E8" i="4"/>
  <c r="L8" i="4"/>
  <c r="D7" i="4"/>
  <c r="C7" i="4"/>
  <c r="E7" i="4" s="1"/>
  <c r="B7" i="4"/>
  <c r="Q7" i="4"/>
  <c r="B6" i="4"/>
  <c r="C6" i="4"/>
  <c r="D6" i="4"/>
  <c r="E6" i="4"/>
  <c r="Q6" i="4"/>
  <c r="F5" i="4"/>
  <c r="D47" i="2" s="1"/>
  <c r="B5" i="4"/>
  <c r="C5" i="4"/>
  <c r="E5" i="4" s="1"/>
  <c r="G5" i="4" s="1"/>
  <c r="D5" i="4"/>
  <c r="Q5" i="4"/>
  <c r="S364" i="3"/>
  <c r="R364" i="3"/>
  <c r="Q364" i="3"/>
  <c r="O364" i="3"/>
  <c r="N364" i="3"/>
  <c r="M364" i="3"/>
  <c r="L364" i="3"/>
  <c r="K364" i="3"/>
  <c r="J364" i="3"/>
  <c r="I364" i="3"/>
  <c r="H364" i="3"/>
  <c r="G364" i="3"/>
  <c r="F364" i="3"/>
  <c r="E364" i="3"/>
  <c r="D364" i="3"/>
  <c r="C364" i="3"/>
  <c r="B364" i="3"/>
  <c r="P364" i="3"/>
  <c r="S363" i="3"/>
  <c r="R363" i="3"/>
  <c r="Q363" i="3"/>
  <c r="P363" i="3"/>
  <c r="O363" i="3"/>
  <c r="N363" i="3"/>
  <c r="M363" i="3"/>
  <c r="K363" i="3"/>
  <c r="J363" i="3"/>
  <c r="I363" i="3"/>
  <c r="H363" i="3"/>
  <c r="G363" i="3"/>
  <c r="F363" i="3"/>
  <c r="E363" i="3"/>
  <c r="D363" i="3"/>
  <c r="C363" i="3"/>
  <c r="B363" i="3"/>
  <c r="L363" i="3"/>
  <c r="S362" i="3"/>
  <c r="L362" i="3"/>
  <c r="K362" i="3"/>
  <c r="J362" i="3"/>
  <c r="I362" i="3"/>
  <c r="N362" i="3"/>
  <c r="H362" i="3"/>
  <c r="G362" i="3"/>
  <c r="F362" i="3"/>
  <c r="E362" i="3"/>
  <c r="D362" i="3"/>
  <c r="C362" i="3"/>
  <c r="B362" i="3"/>
  <c r="M362" i="3"/>
  <c r="R362" i="3"/>
  <c r="Q362" i="3"/>
  <c r="P362" i="3"/>
  <c r="O362" i="3"/>
  <c r="I361" i="3"/>
  <c r="O361" i="3"/>
  <c r="M361" i="3"/>
  <c r="L361" i="3"/>
  <c r="K361" i="3"/>
  <c r="E361" i="3"/>
  <c r="H361" i="3"/>
  <c r="G361" i="3"/>
  <c r="F361" i="3"/>
  <c r="D361" i="3"/>
  <c r="C361" i="3"/>
  <c r="J361" i="3"/>
  <c r="S361" i="3"/>
  <c r="N361" i="3"/>
  <c r="R361" i="3"/>
  <c r="Q361" i="3"/>
  <c r="P361" i="3"/>
  <c r="B361" i="3"/>
  <c r="I360" i="3"/>
  <c r="J360" i="3"/>
  <c r="K360" i="3"/>
  <c r="L360" i="3"/>
  <c r="M360" i="3"/>
  <c r="N360" i="3"/>
  <c r="O360" i="3"/>
  <c r="P360" i="3"/>
  <c r="Q360" i="3"/>
  <c r="R360" i="3"/>
  <c r="S360" i="3"/>
  <c r="B360" i="3"/>
  <c r="C360" i="3"/>
  <c r="D360" i="3"/>
  <c r="E360" i="3"/>
  <c r="F360" i="3"/>
  <c r="G360" i="3"/>
  <c r="H360" i="3"/>
  <c r="S359" i="3"/>
  <c r="D359" i="3"/>
  <c r="F359" i="3"/>
  <c r="I359" i="3"/>
  <c r="G359" i="3"/>
  <c r="H359" i="3"/>
  <c r="M359" i="3"/>
  <c r="B359" i="3"/>
  <c r="E359" i="3"/>
  <c r="J359" i="3"/>
  <c r="N359" i="3"/>
  <c r="P359" i="3"/>
  <c r="K359" i="3"/>
  <c r="L359" i="3"/>
  <c r="O359" i="3"/>
  <c r="Q359" i="3"/>
  <c r="R359" i="3"/>
  <c r="C359" i="3"/>
  <c r="B358" i="3"/>
  <c r="D358" i="3"/>
  <c r="E358" i="3"/>
  <c r="G358" i="3"/>
  <c r="H358" i="3"/>
  <c r="I358" i="3"/>
  <c r="J358" i="3"/>
  <c r="K358" i="3"/>
  <c r="L358" i="3"/>
  <c r="M358" i="3"/>
  <c r="C358" i="3"/>
  <c r="F358" i="3"/>
  <c r="S358" i="3"/>
  <c r="R358" i="3"/>
  <c r="Q358" i="3"/>
  <c r="P358" i="3"/>
  <c r="O358" i="3"/>
  <c r="N358" i="3"/>
  <c r="K357" i="3"/>
  <c r="J357" i="3"/>
  <c r="E357" i="3"/>
  <c r="H357" i="3"/>
  <c r="G357" i="3"/>
  <c r="F357" i="3"/>
  <c r="D357" i="3"/>
  <c r="C357" i="3"/>
  <c r="R357" i="3"/>
  <c r="B357" i="3"/>
  <c r="Q357" i="3"/>
  <c r="S357" i="3"/>
  <c r="P357" i="3"/>
  <c r="O357" i="3"/>
  <c r="M357" i="3"/>
  <c r="N357" i="3"/>
  <c r="L357" i="3"/>
  <c r="I357" i="3"/>
  <c r="E356" i="3"/>
  <c r="S356" i="3"/>
  <c r="R356" i="3"/>
  <c r="Q356" i="3"/>
  <c r="P356" i="3"/>
  <c r="O356" i="3"/>
  <c r="N356" i="3"/>
  <c r="M356" i="3"/>
  <c r="L356" i="3"/>
  <c r="K356" i="3"/>
  <c r="J356" i="3"/>
  <c r="I356" i="3"/>
  <c r="H356" i="3"/>
  <c r="G356" i="3"/>
  <c r="F356" i="3"/>
  <c r="D356" i="3"/>
  <c r="C356" i="3"/>
  <c r="B356" i="3"/>
  <c r="P355" i="3"/>
  <c r="C355" i="3"/>
  <c r="B355" i="3"/>
  <c r="S355" i="3"/>
  <c r="R355" i="3"/>
  <c r="Q355" i="3"/>
  <c r="O355" i="3"/>
  <c r="N355" i="3"/>
  <c r="M355" i="3"/>
  <c r="L355" i="3"/>
  <c r="K355" i="3"/>
  <c r="J355" i="3"/>
  <c r="I355" i="3"/>
  <c r="H355" i="3"/>
  <c r="G355" i="3"/>
  <c r="F355" i="3"/>
  <c r="E355" i="3"/>
  <c r="D355" i="3"/>
  <c r="G354" i="3"/>
  <c r="S354" i="3"/>
  <c r="R354" i="3"/>
  <c r="P354" i="3"/>
  <c r="C354" i="3"/>
  <c r="O354" i="3"/>
  <c r="N354" i="3"/>
  <c r="M354" i="3"/>
  <c r="L354" i="3"/>
  <c r="K354" i="3"/>
  <c r="J354" i="3"/>
  <c r="I354" i="3"/>
  <c r="E354" i="3"/>
  <c r="H354" i="3"/>
  <c r="Q354" i="3"/>
  <c r="F354" i="3"/>
  <c r="D354" i="3"/>
  <c r="B354" i="3"/>
  <c r="E353" i="3"/>
  <c r="C353" i="3"/>
  <c r="B353" i="3"/>
  <c r="N353" i="3"/>
  <c r="S353" i="3"/>
  <c r="R353" i="3"/>
  <c r="Q353" i="3"/>
  <c r="P353" i="3"/>
  <c r="O353" i="3"/>
  <c r="M353" i="3"/>
  <c r="D353" i="3"/>
  <c r="L353" i="3"/>
  <c r="K353" i="3"/>
  <c r="J353" i="3"/>
  <c r="I353" i="3"/>
  <c r="H353" i="3"/>
  <c r="G353" i="3"/>
  <c r="F353" i="3"/>
  <c r="L352" i="3"/>
  <c r="I352" i="3"/>
  <c r="J352" i="3"/>
  <c r="Q352" i="3"/>
  <c r="P352" i="3"/>
  <c r="O352" i="3"/>
  <c r="K352" i="3"/>
  <c r="N352" i="3"/>
  <c r="M352" i="3"/>
  <c r="G352" i="3"/>
  <c r="S352" i="3"/>
  <c r="R352" i="3"/>
  <c r="B352" i="3"/>
  <c r="D352" i="3"/>
  <c r="E352" i="3"/>
  <c r="F352" i="3"/>
  <c r="C352" i="3"/>
  <c r="H352" i="3"/>
  <c r="K351" i="3"/>
  <c r="J351" i="3"/>
  <c r="I351" i="3"/>
  <c r="H351" i="3"/>
  <c r="E351" i="3"/>
  <c r="D351" i="3"/>
  <c r="C351" i="3"/>
  <c r="B351" i="3"/>
  <c r="F351" i="3"/>
  <c r="G351" i="3"/>
  <c r="S351" i="3"/>
  <c r="R351" i="3"/>
  <c r="Q351" i="3"/>
  <c r="P351" i="3"/>
  <c r="O351" i="3"/>
  <c r="N351" i="3"/>
  <c r="M351" i="3"/>
  <c r="L351" i="3"/>
  <c r="G350" i="3"/>
  <c r="R350" i="3"/>
  <c r="Q350" i="3"/>
  <c r="P350" i="3"/>
  <c r="O350" i="3"/>
  <c r="N350" i="3"/>
  <c r="L350" i="3"/>
  <c r="K350" i="3"/>
  <c r="E350" i="3"/>
  <c r="F350" i="3"/>
  <c r="H350" i="3"/>
  <c r="M350" i="3"/>
  <c r="J350" i="3"/>
  <c r="B350" i="3"/>
  <c r="I350" i="3"/>
  <c r="C350" i="3"/>
  <c r="D350" i="3"/>
  <c r="S350" i="3"/>
  <c r="B349" i="3"/>
  <c r="M349" i="3"/>
  <c r="Q349" i="3"/>
  <c r="R349" i="3"/>
  <c r="S349" i="3"/>
  <c r="G349" i="3"/>
  <c r="F349" i="3"/>
  <c r="E349" i="3"/>
  <c r="D349" i="3"/>
  <c r="C349" i="3"/>
  <c r="H349" i="3"/>
  <c r="I349" i="3"/>
  <c r="J349" i="3"/>
  <c r="K349" i="3"/>
  <c r="L349" i="3"/>
  <c r="N349" i="3"/>
  <c r="O349" i="3"/>
  <c r="P349" i="3"/>
  <c r="S348" i="3"/>
  <c r="R348" i="3"/>
  <c r="Q348" i="3"/>
  <c r="P348" i="3"/>
  <c r="O348" i="3"/>
  <c r="N348" i="3"/>
  <c r="M348" i="3"/>
  <c r="L348" i="3"/>
  <c r="K348" i="3"/>
  <c r="J348" i="3"/>
  <c r="F348" i="3"/>
  <c r="B348" i="3"/>
  <c r="C348" i="3"/>
  <c r="D348" i="3"/>
  <c r="E348" i="3"/>
  <c r="G348" i="3"/>
  <c r="H348" i="3"/>
  <c r="I348" i="3"/>
  <c r="I347" i="3"/>
  <c r="M347" i="3"/>
  <c r="L347" i="3"/>
  <c r="K347" i="3"/>
  <c r="J347" i="3"/>
  <c r="H347" i="3"/>
  <c r="G347" i="3"/>
  <c r="F347" i="3"/>
  <c r="E347" i="3"/>
  <c r="S347" i="3"/>
  <c r="B347" i="3"/>
  <c r="N347" i="3"/>
  <c r="O347" i="3"/>
  <c r="P347" i="3"/>
  <c r="C347" i="3"/>
  <c r="Q347" i="3"/>
  <c r="R347" i="3"/>
  <c r="D347" i="3"/>
  <c r="K346" i="3"/>
  <c r="S346" i="3"/>
  <c r="R346" i="3"/>
  <c r="H346" i="3"/>
  <c r="B346" i="3"/>
  <c r="C346" i="3"/>
  <c r="D346" i="3"/>
  <c r="E346" i="3"/>
  <c r="F346" i="3"/>
  <c r="G346" i="3"/>
  <c r="I346" i="3"/>
  <c r="J346" i="3"/>
  <c r="L346" i="3"/>
  <c r="M346" i="3"/>
  <c r="N346" i="3"/>
  <c r="O346" i="3"/>
  <c r="P346" i="3"/>
  <c r="Q346" i="3"/>
  <c r="N345" i="3"/>
  <c r="M345" i="3"/>
  <c r="S345" i="3"/>
  <c r="L345" i="3"/>
  <c r="H345" i="3"/>
  <c r="I345" i="3"/>
  <c r="J345" i="3"/>
  <c r="G345" i="3"/>
  <c r="B345" i="3"/>
  <c r="Q345" i="3"/>
  <c r="K345" i="3"/>
  <c r="P345" i="3"/>
  <c r="O345" i="3"/>
  <c r="F345" i="3"/>
  <c r="E345" i="3"/>
  <c r="D345" i="3"/>
  <c r="C345" i="3"/>
  <c r="R345" i="3"/>
  <c r="J344" i="3"/>
  <c r="K344" i="3"/>
  <c r="L344" i="3"/>
  <c r="M344" i="3"/>
  <c r="N344" i="3"/>
  <c r="O344" i="3"/>
  <c r="P344" i="3"/>
  <c r="Q344" i="3"/>
  <c r="R344" i="3"/>
  <c r="S344" i="3"/>
  <c r="B344" i="3"/>
  <c r="C344" i="3"/>
  <c r="D344" i="3"/>
  <c r="E344" i="3"/>
  <c r="F344" i="3"/>
  <c r="G344" i="3"/>
  <c r="H344" i="3"/>
  <c r="I344" i="3"/>
  <c r="S343" i="3"/>
  <c r="H343" i="3"/>
  <c r="R343" i="3"/>
  <c r="Q343" i="3"/>
  <c r="P343" i="3"/>
  <c r="O343" i="3"/>
  <c r="N343" i="3"/>
  <c r="M343" i="3"/>
  <c r="L343" i="3"/>
  <c r="K343" i="3"/>
  <c r="J343" i="3"/>
  <c r="I343" i="3"/>
  <c r="B343" i="3"/>
  <c r="G343" i="3"/>
  <c r="C343" i="3"/>
  <c r="D343" i="3"/>
  <c r="E343" i="3"/>
  <c r="F343" i="3"/>
  <c r="N342" i="3"/>
  <c r="O342" i="3"/>
  <c r="P342" i="3"/>
  <c r="Q342" i="3"/>
  <c r="R342" i="3"/>
  <c r="S342" i="3"/>
  <c r="H342" i="3"/>
  <c r="I342" i="3"/>
  <c r="M342" i="3"/>
  <c r="J342" i="3"/>
  <c r="K342" i="3"/>
  <c r="L342" i="3"/>
  <c r="B342" i="3"/>
  <c r="C342" i="3"/>
  <c r="D342" i="3"/>
  <c r="E342" i="3"/>
  <c r="F342" i="3"/>
  <c r="G342" i="3"/>
  <c r="C341" i="3"/>
  <c r="B341" i="3"/>
  <c r="D341" i="3"/>
  <c r="E341" i="3"/>
  <c r="F341" i="3"/>
  <c r="G341" i="3"/>
  <c r="H341" i="3"/>
  <c r="I341" i="3"/>
  <c r="J341" i="3"/>
  <c r="K341" i="3"/>
  <c r="L341" i="3"/>
  <c r="M341" i="3"/>
  <c r="O341" i="3"/>
  <c r="P341" i="3"/>
  <c r="Q341" i="3"/>
  <c r="R341" i="3"/>
  <c r="S341" i="3"/>
  <c r="N341" i="3"/>
  <c r="I340" i="3"/>
  <c r="S340" i="3"/>
  <c r="R340" i="3"/>
  <c r="Q340" i="3"/>
  <c r="P340" i="3"/>
  <c r="O340" i="3"/>
  <c r="N340" i="3"/>
  <c r="M340" i="3"/>
  <c r="L340" i="3"/>
  <c r="K340" i="3"/>
  <c r="J340" i="3"/>
  <c r="H340" i="3"/>
  <c r="F340" i="3"/>
  <c r="G340" i="3"/>
  <c r="C340" i="3"/>
  <c r="B340" i="3"/>
  <c r="D340" i="3"/>
  <c r="E340" i="3"/>
  <c r="J339" i="3"/>
  <c r="I339" i="3"/>
  <c r="H339" i="3"/>
  <c r="G339" i="3"/>
  <c r="F339" i="3"/>
  <c r="E339" i="3"/>
  <c r="D339" i="3"/>
  <c r="C339" i="3"/>
  <c r="B339" i="3"/>
  <c r="P339" i="3"/>
  <c r="M339" i="3"/>
  <c r="N339" i="3"/>
  <c r="O339" i="3"/>
  <c r="Q339" i="3"/>
  <c r="R339" i="3"/>
  <c r="S339" i="3"/>
  <c r="L339" i="3"/>
  <c r="K339" i="3"/>
  <c r="Q338" i="3"/>
  <c r="B338" i="3"/>
  <c r="C338" i="3"/>
  <c r="D338" i="3"/>
  <c r="E338" i="3"/>
  <c r="F338" i="3"/>
  <c r="G338" i="3"/>
  <c r="I338" i="3"/>
  <c r="J338" i="3"/>
  <c r="L338" i="3"/>
  <c r="K338" i="3"/>
  <c r="N338" i="3"/>
  <c r="P338" i="3"/>
  <c r="O338" i="3"/>
  <c r="H338" i="3"/>
  <c r="M338" i="3"/>
  <c r="S338" i="3"/>
  <c r="R338" i="3"/>
  <c r="K337" i="3"/>
  <c r="L337" i="3"/>
  <c r="M337" i="3"/>
  <c r="N337" i="3"/>
  <c r="O337" i="3"/>
  <c r="Q337" i="3"/>
  <c r="R337" i="3"/>
  <c r="S337" i="3"/>
  <c r="P337" i="3"/>
  <c r="G337" i="3"/>
  <c r="B337" i="3"/>
  <c r="C337" i="3"/>
  <c r="D337" i="3"/>
  <c r="E337" i="3"/>
  <c r="F337" i="3"/>
  <c r="H337" i="3"/>
  <c r="I337" i="3"/>
  <c r="J337" i="3"/>
  <c r="L336" i="3"/>
  <c r="D336" i="3"/>
  <c r="E336" i="3"/>
  <c r="F336" i="3"/>
  <c r="G336" i="3"/>
  <c r="H336" i="3"/>
  <c r="I336" i="3"/>
  <c r="J336" i="3"/>
  <c r="K336" i="3"/>
  <c r="B336" i="3"/>
  <c r="S336" i="3"/>
  <c r="R336" i="3"/>
  <c r="C336" i="3"/>
  <c r="Q336" i="3"/>
  <c r="N336" i="3"/>
  <c r="M336" i="3"/>
  <c r="O336" i="3"/>
  <c r="P336" i="3"/>
  <c r="Q335" i="3"/>
  <c r="O335" i="3"/>
  <c r="R335" i="3"/>
  <c r="I335" i="3"/>
  <c r="J335" i="3"/>
  <c r="K335" i="3"/>
  <c r="L335" i="3"/>
  <c r="M335" i="3"/>
  <c r="S335" i="3"/>
  <c r="H335" i="3"/>
  <c r="G335" i="3"/>
  <c r="F335" i="3"/>
  <c r="N335" i="3"/>
  <c r="P335" i="3"/>
  <c r="E335" i="3"/>
  <c r="D335" i="3"/>
  <c r="C335" i="3"/>
  <c r="B335" i="3"/>
  <c r="S334" i="3"/>
  <c r="J334" i="3"/>
  <c r="I334" i="3"/>
  <c r="H334" i="3"/>
  <c r="G334" i="3"/>
  <c r="F334" i="3"/>
  <c r="E334" i="3"/>
  <c r="D334" i="3"/>
  <c r="C334" i="3"/>
  <c r="B334" i="3"/>
  <c r="R334" i="3"/>
  <c r="Q334" i="3"/>
  <c r="P334" i="3"/>
  <c r="O334" i="3"/>
  <c r="N334" i="3"/>
  <c r="M334" i="3"/>
  <c r="L334" i="3"/>
  <c r="K334" i="3"/>
  <c r="D333" i="3"/>
  <c r="E333" i="3"/>
  <c r="G333" i="3"/>
  <c r="H333" i="3"/>
  <c r="I333" i="3"/>
  <c r="J333" i="3"/>
  <c r="K333" i="3"/>
  <c r="B333" i="3"/>
  <c r="S333" i="3"/>
  <c r="L333" i="3"/>
  <c r="M333" i="3"/>
  <c r="N333" i="3"/>
  <c r="O333" i="3"/>
  <c r="P333" i="3"/>
  <c r="Q333" i="3"/>
  <c r="R333" i="3"/>
  <c r="C333" i="3"/>
  <c r="F333" i="3"/>
  <c r="K332" i="3"/>
  <c r="L332" i="3"/>
  <c r="M332" i="3"/>
  <c r="N332" i="3"/>
  <c r="O332" i="3"/>
  <c r="P332" i="3"/>
  <c r="Q332" i="3"/>
  <c r="R332" i="3"/>
  <c r="S332" i="3"/>
  <c r="G332" i="3"/>
  <c r="B332" i="3"/>
  <c r="C332" i="3"/>
  <c r="D332" i="3"/>
  <c r="E332" i="3"/>
  <c r="F332" i="3"/>
  <c r="H332" i="3"/>
  <c r="I332" i="3"/>
  <c r="J332" i="3"/>
  <c r="K331" i="3"/>
  <c r="S331" i="3"/>
  <c r="R331" i="3"/>
  <c r="Q331" i="3"/>
  <c r="P331" i="3"/>
  <c r="O331" i="3"/>
  <c r="N331" i="3"/>
  <c r="M331" i="3"/>
  <c r="L331" i="3"/>
  <c r="B331" i="3"/>
  <c r="J331" i="3"/>
  <c r="I331" i="3"/>
  <c r="H331" i="3"/>
  <c r="G331" i="3"/>
  <c r="F331" i="3"/>
  <c r="E331" i="3"/>
  <c r="D331" i="3"/>
  <c r="C331" i="3"/>
  <c r="B330" i="3"/>
  <c r="S330" i="3"/>
  <c r="R330" i="3"/>
  <c r="Q330" i="3"/>
  <c r="P330" i="3"/>
  <c r="O330" i="3"/>
  <c r="N330" i="3"/>
  <c r="M330" i="3"/>
  <c r="L330" i="3"/>
  <c r="K330" i="3"/>
  <c r="J330" i="3"/>
  <c r="I330" i="3"/>
  <c r="H330" i="3"/>
  <c r="G330" i="3"/>
  <c r="F330" i="3"/>
  <c r="E330" i="3"/>
  <c r="D330" i="3"/>
  <c r="C330" i="3"/>
  <c r="C329" i="3"/>
  <c r="S329" i="3"/>
  <c r="D329" i="3"/>
  <c r="R329" i="3"/>
  <c r="Q329" i="3"/>
  <c r="P329" i="3"/>
  <c r="O329" i="3"/>
  <c r="N329" i="3"/>
  <c r="L329" i="3"/>
  <c r="M329" i="3"/>
  <c r="K329" i="3"/>
  <c r="J329" i="3"/>
  <c r="I329" i="3"/>
  <c r="H329" i="3"/>
  <c r="G329" i="3"/>
  <c r="F329" i="3"/>
  <c r="E329" i="3"/>
  <c r="B329" i="3"/>
  <c r="B328" i="3"/>
  <c r="N328" i="3"/>
  <c r="S328" i="3"/>
  <c r="R328" i="3"/>
  <c r="Q328" i="3"/>
  <c r="P328" i="3"/>
  <c r="O328" i="3"/>
  <c r="M328" i="3"/>
  <c r="L328" i="3"/>
  <c r="K328" i="3"/>
  <c r="J328" i="3"/>
  <c r="I328" i="3"/>
  <c r="H328" i="3"/>
  <c r="G328" i="3"/>
  <c r="F328" i="3"/>
  <c r="E328" i="3"/>
  <c r="D328" i="3"/>
  <c r="C328" i="3"/>
  <c r="B327" i="3"/>
  <c r="C327" i="3"/>
  <c r="D327" i="3"/>
  <c r="E327" i="3"/>
  <c r="F327" i="3"/>
  <c r="G327" i="3"/>
  <c r="H327" i="3"/>
  <c r="I327" i="3"/>
  <c r="J327" i="3"/>
  <c r="K327" i="3"/>
  <c r="L327" i="3"/>
  <c r="M327" i="3"/>
  <c r="N327" i="3"/>
  <c r="O327" i="3"/>
  <c r="P327" i="3"/>
  <c r="Q327" i="3"/>
  <c r="R327" i="3"/>
  <c r="S327" i="3"/>
  <c r="H326" i="3"/>
  <c r="C326" i="3"/>
  <c r="D326" i="3"/>
  <c r="E326" i="3"/>
  <c r="F326" i="3"/>
  <c r="G326" i="3"/>
  <c r="N326" i="3"/>
  <c r="I326" i="3"/>
  <c r="J326" i="3"/>
  <c r="K326" i="3"/>
  <c r="L326" i="3"/>
  <c r="M326" i="3"/>
  <c r="S326" i="3"/>
  <c r="B326" i="3"/>
  <c r="O326" i="3"/>
  <c r="P326" i="3"/>
  <c r="Q326" i="3"/>
  <c r="R326" i="3"/>
  <c r="K325" i="3"/>
  <c r="Q325" i="3"/>
  <c r="G325" i="3"/>
  <c r="J325" i="3"/>
  <c r="B325" i="3"/>
  <c r="H325" i="3"/>
  <c r="F325" i="3"/>
  <c r="E325" i="3"/>
  <c r="D325" i="3"/>
  <c r="I325" i="3"/>
  <c r="C325" i="3"/>
  <c r="S325" i="3"/>
  <c r="R325" i="3"/>
  <c r="P325" i="3"/>
  <c r="O325" i="3"/>
  <c r="N325" i="3"/>
  <c r="M325" i="3"/>
  <c r="L325" i="3"/>
  <c r="G324" i="3"/>
  <c r="R324" i="3"/>
  <c r="P324" i="3"/>
  <c r="O324" i="3"/>
  <c r="N324" i="3"/>
  <c r="M324" i="3"/>
  <c r="J324" i="3"/>
  <c r="B324" i="3"/>
  <c r="C324" i="3"/>
  <c r="D324" i="3"/>
  <c r="E324" i="3"/>
  <c r="Q324" i="3"/>
  <c r="F324" i="3"/>
  <c r="L324" i="3"/>
  <c r="H324" i="3"/>
  <c r="K324" i="3"/>
  <c r="I324" i="3"/>
  <c r="S324" i="3"/>
  <c r="B323" i="3"/>
  <c r="E323" i="3"/>
  <c r="C323" i="3"/>
  <c r="D323" i="3"/>
  <c r="Q323" i="3"/>
  <c r="F323" i="3"/>
  <c r="G323" i="3"/>
  <c r="H323" i="3"/>
  <c r="I323" i="3"/>
  <c r="J323" i="3"/>
  <c r="K323" i="3"/>
  <c r="L323" i="3"/>
  <c r="M323" i="3"/>
  <c r="N323" i="3"/>
  <c r="O323" i="3"/>
  <c r="P323" i="3"/>
  <c r="R323" i="3"/>
  <c r="S323" i="3"/>
  <c r="S322" i="3"/>
  <c r="G322" i="3"/>
  <c r="H322" i="3"/>
  <c r="I322" i="3"/>
  <c r="B322" i="3"/>
  <c r="C322" i="3"/>
  <c r="E322" i="3"/>
  <c r="F322" i="3"/>
  <c r="D322" i="3"/>
  <c r="J322" i="3"/>
  <c r="K322" i="3"/>
  <c r="L322" i="3"/>
  <c r="M322" i="3"/>
  <c r="N322" i="3"/>
  <c r="O322" i="3"/>
  <c r="P322" i="3"/>
  <c r="Q322" i="3"/>
  <c r="R322" i="3"/>
  <c r="P321" i="3"/>
  <c r="Q321" i="3"/>
  <c r="K321" i="3"/>
  <c r="L321" i="3"/>
  <c r="M321" i="3"/>
  <c r="N321" i="3"/>
  <c r="O321" i="3"/>
  <c r="J321" i="3"/>
  <c r="R321" i="3"/>
  <c r="S321" i="3"/>
  <c r="H321" i="3"/>
  <c r="G321" i="3"/>
  <c r="I321" i="3"/>
  <c r="F321" i="3"/>
  <c r="E321" i="3"/>
  <c r="D321" i="3"/>
  <c r="C321" i="3"/>
  <c r="B321" i="3"/>
  <c r="L320" i="3"/>
  <c r="S320" i="3"/>
  <c r="R320" i="3"/>
  <c r="Q320" i="3"/>
  <c r="P320" i="3"/>
  <c r="O320" i="3"/>
  <c r="N320" i="3"/>
  <c r="M320" i="3"/>
  <c r="K320" i="3"/>
  <c r="J320" i="3"/>
  <c r="I320" i="3"/>
  <c r="H320" i="3"/>
  <c r="G320" i="3"/>
  <c r="F320" i="3"/>
  <c r="E320" i="3"/>
  <c r="D320" i="3"/>
  <c r="C320" i="3"/>
  <c r="B320" i="3"/>
  <c r="R319" i="3"/>
  <c r="S319" i="3"/>
  <c r="B319" i="3"/>
  <c r="D319" i="3"/>
  <c r="E319" i="3"/>
  <c r="F319" i="3"/>
  <c r="G319" i="3"/>
  <c r="H319" i="3"/>
  <c r="I319" i="3"/>
  <c r="J319" i="3"/>
  <c r="K319" i="3"/>
  <c r="C319" i="3"/>
  <c r="L319" i="3"/>
  <c r="M319" i="3"/>
  <c r="N319" i="3"/>
  <c r="O319" i="3"/>
  <c r="P319" i="3"/>
  <c r="Q319" i="3"/>
  <c r="C318" i="3"/>
  <c r="B318" i="3"/>
  <c r="D318" i="3"/>
  <c r="E318" i="3"/>
  <c r="F318" i="3"/>
  <c r="G318" i="3"/>
  <c r="H318" i="3"/>
  <c r="I318" i="3"/>
  <c r="K318" i="3"/>
  <c r="L318" i="3"/>
  <c r="M318" i="3"/>
  <c r="N318" i="3"/>
  <c r="O318" i="3"/>
  <c r="P318" i="3"/>
  <c r="Q318" i="3"/>
  <c r="R318" i="3"/>
  <c r="J318" i="3"/>
  <c r="S318" i="3"/>
  <c r="J317" i="3"/>
  <c r="I317" i="3"/>
  <c r="H317" i="3"/>
  <c r="G317" i="3"/>
  <c r="F317" i="3"/>
  <c r="E317" i="3"/>
  <c r="C317" i="3"/>
  <c r="B317" i="3"/>
  <c r="Q317" i="3"/>
  <c r="R317" i="3"/>
  <c r="D317" i="3"/>
  <c r="S317" i="3"/>
  <c r="P317" i="3"/>
  <c r="O317" i="3"/>
  <c r="N317" i="3"/>
  <c r="M317" i="3"/>
  <c r="L317" i="3"/>
  <c r="K317" i="3"/>
  <c r="C316" i="3"/>
  <c r="K316" i="3"/>
  <c r="D316" i="3"/>
  <c r="E316" i="3"/>
  <c r="F316" i="3"/>
  <c r="G316" i="3"/>
  <c r="H316" i="3"/>
  <c r="Q316" i="3"/>
  <c r="I316" i="3"/>
  <c r="J316" i="3"/>
  <c r="L316" i="3"/>
  <c r="M316" i="3"/>
  <c r="N316" i="3"/>
  <c r="O316" i="3"/>
  <c r="P316" i="3"/>
  <c r="R316" i="3"/>
  <c r="S316" i="3"/>
  <c r="B316" i="3"/>
  <c r="D315" i="3"/>
  <c r="L315" i="3"/>
  <c r="E315" i="3"/>
  <c r="F315" i="3"/>
  <c r="G315" i="3"/>
  <c r="C315" i="3"/>
  <c r="H315" i="3"/>
  <c r="J315" i="3"/>
  <c r="K315" i="3"/>
  <c r="M315" i="3"/>
  <c r="N315" i="3"/>
  <c r="O315" i="3"/>
  <c r="P315" i="3"/>
  <c r="Q315" i="3"/>
  <c r="R315" i="3"/>
  <c r="S315" i="3"/>
  <c r="B315" i="3"/>
  <c r="I315" i="3"/>
  <c r="S314" i="3"/>
  <c r="R314" i="3"/>
  <c r="Q314" i="3"/>
  <c r="P314" i="3"/>
  <c r="N314" i="3"/>
  <c r="M314" i="3"/>
  <c r="L314" i="3"/>
  <c r="K314" i="3"/>
  <c r="J314" i="3"/>
  <c r="I314" i="3"/>
  <c r="H314" i="3"/>
  <c r="G314" i="3"/>
  <c r="F314" i="3"/>
  <c r="E314" i="3"/>
  <c r="D314" i="3"/>
  <c r="C314" i="3"/>
  <c r="B314" i="3"/>
  <c r="O314" i="3"/>
  <c r="S313" i="3"/>
  <c r="R313" i="3"/>
  <c r="Q313" i="3"/>
  <c r="P313" i="3"/>
  <c r="O313" i="3"/>
  <c r="N313" i="3"/>
  <c r="M313" i="3"/>
  <c r="L313" i="3"/>
  <c r="K313" i="3"/>
  <c r="J313" i="3"/>
  <c r="I313" i="3"/>
  <c r="H313" i="3"/>
  <c r="G313" i="3"/>
  <c r="F313" i="3"/>
  <c r="E313" i="3"/>
  <c r="D313" i="3"/>
  <c r="C313" i="3"/>
  <c r="B313" i="3"/>
  <c r="S312" i="3"/>
  <c r="R312" i="3"/>
  <c r="Q312" i="3"/>
  <c r="P312" i="3"/>
  <c r="O312" i="3"/>
  <c r="N312" i="3"/>
  <c r="M312" i="3"/>
  <c r="L312" i="3"/>
  <c r="K312" i="3"/>
  <c r="J312" i="3"/>
  <c r="I312" i="3"/>
  <c r="H312" i="3"/>
  <c r="G312" i="3"/>
  <c r="F312" i="3"/>
  <c r="E312" i="3"/>
  <c r="D312" i="3"/>
  <c r="C312" i="3"/>
  <c r="B312" i="3"/>
  <c r="S311" i="3"/>
  <c r="R311" i="3"/>
  <c r="Q311" i="3"/>
  <c r="P311" i="3"/>
  <c r="O311" i="3"/>
  <c r="N311" i="3"/>
  <c r="M311" i="3"/>
  <c r="L311" i="3"/>
  <c r="K311" i="3"/>
  <c r="J311" i="3"/>
  <c r="I311" i="3"/>
  <c r="H311" i="3"/>
  <c r="G311" i="3"/>
  <c r="F311" i="3"/>
  <c r="E311" i="3"/>
  <c r="D311" i="3"/>
  <c r="C311" i="3"/>
  <c r="B311" i="3"/>
  <c r="S310" i="3"/>
  <c r="R310" i="3"/>
  <c r="Q310" i="3"/>
  <c r="P310" i="3"/>
  <c r="O310" i="3"/>
  <c r="N310" i="3"/>
  <c r="M310" i="3"/>
  <c r="L310" i="3"/>
  <c r="K310" i="3"/>
  <c r="J310" i="3"/>
  <c r="I310" i="3"/>
  <c r="H310" i="3"/>
  <c r="G310" i="3"/>
  <c r="F310" i="3"/>
  <c r="E310" i="3"/>
  <c r="D310" i="3"/>
  <c r="C310" i="3"/>
  <c r="B310" i="3"/>
  <c r="S309" i="3"/>
  <c r="R309" i="3"/>
  <c r="Q309" i="3"/>
  <c r="P309" i="3"/>
  <c r="O309" i="3"/>
  <c r="N309" i="3"/>
  <c r="M309" i="3"/>
  <c r="L309" i="3"/>
  <c r="K309" i="3"/>
  <c r="J309" i="3"/>
  <c r="I309" i="3"/>
  <c r="H309" i="3"/>
  <c r="G309" i="3"/>
  <c r="F309" i="3"/>
  <c r="E309" i="3"/>
  <c r="D309" i="3"/>
  <c r="C309" i="3"/>
  <c r="B309" i="3"/>
  <c r="S308" i="3"/>
  <c r="R308" i="3"/>
  <c r="Q308" i="3"/>
  <c r="P308" i="3"/>
  <c r="O308" i="3"/>
  <c r="N308" i="3"/>
  <c r="M308" i="3"/>
  <c r="L308" i="3"/>
  <c r="K308" i="3"/>
  <c r="J308" i="3"/>
  <c r="I308" i="3"/>
  <c r="H308" i="3"/>
  <c r="G308" i="3"/>
  <c r="F308" i="3"/>
  <c r="E308" i="3"/>
  <c r="D308" i="3"/>
  <c r="C308" i="3"/>
  <c r="B308" i="3"/>
  <c r="S307" i="3"/>
  <c r="R307" i="3"/>
  <c r="Q307" i="3"/>
  <c r="P307" i="3"/>
  <c r="O307" i="3"/>
  <c r="N307" i="3"/>
  <c r="M307" i="3"/>
  <c r="L307" i="3"/>
  <c r="K307" i="3"/>
  <c r="J307" i="3"/>
  <c r="I307" i="3"/>
  <c r="H307" i="3"/>
  <c r="G307" i="3"/>
  <c r="F307" i="3"/>
  <c r="E307" i="3"/>
  <c r="D307" i="3"/>
  <c r="C307" i="3"/>
  <c r="B307" i="3"/>
  <c r="S306" i="3"/>
  <c r="R306" i="3"/>
  <c r="Q306" i="3"/>
  <c r="P306" i="3"/>
  <c r="O306" i="3"/>
  <c r="N306" i="3"/>
  <c r="M306" i="3"/>
  <c r="L306" i="3"/>
  <c r="K306" i="3"/>
  <c r="J306" i="3"/>
  <c r="I306" i="3"/>
  <c r="H306" i="3"/>
  <c r="G306" i="3"/>
  <c r="F306" i="3"/>
  <c r="E306" i="3"/>
  <c r="D306" i="3"/>
  <c r="C306" i="3"/>
  <c r="B306" i="3"/>
  <c r="S305" i="3"/>
  <c r="R305" i="3"/>
  <c r="Q305" i="3"/>
  <c r="P305" i="3"/>
  <c r="O305" i="3"/>
  <c r="N305" i="3"/>
  <c r="M305" i="3"/>
  <c r="L305" i="3"/>
  <c r="K305" i="3"/>
  <c r="J305" i="3"/>
  <c r="I305" i="3"/>
  <c r="H305" i="3"/>
  <c r="G305" i="3"/>
  <c r="B305" i="3"/>
  <c r="F305" i="3"/>
  <c r="E305" i="3"/>
  <c r="D305" i="3"/>
  <c r="C305" i="3"/>
  <c r="L304" i="3"/>
  <c r="S304" i="3"/>
  <c r="R304" i="3"/>
  <c r="Q304" i="3"/>
  <c r="P304" i="3"/>
  <c r="O304" i="3"/>
  <c r="N304" i="3"/>
  <c r="M304" i="3"/>
  <c r="B304" i="3"/>
  <c r="K304" i="3"/>
  <c r="J304" i="3"/>
  <c r="I304" i="3"/>
  <c r="H304" i="3"/>
  <c r="G304" i="3"/>
  <c r="F304" i="3"/>
  <c r="E304" i="3"/>
  <c r="D304" i="3"/>
  <c r="C304" i="3"/>
  <c r="B303" i="3"/>
  <c r="S303" i="3"/>
  <c r="R303" i="3"/>
  <c r="Q303" i="3"/>
  <c r="P303" i="3"/>
  <c r="O303" i="3"/>
  <c r="N303" i="3"/>
  <c r="M303" i="3"/>
  <c r="L303" i="3"/>
  <c r="K303" i="3"/>
  <c r="J303" i="3"/>
  <c r="I303" i="3"/>
  <c r="H303" i="3"/>
  <c r="G303" i="3"/>
  <c r="F303" i="3"/>
  <c r="E303" i="3"/>
  <c r="D303" i="3"/>
  <c r="C303" i="3"/>
  <c r="N302" i="3"/>
  <c r="S302" i="3"/>
  <c r="R302" i="3"/>
  <c r="Q302" i="3"/>
  <c r="P302" i="3"/>
  <c r="O302" i="3"/>
  <c r="H302" i="3"/>
  <c r="M302" i="3"/>
  <c r="L302" i="3"/>
  <c r="K302" i="3"/>
  <c r="J302" i="3"/>
  <c r="I302" i="3"/>
  <c r="B302" i="3"/>
  <c r="G302" i="3"/>
  <c r="F302" i="3"/>
  <c r="E302" i="3"/>
  <c r="D302" i="3"/>
  <c r="C302" i="3"/>
  <c r="B301" i="3"/>
  <c r="S301" i="3"/>
  <c r="R301" i="3"/>
  <c r="Q301" i="3"/>
  <c r="P301" i="3"/>
  <c r="O301" i="3"/>
  <c r="N301" i="3"/>
  <c r="M301" i="3"/>
  <c r="L301" i="3"/>
  <c r="K301" i="3"/>
  <c r="J301" i="3"/>
  <c r="I301" i="3"/>
  <c r="H301" i="3"/>
  <c r="G301" i="3"/>
  <c r="F301" i="3"/>
  <c r="E301" i="3"/>
  <c r="D301" i="3"/>
  <c r="C301" i="3"/>
  <c r="B300" i="3"/>
  <c r="S300" i="3"/>
  <c r="R300" i="3"/>
  <c r="Q300" i="3"/>
  <c r="P300" i="3"/>
  <c r="O300" i="3"/>
  <c r="N300" i="3"/>
  <c r="M300" i="3"/>
  <c r="L300" i="3"/>
  <c r="K300" i="3"/>
  <c r="J300" i="3"/>
  <c r="I300" i="3"/>
  <c r="H300" i="3"/>
  <c r="G300" i="3"/>
  <c r="F300" i="3"/>
  <c r="E300" i="3"/>
  <c r="D300" i="3"/>
  <c r="C300" i="3"/>
  <c r="H299" i="3"/>
  <c r="I299" i="3"/>
  <c r="J299" i="3"/>
  <c r="K299" i="3"/>
  <c r="L299" i="3"/>
  <c r="M299" i="3"/>
  <c r="N299" i="3"/>
  <c r="O299" i="3"/>
  <c r="P299" i="3"/>
  <c r="Q299" i="3"/>
  <c r="R299" i="3"/>
  <c r="S299" i="3"/>
  <c r="C299" i="3"/>
  <c r="B299" i="3"/>
  <c r="D299" i="3"/>
  <c r="E299" i="3"/>
  <c r="F299" i="3"/>
  <c r="G299" i="3"/>
  <c r="E298" i="3"/>
  <c r="D298" i="3"/>
  <c r="C298" i="3"/>
  <c r="B298" i="3"/>
  <c r="F298" i="3"/>
  <c r="G298" i="3"/>
  <c r="I297" i="3"/>
  <c r="S297" i="3"/>
  <c r="Q297" i="3"/>
  <c r="C297" i="3"/>
  <c r="P297" i="3"/>
  <c r="K297" i="3"/>
  <c r="O297" i="3"/>
  <c r="N297" i="3"/>
  <c r="M297" i="3"/>
  <c r="L297" i="3"/>
  <c r="J297" i="3"/>
  <c r="R297" i="3"/>
  <c r="D297" i="3"/>
  <c r="E297" i="3"/>
  <c r="F297" i="3"/>
  <c r="G297" i="3"/>
  <c r="H297" i="3"/>
  <c r="B297" i="3"/>
  <c r="G296" i="3"/>
  <c r="F296" i="3"/>
  <c r="E296" i="3"/>
  <c r="D296" i="3"/>
  <c r="C296" i="3"/>
  <c r="B296" i="3"/>
  <c r="J296" i="3"/>
  <c r="Q296" i="3"/>
  <c r="P296" i="3"/>
  <c r="O296" i="3"/>
  <c r="R296" i="3"/>
  <c r="N296" i="3"/>
  <c r="M296" i="3"/>
  <c r="L296" i="3"/>
  <c r="K296" i="3"/>
  <c r="I296" i="3"/>
  <c r="H296" i="3"/>
  <c r="S296" i="3"/>
  <c r="M295" i="3"/>
  <c r="N295" i="3"/>
  <c r="O295" i="3"/>
  <c r="P295" i="3"/>
  <c r="Q295" i="3"/>
  <c r="R295" i="3"/>
  <c r="S295" i="3"/>
  <c r="E295" i="3"/>
  <c r="D295" i="3"/>
  <c r="C295" i="3"/>
  <c r="B295" i="3"/>
  <c r="F295" i="3"/>
  <c r="G295" i="3"/>
  <c r="L295" i="3"/>
  <c r="H295" i="3"/>
  <c r="I295" i="3"/>
  <c r="J295" i="3"/>
  <c r="K295" i="3"/>
  <c r="Q294" i="3"/>
  <c r="P294" i="3"/>
  <c r="O294" i="3"/>
  <c r="N294" i="3"/>
  <c r="M294" i="3"/>
  <c r="L294" i="3"/>
  <c r="K294" i="3"/>
  <c r="J294" i="3"/>
  <c r="I294" i="3"/>
  <c r="H294" i="3"/>
  <c r="G294" i="3"/>
  <c r="E294" i="3"/>
  <c r="D294" i="3"/>
  <c r="C294" i="3"/>
  <c r="B294" i="3"/>
  <c r="F294" i="3"/>
  <c r="S294" i="3"/>
  <c r="R294" i="3"/>
  <c r="R293" i="3"/>
  <c r="Q293" i="3"/>
  <c r="P293" i="3"/>
  <c r="O293" i="3"/>
  <c r="N293" i="3"/>
  <c r="L293" i="3"/>
  <c r="K293" i="3"/>
  <c r="J293" i="3"/>
  <c r="I293" i="3"/>
  <c r="H293" i="3"/>
  <c r="G293" i="3"/>
  <c r="F293" i="3"/>
  <c r="E293" i="3"/>
  <c r="M293" i="3"/>
  <c r="D293" i="3"/>
  <c r="C293" i="3"/>
  <c r="B293" i="3"/>
  <c r="S293" i="3"/>
  <c r="K292" i="3"/>
  <c r="J292" i="3"/>
  <c r="I292" i="3"/>
  <c r="H292" i="3"/>
  <c r="G292" i="3"/>
  <c r="F292" i="3"/>
  <c r="E292" i="3"/>
  <c r="D292" i="3"/>
  <c r="C292" i="3"/>
  <c r="B292" i="3"/>
  <c r="N292" i="3"/>
  <c r="P292" i="3"/>
  <c r="Q292" i="3"/>
  <c r="R292" i="3"/>
  <c r="S292" i="3"/>
  <c r="M292" i="3"/>
  <c r="L292" i="3"/>
  <c r="O292" i="3"/>
  <c r="S291" i="3"/>
  <c r="R291" i="3"/>
  <c r="Q291" i="3"/>
  <c r="P291" i="3"/>
  <c r="O291" i="3"/>
  <c r="N291" i="3"/>
  <c r="M291" i="3"/>
  <c r="B291" i="3"/>
  <c r="C291" i="3"/>
  <c r="D291" i="3"/>
  <c r="E291" i="3"/>
  <c r="F291" i="3"/>
  <c r="G291" i="3"/>
  <c r="H291" i="3"/>
  <c r="I291" i="3"/>
  <c r="J291" i="3"/>
  <c r="K291" i="3"/>
  <c r="L291" i="3"/>
  <c r="Q290" i="3"/>
  <c r="R290" i="3"/>
  <c r="S290" i="3"/>
  <c r="D290" i="3"/>
  <c r="C290" i="3"/>
  <c r="B290" i="3"/>
  <c r="J290" i="3"/>
  <c r="I290" i="3"/>
  <c r="K290" i="3"/>
  <c r="H290" i="3"/>
  <c r="G290" i="3"/>
  <c r="M290" i="3"/>
  <c r="N290" i="3"/>
  <c r="O290" i="3"/>
  <c r="P290" i="3"/>
  <c r="F290" i="3"/>
  <c r="E290" i="3"/>
  <c r="L290" i="3"/>
  <c r="K289" i="3"/>
  <c r="J289" i="3"/>
  <c r="I289" i="3"/>
  <c r="H289" i="3"/>
  <c r="G289" i="3"/>
  <c r="F289" i="3"/>
  <c r="E289" i="3"/>
  <c r="D289" i="3"/>
  <c r="C289" i="3"/>
  <c r="B289" i="3"/>
  <c r="S289" i="3"/>
  <c r="R289" i="3"/>
  <c r="Q289" i="3"/>
  <c r="P289" i="3"/>
  <c r="O289" i="3"/>
  <c r="N289" i="3"/>
  <c r="M289" i="3"/>
  <c r="L289" i="3"/>
  <c r="F288" i="3"/>
  <c r="I288" i="3"/>
  <c r="H288" i="3"/>
  <c r="M288" i="3"/>
  <c r="G288" i="3"/>
  <c r="L288" i="3"/>
  <c r="K288" i="3"/>
  <c r="J288" i="3"/>
  <c r="E288" i="3"/>
  <c r="D288" i="3"/>
  <c r="C288" i="3"/>
  <c r="B288" i="3"/>
  <c r="S288" i="3"/>
  <c r="R288" i="3"/>
  <c r="Q288" i="3"/>
  <c r="P288" i="3"/>
  <c r="O288" i="3"/>
  <c r="N288" i="3"/>
  <c r="K287" i="3"/>
  <c r="J287" i="3"/>
  <c r="I287" i="3"/>
  <c r="H287" i="3"/>
  <c r="G287" i="3"/>
  <c r="S287" i="3"/>
  <c r="R287" i="3"/>
  <c r="F287" i="3"/>
  <c r="E287" i="3"/>
  <c r="D287" i="3"/>
  <c r="C287" i="3"/>
  <c r="B287" i="3"/>
  <c r="Q287" i="3"/>
  <c r="P287" i="3"/>
  <c r="O287" i="3"/>
  <c r="N287" i="3"/>
  <c r="M287" i="3"/>
  <c r="L287" i="3"/>
  <c r="M286" i="3"/>
  <c r="L286" i="3"/>
  <c r="K286" i="3"/>
  <c r="J286" i="3"/>
  <c r="I286" i="3"/>
  <c r="H286" i="3"/>
  <c r="G286" i="3"/>
  <c r="F286" i="3"/>
  <c r="E286" i="3"/>
  <c r="R286" i="3"/>
  <c r="S286" i="3"/>
  <c r="Q286" i="3"/>
  <c r="P286" i="3"/>
  <c r="O286" i="3"/>
  <c r="N286" i="3"/>
  <c r="D286" i="3"/>
  <c r="B286" i="3"/>
  <c r="C286" i="3"/>
  <c r="E285" i="3"/>
  <c r="K285" i="3"/>
  <c r="D285" i="3"/>
  <c r="B285" i="3"/>
  <c r="C285" i="3"/>
  <c r="F285" i="3"/>
  <c r="G285" i="3"/>
  <c r="H285" i="3"/>
  <c r="I285" i="3"/>
  <c r="J285" i="3"/>
  <c r="L285" i="3"/>
  <c r="M285" i="3"/>
  <c r="N285" i="3"/>
  <c r="O285" i="3"/>
  <c r="P285" i="3"/>
  <c r="Q285" i="3"/>
  <c r="R285" i="3"/>
  <c r="S285" i="3"/>
  <c r="E284" i="3"/>
  <c r="F284" i="3"/>
  <c r="G284" i="3"/>
  <c r="B284" i="3"/>
  <c r="I284" i="3"/>
  <c r="J284" i="3"/>
  <c r="R284" i="3"/>
  <c r="K284" i="3"/>
  <c r="L284" i="3"/>
  <c r="M284" i="3"/>
  <c r="N284" i="3"/>
  <c r="O284" i="3"/>
  <c r="P284" i="3"/>
  <c r="Q284" i="3"/>
  <c r="S284" i="3"/>
  <c r="C284" i="3"/>
  <c r="D284" i="3"/>
  <c r="H284" i="3"/>
  <c r="D283" i="3"/>
  <c r="F283" i="3"/>
  <c r="G283" i="3"/>
  <c r="H283" i="3"/>
  <c r="I283" i="3"/>
  <c r="J283" i="3"/>
  <c r="K283" i="3"/>
  <c r="L283" i="3"/>
  <c r="M283" i="3"/>
  <c r="N283" i="3"/>
  <c r="O283" i="3"/>
  <c r="P283" i="3"/>
  <c r="Q283" i="3"/>
  <c r="R283" i="3"/>
  <c r="S283" i="3"/>
  <c r="E283" i="3"/>
  <c r="B283" i="3"/>
  <c r="C283" i="3"/>
  <c r="G282" i="3"/>
  <c r="R282" i="3"/>
  <c r="B282" i="3"/>
  <c r="P282" i="3"/>
  <c r="N282" i="3"/>
  <c r="M282" i="3"/>
  <c r="L282" i="3"/>
  <c r="K282" i="3"/>
  <c r="J282" i="3"/>
  <c r="I282" i="3"/>
  <c r="H282" i="3"/>
  <c r="O282" i="3"/>
  <c r="F282" i="3"/>
  <c r="E282" i="3"/>
  <c r="D282" i="3"/>
  <c r="C282" i="3"/>
  <c r="S282" i="3"/>
  <c r="Q282" i="3"/>
  <c r="Q281" i="3"/>
  <c r="P281" i="3"/>
  <c r="M281" i="3"/>
  <c r="O281" i="3"/>
  <c r="F281" i="3"/>
  <c r="E281" i="3"/>
  <c r="R281" i="3"/>
  <c r="D281" i="3"/>
  <c r="N281" i="3"/>
  <c r="C281" i="3"/>
  <c r="B281" i="3"/>
  <c r="J281" i="3"/>
  <c r="G281" i="3"/>
  <c r="L281" i="3"/>
  <c r="K281" i="3"/>
  <c r="I281" i="3"/>
  <c r="S281" i="3"/>
  <c r="H281" i="3"/>
  <c r="G280" i="3"/>
  <c r="F280" i="3"/>
  <c r="R280" i="3"/>
  <c r="E280" i="3"/>
  <c r="D280" i="3"/>
  <c r="C280" i="3"/>
  <c r="B280" i="3"/>
  <c r="S280" i="3"/>
  <c r="L280" i="3"/>
  <c r="O280" i="3"/>
  <c r="P280" i="3"/>
  <c r="Q280" i="3"/>
  <c r="N280" i="3"/>
  <c r="M280" i="3"/>
  <c r="K280" i="3"/>
  <c r="J280" i="3"/>
  <c r="I280" i="3"/>
  <c r="H280" i="3"/>
  <c r="F279" i="3"/>
  <c r="E279" i="3"/>
  <c r="D279" i="3"/>
  <c r="C279" i="3"/>
  <c r="B279" i="3"/>
  <c r="K279" i="3"/>
  <c r="Q279" i="3"/>
  <c r="J279" i="3"/>
  <c r="N279" i="3"/>
  <c r="O279" i="3"/>
  <c r="S279" i="3"/>
  <c r="P279" i="3"/>
  <c r="L279" i="3"/>
  <c r="I279" i="3"/>
  <c r="R279" i="3"/>
  <c r="M279" i="3"/>
  <c r="H279" i="3"/>
  <c r="G279" i="3"/>
  <c r="I278" i="3"/>
  <c r="J278" i="3"/>
  <c r="K278" i="3"/>
  <c r="L278" i="3"/>
  <c r="M278" i="3"/>
  <c r="R278" i="3"/>
  <c r="S278" i="3"/>
  <c r="P278" i="3"/>
  <c r="O278" i="3"/>
  <c r="N278" i="3"/>
  <c r="G278" i="3"/>
  <c r="F278" i="3"/>
  <c r="E278" i="3"/>
  <c r="H278" i="3"/>
  <c r="D278" i="3"/>
  <c r="C278" i="3"/>
  <c r="B278" i="3"/>
  <c r="Q278" i="3"/>
  <c r="S277" i="3"/>
  <c r="R277" i="3"/>
  <c r="Q277" i="3"/>
  <c r="P277" i="3"/>
  <c r="O277" i="3"/>
  <c r="N277" i="3"/>
  <c r="M277" i="3"/>
  <c r="L277" i="3"/>
  <c r="K277" i="3"/>
  <c r="J277" i="3"/>
  <c r="I277" i="3"/>
  <c r="H277" i="3"/>
  <c r="G277" i="3"/>
  <c r="F277" i="3"/>
  <c r="E277" i="3"/>
  <c r="D277" i="3"/>
  <c r="C277" i="3"/>
  <c r="B277" i="3"/>
  <c r="J276" i="3"/>
  <c r="K276" i="3"/>
  <c r="L276" i="3"/>
  <c r="S276" i="3"/>
  <c r="R276" i="3"/>
  <c r="Q276" i="3"/>
  <c r="M276" i="3"/>
  <c r="G276" i="3"/>
  <c r="B276" i="3"/>
  <c r="C276" i="3"/>
  <c r="D276" i="3"/>
  <c r="E276" i="3"/>
  <c r="F276" i="3"/>
  <c r="P276" i="3"/>
  <c r="O276" i="3"/>
  <c r="N276" i="3"/>
  <c r="H276" i="3"/>
  <c r="I276" i="3"/>
  <c r="J275" i="3"/>
  <c r="I275" i="3"/>
  <c r="H275" i="3"/>
  <c r="G275" i="3"/>
  <c r="F275" i="3"/>
  <c r="K275" i="3"/>
  <c r="B275" i="3"/>
  <c r="C275" i="3"/>
  <c r="D275" i="3"/>
  <c r="Q275" i="3"/>
  <c r="E275" i="3"/>
  <c r="S275" i="3"/>
  <c r="R275" i="3"/>
  <c r="P275" i="3"/>
  <c r="O275" i="3"/>
  <c r="N275" i="3"/>
  <c r="M275" i="3"/>
  <c r="L275" i="3"/>
  <c r="G274" i="3"/>
  <c r="H274" i="3"/>
  <c r="I274" i="3"/>
  <c r="J274" i="3"/>
  <c r="K274" i="3"/>
  <c r="L274" i="3"/>
  <c r="C274" i="3"/>
  <c r="D274" i="3"/>
  <c r="B274" i="3"/>
  <c r="S274" i="3"/>
  <c r="R274" i="3"/>
  <c r="M274" i="3"/>
  <c r="Q274" i="3"/>
  <c r="P274" i="3"/>
  <c r="O274" i="3"/>
  <c r="F274" i="3"/>
  <c r="E274" i="3"/>
  <c r="N274" i="3"/>
  <c r="E273" i="3"/>
  <c r="D273" i="3"/>
  <c r="C273" i="3"/>
  <c r="B273" i="3"/>
  <c r="I273" i="3"/>
  <c r="S273" i="3"/>
  <c r="R273" i="3"/>
  <c r="Q273" i="3"/>
  <c r="P273" i="3"/>
  <c r="O273" i="3"/>
  <c r="N273" i="3"/>
  <c r="M273" i="3"/>
  <c r="L273" i="3"/>
  <c r="K273" i="3"/>
  <c r="J273" i="3"/>
  <c r="H273" i="3"/>
  <c r="G273" i="3"/>
  <c r="F273" i="3"/>
  <c r="M272" i="3"/>
  <c r="F272" i="3"/>
  <c r="E272" i="3"/>
  <c r="R272" i="3"/>
  <c r="D272" i="3"/>
  <c r="C272" i="3"/>
  <c r="B272" i="3"/>
  <c r="Q272" i="3"/>
  <c r="P272" i="3"/>
  <c r="O272" i="3"/>
  <c r="N272" i="3"/>
  <c r="S272" i="3"/>
  <c r="L272" i="3"/>
  <c r="K272" i="3"/>
  <c r="J272" i="3"/>
  <c r="I272" i="3"/>
  <c r="H272" i="3"/>
  <c r="G272" i="3"/>
  <c r="E271" i="3"/>
  <c r="D271" i="3"/>
  <c r="C271" i="3"/>
  <c r="S271" i="3"/>
  <c r="R271" i="3"/>
  <c r="B271" i="3"/>
  <c r="P271" i="3"/>
  <c r="O271" i="3"/>
  <c r="N271" i="3"/>
  <c r="M271" i="3"/>
  <c r="Q271" i="3"/>
  <c r="L271" i="3"/>
  <c r="K271" i="3"/>
  <c r="J271" i="3"/>
  <c r="I271" i="3"/>
  <c r="H271" i="3"/>
  <c r="G271" i="3"/>
  <c r="F271" i="3"/>
  <c r="C270" i="3"/>
  <c r="F270" i="3"/>
  <c r="E270" i="3"/>
  <c r="S270" i="3"/>
  <c r="R270" i="3"/>
  <c r="Q270" i="3"/>
  <c r="P270" i="3"/>
  <c r="O270" i="3"/>
  <c r="N270" i="3"/>
  <c r="D270" i="3"/>
  <c r="M270" i="3"/>
  <c r="L270" i="3"/>
  <c r="K270" i="3"/>
  <c r="J270" i="3"/>
  <c r="I270" i="3"/>
  <c r="H270" i="3"/>
  <c r="G270" i="3"/>
  <c r="B270" i="3"/>
  <c r="C269" i="3"/>
  <c r="K269" i="3"/>
  <c r="S269" i="3"/>
  <c r="R269" i="3"/>
  <c r="Q269" i="3"/>
  <c r="P269" i="3"/>
  <c r="O269" i="3"/>
  <c r="N269" i="3"/>
  <c r="B269" i="3"/>
  <c r="E269" i="3"/>
  <c r="F269" i="3"/>
  <c r="G269" i="3"/>
  <c r="H269" i="3"/>
  <c r="I269" i="3"/>
  <c r="J269" i="3"/>
  <c r="M269" i="3"/>
  <c r="D269" i="3"/>
  <c r="L269" i="3"/>
  <c r="L268" i="3"/>
  <c r="N268" i="3"/>
  <c r="O268" i="3"/>
  <c r="P268" i="3"/>
  <c r="Q268" i="3"/>
  <c r="R268" i="3"/>
  <c r="S268" i="3"/>
  <c r="K268" i="3"/>
  <c r="M268" i="3"/>
  <c r="J268" i="3"/>
  <c r="I268" i="3"/>
  <c r="H268" i="3"/>
  <c r="G268" i="3"/>
  <c r="F268" i="3"/>
  <c r="E268" i="3"/>
  <c r="D268" i="3"/>
  <c r="C268" i="3"/>
  <c r="B268" i="3"/>
  <c r="S267" i="3"/>
  <c r="R267" i="3"/>
  <c r="Q267" i="3"/>
  <c r="P267" i="3"/>
  <c r="O267" i="3"/>
  <c r="N267" i="3"/>
  <c r="M267" i="3"/>
  <c r="L267" i="3"/>
  <c r="K267" i="3"/>
  <c r="J267" i="3"/>
  <c r="I267" i="3"/>
  <c r="H267" i="3"/>
  <c r="G267" i="3"/>
  <c r="F267" i="3"/>
  <c r="E267" i="3"/>
  <c r="D267" i="3"/>
  <c r="C267" i="3"/>
  <c r="B267" i="3"/>
  <c r="H266" i="3"/>
  <c r="S266" i="3"/>
  <c r="R266" i="3"/>
  <c r="Q266" i="3"/>
  <c r="P266" i="3"/>
  <c r="O266" i="3"/>
  <c r="N266" i="3"/>
  <c r="M266" i="3"/>
  <c r="L266" i="3"/>
  <c r="K266" i="3"/>
  <c r="J266" i="3"/>
  <c r="I266" i="3"/>
  <c r="G266" i="3"/>
  <c r="F266" i="3"/>
  <c r="E266" i="3"/>
  <c r="D266" i="3"/>
  <c r="C266" i="3"/>
  <c r="B266" i="3"/>
  <c r="D265" i="3"/>
  <c r="B265" i="3"/>
  <c r="C265" i="3"/>
  <c r="F265" i="3"/>
  <c r="E265" i="3"/>
  <c r="S265" i="3"/>
  <c r="R265" i="3"/>
  <c r="Q265" i="3"/>
  <c r="P265" i="3"/>
  <c r="O265" i="3"/>
  <c r="N265" i="3"/>
  <c r="M265" i="3"/>
  <c r="L265" i="3"/>
  <c r="K265" i="3"/>
  <c r="J265" i="3"/>
  <c r="I265" i="3"/>
  <c r="H265" i="3"/>
  <c r="G265" i="3"/>
  <c r="C264" i="3"/>
  <c r="E264" i="3"/>
  <c r="D264" i="3"/>
  <c r="B264" i="3"/>
  <c r="F264" i="3"/>
  <c r="G264" i="3"/>
  <c r="H264" i="3"/>
  <c r="I264" i="3"/>
  <c r="J264" i="3"/>
  <c r="K264" i="3"/>
  <c r="L264" i="3"/>
  <c r="M264" i="3"/>
  <c r="N264" i="3"/>
  <c r="O264" i="3"/>
  <c r="P264" i="3"/>
  <c r="R264" i="3"/>
  <c r="S264" i="3"/>
  <c r="Q264" i="3"/>
  <c r="O263" i="3"/>
  <c r="P263" i="3"/>
  <c r="Q263" i="3"/>
  <c r="R263" i="3"/>
  <c r="S263" i="3"/>
  <c r="B263" i="3"/>
  <c r="C263" i="3"/>
  <c r="D263" i="3"/>
  <c r="E263" i="3"/>
  <c r="F263" i="3"/>
  <c r="G263" i="3"/>
  <c r="H263" i="3"/>
  <c r="I263" i="3"/>
  <c r="J263" i="3"/>
  <c r="K263" i="3"/>
  <c r="L263" i="3"/>
  <c r="M263" i="3"/>
  <c r="N263" i="3"/>
  <c r="H262" i="3"/>
  <c r="S262" i="3"/>
  <c r="R262" i="3"/>
  <c r="Q262" i="3"/>
  <c r="P262" i="3"/>
  <c r="C262" i="3"/>
  <c r="O262" i="3"/>
  <c r="N262" i="3"/>
  <c r="M262" i="3"/>
  <c r="L262" i="3"/>
  <c r="K262" i="3"/>
  <c r="J262" i="3"/>
  <c r="I262" i="3"/>
  <c r="E262" i="3"/>
  <c r="B262" i="3"/>
  <c r="G262" i="3"/>
  <c r="F262" i="3"/>
  <c r="D262" i="3"/>
  <c r="S261" i="3"/>
  <c r="B261" i="3"/>
  <c r="C261" i="3"/>
  <c r="D261" i="3"/>
  <c r="E261" i="3"/>
  <c r="F261" i="3"/>
  <c r="G261" i="3"/>
  <c r="I261" i="3"/>
  <c r="J261" i="3"/>
  <c r="H261" i="3"/>
  <c r="K261" i="3"/>
  <c r="L261" i="3"/>
  <c r="M261" i="3"/>
  <c r="N261" i="3"/>
  <c r="O261" i="3"/>
  <c r="P261" i="3"/>
  <c r="Q261" i="3"/>
  <c r="R261" i="3"/>
  <c r="D260" i="3"/>
  <c r="S260" i="3"/>
  <c r="R260" i="3"/>
  <c r="B260" i="3"/>
  <c r="C260" i="3"/>
  <c r="E260" i="3"/>
  <c r="F260" i="3"/>
  <c r="G260" i="3"/>
  <c r="H260" i="3"/>
  <c r="I260" i="3"/>
  <c r="J260" i="3"/>
  <c r="K260" i="3"/>
  <c r="L260" i="3"/>
  <c r="M260" i="3"/>
  <c r="N260" i="3"/>
  <c r="O260" i="3"/>
  <c r="P260" i="3"/>
  <c r="Q260" i="3"/>
  <c r="D259" i="3"/>
  <c r="E259" i="3"/>
  <c r="F259" i="3"/>
  <c r="H259" i="3"/>
  <c r="B259" i="3"/>
  <c r="C259" i="3"/>
  <c r="O259" i="3"/>
  <c r="I259" i="3"/>
  <c r="S259" i="3"/>
  <c r="R259" i="3"/>
  <c r="Q259" i="3"/>
  <c r="P259" i="3"/>
  <c r="N259" i="3"/>
  <c r="M259" i="3"/>
  <c r="L259" i="3"/>
  <c r="K259" i="3"/>
  <c r="J259" i="3"/>
  <c r="G259" i="3"/>
  <c r="J258" i="3"/>
  <c r="H258" i="3"/>
  <c r="G258" i="3"/>
  <c r="F258" i="3"/>
  <c r="E258" i="3"/>
  <c r="D258" i="3"/>
  <c r="C258" i="3"/>
  <c r="K258" i="3"/>
  <c r="S258" i="3"/>
  <c r="P258" i="3"/>
  <c r="B258" i="3"/>
  <c r="R258" i="3"/>
  <c r="Q258" i="3"/>
  <c r="O258" i="3"/>
  <c r="M258" i="3"/>
  <c r="L258" i="3"/>
  <c r="N258" i="3"/>
  <c r="I258" i="3"/>
  <c r="B257" i="3"/>
  <c r="C257" i="3"/>
  <c r="D257" i="3"/>
  <c r="Q257" i="3"/>
  <c r="G257" i="3"/>
  <c r="I257" i="3"/>
  <c r="P257" i="3"/>
  <c r="F257" i="3"/>
  <c r="N257" i="3"/>
  <c r="S257" i="3"/>
  <c r="M257" i="3"/>
  <c r="H257" i="3"/>
  <c r="O257" i="3"/>
  <c r="L257" i="3"/>
  <c r="E257" i="3"/>
  <c r="K257" i="3"/>
  <c r="J257" i="3"/>
  <c r="R257" i="3"/>
  <c r="M256" i="3"/>
  <c r="S256" i="3"/>
  <c r="R256" i="3"/>
  <c r="Q256" i="3"/>
  <c r="P256" i="3"/>
  <c r="O256" i="3"/>
  <c r="N256" i="3"/>
  <c r="L256" i="3"/>
  <c r="K256" i="3"/>
  <c r="J256" i="3"/>
  <c r="I256" i="3"/>
  <c r="H256" i="3"/>
  <c r="G256" i="3"/>
  <c r="F256" i="3"/>
  <c r="E256" i="3"/>
  <c r="D256" i="3"/>
  <c r="C256" i="3"/>
  <c r="B256" i="3"/>
  <c r="F255" i="3"/>
  <c r="M255" i="3"/>
  <c r="N255" i="3"/>
  <c r="O255" i="3"/>
  <c r="Q255" i="3"/>
  <c r="R255" i="3"/>
  <c r="S255" i="3"/>
  <c r="D255" i="3"/>
  <c r="P255" i="3"/>
  <c r="C255" i="3"/>
  <c r="B255" i="3"/>
  <c r="E255" i="3"/>
  <c r="L255" i="3"/>
  <c r="K255" i="3"/>
  <c r="J255" i="3"/>
  <c r="I255" i="3"/>
  <c r="H255" i="3"/>
  <c r="G255" i="3"/>
  <c r="E254" i="3"/>
  <c r="F254" i="3"/>
  <c r="G254" i="3"/>
  <c r="H254" i="3"/>
  <c r="M254" i="3"/>
  <c r="J254" i="3"/>
  <c r="L254" i="3"/>
  <c r="K254" i="3"/>
  <c r="B254" i="3"/>
  <c r="C254" i="3"/>
  <c r="D254" i="3"/>
  <c r="S254" i="3"/>
  <c r="R254" i="3"/>
  <c r="Q254" i="3"/>
  <c r="P254" i="3"/>
  <c r="I254" i="3"/>
  <c r="O254" i="3"/>
  <c r="N254" i="3"/>
  <c r="I253" i="3"/>
  <c r="J253" i="3"/>
  <c r="K253" i="3"/>
  <c r="L253" i="3"/>
  <c r="N253" i="3"/>
  <c r="O253" i="3"/>
  <c r="P253" i="3"/>
  <c r="Q253" i="3"/>
  <c r="S253" i="3"/>
  <c r="R253" i="3"/>
  <c r="M253" i="3"/>
  <c r="E253" i="3"/>
  <c r="B253" i="3"/>
  <c r="C253" i="3"/>
  <c r="D253" i="3"/>
  <c r="F253" i="3"/>
  <c r="G253" i="3"/>
  <c r="H253" i="3"/>
  <c r="K252" i="3"/>
  <c r="J252" i="3"/>
  <c r="H252" i="3"/>
  <c r="I252" i="3"/>
  <c r="G252" i="3"/>
  <c r="F252" i="3"/>
  <c r="E252" i="3"/>
  <c r="L252" i="3"/>
  <c r="D252" i="3"/>
  <c r="C252" i="3"/>
  <c r="B252" i="3"/>
  <c r="S252" i="3"/>
  <c r="R252" i="3"/>
  <c r="Q252" i="3"/>
  <c r="P252" i="3"/>
  <c r="O252" i="3"/>
  <c r="N252" i="3"/>
  <c r="M252" i="3"/>
  <c r="P251" i="3"/>
  <c r="Q251" i="3"/>
  <c r="R251" i="3"/>
  <c r="B251" i="3"/>
  <c r="C251" i="3"/>
  <c r="D251" i="3"/>
  <c r="E251" i="3"/>
  <c r="F251" i="3"/>
  <c r="G251" i="3"/>
  <c r="S251" i="3"/>
  <c r="H251" i="3"/>
  <c r="I251" i="3"/>
  <c r="J251" i="3"/>
  <c r="K251" i="3"/>
  <c r="M251" i="3"/>
  <c r="N251" i="3"/>
  <c r="O251" i="3"/>
  <c r="L251" i="3"/>
  <c r="P250" i="3"/>
  <c r="Q250" i="3"/>
  <c r="R250" i="3"/>
  <c r="S250" i="3"/>
  <c r="B250" i="3"/>
  <c r="C250" i="3"/>
  <c r="D250" i="3"/>
  <c r="E250" i="3"/>
  <c r="F250" i="3"/>
  <c r="G250" i="3"/>
  <c r="H250" i="3"/>
  <c r="I250" i="3"/>
  <c r="J250" i="3"/>
  <c r="K250" i="3"/>
  <c r="L250" i="3"/>
  <c r="M250" i="3"/>
  <c r="N250" i="3"/>
  <c r="O250" i="3"/>
  <c r="E249" i="3"/>
  <c r="N249" i="3"/>
  <c r="O249" i="3"/>
  <c r="P249" i="3"/>
  <c r="R249" i="3"/>
  <c r="B249" i="3"/>
  <c r="C249" i="3"/>
  <c r="Q249" i="3"/>
  <c r="D249" i="3"/>
  <c r="F249" i="3"/>
  <c r="G249" i="3"/>
  <c r="H249" i="3"/>
  <c r="I249" i="3"/>
  <c r="J249" i="3"/>
  <c r="K249" i="3"/>
  <c r="S249" i="3"/>
  <c r="L249" i="3"/>
  <c r="M249" i="3"/>
  <c r="L248" i="3"/>
  <c r="M248" i="3"/>
  <c r="N248" i="3"/>
  <c r="O248" i="3"/>
  <c r="C248" i="3"/>
  <c r="P248" i="3"/>
  <c r="Q248" i="3"/>
  <c r="R248" i="3"/>
  <c r="S248" i="3"/>
  <c r="G248" i="3"/>
  <c r="B248" i="3"/>
  <c r="D248" i="3"/>
  <c r="E248" i="3"/>
  <c r="F248" i="3"/>
  <c r="H248" i="3"/>
  <c r="I248" i="3"/>
  <c r="J248" i="3"/>
  <c r="K248" i="3"/>
  <c r="E247" i="3"/>
  <c r="D247" i="3"/>
  <c r="C247" i="3"/>
  <c r="B247" i="3"/>
  <c r="N247" i="3"/>
  <c r="O247" i="3"/>
  <c r="P247" i="3"/>
  <c r="Q247" i="3"/>
  <c r="S247" i="3"/>
  <c r="R247" i="3"/>
  <c r="M247" i="3"/>
  <c r="L247" i="3"/>
  <c r="K247" i="3"/>
  <c r="J247" i="3"/>
  <c r="I247" i="3"/>
  <c r="H247" i="3"/>
  <c r="G247" i="3"/>
  <c r="F247" i="3"/>
  <c r="L246" i="3"/>
  <c r="K246" i="3"/>
  <c r="I246" i="3"/>
  <c r="H246" i="3"/>
  <c r="G246" i="3"/>
  <c r="E246" i="3"/>
  <c r="D246" i="3"/>
  <c r="C246" i="3"/>
  <c r="B246" i="3"/>
  <c r="J246" i="3"/>
  <c r="S246" i="3"/>
  <c r="R246" i="3"/>
  <c r="Q246" i="3"/>
  <c r="P246" i="3"/>
  <c r="O246" i="3"/>
  <c r="N246" i="3"/>
  <c r="M246" i="3"/>
  <c r="F246" i="3"/>
  <c r="C245" i="3"/>
  <c r="S245" i="3"/>
  <c r="D245" i="3"/>
  <c r="E245" i="3"/>
  <c r="F245" i="3"/>
  <c r="G245" i="3"/>
  <c r="H245" i="3"/>
  <c r="B245" i="3"/>
  <c r="I245" i="3"/>
  <c r="J245" i="3"/>
  <c r="K245" i="3"/>
  <c r="L245" i="3"/>
  <c r="M245" i="3"/>
  <c r="N245" i="3"/>
  <c r="O245" i="3"/>
  <c r="P245" i="3"/>
  <c r="Q245" i="3"/>
  <c r="R245" i="3"/>
  <c r="D244" i="3"/>
  <c r="B244" i="3"/>
  <c r="C244" i="3"/>
  <c r="L244" i="3"/>
  <c r="N244" i="3"/>
  <c r="E244" i="3"/>
  <c r="P244" i="3"/>
  <c r="Q244" i="3"/>
  <c r="R244" i="3"/>
  <c r="S244" i="3"/>
  <c r="G244" i="3"/>
  <c r="H244" i="3"/>
  <c r="I244" i="3"/>
  <c r="J244" i="3"/>
  <c r="K244" i="3"/>
  <c r="O244" i="3"/>
  <c r="M244" i="3"/>
  <c r="F244" i="3"/>
  <c r="I243" i="3"/>
  <c r="R243" i="3"/>
  <c r="S243" i="3"/>
  <c r="H243" i="3"/>
  <c r="G243" i="3"/>
  <c r="F243" i="3"/>
  <c r="E243" i="3"/>
  <c r="D243" i="3"/>
  <c r="C243" i="3"/>
  <c r="B243" i="3"/>
  <c r="J243" i="3"/>
  <c r="K243" i="3"/>
  <c r="L243" i="3"/>
  <c r="M243" i="3"/>
  <c r="N243" i="3"/>
  <c r="O243" i="3"/>
  <c r="P243" i="3"/>
  <c r="Q243" i="3"/>
  <c r="C242" i="3"/>
  <c r="S242" i="3"/>
  <c r="R242" i="3"/>
  <c r="Q242" i="3"/>
  <c r="P242" i="3"/>
  <c r="O242" i="3"/>
  <c r="N242" i="3"/>
  <c r="M242" i="3"/>
  <c r="L242" i="3"/>
  <c r="K242" i="3"/>
  <c r="J242" i="3"/>
  <c r="I242" i="3"/>
  <c r="H242" i="3"/>
  <c r="G242" i="3"/>
  <c r="F242" i="3"/>
  <c r="E242" i="3"/>
  <c r="D242" i="3"/>
  <c r="B242" i="3"/>
  <c r="F241" i="3"/>
  <c r="E241" i="3"/>
  <c r="D241" i="3"/>
  <c r="C241" i="3"/>
  <c r="S241" i="3"/>
  <c r="R241" i="3"/>
  <c r="B241" i="3"/>
  <c r="Q241" i="3"/>
  <c r="P241" i="3"/>
  <c r="O241" i="3"/>
  <c r="M241" i="3"/>
  <c r="L241" i="3"/>
  <c r="K241" i="3"/>
  <c r="J241" i="3"/>
  <c r="I241" i="3"/>
  <c r="N241" i="3"/>
  <c r="H241" i="3"/>
  <c r="G241" i="3"/>
  <c r="P240" i="3"/>
  <c r="G240" i="3"/>
  <c r="F240" i="3"/>
  <c r="D240" i="3"/>
  <c r="E240" i="3"/>
  <c r="B240" i="3"/>
  <c r="S240" i="3"/>
  <c r="R240" i="3"/>
  <c r="Q240" i="3"/>
  <c r="C240" i="3"/>
  <c r="O240" i="3"/>
  <c r="N240" i="3"/>
  <c r="M240" i="3"/>
  <c r="L240" i="3"/>
  <c r="K240" i="3"/>
  <c r="J240" i="3"/>
  <c r="I240" i="3"/>
  <c r="H240" i="3"/>
  <c r="B239" i="3"/>
  <c r="C239" i="3"/>
  <c r="D239" i="3"/>
  <c r="R239" i="3"/>
  <c r="Q239" i="3"/>
  <c r="P239" i="3"/>
  <c r="O239" i="3"/>
  <c r="N239" i="3"/>
  <c r="M239" i="3"/>
  <c r="L239" i="3"/>
  <c r="K239" i="3"/>
  <c r="G239" i="3"/>
  <c r="J239" i="3"/>
  <c r="I239" i="3"/>
  <c r="H239" i="3"/>
  <c r="F239" i="3"/>
  <c r="E239" i="3"/>
  <c r="S239" i="3"/>
  <c r="P238" i="3"/>
  <c r="C238" i="3"/>
  <c r="B238" i="3"/>
  <c r="S238" i="3"/>
  <c r="R238" i="3"/>
  <c r="Q238" i="3"/>
  <c r="O238" i="3"/>
  <c r="N238" i="3"/>
  <c r="M238" i="3"/>
  <c r="L238" i="3"/>
  <c r="K238" i="3"/>
  <c r="J238" i="3"/>
  <c r="I238" i="3"/>
  <c r="H238" i="3"/>
  <c r="G238" i="3"/>
  <c r="F238" i="3"/>
  <c r="E238" i="3"/>
  <c r="D238" i="3"/>
  <c r="G237" i="3"/>
  <c r="F237" i="3"/>
  <c r="D237" i="3"/>
  <c r="E237" i="3"/>
  <c r="C237" i="3"/>
  <c r="L237" i="3"/>
  <c r="B237" i="3"/>
  <c r="R237" i="3"/>
  <c r="Q237" i="3"/>
  <c r="P237" i="3"/>
  <c r="O237" i="3"/>
  <c r="N237" i="3"/>
  <c r="M237" i="3"/>
  <c r="S237" i="3"/>
  <c r="K237" i="3"/>
  <c r="J237" i="3"/>
  <c r="I237" i="3"/>
  <c r="H237" i="3"/>
  <c r="R236" i="3"/>
  <c r="Q236" i="3"/>
  <c r="P236" i="3"/>
  <c r="O236" i="3"/>
  <c r="N236" i="3"/>
  <c r="M236" i="3"/>
  <c r="L236" i="3"/>
  <c r="K236" i="3"/>
  <c r="J236" i="3"/>
  <c r="H236" i="3"/>
  <c r="F236" i="3"/>
  <c r="E236" i="3"/>
  <c r="C236" i="3"/>
  <c r="B236" i="3"/>
  <c r="I236" i="3"/>
  <c r="G236" i="3"/>
  <c r="D236" i="3"/>
  <c r="S236" i="3"/>
  <c r="I235" i="3"/>
  <c r="B235" i="3"/>
  <c r="C235" i="3"/>
  <c r="D235" i="3"/>
  <c r="E235" i="3"/>
  <c r="F235" i="3"/>
  <c r="G235" i="3"/>
  <c r="H235" i="3"/>
  <c r="J235" i="3"/>
  <c r="K235" i="3"/>
  <c r="L235" i="3"/>
  <c r="M235" i="3"/>
  <c r="N235" i="3"/>
  <c r="O235" i="3"/>
  <c r="P235" i="3"/>
  <c r="Q235" i="3"/>
  <c r="R235" i="3"/>
  <c r="S235" i="3"/>
  <c r="D234" i="3"/>
  <c r="C234" i="3"/>
  <c r="B234" i="3"/>
  <c r="G234" i="3"/>
  <c r="F234" i="3"/>
  <c r="E234" i="3"/>
  <c r="S234" i="3"/>
  <c r="R234" i="3"/>
  <c r="Q234" i="3"/>
  <c r="P234" i="3"/>
  <c r="O234" i="3"/>
  <c r="N234" i="3"/>
  <c r="M234" i="3"/>
  <c r="L234" i="3"/>
  <c r="K234" i="3"/>
  <c r="J234" i="3"/>
  <c r="I234" i="3"/>
  <c r="H234" i="3"/>
  <c r="S233" i="3"/>
  <c r="Q233" i="3"/>
  <c r="R233" i="3"/>
  <c r="I233" i="3"/>
  <c r="H233" i="3"/>
  <c r="G233" i="3"/>
  <c r="F233" i="3"/>
  <c r="D233" i="3"/>
  <c r="C233" i="3"/>
  <c r="B233" i="3"/>
  <c r="E233" i="3"/>
  <c r="P233" i="3"/>
  <c r="O233" i="3"/>
  <c r="N233" i="3"/>
  <c r="M233" i="3"/>
  <c r="K233" i="3"/>
  <c r="J233" i="3"/>
  <c r="L233" i="3"/>
  <c r="K232" i="3"/>
  <c r="M232" i="3"/>
  <c r="N232" i="3"/>
  <c r="O232" i="3"/>
  <c r="P232" i="3"/>
  <c r="Q232" i="3"/>
  <c r="R232" i="3"/>
  <c r="S232" i="3"/>
  <c r="G232" i="3"/>
  <c r="L232" i="3"/>
  <c r="B232" i="3"/>
  <c r="C232" i="3"/>
  <c r="D232" i="3"/>
  <c r="E232" i="3"/>
  <c r="F232" i="3"/>
  <c r="H232" i="3"/>
  <c r="I232" i="3"/>
  <c r="J232" i="3"/>
  <c r="K231" i="3"/>
  <c r="O231" i="3"/>
  <c r="P231" i="3"/>
  <c r="Q231" i="3"/>
  <c r="F231" i="3"/>
  <c r="R231" i="3"/>
  <c r="J231" i="3"/>
  <c r="I231" i="3"/>
  <c r="G231" i="3"/>
  <c r="N231" i="3"/>
  <c r="L231" i="3"/>
  <c r="M231" i="3"/>
  <c r="E231" i="3"/>
  <c r="D231" i="3"/>
  <c r="C231" i="3"/>
  <c r="S231" i="3"/>
  <c r="B231" i="3"/>
  <c r="H231" i="3"/>
  <c r="B230" i="3"/>
  <c r="C230" i="3"/>
  <c r="D230" i="3"/>
  <c r="E230" i="3"/>
  <c r="F230" i="3"/>
  <c r="G230" i="3"/>
  <c r="H230" i="3"/>
  <c r="I230" i="3"/>
  <c r="S230" i="3"/>
  <c r="R230" i="3"/>
  <c r="Q230" i="3"/>
  <c r="O230" i="3"/>
  <c r="N230" i="3"/>
  <c r="M230" i="3"/>
  <c r="L230" i="3"/>
  <c r="K230" i="3"/>
  <c r="J230" i="3"/>
  <c r="P230" i="3"/>
  <c r="H229" i="3"/>
  <c r="G229" i="3"/>
  <c r="F229" i="3"/>
  <c r="E229" i="3"/>
  <c r="D229" i="3"/>
  <c r="C229" i="3"/>
  <c r="B229" i="3"/>
  <c r="S229" i="3"/>
  <c r="R229" i="3"/>
  <c r="Q229" i="3"/>
  <c r="P229" i="3"/>
  <c r="O229" i="3"/>
  <c r="N229" i="3"/>
  <c r="M229" i="3"/>
  <c r="L229" i="3"/>
  <c r="K229" i="3"/>
  <c r="J229" i="3"/>
  <c r="I229" i="3"/>
  <c r="O228" i="3"/>
  <c r="P228" i="3"/>
  <c r="Q228" i="3"/>
  <c r="B228" i="3"/>
  <c r="C228" i="3"/>
  <c r="D228" i="3"/>
  <c r="E228" i="3"/>
  <c r="F228" i="3"/>
  <c r="G228" i="3"/>
  <c r="H228" i="3"/>
  <c r="I228" i="3"/>
  <c r="J228" i="3"/>
  <c r="K228" i="3"/>
  <c r="M228" i="3"/>
  <c r="N228" i="3"/>
  <c r="R228" i="3"/>
  <c r="S228" i="3"/>
  <c r="L228" i="3"/>
  <c r="L227" i="3"/>
  <c r="I227" i="3"/>
  <c r="Q227" i="3"/>
  <c r="R227" i="3"/>
  <c r="S227" i="3"/>
  <c r="B227" i="3"/>
  <c r="C227" i="3"/>
  <c r="D227" i="3"/>
  <c r="E227" i="3"/>
  <c r="F227" i="3"/>
  <c r="G227" i="3"/>
  <c r="H227" i="3"/>
  <c r="K227" i="3"/>
  <c r="J227" i="3"/>
  <c r="M227" i="3"/>
  <c r="N227" i="3"/>
  <c r="O227" i="3"/>
  <c r="P227" i="3"/>
  <c r="E226" i="3"/>
  <c r="H226" i="3"/>
  <c r="I226" i="3"/>
  <c r="S226" i="3"/>
  <c r="R226" i="3"/>
  <c r="Q226" i="3"/>
  <c r="P226" i="3"/>
  <c r="O226" i="3"/>
  <c r="N226" i="3"/>
  <c r="M226" i="3"/>
  <c r="L226" i="3"/>
  <c r="K226" i="3"/>
  <c r="J226" i="3"/>
  <c r="F226" i="3"/>
  <c r="B226" i="3"/>
  <c r="C226" i="3"/>
  <c r="D226" i="3"/>
  <c r="G226" i="3"/>
  <c r="G225" i="3"/>
  <c r="N225" i="3"/>
  <c r="E225" i="3"/>
  <c r="S225" i="3"/>
  <c r="R225" i="3"/>
  <c r="J225" i="3"/>
  <c r="B225" i="3"/>
  <c r="C225" i="3"/>
  <c r="D225" i="3"/>
  <c r="P225" i="3"/>
  <c r="O225" i="3"/>
  <c r="F225" i="3"/>
  <c r="H225" i="3"/>
  <c r="I225" i="3"/>
  <c r="K225" i="3"/>
  <c r="L225" i="3"/>
  <c r="Q225" i="3"/>
  <c r="M225" i="3"/>
  <c r="E224" i="3"/>
  <c r="N224" i="3"/>
  <c r="O224" i="3"/>
  <c r="Q224" i="3"/>
  <c r="J224" i="3"/>
  <c r="R224" i="3"/>
  <c r="S224" i="3"/>
  <c r="P224" i="3"/>
  <c r="B224" i="3"/>
  <c r="C224" i="3"/>
  <c r="D224" i="3"/>
  <c r="M224" i="3"/>
  <c r="L224" i="3"/>
  <c r="K224" i="3"/>
  <c r="I224" i="3"/>
  <c r="H224" i="3"/>
  <c r="G224" i="3"/>
  <c r="F224" i="3"/>
  <c r="I223" i="3"/>
  <c r="K223" i="3"/>
  <c r="L223" i="3"/>
  <c r="M223" i="3"/>
  <c r="N223" i="3"/>
  <c r="O223" i="3"/>
  <c r="Q223" i="3"/>
  <c r="R223" i="3"/>
  <c r="S223" i="3"/>
  <c r="P223" i="3"/>
  <c r="D223" i="3"/>
  <c r="B223" i="3"/>
  <c r="C223" i="3"/>
  <c r="J223" i="3"/>
  <c r="E223" i="3"/>
  <c r="F223" i="3"/>
  <c r="G223" i="3"/>
  <c r="H223" i="3"/>
  <c r="H222" i="3"/>
  <c r="I222" i="3"/>
  <c r="S222" i="3"/>
  <c r="R222" i="3"/>
  <c r="Q222" i="3"/>
  <c r="P222" i="3"/>
  <c r="O222" i="3"/>
  <c r="N222" i="3"/>
  <c r="M222" i="3"/>
  <c r="L222" i="3"/>
  <c r="B222" i="3"/>
  <c r="C222" i="3"/>
  <c r="D222" i="3"/>
  <c r="E222" i="3"/>
  <c r="F222" i="3"/>
  <c r="G222" i="3"/>
  <c r="J222" i="3"/>
  <c r="K222" i="3"/>
  <c r="B221" i="3"/>
  <c r="C221" i="3"/>
  <c r="D221" i="3"/>
  <c r="E221" i="3"/>
  <c r="F221" i="3"/>
  <c r="O221" i="3"/>
  <c r="G221" i="3"/>
  <c r="H221" i="3"/>
  <c r="N221" i="3"/>
  <c r="M221" i="3"/>
  <c r="L221" i="3"/>
  <c r="K221" i="3"/>
  <c r="J221" i="3"/>
  <c r="I221" i="3"/>
  <c r="Q221" i="3"/>
  <c r="R221" i="3"/>
  <c r="P221" i="3"/>
  <c r="S221" i="3"/>
  <c r="R220" i="3"/>
  <c r="Q220" i="3"/>
  <c r="P220" i="3"/>
  <c r="O220" i="3"/>
  <c r="N220" i="3"/>
  <c r="M220" i="3"/>
  <c r="L220" i="3"/>
  <c r="K220" i="3"/>
  <c r="J220" i="3"/>
  <c r="I220" i="3"/>
  <c r="H220" i="3"/>
  <c r="G220" i="3"/>
  <c r="F220" i="3"/>
  <c r="E220" i="3"/>
  <c r="D220" i="3"/>
  <c r="B220" i="3"/>
  <c r="C220" i="3"/>
  <c r="S220" i="3"/>
  <c r="F219" i="3"/>
  <c r="D219" i="3"/>
  <c r="G219" i="3"/>
  <c r="E219" i="3"/>
  <c r="I219" i="3"/>
  <c r="J219" i="3"/>
  <c r="L219" i="3"/>
  <c r="M219" i="3"/>
  <c r="N219" i="3"/>
  <c r="O219" i="3"/>
  <c r="P219" i="3"/>
  <c r="K219" i="3"/>
  <c r="Q219" i="3"/>
  <c r="R219" i="3"/>
  <c r="S219" i="3"/>
  <c r="H219" i="3"/>
  <c r="B219" i="3"/>
  <c r="C219" i="3"/>
  <c r="S218" i="3"/>
  <c r="K218" i="3"/>
  <c r="J218" i="3"/>
  <c r="B218" i="3"/>
  <c r="I218" i="3"/>
  <c r="H218" i="3"/>
  <c r="M218" i="3"/>
  <c r="L218" i="3"/>
  <c r="G218" i="3"/>
  <c r="F218" i="3"/>
  <c r="E218" i="3"/>
  <c r="D218" i="3"/>
  <c r="C218" i="3"/>
  <c r="N218" i="3"/>
  <c r="O218" i="3"/>
  <c r="P218" i="3"/>
  <c r="Q218" i="3"/>
  <c r="R218" i="3"/>
  <c r="L217" i="3"/>
  <c r="K217" i="3"/>
  <c r="J217" i="3"/>
  <c r="I217" i="3"/>
  <c r="H217" i="3"/>
  <c r="G217" i="3"/>
  <c r="D217" i="3"/>
  <c r="C217" i="3"/>
  <c r="B217" i="3"/>
  <c r="F217" i="3"/>
  <c r="E217" i="3"/>
  <c r="S217" i="3"/>
  <c r="R217" i="3"/>
  <c r="Q217" i="3"/>
  <c r="P217" i="3"/>
  <c r="O217" i="3"/>
  <c r="N217" i="3"/>
  <c r="M217" i="3"/>
  <c r="S216" i="3"/>
  <c r="R216" i="3"/>
  <c r="Q216" i="3"/>
  <c r="O216" i="3"/>
  <c r="N216" i="3"/>
  <c r="M216" i="3"/>
  <c r="L216" i="3"/>
  <c r="D216" i="3"/>
  <c r="E216" i="3"/>
  <c r="F216" i="3"/>
  <c r="G216" i="3"/>
  <c r="H216" i="3"/>
  <c r="J216" i="3"/>
  <c r="K216" i="3"/>
  <c r="I216" i="3"/>
  <c r="B216" i="3"/>
  <c r="C216" i="3"/>
  <c r="P216" i="3"/>
  <c r="P215" i="3"/>
  <c r="Q215" i="3"/>
  <c r="S215" i="3"/>
  <c r="E215" i="3"/>
  <c r="D215" i="3"/>
  <c r="C215" i="3"/>
  <c r="B215" i="3"/>
  <c r="R215" i="3"/>
  <c r="F215" i="3"/>
  <c r="G215" i="3"/>
  <c r="H215" i="3"/>
  <c r="I215" i="3"/>
  <c r="J215" i="3"/>
  <c r="K215" i="3"/>
  <c r="L215" i="3"/>
  <c r="M215" i="3"/>
  <c r="N215" i="3"/>
  <c r="O215" i="3"/>
  <c r="D214" i="3"/>
  <c r="E214" i="3"/>
  <c r="F214" i="3"/>
  <c r="G214" i="3"/>
  <c r="H214" i="3"/>
  <c r="I214" i="3"/>
  <c r="M214" i="3"/>
  <c r="J214" i="3"/>
  <c r="K214" i="3"/>
  <c r="L214" i="3"/>
  <c r="B214" i="3"/>
  <c r="S214" i="3"/>
  <c r="R214" i="3"/>
  <c r="Q214" i="3"/>
  <c r="P214" i="3"/>
  <c r="O214" i="3"/>
  <c r="N214" i="3"/>
  <c r="C214" i="3"/>
  <c r="K213" i="3"/>
  <c r="I213" i="3"/>
  <c r="G213" i="3"/>
  <c r="F213" i="3"/>
  <c r="E213" i="3"/>
  <c r="D213" i="3"/>
  <c r="C213" i="3"/>
  <c r="R213" i="3"/>
  <c r="B213" i="3"/>
  <c r="H213" i="3"/>
  <c r="S213" i="3"/>
  <c r="J213" i="3"/>
  <c r="Q213" i="3"/>
  <c r="P213" i="3"/>
  <c r="O213" i="3"/>
  <c r="N213" i="3"/>
  <c r="M213" i="3"/>
  <c r="L213" i="3"/>
  <c r="S212" i="3"/>
  <c r="R212" i="3"/>
  <c r="Q212" i="3"/>
  <c r="P212" i="3"/>
  <c r="O212" i="3"/>
  <c r="N212" i="3"/>
  <c r="L212" i="3"/>
  <c r="K212" i="3"/>
  <c r="E212" i="3"/>
  <c r="J212" i="3"/>
  <c r="B212" i="3"/>
  <c r="M212" i="3"/>
  <c r="F212" i="3"/>
  <c r="G212" i="3"/>
  <c r="H212" i="3"/>
  <c r="C212" i="3"/>
  <c r="I212" i="3"/>
  <c r="D212" i="3"/>
  <c r="S211" i="3"/>
  <c r="R211" i="3"/>
  <c r="Q211" i="3"/>
  <c r="P211" i="3"/>
  <c r="O211" i="3"/>
  <c r="B211" i="3"/>
  <c r="C211" i="3"/>
  <c r="D211" i="3"/>
  <c r="E211" i="3"/>
  <c r="F211" i="3"/>
  <c r="G211" i="3"/>
  <c r="H211" i="3"/>
  <c r="I211" i="3"/>
  <c r="J211" i="3"/>
  <c r="K211" i="3"/>
  <c r="L211" i="3"/>
  <c r="M211" i="3"/>
  <c r="N211" i="3"/>
  <c r="N210" i="3"/>
  <c r="L210" i="3"/>
  <c r="K210" i="3"/>
  <c r="J210" i="3"/>
  <c r="I210" i="3"/>
  <c r="H210" i="3"/>
  <c r="M210" i="3"/>
  <c r="C210" i="3"/>
  <c r="D210" i="3"/>
  <c r="E210" i="3"/>
  <c r="G210" i="3"/>
  <c r="B210" i="3"/>
  <c r="O210" i="3"/>
  <c r="P210" i="3"/>
  <c r="Q210" i="3"/>
  <c r="R210" i="3"/>
  <c r="S210" i="3"/>
  <c r="F210" i="3"/>
  <c r="J209" i="3"/>
  <c r="K209" i="3"/>
  <c r="L209" i="3"/>
  <c r="M209" i="3"/>
  <c r="N209" i="3"/>
  <c r="P209" i="3"/>
  <c r="Q209" i="3"/>
  <c r="R209" i="3"/>
  <c r="O209" i="3"/>
  <c r="I209" i="3"/>
  <c r="S209" i="3"/>
  <c r="C209" i="3"/>
  <c r="D209" i="3"/>
  <c r="E209" i="3"/>
  <c r="F209" i="3"/>
  <c r="G209" i="3"/>
  <c r="H209" i="3"/>
  <c r="B209" i="3"/>
  <c r="D208" i="3"/>
  <c r="C208" i="3"/>
  <c r="B208" i="3"/>
  <c r="G208" i="3"/>
  <c r="H208" i="3"/>
  <c r="F208" i="3"/>
  <c r="J208" i="3"/>
  <c r="K208" i="3"/>
  <c r="L208" i="3"/>
  <c r="M208" i="3"/>
  <c r="N208" i="3"/>
  <c r="I208" i="3"/>
  <c r="P208" i="3"/>
  <c r="Q208" i="3"/>
  <c r="R208" i="3"/>
  <c r="S208" i="3"/>
  <c r="E208" i="3"/>
  <c r="O208" i="3"/>
  <c r="I207" i="3"/>
  <c r="H207" i="3"/>
  <c r="G207" i="3"/>
  <c r="F207" i="3"/>
  <c r="D207" i="3"/>
  <c r="C207" i="3"/>
  <c r="B207" i="3"/>
  <c r="E207" i="3"/>
  <c r="S207" i="3"/>
  <c r="R207" i="3"/>
  <c r="Q207" i="3"/>
  <c r="P207" i="3"/>
  <c r="O207" i="3"/>
  <c r="N207" i="3"/>
  <c r="M207" i="3"/>
  <c r="L207" i="3"/>
  <c r="K207" i="3"/>
  <c r="J207" i="3"/>
  <c r="N206" i="3"/>
  <c r="S206" i="3"/>
  <c r="R206" i="3"/>
  <c r="Q206" i="3"/>
  <c r="P206" i="3"/>
  <c r="O206" i="3"/>
  <c r="F206" i="3"/>
  <c r="G206" i="3"/>
  <c r="H206" i="3"/>
  <c r="I206" i="3"/>
  <c r="J206" i="3"/>
  <c r="K206" i="3"/>
  <c r="M206" i="3"/>
  <c r="B206" i="3"/>
  <c r="C206" i="3"/>
  <c r="D206" i="3"/>
  <c r="E206" i="3"/>
  <c r="L206" i="3"/>
  <c r="S205" i="3"/>
  <c r="N205" i="3"/>
  <c r="O205" i="3"/>
  <c r="P205" i="3"/>
  <c r="Q205" i="3"/>
  <c r="R205" i="3"/>
  <c r="K205" i="3"/>
  <c r="M205" i="3"/>
  <c r="L205" i="3"/>
  <c r="G205" i="3"/>
  <c r="B205" i="3"/>
  <c r="C205" i="3"/>
  <c r="D205" i="3"/>
  <c r="E205" i="3"/>
  <c r="F205" i="3"/>
  <c r="H205" i="3"/>
  <c r="I205" i="3"/>
  <c r="J205" i="3"/>
  <c r="L204" i="3"/>
  <c r="B204" i="3"/>
  <c r="P204" i="3"/>
  <c r="Q204" i="3"/>
  <c r="R204" i="3"/>
  <c r="C204" i="3"/>
  <c r="F204" i="3"/>
  <c r="G204" i="3"/>
  <c r="H204" i="3"/>
  <c r="I204" i="3"/>
  <c r="J204" i="3"/>
  <c r="E204" i="3"/>
  <c r="K204" i="3"/>
  <c r="D204" i="3"/>
  <c r="M204" i="3"/>
  <c r="N204" i="3"/>
  <c r="O204" i="3"/>
  <c r="S204" i="3"/>
  <c r="B203" i="3"/>
  <c r="C203" i="3"/>
  <c r="E203" i="3"/>
  <c r="F203" i="3"/>
  <c r="G203" i="3"/>
  <c r="H203" i="3"/>
  <c r="I203" i="3"/>
  <c r="J203" i="3"/>
  <c r="K203" i="3"/>
  <c r="L203" i="3"/>
  <c r="N203" i="3"/>
  <c r="O203" i="3"/>
  <c r="P203" i="3"/>
  <c r="Q203" i="3"/>
  <c r="R203" i="3"/>
  <c r="S203" i="3"/>
  <c r="M203" i="3"/>
  <c r="D203" i="3"/>
  <c r="P202" i="3"/>
  <c r="O202" i="3"/>
  <c r="N202" i="3"/>
  <c r="H202" i="3"/>
  <c r="I202" i="3"/>
  <c r="J202" i="3"/>
  <c r="K202" i="3"/>
  <c r="L202" i="3"/>
  <c r="D202" i="3"/>
  <c r="B202" i="3"/>
  <c r="C202" i="3"/>
  <c r="M202" i="3"/>
  <c r="E202" i="3"/>
  <c r="F202" i="3"/>
  <c r="G202" i="3"/>
  <c r="F201" i="3"/>
  <c r="P201" i="3"/>
  <c r="B201" i="3"/>
  <c r="C201" i="3"/>
  <c r="E201" i="3"/>
  <c r="D201" i="3"/>
  <c r="O201" i="3"/>
  <c r="N201" i="3"/>
  <c r="M201" i="3"/>
  <c r="L201" i="3"/>
  <c r="K201" i="3"/>
  <c r="J201" i="3"/>
  <c r="I201" i="3"/>
  <c r="Q201" i="3"/>
  <c r="R201" i="3"/>
  <c r="S201" i="3"/>
  <c r="H201" i="3"/>
  <c r="G201" i="3"/>
  <c r="E200" i="3"/>
  <c r="D200" i="3"/>
  <c r="C200" i="3"/>
  <c r="F200" i="3"/>
  <c r="H200" i="3"/>
  <c r="I200" i="3"/>
  <c r="J200" i="3"/>
  <c r="K200" i="3"/>
  <c r="L200" i="3"/>
  <c r="M200" i="3"/>
  <c r="N200" i="3"/>
  <c r="G200" i="3"/>
  <c r="B200" i="3"/>
  <c r="O200" i="3"/>
  <c r="P200" i="3"/>
  <c r="S200" i="3"/>
  <c r="R200" i="3"/>
  <c r="Q200" i="3"/>
  <c r="B199" i="3"/>
  <c r="D199" i="3"/>
  <c r="E199" i="3"/>
  <c r="G199" i="3"/>
  <c r="H199" i="3"/>
  <c r="I199" i="3"/>
  <c r="J199" i="3"/>
  <c r="K199" i="3"/>
  <c r="L199" i="3"/>
  <c r="M199" i="3"/>
  <c r="N199" i="3"/>
  <c r="O199" i="3"/>
  <c r="P199" i="3"/>
  <c r="Q199" i="3"/>
  <c r="R199" i="3"/>
  <c r="S199" i="3"/>
  <c r="F199" i="3"/>
  <c r="C199" i="3"/>
  <c r="S198" i="3"/>
  <c r="Q198" i="3"/>
  <c r="B198" i="3"/>
  <c r="C198" i="3"/>
  <c r="D198" i="3"/>
  <c r="E198" i="3"/>
  <c r="F198" i="3"/>
  <c r="G198" i="3"/>
  <c r="H198" i="3"/>
  <c r="I198" i="3"/>
  <c r="J198" i="3"/>
  <c r="K198" i="3"/>
  <c r="L198" i="3"/>
  <c r="M198" i="3"/>
  <c r="N198" i="3"/>
  <c r="O198" i="3"/>
  <c r="P198" i="3"/>
  <c r="R198" i="3"/>
  <c r="Q197" i="3"/>
  <c r="S197" i="3"/>
  <c r="B197" i="3"/>
  <c r="R197" i="3"/>
  <c r="M197" i="3"/>
  <c r="L197" i="3"/>
  <c r="K197" i="3"/>
  <c r="J197" i="3"/>
  <c r="I197" i="3"/>
  <c r="O197" i="3"/>
  <c r="H197" i="3"/>
  <c r="G197" i="3"/>
  <c r="E197" i="3"/>
  <c r="D197" i="3"/>
  <c r="C197" i="3"/>
  <c r="N197" i="3"/>
  <c r="P197" i="3"/>
  <c r="F197" i="3"/>
  <c r="G196" i="3"/>
  <c r="M196" i="3"/>
  <c r="S196" i="3"/>
  <c r="R196" i="3"/>
  <c r="Q196" i="3"/>
  <c r="P196" i="3"/>
  <c r="O196" i="3"/>
  <c r="N196" i="3"/>
  <c r="L196" i="3"/>
  <c r="K196" i="3"/>
  <c r="J196" i="3"/>
  <c r="I196" i="3"/>
  <c r="H196" i="3"/>
  <c r="F196" i="3"/>
  <c r="E196" i="3"/>
  <c r="D196" i="3"/>
  <c r="C196" i="3"/>
  <c r="B196" i="3"/>
  <c r="E195" i="3"/>
  <c r="B195" i="3"/>
  <c r="F195" i="3"/>
  <c r="K195" i="3"/>
  <c r="G195" i="3"/>
  <c r="H195" i="3"/>
  <c r="I195" i="3"/>
  <c r="J195" i="3"/>
  <c r="L195" i="3"/>
  <c r="C195" i="3"/>
  <c r="M195" i="3"/>
  <c r="N195" i="3"/>
  <c r="O195" i="3"/>
  <c r="P195" i="3"/>
  <c r="Q195" i="3"/>
  <c r="D195" i="3"/>
  <c r="S195" i="3"/>
  <c r="R195" i="3"/>
  <c r="F194" i="3"/>
  <c r="D194" i="3"/>
  <c r="C194" i="3"/>
  <c r="B194" i="3"/>
  <c r="S194" i="3"/>
  <c r="R194" i="3"/>
  <c r="Q194" i="3"/>
  <c r="G194" i="3"/>
  <c r="H194" i="3"/>
  <c r="I194" i="3"/>
  <c r="J194" i="3"/>
  <c r="K194" i="3"/>
  <c r="M194" i="3"/>
  <c r="L194" i="3"/>
  <c r="P194" i="3"/>
  <c r="O194" i="3"/>
  <c r="N194" i="3"/>
  <c r="E194" i="3"/>
  <c r="N193" i="3"/>
  <c r="M193" i="3"/>
  <c r="L193" i="3"/>
  <c r="H193" i="3"/>
  <c r="F193" i="3"/>
  <c r="G193" i="3"/>
  <c r="B193" i="3"/>
  <c r="C193" i="3"/>
  <c r="D193" i="3"/>
  <c r="Q193" i="3"/>
  <c r="E193" i="3"/>
  <c r="K193" i="3"/>
  <c r="J193" i="3"/>
  <c r="I193" i="3"/>
  <c r="S193" i="3"/>
  <c r="R193" i="3"/>
  <c r="P193" i="3"/>
  <c r="O193" i="3"/>
  <c r="D192" i="3"/>
  <c r="C192" i="3"/>
  <c r="B192" i="3"/>
  <c r="O192" i="3"/>
  <c r="N192" i="3"/>
  <c r="F192" i="3"/>
  <c r="M192" i="3"/>
  <c r="R192" i="3"/>
  <c r="L192" i="3"/>
  <c r="S192" i="3"/>
  <c r="Q192" i="3"/>
  <c r="P192" i="3"/>
  <c r="K192" i="3"/>
  <c r="J192" i="3"/>
  <c r="I192" i="3"/>
  <c r="H192" i="3"/>
  <c r="G192" i="3"/>
  <c r="E192" i="3"/>
  <c r="C191" i="3"/>
  <c r="B191" i="3"/>
  <c r="S191" i="3"/>
  <c r="R191" i="3"/>
  <c r="P191" i="3"/>
  <c r="O191" i="3"/>
  <c r="N191" i="3"/>
  <c r="M191" i="3"/>
  <c r="L191" i="3"/>
  <c r="D191" i="3"/>
  <c r="K191" i="3"/>
  <c r="J191" i="3"/>
  <c r="I191" i="3"/>
  <c r="H191" i="3"/>
  <c r="G191" i="3"/>
  <c r="F191" i="3"/>
  <c r="E191" i="3"/>
  <c r="Q191" i="3"/>
  <c r="J190" i="3"/>
  <c r="I190" i="3"/>
  <c r="H190" i="3"/>
  <c r="M190" i="3"/>
  <c r="G190" i="3"/>
  <c r="F190" i="3"/>
  <c r="E190" i="3"/>
  <c r="D190" i="3"/>
  <c r="C190" i="3"/>
  <c r="O190" i="3"/>
  <c r="S190" i="3"/>
  <c r="R190" i="3"/>
  <c r="Q190" i="3"/>
  <c r="P190" i="3"/>
  <c r="N190" i="3"/>
  <c r="B190" i="3"/>
  <c r="L190" i="3"/>
  <c r="K190" i="3"/>
  <c r="C189" i="3"/>
  <c r="B189" i="3"/>
  <c r="K189" i="3"/>
  <c r="S189" i="3"/>
  <c r="L189" i="3"/>
  <c r="M189" i="3"/>
  <c r="N189" i="3"/>
  <c r="O189" i="3"/>
  <c r="P189" i="3"/>
  <c r="Q189" i="3"/>
  <c r="R189" i="3"/>
  <c r="G189" i="3"/>
  <c r="I189" i="3"/>
  <c r="J189" i="3"/>
  <c r="H189" i="3"/>
  <c r="F189" i="3"/>
  <c r="E189" i="3"/>
  <c r="D189" i="3"/>
  <c r="D188" i="3"/>
  <c r="C188" i="3"/>
  <c r="B188" i="3"/>
  <c r="S188" i="3"/>
  <c r="R188" i="3"/>
  <c r="Q188" i="3"/>
  <c r="P188" i="3"/>
  <c r="O188" i="3"/>
  <c r="N188" i="3"/>
  <c r="M188" i="3"/>
  <c r="L188" i="3"/>
  <c r="K188" i="3"/>
  <c r="J188" i="3"/>
  <c r="H188" i="3"/>
  <c r="G188" i="3"/>
  <c r="F188" i="3"/>
  <c r="E188" i="3"/>
  <c r="I188" i="3"/>
  <c r="Q187" i="3"/>
  <c r="R187" i="3"/>
  <c r="S187" i="3"/>
  <c r="B187" i="3"/>
  <c r="C187" i="3"/>
  <c r="D187" i="3"/>
  <c r="E187" i="3"/>
  <c r="F187" i="3"/>
  <c r="G187" i="3"/>
  <c r="H187" i="3"/>
  <c r="I187" i="3"/>
  <c r="J187" i="3"/>
  <c r="K187" i="3"/>
  <c r="L187" i="3"/>
  <c r="M187" i="3"/>
  <c r="N187" i="3"/>
  <c r="O187" i="3"/>
  <c r="P187" i="3"/>
  <c r="C186" i="3"/>
  <c r="B186" i="3"/>
  <c r="D186" i="3"/>
  <c r="O186" i="3"/>
  <c r="K186" i="3"/>
  <c r="F186" i="3"/>
  <c r="G186" i="3"/>
  <c r="H186" i="3"/>
  <c r="I186" i="3"/>
  <c r="E186" i="3"/>
  <c r="J186" i="3"/>
  <c r="L186" i="3"/>
  <c r="M186" i="3"/>
  <c r="N186" i="3"/>
  <c r="P186" i="3"/>
  <c r="Q186" i="3"/>
  <c r="R186" i="3"/>
  <c r="S186" i="3"/>
  <c r="S185" i="3"/>
  <c r="R185" i="3"/>
  <c r="Q185" i="3"/>
  <c r="P185" i="3"/>
  <c r="O185" i="3"/>
  <c r="N185" i="3"/>
  <c r="M185" i="3"/>
  <c r="K185" i="3"/>
  <c r="J185" i="3"/>
  <c r="I185" i="3"/>
  <c r="H185" i="3"/>
  <c r="G185" i="3"/>
  <c r="B185" i="3"/>
  <c r="F185" i="3"/>
  <c r="E185" i="3"/>
  <c r="D185" i="3"/>
  <c r="C185" i="3"/>
  <c r="L185" i="3"/>
  <c r="B184" i="3"/>
  <c r="D184" i="3"/>
  <c r="C184" i="3"/>
  <c r="E184" i="3" s="1"/>
  <c r="C28" i="2" s="1"/>
  <c r="C183" i="3"/>
  <c r="B183" i="3"/>
  <c r="E183" i="3"/>
  <c r="D183" i="3"/>
  <c r="C182" i="3"/>
  <c r="B182" i="3"/>
  <c r="E182" i="3"/>
  <c r="D182" i="3"/>
  <c r="C181" i="3"/>
  <c r="B181" i="3"/>
  <c r="E181" i="3"/>
  <c r="D181" i="3"/>
  <c r="D180" i="3"/>
  <c r="C180" i="3"/>
  <c r="B180" i="3"/>
  <c r="O180" i="3"/>
  <c r="E180" i="3"/>
  <c r="Q180" i="3"/>
  <c r="L180" i="3"/>
  <c r="D179" i="3"/>
  <c r="C179" i="3"/>
  <c r="B179" i="3"/>
  <c r="O179" i="3"/>
  <c r="Q179" i="3"/>
  <c r="L179" i="3"/>
  <c r="E179" i="3"/>
  <c r="B178" i="3"/>
  <c r="C178" i="3"/>
  <c r="D178" i="3"/>
  <c r="Q178" i="3" s="1"/>
  <c r="E178" i="3"/>
  <c r="D177" i="3"/>
  <c r="B177" i="3"/>
  <c r="C177" i="3"/>
  <c r="E177" i="3" s="1"/>
  <c r="L177" i="3"/>
  <c r="O177" i="3"/>
  <c r="Q177" i="3"/>
  <c r="B176" i="3"/>
  <c r="C176" i="3"/>
  <c r="E176" i="3" s="1"/>
  <c r="D176" i="3"/>
  <c r="B175" i="3"/>
  <c r="D175" i="3"/>
  <c r="C175" i="3"/>
  <c r="E175" i="3" s="1"/>
  <c r="D174" i="3"/>
  <c r="C174" i="3"/>
  <c r="E174" i="3" s="1"/>
  <c r="B174" i="3"/>
  <c r="D173" i="3"/>
  <c r="C173" i="3"/>
  <c r="E173" i="3" s="1"/>
  <c r="B173" i="3"/>
  <c r="D172" i="3"/>
  <c r="C172" i="3"/>
  <c r="E172" i="3" s="1"/>
  <c r="C27" i="2" s="1"/>
  <c r="B172" i="3"/>
  <c r="D171" i="3"/>
  <c r="C171" i="3"/>
  <c r="E171" i="3" s="1"/>
  <c r="B171" i="3"/>
  <c r="D170" i="3"/>
  <c r="C170" i="3"/>
  <c r="E170" i="3" s="1"/>
  <c r="B170" i="3"/>
  <c r="D169" i="3"/>
  <c r="C169" i="3"/>
  <c r="E169" i="3" s="1"/>
  <c r="B169" i="3"/>
  <c r="D168" i="3"/>
  <c r="C168" i="3"/>
  <c r="E168" i="3" s="1"/>
  <c r="B168" i="3"/>
  <c r="D167" i="3"/>
  <c r="C167" i="3"/>
  <c r="E167" i="3" s="1"/>
  <c r="B167" i="3"/>
  <c r="D166" i="3"/>
  <c r="C166" i="3"/>
  <c r="E166" i="3" s="1"/>
  <c r="B166" i="3"/>
  <c r="D165" i="3"/>
  <c r="C165" i="3"/>
  <c r="E165" i="3" s="1"/>
  <c r="B165" i="3"/>
  <c r="D164" i="3"/>
  <c r="C164" i="3"/>
  <c r="E164" i="3" s="1"/>
  <c r="B164" i="3"/>
  <c r="D163" i="3"/>
  <c r="C163" i="3"/>
  <c r="E163" i="3" s="1"/>
  <c r="B163" i="3"/>
  <c r="D162" i="3"/>
  <c r="C162" i="3"/>
  <c r="E162" i="3" s="1"/>
  <c r="B162" i="3"/>
  <c r="D161" i="3"/>
  <c r="C161" i="3"/>
  <c r="E161" i="3" s="1"/>
  <c r="B161" i="3"/>
  <c r="D160" i="3"/>
  <c r="C160" i="3"/>
  <c r="E160" i="3" s="1"/>
  <c r="C26" i="2" s="1"/>
  <c r="B160" i="3"/>
  <c r="D159" i="3"/>
  <c r="C159" i="3"/>
  <c r="E159" i="3" s="1"/>
  <c r="B159" i="3"/>
  <c r="D158" i="3"/>
  <c r="C158" i="3"/>
  <c r="E158" i="3" s="1"/>
  <c r="B158" i="3"/>
  <c r="D157" i="3"/>
  <c r="C157" i="3"/>
  <c r="E157" i="3" s="1"/>
  <c r="B157" i="3"/>
  <c r="D156" i="3"/>
  <c r="C156" i="3"/>
  <c r="E156" i="3" s="1"/>
  <c r="B156" i="3"/>
  <c r="D155" i="3"/>
  <c r="C155" i="3"/>
  <c r="E155" i="3" s="1"/>
  <c r="B155" i="3"/>
  <c r="D154" i="3"/>
  <c r="C154" i="3"/>
  <c r="E154" i="3" s="1"/>
  <c r="B154" i="3"/>
  <c r="D153" i="3"/>
  <c r="C153" i="3"/>
  <c r="E153" i="3" s="1"/>
  <c r="B153" i="3"/>
  <c r="D152" i="3"/>
  <c r="C152" i="3"/>
  <c r="E152" i="3" s="1"/>
  <c r="B152" i="3"/>
  <c r="D151" i="3"/>
  <c r="C151" i="3"/>
  <c r="E151" i="3" s="1"/>
  <c r="B151" i="3"/>
  <c r="D150" i="3"/>
  <c r="C150" i="3"/>
  <c r="E150" i="3" s="1"/>
  <c r="B150" i="3"/>
  <c r="D149" i="3"/>
  <c r="C149" i="3"/>
  <c r="E149" i="3" s="1"/>
  <c r="B149" i="3"/>
  <c r="D148" i="3"/>
  <c r="C148" i="3"/>
  <c r="E148" i="3" s="1"/>
  <c r="C25" i="2" s="1"/>
  <c r="B148" i="3"/>
  <c r="D147" i="3"/>
  <c r="C147" i="3"/>
  <c r="E147" i="3" s="1"/>
  <c r="B147" i="3"/>
  <c r="D146" i="3"/>
  <c r="C146" i="3"/>
  <c r="E146" i="3" s="1"/>
  <c r="B146" i="3"/>
  <c r="D145" i="3"/>
  <c r="C145" i="3"/>
  <c r="E145" i="3" s="1"/>
  <c r="B145" i="3"/>
  <c r="D144" i="3"/>
  <c r="C144" i="3"/>
  <c r="E144" i="3" s="1"/>
  <c r="B144" i="3"/>
  <c r="D143" i="3"/>
  <c r="C143" i="3"/>
  <c r="E143" i="3" s="1"/>
  <c r="B143" i="3"/>
  <c r="D142" i="3"/>
  <c r="C142" i="3"/>
  <c r="E142" i="3" s="1"/>
  <c r="B142" i="3"/>
  <c r="D141" i="3"/>
  <c r="C141" i="3"/>
  <c r="E141" i="3" s="1"/>
  <c r="B141" i="3"/>
  <c r="D140" i="3"/>
  <c r="C140" i="3"/>
  <c r="E140" i="3" s="1"/>
  <c r="B140" i="3"/>
  <c r="D139" i="3"/>
  <c r="C139" i="3"/>
  <c r="E139" i="3" s="1"/>
  <c r="B139" i="3"/>
  <c r="D138" i="3"/>
  <c r="C138" i="3"/>
  <c r="E138" i="3" s="1"/>
  <c r="B138" i="3"/>
  <c r="D137" i="3"/>
  <c r="C137" i="3"/>
  <c r="E137" i="3" s="1"/>
  <c r="B137" i="3"/>
  <c r="D136" i="3"/>
  <c r="C136" i="3"/>
  <c r="E136" i="3" s="1"/>
  <c r="C24" i="2" s="1"/>
  <c r="B136" i="3"/>
  <c r="D135" i="3"/>
  <c r="C135" i="3"/>
  <c r="E135" i="3" s="1"/>
  <c r="B135" i="3"/>
  <c r="D134" i="3"/>
  <c r="C134" i="3"/>
  <c r="E134" i="3" s="1"/>
  <c r="B134" i="3"/>
  <c r="D133" i="3"/>
  <c r="Q133" i="3" s="1"/>
  <c r="C133" i="3"/>
  <c r="E133" i="3" s="1"/>
  <c r="B133" i="3"/>
  <c r="D132" i="3"/>
  <c r="C132" i="3"/>
  <c r="E132" i="3" s="1"/>
  <c r="B132" i="3"/>
  <c r="D131" i="3"/>
  <c r="C131" i="3"/>
  <c r="E131" i="3" s="1"/>
  <c r="B131" i="3"/>
  <c r="D130" i="3"/>
  <c r="Q130" i="3" s="1"/>
  <c r="C130" i="3"/>
  <c r="E130" i="3" s="1"/>
  <c r="B130" i="3"/>
  <c r="D129" i="3"/>
  <c r="Q129" i="3" s="1"/>
  <c r="C129" i="3"/>
  <c r="B129" i="3"/>
  <c r="O129" i="3"/>
  <c r="L129" i="3"/>
  <c r="E129" i="3"/>
  <c r="B128" i="3"/>
  <c r="C128" i="3"/>
  <c r="E128" i="3" s="1"/>
  <c r="D128" i="3"/>
  <c r="D127" i="3"/>
  <c r="C127" i="3"/>
  <c r="E127" i="3" s="1"/>
  <c r="B127" i="3"/>
  <c r="Q127" i="3"/>
  <c r="B126" i="3"/>
  <c r="D126" i="3"/>
  <c r="C126" i="3"/>
  <c r="E126" i="3" s="1"/>
  <c r="O126" i="3"/>
  <c r="D125" i="3"/>
  <c r="L125" i="3" s="1"/>
  <c r="C125" i="3"/>
  <c r="E125" i="3" s="1"/>
  <c r="B125" i="3"/>
  <c r="B124" i="3"/>
  <c r="C124" i="3"/>
  <c r="E124" i="3" s="1"/>
  <c r="C23" i="2" s="1"/>
  <c r="D124" i="3"/>
  <c r="B123" i="3"/>
  <c r="D123" i="3"/>
  <c r="C123" i="3"/>
  <c r="E123" i="3" s="1"/>
  <c r="B122" i="3"/>
  <c r="C122" i="3"/>
  <c r="D122" i="3"/>
  <c r="E122" i="3"/>
  <c r="D121" i="3"/>
  <c r="C121" i="3"/>
  <c r="E121" i="3" s="1"/>
  <c r="B121" i="3"/>
  <c r="C120" i="3"/>
  <c r="E120" i="3" s="1"/>
  <c r="D120" i="3"/>
  <c r="L120" i="3" s="1"/>
  <c r="B120" i="3"/>
  <c r="D119" i="3"/>
  <c r="B119" i="3"/>
  <c r="C119" i="3"/>
  <c r="E119" i="3" s="1"/>
  <c r="D118" i="3"/>
  <c r="Q118" i="3" s="1"/>
  <c r="B118" i="3"/>
  <c r="C118" i="3"/>
  <c r="E118" i="3" s="1"/>
  <c r="D117" i="3"/>
  <c r="B117" i="3"/>
  <c r="C117" i="3"/>
  <c r="E117" i="3" s="1"/>
  <c r="O117" i="3"/>
  <c r="D116" i="3"/>
  <c r="B116" i="3"/>
  <c r="C116" i="3"/>
  <c r="Q116" i="3"/>
  <c r="E116" i="3"/>
  <c r="D115" i="3"/>
  <c r="C115" i="3"/>
  <c r="E115" i="3" s="1"/>
  <c r="B115" i="3"/>
  <c r="Q115" i="3"/>
  <c r="D114" i="3"/>
  <c r="B114" i="3"/>
  <c r="C114" i="3"/>
  <c r="E114" i="3"/>
  <c r="C113" i="3"/>
  <c r="E113" i="3" s="1"/>
  <c r="B113" i="3"/>
  <c r="D113" i="3"/>
  <c r="L113" i="3"/>
  <c r="Q113" i="3"/>
  <c r="O113" i="3"/>
  <c r="P113" i="3" s="1"/>
  <c r="C112" i="3"/>
  <c r="E112" i="3" s="1"/>
  <c r="C22" i="2" s="1"/>
  <c r="D112" i="3"/>
  <c r="B112" i="3"/>
  <c r="D111" i="3"/>
  <c r="B111" i="3"/>
  <c r="C111" i="3"/>
  <c r="E111" i="3" s="1"/>
  <c r="L111" i="3"/>
  <c r="C110" i="3"/>
  <c r="E110" i="3" s="1"/>
  <c r="B110" i="3"/>
  <c r="D110" i="3"/>
  <c r="L110" i="3" s="1"/>
  <c r="C109" i="3"/>
  <c r="E109" i="3" s="1"/>
  <c r="B109" i="3"/>
  <c r="D109" i="3"/>
  <c r="D108" i="3"/>
  <c r="B108" i="3"/>
  <c r="C108" i="3"/>
  <c r="E108" i="3"/>
  <c r="Q108" i="3"/>
  <c r="O108" i="3"/>
  <c r="L108" i="3"/>
  <c r="D107" i="3"/>
  <c r="C107" i="3"/>
  <c r="E107" i="3" s="1"/>
  <c r="B107" i="3"/>
  <c r="D106" i="3"/>
  <c r="C106" i="3"/>
  <c r="B106" i="3"/>
  <c r="E106" i="3"/>
  <c r="Q106" i="3"/>
  <c r="B105" i="3"/>
  <c r="C105" i="3"/>
  <c r="E105" i="3" s="1"/>
  <c r="D105" i="3"/>
  <c r="L105" i="3"/>
  <c r="B104" i="3"/>
  <c r="C104" i="3"/>
  <c r="D104" i="3"/>
  <c r="E104" i="3"/>
  <c r="C103" i="3"/>
  <c r="E103" i="3" s="1"/>
  <c r="B103" i="3"/>
  <c r="D103" i="3"/>
  <c r="C102" i="3"/>
  <c r="D102" i="3"/>
  <c r="E102" i="3"/>
  <c r="L102" i="3"/>
  <c r="O102" i="3"/>
  <c r="Q102" i="3"/>
  <c r="B102" i="3"/>
  <c r="D101" i="3"/>
  <c r="C101" i="3"/>
  <c r="E101" i="3" s="1"/>
  <c r="B101" i="3"/>
  <c r="O101" i="3"/>
  <c r="L101" i="3"/>
  <c r="D100" i="3"/>
  <c r="B100" i="3"/>
  <c r="C100" i="3"/>
  <c r="E100" i="3" s="1"/>
  <c r="C21" i="2" s="1"/>
  <c r="D99" i="3"/>
  <c r="C99" i="3"/>
  <c r="E99" i="3" s="1"/>
  <c r="B99" i="3"/>
  <c r="B98" i="3"/>
  <c r="C98" i="3"/>
  <c r="E98" i="3" s="1"/>
  <c r="D98" i="3"/>
  <c r="O98" i="3" s="1"/>
  <c r="L98" i="3"/>
  <c r="B97" i="3"/>
  <c r="C97" i="3"/>
  <c r="D97" i="3"/>
  <c r="E97" i="3"/>
  <c r="B96" i="3"/>
  <c r="C96" i="3"/>
  <c r="E96" i="3" s="1"/>
  <c r="D96" i="3"/>
  <c r="L96" i="3" s="1"/>
  <c r="O96" i="3"/>
  <c r="Q96" i="3"/>
  <c r="D95" i="3"/>
  <c r="C95" i="3"/>
  <c r="B95" i="3"/>
  <c r="E95" i="3"/>
  <c r="D94" i="3"/>
  <c r="C94" i="3"/>
  <c r="E94" i="3" s="1"/>
  <c r="B94" i="3"/>
  <c r="D93" i="3"/>
  <c r="C93" i="3"/>
  <c r="E93" i="3" s="1"/>
  <c r="B93" i="3"/>
  <c r="D92" i="3"/>
  <c r="C92" i="3"/>
  <c r="E92" i="3" s="1"/>
  <c r="B92" i="3"/>
  <c r="O92" i="3"/>
  <c r="L92" i="3"/>
  <c r="Q92" i="3"/>
  <c r="B91" i="3"/>
  <c r="C91" i="3"/>
  <c r="E91" i="3" s="1"/>
  <c r="D91" i="3"/>
  <c r="D90" i="3"/>
  <c r="B90" i="3"/>
  <c r="C90" i="3"/>
  <c r="E90" i="3" s="1"/>
  <c r="D89" i="3"/>
  <c r="L89" i="3" s="1"/>
  <c r="C89" i="3"/>
  <c r="E89" i="3" s="1"/>
  <c r="B89" i="3"/>
  <c r="Q89" i="3"/>
  <c r="O89" i="3"/>
  <c r="P89" i="3" s="1"/>
  <c r="D88" i="3"/>
  <c r="C88" i="3"/>
  <c r="E88" i="3" s="1"/>
  <c r="C20" i="2" s="1"/>
  <c r="B88" i="3"/>
  <c r="D87" i="3"/>
  <c r="C87" i="3"/>
  <c r="E87" i="3" s="1"/>
  <c r="B87" i="3"/>
  <c r="D86" i="3"/>
  <c r="C86" i="3"/>
  <c r="E86" i="3" s="1"/>
  <c r="B86" i="3"/>
  <c r="D85" i="3"/>
  <c r="C85" i="3"/>
  <c r="E85" i="3" s="1"/>
  <c r="B85" i="3"/>
  <c r="D84" i="3"/>
  <c r="C84" i="3"/>
  <c r="E84" i="3" s="1"/>
  <c r="B84" i="3"/>
  <c r="B83" i="3"/>
  <c r="C83" i="3"/>
  <c r="E83" i="3" s="1"/>
  <c r="D83" i="3"/>
  <c r="D82" i="3"/>
  <c r="C82" i="3"/>
  <c r="E82" i="3" s="1"/>
  <c r="B82" i="3"/>
  <c r="D81" i="3"/>
  <c r="B81" i="3"/>
  <c r="C81" i="3"/>
  <c r="E81" i="3" s="1"/>
  <c r="D80" i="3"/>
  <c r="Q80" i="3" s="1"/>
  <c r="C80" i="3"/>
  <c r="E80" i="3" s="1"/>
  <c r="B80" i="3"/>
  <c r="O80" i="3"/>
  <c r="L80" i="3"/>
  <c r="C79" i="3"/>
  <c r="D79" i="3"/>
  <c r="Q79" i="3" s="1"/>
  <c r="B79" i="3"/>
  <c r="E79" i="3"/>
  <c r="C78" i="3"/>
  <c r="B78" i="3"/>
  <c r="D78" i="3"/>
  <c r="O78" i="3"/>
  <c r="E78" i="3"/>
  <c r="B77" i="3"/>
  <c r="C77" i="3"/>
  <c r="D77" i="3"/>
  <c r="E77" i="3"/>
  <c r="D76" i="3"/>
  <c r="B76" i="3"/>
  <c r="C76" i="3"/>
  <c r="E76" i="3" s="1"/>
  <c r="C19" i="2" s="1"/>
  <c r="B75" i="3"/>
  <c r="C75" i="3"/>
  <c r="E75" i="3" s="1"/>
  <c r="D75" i="3"/>
  <c r="D74" i="3"/>
  <c r="C74" i="3"/>
  <c r="E74" i="3" s="1"/>
  <c r="B74" i="3"/>
  <c r="L74" i="3"/>
  <c r="D73" i="3"/>
  <c r="Q73" i="3" s="1"/>
  <c r="B73" i="3"/>
  <c r="C73" i="3"/>
  <c r="E73" i="3" s="1"/>
  <c r="D72" i="3"/>
  <c r="L72" i="3" s="1"/>
  <c r="B72" i="3"/>
  <c r="C72" i="3"/>
  <c r="E72" i="3" s="1"/>
  <c r="Q72" i="3"/>
  <c r="O72" i="3"/>
  <c r="C71" i="3"/>
  <c r="E71" i="3" s="1"/>
  <c r="D71" i="3"/>
  <c r="B71" i="3"/>
  <c r="O71" i="3"/>
  <c r="D70" i="3"/>
  <c r="Q70" i="3" s="1"/>
  <c r="C70" i="3"/>
  <c r="B70" i="3"/>
  <c r="E70" i="3"/>
  <c r="C69" i="3"/>
  <c r="D69" i="3"/>
  <c r="E69" i="3"/>
  <c r="O69" i="3"/>
  <c r="B69" i="3"/>
  <c r="B68" i="3"/>
  <c r="C68" i="3"/>
  <c r="E68" i="3" s="1"/>
  <c r="D68" i="3"/>
  <c r="D67" i="3"/>
  <c r="Q67" i="3" s="1"/>
  <c r="C67" i="3"/>
  <c r="E67" i="3" s="1"/>
  <c r="B67" i="3"/>
  <c r="C66" i="3"/>
  <c r="E66" i="3" s="1"/>
  <c r="B66" i="3"/>
  <c r="D66" i="3"/>
  <c r="D65" i="3"/>
  <c r="Q65" i="3" s="1"/>
  <c r="C65" i="3"/>
  <c r="E65" i="3" s="1"/>
  <c r="B65" i="3"/>
  <c r="O65" i="3"/>
  <c r="P65" i="3" s="1"/>
  <c r="L65" i="3"/>
  <c r="D64" i="3"/>
  <c r="C64" i="3"/>
  <c r="E64" i="3" s="1"/>
  <c r="C18" i="2" s="1"/>
  <c r="B64" i="3"/>
  <c r="D63" i="3"/>
  <c r="C63" i="3"/>
  <c r="E63" i="3" s="1"/>
  <c r="B63" i="3"/>
  <c r="D62" i="3"/>
  <c r="C62" i="3"/>
  <c r="E62" i="3" s="1"/>
  <c r="B62" i="3"/>
  <c r="D61" i="3"/>
  <c r="C61" i="3"/>
  <c r="E61" i="3" s="1"/>
  <c r="B61" i="3"/>
  <c r="Q61" i="3"/>
  <c r="B60" i="3"/>
  <c r="C60" i="3"/>
  <c r="D60" i="3"/>
  <c r="E60" i="3"/>
  <c r="B59" i="3"/>
  <c r="C59" i="3"/>
  <c r="D59" i="3"/>
  <c r="E59" i="3"/>
  <c r="O59" i="3"/>
  <c r="Q59" i="3"/>
  <c r="L59" i="3"/>
  <c r="C58" i="3"/>
  <c r="B58" i="3"/>
  <c r="D58" i="3"/>
  <c r="E58" i="3"/>
  <c r="D57" i="3"/>
  <c r="O57" i="3"/>
  <c r="Q57" i="3"/>
  <c r="B57" i="3"/>
  <c r="C57" i="3"/>
  <c r="E57" i="3" s="1"/>
  <c r="L57" i="3"/>
  <c r="D56" i="3"/>
  <c r="C56" i="3"/>
  <c r="E56" i="3" s="1"/>
  <c r="Q56" i="3"/>
  <c r="O56" i="3"/>
  <c r="L56" i="3"/>
  <c r="B56" i="3"/>
  <c r="C55" i="3"/>
  <c r="B55" i="3"/>
  <c r="D55" i="3"/>
  <c r="E55" i="3"/>
  <c r="B54" i="3"/>
  <c r="C54" i="3"/>
  <c r="E54" i="3" s="1"/>
  <c r="D54" i="3"/>
  <c r="C53" i="3"/>
  <c r="E53" i="3" s="1"/>
  <c r="B53" i="3"/>
  <c r="D53" i="3"/>
  <c r="O53" i="3"/>
  <c r="L53" i="3"/>
  <c r="D52" i="3"/>
  <c r="C52" i="3"/>
  <c r="E52" i="3" s="1"/>
  <c r="C17" i="2" s="1"/>
  <c r="B52" i="3"/>
  <c r="D51" i="3"/>
  <c r="C51" i="3"/>
  <c r="B51" i="3"/>
  <c r="E51" i="3"/>
  <c r="Q51" i="3"/>
  <c r="D50" i="3"/>
  <c r="C50" i="3"/>
  <c r="B50" i="3"/>
  <c r="E50" i="3"/>
  <c r="B49" i="3"/>
  <c r="C49" i="3"/>
  <c r="D49" i="3"/>
  <c r="E49" i="3"/>
  <c r="Q49" i="3"/>
  <c r="D48" i="3"/>
  <c r="C48" i="3"/>
  <c r="B48" i="3"/>
  <c r="E48" i="3"/>
  <c r="D47" i="3"/>
  <c r="C47" i="3"/>
  <c r="E47" i="3" s="1"/>
  <c r="B47" i="3"/>
  <c r="C46" i="3"/>
  <c r="E46" i="3" s="1"/>
  <c r="B46" i="3"/>
  <c r="D46" i="3"/>
  <c r="D45" i="3"/>
  <c r="C45" i="3"/>
  <c r="E45" i="3" s="1"/>
  <c r="B45" i="3"/>
  <c r="Q45" i="3"/>
  <c r="O45" i="3"/>
  <c r="L45" i="3"/>
  <c r="D44" i="3"/>
  <c r="C44" i="3"/>
  <c r="E44" i="3"/>
  <c r="Q44" i="3"/>
  <c r="O44" i="3"/>
  <c r="L44" i="3"/>
  <c r="B44" i="3"/>
  <c r="B43" i="3"/>
  <c r="C43" i="3"/>
  <c r="D43" i="3"/>
  <c r="E43" i="3"/>
  <c r="D42" i="3"/>
  <c r="C42" i="3"/>
  <c r="E42" i="3" s="1"/>
  <c r="B42" i="3"/>
  <c r="L42" i="3"/>
  <c r="O42" i="3"/>
  <c r="Q42" i="3"/>
  <c r="D41" i="3"/>
  <c r="C41" i="3"/>
  <c r="E41" i="3" s="1"/>
  <c r="B41" i="3"/>
  <c r="D40" i="3"/>
  <c r="C40" i="3"/>
  <c r="E40" i="3" s="1"/>
  <c r="C16" i="2" s="1"/>
  <c r="B40" i="3"/>
  <c r="C39" i="3"/>
  <c r="D39" i="3"/>
  <c r="E39" i="3"/>
  <c r="B39" i="3"/>
  <c r="D38" i="3"/>
  <c r="C38" i="3"/>
  <c r="E38" i="3" s="1"/>
  <c r="B38" i="3"/>
  <c r="Q38" i="3"/>
  <c r="B37" i="3"/>
  <c r="C37" i="3"/>
  <c r="D37" i="3"/>
  <c r="E37" i="3"/>
  <c r="D36" i="3"/>
  <c r="C36" i="3"/>
  <c r="E36" i="3" s="1"/>
  <c r="B36" i="3"/>
  <c r="O36" i="3"/>
  <c r="L36" i="3"/>
  <c r="B35" i="3"/>
  <c r="C35" i="3"/>
  <c r="D35" i="3"/>
  <c r="E35" i="3"/>
  <c r="L35" i="3"/>
  <c r="D34" i="3"/>
  <c r="Q34" i="3"/>
  <c r="C34" i="3"/>
  <c r="E34" i="3" s="1"/>
  <c r="B34" i="3"/>
  <c r="B33" i="3"/>
  <c r="C33" i="3"/>
  <c r="D33" i="3"/>
  <c r="E33" i="3"/>
  <c r="D32" i="3"/>
  <c r="B32" i="3"/>
  <c r="O32" i="3"/>
  <c r="Q32" i="3"/>
  <c r="C32" i="3"/>
  <c r="E32" i="3" s="1"/>
  <c r="B31" i="3"/>
  <c r="C31" i="3"/>
  <c r="D31" i="3"/>
  <c r="E31" i="3"/>
  <c r="Q31" i="3"/>
  <c r="C30" i="3"/>
  <c r="D30" i="3"/>
  <c r="O30" i="3"/>
  <c r="Q30" i="3"/>
  <c r="E30" i="3"/>
  <c r="B30" i="3"/>
  <c r="B29" i="3"/>
  <c r="C29" i="3"/>
  <c r="D29" i="3"/>
  <c r="E29" i="3"/>
  <c r="L29" i="3"/>
  <c r="O29" i="3"/>
  <c r="P29" i="3" s="1"/>
  <c r="P30" i="3" s="1"/>
  <c r="Q29" i="3"/>
  <c r="D28" i="3"/>
  <c r="C28" i="3"/>
  <c r="E28" i="3" s="1"/>
  <c r="C15" i="2" s="1"/>
  <c r="B28" i="3"/>
  <c r="D27" i="3"/>
  <c r="C27" i="3"/>
  <c r="E27" i="3" s="1"/>
  <c r="B27" i="3"/>
  <c r="B26" i="3"/>
  <c r="C26" i="3"/>
  <c r="D26" i="3"/>
  <c r="Q26" i="3" s="1"/>
  <c r="E26" i="3"/>
  <c r="L26" i="3"/>
  <c r="O26" i="3"/>
  <c r="D25" i="3"/>
  <c r="C25" i="3"/>
  <c r="E25" i="3" s="1"/>
  <c r="B25" i="3"/>
  <c r="C24" i="3"/>
  <c r="B24" i="3"/>
  <c r="E24" i="3"/>
  <c r="D24" i="3"/>
  <c r="C23" i="3"/>
  <c r="B23" i="3"/>
  <c r="D23" i="3"/>
  <c r="E23" i="3"/>
  <c r="C22" i="3"/>
  <c r="D22" i="3"/>
  <c r="E22" i="3"/>
  <c r="B22" i="3"/>
  <c r="Q22" i="3"/>
  <c r="C21" i="3"/>
  <c r="D21" i="3"/>
  <c r="E21" i="3"/>
  <c r="B21" i="3"/>
  <c r="O21" i="3"/>
  <c r="Q21" i="3"/>
  <c r="D20" i="3"/>
  <c r="C20" i="3"/>
  <c r="E20" i="3" s="1"/>
  <c r="B20" i="3"/>
  <c r="D19" i="3"/>
  <c r="B19" i="3"/>
  <c r="C19" i="3"/>
  <c r="E19" i="3" s="1"/>
  <c r="C18" i="3"/>
  <c r="D18" i="3"/>
  <c r="O18" i="3"/>
  <c r="E18" i="3"/>
  <c r="B18" i="3"/>
  <c r="D17" i="3"/>
  <c r="C17" i="3"/>
  <c r="E17" i="3" s="1"/>
  <c r="B17" i="3"/>
  <c r="D16" i="3"/>
  <c r="B16" i="3"/>
  <c r="C16" i="3"/>
  <c r="E16" i="3" s="1"/>
  <c r="C14" i="2" s="1"/>
  <c r="B15" i="3"/>
  <c r="C15" i="3"/>
  <c r="D15" i="3"/>
  <c r="E15" i="3"/>
  <c r="Q15" i="3"/>
  <c r="O15" i="3"/>
  <c r="D14" i="3"/>
  <c r="B14" i="3"/>
  <c r="C14" i="3"/>
  <c r="E14" i="3" s="1"/>
  <c r="D13" i="3"/>
  <c r="Q13" i="3"/>
  <c r="B13" i="3"/>
  <c r="C13" i="3"/>
  <c r="E13" i="3" s="1"/>
  <c r="D12" i="3"/>
  <c r="C12" i="3"/>
  <c r="E12" i="3" s="1"/>
  <c r="B12" i="3"/>
  <c r="D11" i="3"/>
  <c r="L11" i="3" s="1"/>
  <c r="C11" i="3"/>
  <c r="E11" i="3" s="1"/>
  <c r="B11" i="3"/>
  <c r="B10" i="3"/>
  <c r="C10" i="3"/>
  <c r="D10" i="3"/>
  <c r="E10" i="3"/>
  <c r="D9" i="3"/>
  <c r="B9" i="3"/>
  <c r="C9" i="3"/>
  <c r="E9" i="3"/>
  <c r="L9" i="3"/>
  <c r="B8" i="3"/>
  <c r="C8" i="3"/>
  <c r="D8" i="3"/>
  <c r="E8" i="3"/>
  <c r="O8" i="3"/>
  <c r="Q8" i="3"/>
  <c r="L8" i="3"/>
  <c r="B7" i="3"/>
  <c r="C7" i="3"/>
  <c r="D7" i="3"/>
  <c r="E7" i="3"/>
  <c r="B6" i="3"/>
  <c r="C6" i="3"/>
  <c r="D6" i="3"/>
  <c r="O6" i="3" s="1"/>
  <c r="E6" i="3"/>
  <c r="L6" i="3"/>
  <c r="Q6" i="3"/>
  <c r="C5" i="3"/>
  <c r="B5" i="3"/>
  <c r="D5" i="3"/>
  <c r="E5" i="3"/>
  <c r="F5" i="3"/>
  <c r="G5" i="3" s="1"/>
  <c r="H142" i="2"/>
  <c r="C142" i="2"/>
  <c r="D142" i="2"/>
  <c r="E142" i="2"/>
  <c r="F142" i="2"/>
  <c r="G142" i="2"/>
  <c r="B142" i="2"/>
  <c r="M142" i="2"/>
  <c r="L142" i="2"/>
  <c r="K142" i="2"/>
  <c r="J142" i="2"/>
  <c r="I142" i="2"/>
  <c r="M141" i="2"/>
  <c r="D141" i="2"/>
  <c r="L141" i="2"/>
  <c r="K141" i="2"/>
  <c r="J141" i="2"/>
  <c r="I141" i="2"/>
  <c r="H141" i="2"/>
  <c r="G141" i="2"/>
  <c r="F141" i="2"/>
  <c r="E141" i="2"/>
  <c r="B141" i="2"/>
  <c r="C141" i="2"/>
  <c r="E140" i="2"/>
  <c r="B140" i="2"/>
  <c r="C140" i="2"/>
  <c r="D140" i="2"/>
  <c r="M140" i="2"/>
  <c r="L140" i="2"/>
  <c r="K140" i="2"/>
  <c r="J140" i="2"/>
  <c r="I140" i="2"/>
  <c r="F140" i="2"/>
  <c r="H140" i="2"/>
  <c r="G140" i="2"/>
  <c r="E139" i="2"/>
  <c r="M139" i="2"/>
  <c r="F139" i="2"/>
  <c r="L139" i="2"/>
  <c r="G139" i="2"/>
  <c r="H139" i="2"/>
  <c r="C139" i="2"/>
  <c r="B139" i="2"/>
  <c r="K139" i="2"/>
  <c r="I139" i="2"/>
  <c r="J139" i="2"/>
  <c r="D139" i="2"/>
  <c r="K138" i="2"/>
  <c r="B138" i="2"/>
  <c r="C138" i="2"/>
  <c r="D138" i="2"/>
  <c r="E138" i="2"/>
  <c r="F138" i="2"/>
  <c r="G138" i="2"/>
  <c r="H138" i="2"/>
  <c r="I138" i="2"/>
  <c r="J138" i="2"/>
  <c r="L138" i="2"/>
  <c r="M138" i="2"/>
  <c r="K137" i="2"/>
  <c r="B137" i="2"/>
  <c r="C137" i="2"/>
  <c r="D137" i="2"/>
  <c r="E137" i="2"/>
  <c r="F137" i="2"/>
  <c r="L137" i="2"/>
  <c r="H137" i="2"/>
  <c r="I137" i="2"/>
  <c r="J137" i="2"/>
  <c r="M137" i="2"/>
  <c r="G137" i="2"/>
  <c r="M136" i="2"/>
  <c r="B136" i="2"/>
  <c r="G136" i="2"/>
  <c r="H136" i="2"/>
  <c r="I136" i="2"/>
  <c r="L136" i="2"/>
  <c r="J136" i="2"/>
  <c r="K136" i="2"/>
  <c r="D136" i="2"/>
  <c r="E136" i="2"/>
  <c r="F136" i="2"/>
  <c r="C136" i="2"/>
  <c r="L135" i="2"/>
  <c r="K135" i="2"/>
  <c r="B135" i="2"/>
  <c r="G135" i="2"/>
  <c r="J135" i="2"/>
  <c r="I135" i="2"/>
  <c r="H135" i="2"/>
  <c r="F135" i="2"/>
  <c r="E135" i="2"/>
  <c r="D135" i="2"/>
  <c r="C135" i="2"/>
  <c r="M135" i="2"/>
  <c r="E134" i="2"/>
  <c r="F134" i="2"/>
  <c r="G134" i="2"/>
  <c r="L134" i="2"/>
  <c r="M134" i="2"/>
  <c r="C134" i="2"/>
  <c r="H134" i="2"/>
  <c r="I134" i="2"/>
  <c r="J134" i="2"/>
  <c r="K134" i="2"/>
  <c r="B134" i="2"/>
  <c r="D134" i="2"/>
  <c r="B133" i="2"/>
  <c r="I133" i="2"/>
  <c r="K133" i="2"/>
  <c r="L133" i="2"/>
  <c r="C133" i="2"/>
  <c r="D133" i="2"/>
  <c r="E133" i="2"/>
  <c r="J133" i="2"/>
  <c r="F133" i="2"/>
  <c r="G133" i="2"/>
  <c r="M133" i="2"/>
  <c r="H133" i="2"/>
  <c r="G132" i="2"/>
  <c r="H132" i="2"/>
  <c r="I132" i="2"/>
  <c r="J132" i="2"/>
  <c r="K132" i="2"/>
  <c r="M132" i="2"/>
  <c r="E132" i="2"/>
  <c r="L132" i="2"/>
  <c r="B132" i="2"/>
  <c r="C132" i="2"/>
  <c r="D132" i="2"/>
  <c r="F132" i="2"/>
  <c r="D131" i="2"/>
  <c r="E131" i="2"/>
  <c r="F131" i="2"/>
  <c r="G131" i="2"/>
  <c r="H131" i="2"/>
  <c r="I131" i="2"/>
  <c r="K131" i="2"/>
  <c r="L131" i="2"/>
  <c r="J131" i="2"/>
  <c r="M131" i="2"/>
  <c r="C131" i="2"/>
  <c r="B131" i="2"/>
  <c r="M130" i="2"/>
  <c r="L130" i="2"/>
  <c r="K130" i="2"/>
  <c r="J130" i="2"/>
  <c r="I130" i="2"/>
  <c r="H130" i="2"/>
  <c r="B130" i="2"/>
  <c r="C130" i="2"/>
  <c r="D130" i="2"/>
  <c r="E130" i="2"/>
  <c r="F130" i="2"/>
  <c r="G130" i="2"/>
  <c r="I129" i="2"/>
  <c r="J129" i="2"/>
  <c r="K129" i="2"/>
  <c r="L129" i="2"/>
  <c r="F129" i="2"/>
  <c r="D129" i="2"/>
  <c r="B129" i="2"/>
  <c r="E129" i="2"/>
  <c r="C129" i="2"/>
  <c r="G129" i="2"/>
  <c r="H129" i="2"/>
  <c r="M129" i="2"/>
  <c r="H128" i="2"/>
  <c r="G128" i="2"/>
  <c r="L128" i="2"/>
  <c r="F128" i="2"/>
  <c r="E128" i="2"/>
  <c r="D128" i="2"/>
  <c r="C128" i="2"/>
  <c r="B128" i="2"/>
  <c r="J128" i="2"/>
  <c r="M128" i="2"/>
  <c r="K128" i="2"/>
  <c r="I128" i="2"/>
  <c r="B127" i="2"/>
  <c r="B126" i="2"/>
  <c r="C126" i="2"/>
  <c r="B125" i="2"/>
  <c r="C125" i="2"/>
  <c r="B124" i="2"/>
  <c r="B123" i="2"/>
  <c r="C123" i="2"/>
  <c r="B122" i="2"/>
  <c r="B121" i="2"/>
  <c r="B120" i="2"/>
  <c r="B119" i="2"/>
  <c r="B118" i="2"/>
  <c r="B117" i="2"/>
  <c r="B116" i="2"/>
  <c r="B115" i="2"/>
  <c r="B114" i="2"/>
  <c r="B113" i="2"/>
  <c r="D109" i="2"/>
  <c r="B109" i="2"/>
  <c r="K109" i="2"/>
  <c r="L109" i="2"/>
  <c r="E109" i="2"/>
  <c r="C109" i="2"/>
  <c r="J109" i="2"/>
  <c r="M109" i="2"/>
  <c r="F109" i="2"/>
  <c r="G109" i="2"/>
  <c r="H109" i="2"/>
  <c r="I109" i="2"/>
  <c r="L108" i="2"/>
  <c r="M108" i="2"/>
  <c r="B108" i="2"/>
  <c r="D108" i="2"/>
  <c r="E108" i="2"/>
  <c r="F108" i="2"/>
  <c r="G108" i="2"/>
  <c r="H108" i="2"/>
  <c r="I108" i="2"/>
  <c r="C108" i="2"/>
  <c r="J108" i="2"/>
  <c r="K108" i="2"/>
  <c r="K107" i="2"/>
  <c r="J107" i="2"/>
  <c r="I107" i="2"/>
  <c r="G107" i="2"/>
  <c r="M107" i="2"/>
  <c r="L107" i="2"/>
  <c r="C107" i="2"/>
  <c r="D107" i="2"/>
  <c r="E107" i="2"/>
  <c r="F107" i="2"/>
  <c r="H107" i="2"/>
  <c r="B107" i="2"/>
  <c r="M106" i="2"/>
  <c r="L106" i="2"/>
  <c r="K106" i="2"/>
  <c r="J106" i="2"/>
  <c r="I106" i="2"/>
  <c r="H106" i="2"/>
  <c r="G106" i="2"/>
  <c r="F106" i="2"/>
  <c r="E106" i="2"/>
  <c r="D106" i="2"/>
  <c r="C106" i="2"/>
  <c r="B106" i="2"/>
  <c r="K105" i="2"/>
  <c r="M105" i="2"/>
  <c r="L105" i="2"/>
  <c r="J105" i="2"/>
  <c r="I105" i="2"/>
  <c r="H105" i="2"/>
  <c r="G105" i="2"/>
  <c r="F105" i="2"/>
  <c r="E105" i="2"/>
  <c r="D105" i="2"/>
  <c r="C105" i="2"/>
  <c r="B105" i="2"/>
  <c r="D104" i="2"/>
  <c r="G104" i="2"/>
  <c r="H104" i="2"/>
  <c r="I104" i="2"/>
  <c r="J104" i="2"/>
  <c r="K104" i="2"/>
  <c r="L104" i="2"/>
  <c r="M104" i="2"/>
  <c r="B104" i="2"/>
  <c r="F104" i="2"/>
  <c r="E104" i="2"/>
  <c r="C104" i="2"/>
  <c r="G103" i="2"/>
  <c r="F103" i="2"/>
  <c r="E103" i="2"/>
  <c r="D103" i="2"/>
  <c r="J103" i="2"/>
  <c r="C103" i="2"/>
  <c r="B103" i="2"/>
  <c r="K103" i="2"/>
  <c r="I103" i="2"/>
  <c r="H103" i="2"/>
  <c r="L103" i="2"/>
  <c r="M103" i="2"/>
  <c r="K102" i="2"/>
  <c r="D102" i="2"/>
  <c r="C102" i="2"/>
  <c r="M102" i="2"/>
  <c r="L102" i="2"/>
  <c r="I102" i="2"/>
  <c r="B102" i="2"/>
  <c r="H102" i="2"/>
  <c r="G102" i="2"/>
  <c r="F102" i="2"/>
  <c r="E102" i="2"/>
  <c r="J102" i="2"/>
  <c r="M101" i="2"/>
  <c r="B101" i="2"/>
  <c r="C101" i="2"/>
  <c r="D101" i="2"/>
  <c r="E101" i="2"/>
  <c r="I101" i="2"/>
  <c r="H101" i="2"/>
  <c r="G101" i="2"/>
  <c r="J101" i="2"/>
  <c r="L101" i="2"/>
  <c r="K101" i="2"/>
  <c r="F101" i="2"/>
  <c r="H100" i="2"/>
  <c r="I100" i="2"/>
  <c r="J100" i="2"/>
  <c r="K100" i="2"/>
  <c r="L100" i="2"/>
  <c r="M100" i="2"/>
  <c r="C100" i="2"/>
  <c r="B100" i="2"/>
  <c r="D100" i="2"/>
  <c r="E100" i="2"/>
  <c r="F100" i="2"/>
  <c r="G100" i="2"/>
  <c r="I99" i="2"/>
  <c r="C99" i="2"/>
  <c r="M99" i="2"/>
  <c r="L99" i="2"/>
  <c r="K99" i="2"/>
  <c r="J99" i="2"/>
  <c r="D99" i="2"/>
  <c r="B99" i="2"/>
  <c r="H99" i="2"/>
  <c r="G99" i="2"/>
  <c r="F99" i="2"/>
  <c r="E99" i="2"/>
  <c r="J98" i="2"/>
  <c r="I98" i="2"/>
  <c r="M98" i="2"/>
  <c r="L98" i="2"/>
  <c r="K98" i="2"/>
  <c r="B98" i="2"/>
  <c r="H98" i="2"/>
  <c r="G98" i="2"/>
  <c r="F98" i="2"/>
  <c r="E98" i="2"/>
  <c r="D98" i="2"/>
  <c r="C98" i="2"/>
  <c r="B97" i="2"/>
  <c r="G97" i="2"/>
  <c r="M97" i="2"/>
  <c r="D97" i="2"/>
  <c r="E97" i="2"/>
  <c r="F97" i="2"/>
  <c r="C97" i="2"/>
  <c r="L97" i="2"/>
  <c r="K97" i="2"/>
  <c r="J97" i="2"/>
  <c r="I97" i="2"/>
  <c r="H97" i="2"/>
  <c r="B96" i="2"/>
  <c r="L96" i="2"/>
  <c r="K96" i="2"/>
  <c r="I96" i="2"/>
  <c r="E96" i="2"/>
  <c r="C96" i="2"/>
  <c r="F96" i="2"/>
  <c r="H96" i="2"/>
  <c r="M96" i="2"/>
  <c r="D96" i="2"/>
  <c r="G96" i="2"/>
  <c r="J96" i="2"/>
  <c r="J95" i="2"/>
  <c r="K95" i="2"/>
  <c r="M95" i="2"/>
  <c r="L95" i="2"/>
  <c r="I95" i="2"/>
  <c r="H95" i="2"/>
  <c r="G95" i="2"/>
  <c r="F95" i="2"/>
  <c r="E95" i="2"/>
  <c r="D95" i="2"/>
  <c r="C95" i="2"/>
  <c r="B95" i="2"/>
  <c r="C94" i="2"/>
  <c r="B94" i="2"/>
  <c r="B93" i="2"/>
  <c r="B92" i="2"/>
  <c r="C92" i="2"/>
  <c r="B91" i="2"/>
  <c r="B90" i="2"/>
  <c r="B89" i="2"/>
  <c r="B88" i="2"/>
  <c r="B87" i="2"/>
  <c r="B86" i="2"/>
  <c r="B85" i="2"/>
  <c r="B84" i="2"/>
  <c r="B83" i="2"/>
  <c r="B82" i="2"/>
  <c r="B81" i="2"/>
  <c r="B80" i="2"/>
  <c r="F76" i="2"/>
  <c r="B76" i="2"/>
  <c r="M76" i="2"/>
  <c r="K76" i="2"/>
  <c r="L76" i="2"/>
  <c r="J76" i="2"/>
  <c r="I76" i="2"/>
  <c r="H76" i="2"/>
  <c r="G76" i="2"/>
  <c r="E76" i="2"/>
  <c r="D76" i="2"/>
  <c r="C76" i="2"/>
  <c r="M75" i="2"/>
  <c r="F75" i="2"/>
  <c r="C75" i="2"/>
  <c r="E75" i="2"/>
  <c r="D75" i="2"/>
  <c r="B75" i="2"/>
  <c r="L75" i="2"/>
  <c r="K75" i="2"/>
  <c r="J75" i="2"/>
  <c r="I75" i="2"/>
  <c r="H75" i="2"/>
  <c r="G75" i="2"/>
  <c r="L74" i="2"/>
  <c r="E74" i="2"/>
  <c r="B74" i="2"/>
  <c r="K74" i="2"/>
  <c r="J74" i="2"/>
  <c r="I74" i="2"/>
  <c r="M74" i="2"/>
  <c r="H74" i="2"/>
  <c r="G74" i="2"/>
  <c r="F74" i="2"/>
  <c r="D74" i="2"/>
  <c r="C74" i="2"/>
  <c r="L73" i="2"/>
  <c r="E73" i="2"/>
  <c r="J73" i="2"/>
  <c r="I73" i="2"/>
  <c r="H73" i="2"/>
  <c r="F73" i="2"/>
  <c r="D73" i="2"/>
  <c r="G73" i="2"/>
  <c r="C73" i="2"/>
  <c r="B73" i="2"/>
  <c r="M73" i="2"/>
  <c r="K73" i="2"/>
  <c r="J72" i="2"/>
  <c r="F72" i="2"/>
  <c r="M72" i="2"/>
  <c r="L72" i="2"/>
  <c r="K72" i="2"/>
  <c r="I72" i="2"/>
  <c r="H72" i="2"/>
  <c r="G72" i="2"/>
  <c r="E72" i="2"/>
  <c r="D72" i="2"/>
  <c r="C72" i="2"/>
  <c r="B72" i="2"/>
  <c r="I71" i="2"/>
  <c r="F71" i="2"/>
  <c r="C71" i="2"/>
  <c r="L71" i="2"/>
  <c r="M71" i="2"/>
  <c r="K71" i="2"/>
  <c r="J71" i="2"/>
  <c r="H71" i="2"/>
  <c r="G71" i="2"/>
  <c r="E71" i="2"/>
  <c r="D71" i="2"/>
  <c r="B71" i="2"/>
  <c r="B70" i="2"/>
  <c r="M70" i="2"/>
  <c r="I70" i="2"/>
  <c r="G70" i="2"/>
  <c r="L70" i="2"/>
  <c r="K70" i="2"/>
  <c r="J70" i="2"/>
  <c r="H70" i="2"/>
  <c r="F70" i="2"/>
  <c r="E70" i="2"/>
  <c r="D70" i="2"/>
  <c r="C70" i="2"/>
  <c r="C69" i="2"/>
  <c r="J69" i="2"/>
  <c r="I69" i="2"/>
  <c r="H69" i="2"/>
  <c r="F69" i="2"/>
  <c r="E69" i="2"/>
  <c r="G69" i="2"/>
  <c r="L69" i="2"/>
  <c r="D69" i="2"/>
  <c r="B69" i="2"/>
  <c r="M69" i="2"/>
  <c r="K69" i="2"/>
  <c r="F68" i="2"/>
  <c r="C68" i="2"/>
  <c r="I68" i="2"/>
  <c r="K68" i="2"/>
  <c r="D68" i="2"/>
  <c r="B68" i="2"/>
  <c r="E68" i="2"/>
  <c r="M68" i="2"/>
  <c r="L68" i="2"/>
  <c r="J68" i="2"/>
  <c r="H68" i="2"/>
  <c r="G68" i="2"/>
  <c r="L67" i="2"/>
  <c r="B67" i="2"/>
  <c r="D67" i="2"/>
  <c r="M67" i="2"/>
  <c r="K67" i="2"/>
  <c r="J67" i="2"/>
  <c r="I67" i="2"/>
  <c r="H67" i="2"/>
  <c r="G67" i="2"/>
  <c r="E67" i="2"/>
  <c r="F67" i="2"/>
  <c r="C67" i="2"/>
  <c r="M66" i="2"/>
  <c r="K66" i="2"/>
  <c r="F66" i="2"/>
  <c r="G66" i="2"/>
  <c r="H66" i="2"/>
  <c r="C66" i="2"/>
  <c r="D66" i="2"/>
  <c r="I66" i="2"/>
  <c r="J66" i="2"/>
  <c r="E66" i="2"/>
  <c r="L66" i="2"/>
  <c r="B65" i="2"/>
  <c r="C65" i="2"/>
  <c r="E65" i="2"/>
  <c r="F65" i="2"/>
  <c r="G65" i="2"/>
  <c r="I65" i="2"/>
  <c r="J65" i="2"/>
  <c r="K65" i="2"/>
  <c r="L65" i="2"/>
  <c r="M65" i="2"/>
  <c r="D65" i="2"/>
  <c r="H65" i="2"/>
  <c r="K64" i="2"/>
  <c r="M64" i="2"/>
  <c r="B64" i="2"/>
  <c r="E64" i="2"/>
  <c r="C64" i="2"/>
  <c r="D64" i="2"/>
  <c r="G64" i="2"/>
  <c r="I64" i="2"/>
  <c r="L64" i="2"/>
  <c r="F64" i="2"/>
  <c r="H64" i="2"/>
  <c r="J64" i="2"/>
  <c r="D63" i="2"/>
  <c r="C63" i="2"/>
  <c r="E63" i="2"/>
  <c r="B63" i="2"/>
  <c r="J63" i="2"/>
  <c r="M63" i="2"/>
  <c r="G63" i="2"/>
  <c r="L63" i="2"/>
  <c r="K63" i="2"/>
  <c r="I63" i="2"/>
  <c r="H63" i="2"/>
  <c r="F63" i="2"/>
  <c r="K62" i="2"/>
  <c r="M62" i="2"/>
  <c r="J62" i="2"/>
  <c r="I62" i="2"/>
  <c r="B62" i="2"/>
  <c r="G62" i="2"/>
  <c r="F62" i="2"/>
  <c r="C62" i="2"/>
  <c r="L62" i="2"/>
  <c r="H62" i="2"/>
  <c r="E62" i="2"/>
  <c r="D62" i="2"/>
  <c r="B61" i="2"/>
  <c r="B60" i="2"/>
  <c r="B59" i="2"/>
  <c r="B58" i="2"/>
  <c r="C57" i="2"/>
  <c r="B57" i="2"/>
  <c r="B55" i="2"/>
  <c r="B54" i="2"/>
  <c r="B53" i="2"/>
  <c r="B52" i="2"/>
  <c r="B51" i="2"/>
  <c r="B50" i="2"/>
  <c r="B49" i="2"/>
  <c r="B48" i="2"/>
  <c r="H43" i="2"/>
  <c r="C43" i="2"/>
  <c r="I43" i="2"/>
  <c r="J43" i="2"/>
  <c r="K43" i="2"/>
  <c r="L43" i="2"/>
  <c r="M43" i="2"/>
  <c r="B43" i="2"/>
  <c r="D43" i="2"/>
  <c r="E43" i="2"/>
  <c r="F43" i="2"/>
  <c r="G43" i="2"/>
  <c r="G42" i="2"/>
  <c r="H42" i="2"/>
  <c r="I42" i="2"/>
  <c r="J42" i="2"/>
  <c r="K42" i="2"/>
  <c r="L42" i="2"/>
  <c r="M42" i="2"/>
  <c r="D42" i="2"/>
  <c r="B42" i="2"/>
  <c r="E42" i="2"/>
  <c r="C42" i="2"/>
  <c r="F42" i="2"/>
  <c r="M41" i="2"/>
  <c r="L41" i="2"/>
  <c r="C41" i="2"/>
  <c r="B41" i="2"/>
  <c r="D41" i="2"/>
  <c r="G41" i="2"/>
  <c r="H41" i="2"/>
  <c r="J41" i="2"/>
  <c r="F41" i="2"/>
  <c r="E41" i="2"/>
  <c r="I41" i="2"/>
  <c r="K41" i="2"/>
  <c r="H40" i="2"/>
  <c r="L40" i="2"/>
  <c r="I40" i="2"/>
  <c r="G40" i="2"/>
  <c r="F40" i="2"/>
  <c r="D40" i="2"/>
  <c r="B40" i="2"/>
  <c r="C40" i="2"/>
  <c r="M40" i="2"/>
  <c r="K40" i="2"/>
  <c r="E40" i="2"/>
  <c r="J40" i="2"/>
  <c r="I39" i="2"/>
  <c r="J39" i="2"/>
  <c r="L39" i="2"/>
  <c r="M39" i="2"/>
  <c r="K39" i="2"/>
  <c r="G39" i="2"/>
  <c r="C39" i="2"/>
  <c r="B39" i="2"/>
  <c r="D39" i="2"/>
  <c r="E39" i="2"/>
  <c r="F39" i="2"/>
  <c r="H39" i="2"/>
  <c r="C38" i="2"/>
  <c r="J38" i="2"/>
  <c r="M38" i="2"/>
  <c r="K38" i="2"/>
  <c r="H38" i="2"/>
  <c r="L38" i="2"/>
  <c r="I38" i="2"/>
  <c r="F38" i="2"/>
  <c r="B38" i="2"/>
  <c r="G38" i="2"/>
  <c r="E38" i="2"/>
  <c r="D38" i="2"/>
  <c r="K37" i="2"/>
  <c r="J37" i="2"/>
  <c r="I37" i="2"/>
  <c r="H37" i="2"/>
  <c r="F37" i="2"/>
  <c r="E37" i="2"/>
  <c r="C37" i="2"/>
  <c r="B37" i="2"/>
  <c r="M37" i="2"/>
  <c r="D37" i="2"/>
  <c r="L37" i="2"/>
  <c r="G37" i="2"/>
  <c r="M36" i="2"/>
  <c r="K36" i="2"/>
  <c r="I36" i="2"/>
  <c r="H36" i="2"/>
  <c r="G36" i="2"/>
  <c r="E36" i="2"/>
  <c r="C36" i="2"/>
  <c r="B36" i="2"/>
  <c r="L36" i="2"/>
  <c r="D36" i="2"/>
  <c r="F36" i="2"/>
  <c r="J36" i="2"/>
  <c r="M35" i="2"/>
  <c r="L35" i="2"/>
  <c r="J35" i="2"/>
  <c r="I35" i="2"/>
  <c r="H35" i="2"/>
  <c r="G35" i="2"/>
  <c r="E35" i="2"/>
  <c r="D35" i="2"/>
  <c r="C35" i="2"/>
  <c r="B35" i="2"/>
  <c r="F35" i="2"/>
  <c r="K35" i="2"/>
  <c r="M34" i="2"/>
  <c r="D34" i="2"/>
  <c r="E34" i="2"/>
  <c r="F34" i="2"/>
  <c r="G34" i="2"/>
  <c r="H34" i="2"/>
  <c r="I34" i="2"/>
  <c r="J34" i="2"/>
  <c r="K34" i="2"/>
  <c r="L34" i="2"/>
  <c r="B34" i="2"/>
  <c r="C34" i="2"/>
  <c r="K33" i="2"/>
  <c r="M33" i="2"/>
  <c r="C33" i="2"/>
  <c r="B33" i="2"/>
  <c r="D33" i="2"/>
  <c r="E33" i="2"/>
  <c r="F33" i="2"/>
  <c r="G33" i="2"/>
  <c r="H33" i="2"/>
  <c r="I33" i="2"/>
  <c r="J33" i="2"/>
  <c r="L33" i="2"/>
  <c r="F32" i="2"/>
  <c r="M32" i="2"/>
  <c r="K32" i="2"/>
  <c r="L32" i="2"/>
  <c r="G32" i="2"/>
  <c r="D32" i="2"/>
  <c r="J32" i="2"/>
  <c r="I32" i="2"/>
  <c r="H32" i="2"/>
  <c r="E32" i="2"/>
  <c r="C32" i="2"/>
  <c r="B32" i="2"/>
  <c r="E31" i="2"/>
  <c r="B31" i="2"/>
  <c r="C31" i="2"/>
  <c r="D31" i="2"/>
  <c r="H31" i="2"/>
  <c r="I31" i="2"/>
  <c r="J31" i="2"/>
  <c r="L31" i="2"/>
  <c r="M31" i="2"/>
  <c r="K31" i="2"/>
  <c r="G31" i="2"/>
  <c r="F31" i="2"/>
  <c r="K30" i="2"/>
  <c r="L30" i="2"/>
  <c r="F30" i="2"/>
  <c r="J30" i="2"/>
  <c r="H30" i="2"/>
  <c r="E30" i="2"/>
  <c r="C30" i="2"/>
  <c r="B30" i="2"/>
  <c r="M30" i="2"/>
  <c r="D30" i="2"/>
  <c r="I30" i="2"/>
  <c r="G30" i="2"/>
  <c r="L29" i="2"/>
  <c r="M29" i="2"/>
  <c r="I29" i="2"/>
  <c r="G29" i="2"/>
  <c r="B29" i="2"/>
  <c r="K29" i="2"/>
  <c r="H29" i="2"/>
  <c r="F29" i="2"/>
  <c r="E29" i="2"/>
  <c r="D29" i="2"/>
  <c r="J29" i="2"/>
  <c r="C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D14" i="2"/>
  <c r="B14" i="2"/>
  <c r="P18" i="5" l="1"/>
  <c r="Q137" i="5"/>
  <c r="O137" i="5"/>
  <c r="P137" i="5" s="1"/>
  <c r="P138" i="5" s="1"/>
  <c r="O104" i="5"/>
  <c r="Q104" i="5"/>
  <c r="O80" i="5"/>
  <c r="Q80" i="5"/>
  <c r="O53" i="5"/>
  <c r="P53" i="5" s="1"/>
  <c r="L53" i="5"/>
  <c r="Q53" i="5"/>
  <c r="L134" i="4"/>
  <c r="Q134" i="4"/>
  <c r="O81" i="3"/>
  <c r="Q81" i="3"/>
  <c r="L81" i="3"/>
  <c r="L78" i="3"/>
  <c r="Q78" i="3"/>
  <c r="Q71" i="3"/>
  <c r="L71" i="3"/>
  <c r="E14" i="2"/>
  <c r="H5" i="3"/>
  <c r="G5" i="5"/>
  <c r="O30" i="5"/>
  <c r="P30" i="5" s="1"/>
  <c r="L30" i="5"/>
  <c r="Q30" i="5"/>
  <c r="L18" i="5"/>
  <c r="Q18" i="5"/>
  <c r="Q14" i="5"/>
  <c r="L14" i="5"/>
  <c r="L9" i="5"/>
  <c r="O9" i="5"/>
  <c r="Q90" i="3"/>
  <c r="O90" i="3"/>
  <c r="P90" i="3" s="1"/>
  <c r="L66" i="3"/>
  <c r="O66" i="3"/>
  <c r="P66" i="3" s="1"/>
  <c r="O147" i="5"/>
  <c r="Q147" i="5"/>
  <c r="Q69" i="3"/>
  <c r="L69" i="3"/>
  <c r="Q183" i="6"/>
  <c r="O183" i="6"/>
  <c r="L183" i="6"/>
  <c r="O182" i="6"/>
  <c r="Q182" i="6"/>
  <c r="Q179" i="6"/>
  <c r="O179" i="6"/>
  <c r="L179" i="6"/>
  <c r="Q178" i="6"/>
  <c r="O177" i="6"/>
  <c r="L177" i="6"/>
  <c r="O176" i="6"/>
  <c r="L176" i="6"/>
  <c r="Q174" i="6"/>
  <c r="O174" i="6"/>
  <c r="Q173" i="6"/>
  <c r="O173" i="6"/>
  <c r="P173" i="6" s="1"/>
  <c r="P174" i="6" s="1"/>
  <c r="Q163" i="6"/>
  <c r="P161" i="6"/>
  <c r="P162" i="6" s="1"/>
  <c r="L161" i="6"/>
  <c r="L158" i="6"/>
  <c r="O158" i="6"/>
  <c r="Q158" i="6"/>
  <c r="O156" i="6"/>
  <c r="L156" i="6"/>
  <c r="Q156" i="6"/>
  <c r="Q155" i="6"/>
  <c r="O155" i="6"/>
  <c r="L155" i="6"/>
  <c r="L153" i="6"/>
  <c r="O153" i="6"/>
  <c r="Q153" i="6"/>
  <c r="L152" i="6"/>
  <c r="O152" i="6"/>
  <c r="Q152" i="6"/>
  <c r="O150" i="6"/>
  <c r="L150" i="6"/>
  <c r="Q150" i="6"/>
  <c r="L149" i="6"/>
  <c r="Q149" i="6"/>
  <c r="O149" i="6"/>
  <c r="P149" i="6" s="1"/>
  <c r="P150" i="6" s="1"/>
  <c r="Q183" i="5"/>
  <c r="L183" i="5"/>
  <c r="L182" i="5"/>
  <c r="Q181" i="5"/>
  <c r="O180" i="5"/>
  <c r="L180" i="5"/>
  <c r="Q180" i="5"/>
  <c r="Q179" i="5"/>
  <c r="O179" i="5"/>
  <c r="L177" i="5"/>
  <c r="Q177" i="5"/>
  <c r="O177" i="5"/>
  <c r="Q176" i="5"/>
  <c r="O176" i="5"/>
  <c r="O173" i="5"/>
  <c r="P173" i="5" s="1"/>
  <c r="P174" i="5" s="1"/>
  <c r="L173" i="5"/>
  <c r="Q171" i="5"/>
  <c r="L171" i="5"/>
  <c r="L170" i="5"/>
  <c r="O170" i="5"/>
  <c r="Q170" i="5"/>
  <c r="Q168" i="5"/>
  <c r="O167" i="5"/>
  <c r="Q167" i="5"/>
  <c r="Q166" i="5"/>
  <c r="L165" i="5"/>
  <c r="O165" i="5"/>
  <c r="Q165" i="5"/>
  <c r="O164" i="5"/>
  <c r="L164" i="5"/>
  <c r="Q163" i="5"/>
  <c r="O158" i="5"/>
  <c r="Q157" i="5"/>
  <c r="Q156" i="5"/>
  <c r="O156" i="5"/>
  <c r="L156" i="5"/>
  <c r="Q155" i="5"/>
  <c r="L152" i="5"/>
  <c r="O152" i="5"/>
  <c r="Q151" i="5"/>
  <c r="O150" i="5"/>
  <c r="P150" i="5" s="1"/>
  <c r="Q150" i="5"/>
  <c r="Q183" i="4"/>
  <c r="O183" i="4"/>
  <c r="L183" i="4"/>
  <c r="Q182" i="4"/>
  <c r="L182" i="4"/>
  <c r="O182" i="4"/>
  <c r="Q181" i="4"/>
  <c r="O180" i="4"/>
  <c r="Q180" i="4"/>
  <c r="L180" i="4"/>
  <c r="O177" i="4"/>
  <c r="L177" i="4"/>
  <c r="Q177" i="4"/>
  <c r="O176" i="4"/>
  <c r="L176" i="4"/>
  <c r="Q176" i="4"/>
  <c r="Q175" i="4"/>
  <c r="Q174" i="4"/>
  <c r="O174" i="4"/>
  <c r="L174" i="4"/>
  <c r="Q173" i="4"/>
  <c r="O173" i="4"/>
  <c r="P173" i="4" s="1"/>
  <c r="P174" i="4" s="1"/>
  <c r="L173" i="4"/>
  <c r="O171" i="4"/>
  <c r="L171" i="4"/>
  <c r="Q171" i="4"/>
  <c r="O170" i="4"/>
  <c r="L170" i="4"/>
  <c r="Q170" i="4"/>
  <c r="Q169" i="4"/>
  <c r="Q168" i="4"/>
  <c r="O168" i="4"/>
  <c r="L168" i="4"/>
  <c r="O167" i="4"/>
  <c r="L167" i="4"/>
  <c r="Q167" i="4"/>
  <c r="Q166" i="4"/>
  <c r="O165" i="4"/>
  <c r="L165" i="4"/>
  <c r="Q165" i="4"/>
  <c r="Q164" i="4"/>
  <c r="O164" i="4"/>
  <c r="L164" i="4"/>
  <c r="Q163" i="4"/>
  <c r="O162" i="4"/>
  <c r="L162" i="4"/>
  <c r="Q162" i="4"/>
  <c r="O161" i="4"/>
  <c r="P161" i="4" s="1"/>
  <c r="P162" i="4" s="1"/>
  <c r="L161" i="4"/>
  <c r="Q161" i="4"/>
  <c r="Q159" i="4"/>
  <c r="L159" i="4"/>
  <c r="O159" i="4"/>
  <c r="O158" i="4"/>
  <c r="L158" i="4"/>
  <c r="Q158" i="4"/>
  <c r="Q157" i="4"/>
  <c r="Q156" i="4"/>
  <c r="O156" i="4"/>
  <c r="L156" i="4"/>
  <c r="Q155" i="4"/>
  <c r="O155" i="4"/>
  <c r="L155" i="4"/>
  <c r="Q154" i="4"/>
  <c r="L153" i="4"/>
  <c r="Q153" i="4"/>
  <c r="O153" i="4"/>
  <c r="Q152" i="4"/>
  <c r="O152" i="4"/>
  <c r="L152" i="4"/>
  <c r="Q151" i="4"/>
  <c r="Q150" i="4"/>
  <c r="O150" i="4"/>
  <c r="L150" i="4"/>
  <c r="Q149" i="4"/>
  <c r="O149" i="4"/>
  <c r="P149" i="4" s="1"/>
  <c r="P150" i="4" s="1"/>
  <c r="L149" i="4"/>
  <c r="Q78" i="4"/>
  <c r="L78" i="4"/>
  <c r="O78" i="4"/>
  <c r="Q183" i="3"/>
  <c r="O183" i="3"/>
  <c r="L183" i="3"/>
  <c r="Q182" i="3"/>
  <c r="O182" i="3"/>
  <c r="L182" i="3"/>
  <c r="Q181" i="3"/>
  <c r="Q176" i="3"/>
  <c r="L176" i="3"/>
  <c r="O176" i="3"/>
  <c r="Q175" i="3"/>
  <c r="L174" i="3"/>
  <c r="Q174" i="3"/>
  <c r="O174" i="3"/>
  <c r="Q173" i="3"/>
  <c r="O173" i="3"/>
  <c r="P173" i="3"/>
  <c r="P174" i="3" s="1"/>
  <c r="L173" i="3"/>
  <c r="O171" i="3"/>
  <c r="Q171" i="3"/>
  <c r="L171" i="3"/>
  <c r="L170" i="3"/>
  <c r="O170" i="3"/>
  <c r="Q170" i="3"/>
  <c r="Q169" i="3"/>
  <c r="Q168" i="3"/>
  <c r="O168" i="3"/>
  <c r="L168" i="3"/>
  <c r="O167" i="3"/>
  <c r="Q167" i="3"/>
  <c r="L167" i="3"/>
  <c r="Q166" i="3"/>
  <c r="L165" i="3"/>
  <c r="O165" i="3"/>
  <c r="Q165" i="3"/>
  <c r="O164" i="3"/>
  <c r="Q164" i="3"/>
  <c r="L164" i="3"/>
  <c r="Q163" i="3"/>
  <c r="Q162" i="3"/>
  <c r="O162" i="3"/>
  <c r="L162" i="3"/>
  <c r="O161" i="3"/>
  <c r="P161" i="3"/>
  <c r="P162" i="3" s="1"/>
  <c r="Q161" i="3"/>
  <c r="L161" i="3"/>
  <c r="O159" i="3"/>
  <c r="L159" i="3"/>
  <c r="Q159" i="3"/>
  <c r="O158" i="3"/>
  <c r="L158" i="3"/>
  <c r="Q158" i="3"/>
  <c r="Q157" i="3"/>
  <c r="Q156" i="3"/>
  <c r="L156" i="3"/>
  <c r="O156" i="3"/>
  <c r="O155" i="3"/>
  <c r="Q155" i="3"/>
  <c r="L155" i="3"/>
  <c r="Q154" i="3"/>
  <c r="Q153" i="3"/>
  <c r="O153" i="3"/>
  <c r="L153" i="3"/>
  <c r="Q152" i="3"/>
  <c r="L152" i="3"/>
  <c r="O152" i="3"/>
  <c r="Q151" i="3"/>
  <c r="Q150" i="3"/>
  <c r="L150" i="3"/>
  <c r="O150" i="3"/>
  <c r="O149" i="3"/>
  <c r="P149" i="3" s="1"/>
  <c r="P150" i="3" s="1"/>
  <c r="Q149" i="3"/>
  <c r="L149" i="3"/>
  <c r="L147" i="6"/>
  <c r="O146" i="6"/>
  <c r="L146" i="6"/>
  <c r="Q146" i="6"/>
  <c r="Q145" i="6"/>
  <c r="Q142" i="6"/>
  <c r="L140" i="6"/>
  <c r="O140" i="6"/>
  <c r="Q139" i="6"/>
  <c r="Q138" i="6"/>
  <c r="L138" i="6"/>
  <c r="O138" i="6"/>
  <c r="P138" i="6" s="1"/>
  <c r="L137" i="6"/>
  <c r="Q137" i="6"/>
  <c r="L134" i="6"/>
  <c r="O134" i="6"/>
  <c r="Q134" i="6"/>
  <c r="O132" i="6"/>
  <c r="L132" i="6"/>
  <c r="L131" i="6"/>
  <c r="L128" i="6"/>
  <c r="O128" i="6"/>
  <c r="Q128" i="6"/>
  <c r="Q127" i="6"/>
  <c r="L126" i="6"/>
  <c r="Q125" i="6"/>
  <c r="O125" i="6"/>
  <c r="P125" i="6" s="1"/>
  <c r="P126" i="6" s="1"/>
  <c r="L125" i="6"/>
  <c r="Q104" i="6"/>
  <c r="O104" i="6"/>
  <c r="L147" i="5"/>
  <c r="O146" i="5"/>
  <c r="Q146" i="5"/>
  <c r="L146" i="5"/>
  <c r="Q145" i="5"/>
  <c r="L144" i="5"/>
  <c r="Q144" i="5"/>
  <c r="O144" i="5"/>
  <c r="O143" i="5"/>
  <c r="Q143" i="5"/>
  <c r="L143" i="5"/>
  <c r="Q142" i="5"/>
  <c r="O141" i="5"/>
  <c r="Q141" i="5"/>
  <c r="L141" i="5"/>
  <c r="Q140" i="5"/>
  <c r="L135" i="5"/>
  <c r="O135" i="5"/>
  <c r="Q135" i="5"/>
  <c r="L134" i="5"/>
  <c r="Q134" i="5"/>
  <c r="L132" i="5"/>
  <c r="O131" i="5"/>
  <c r="Q130" i="5"/>
  <c r="Q129" i="5"/>
  <c r="L129" i="5"/>
  <c r="O129" i="5"/>
  <c r="Q128" i="5"/>
  <c r="O128" i="5"/>
  <c r="L128" i="5"/>
  <c r="Q127" i="5"/>
  <c r="O126" i="5"/>
  <c r="L126" i="5"/>
  <c r="L125" i="5"/>
  <c r="O125" i="5"/>
  <c r="P125" i="5" s="1"/>
  <c r="P126" i="5" s="1"/>
  <c r="Q122" i="5"/>
  <c r="O122" i="5"/>
  <c r="L122" i="5"/>
  <c r="O119" i="5"/>
  <c r="L119" i="5"/>
  <c r="Q77" i="5"/>
  <c r="O77" i="5"/>
  <c r="P77" i="5" s="1"/>
  <c r="L59" i="5"/>
  <c r="Q59" i="5"/>
  <c r="O147" i="4"/>
  <c r="L147" i="4"/>
  <c r="Q147" i="4"/>
  <c r="Q146" i="4"/>
  <c r="O146" i="4"/>
  <c r="L146" i="4"/>
  <c r="Q145" i="4"/>
  <c r="Q144" i="4"/>
  <c r="O144" i="4"/>
  <c r="L144" i="4"/>
  <c r="Q143" i="4"/>
  <c r="O143" i="4"/>
  <c r="L143" i="4"/>
  <c r="Q142" i="4"/>
  <c r="L141" i="4"/>
  <c r="O140" i="4"/>
  <c r="Q140" i="4"/>
  <c r="Q139" i="4"/>
  <c r="Q135" i="4"/>
  <c r="Q133" i="4"/>
  <c r="Q131" i="4"/>
  <c r="L131" i="4"/>
  <c r="Q129" i="4"/>
  <c r="O129" i="4"/>
  <c r="L129" i="4"/>
  <c r="Q127" i="4"/>
  <c r="L116" i="4"/>
  <c r="Q116" i="4"/>
  <c r="Q147" i="3"/>
  <c r="O147" i="3"/>
  <c r="L147" i="3"/>
  <c r="Q146" i="3"/>
  <c r="O146" i="3"/>
  <c r="L146" i="3"/>
  <c r="Q145" i="3"/>
  <c r="Q144" i="3"/>
  <c r="L144" i="3"/>
  <c r="O144" i="3"/>
  <c r="O143" i="3"/>
  <c r="L143" i="3"/>
  <c r="Q143" i="3"/>
  <c r="Q142" i="3"/>
  <c r="O141" i="3"/>
  <c r="L141" i="3"/>
  <c r="Q141" i="3"/>
  <c r="Q140" i="3"/>
  <c r="O140" i="3"/>
  <c r="L140" i="3"/>
  <c r="Q139" i="3"/>
  <c r="Q138" i="3"/>
  <c r="O138" i="3"/>
  <c r="L138" i="3"/>
  <c r="Q137" i="3"/>
  <c r="O137" i="3"/>
  <c r="P137" i="3" s="1"/>
  <c r="P138" i="3" s="1"/>
  <c r="L137" i="3"/>
  <c r="Q135" i="3"/>
  <c r="O135" i="3"/>
  <c r="L135" i="3"/>
  <c r="Q134" i="3"/>
  <c r="L134" i="3"/>
  <c r="O134" i="3"/>
  <c r="Q132" i="3"/>
  <c r="O132" i="3"/>
  <c r="L132" i="3"/>
  <c r="Q131" i="3"/>
  <c r="O131" i="3"/>
  <c r="L131" i="3"/>
  <c r="Q128" i="3"/>
  <c r="L128" i="3"/>
  <c r="O128" i="3"/>
  <c r="Q126" i="3"/>
  <c r="L126" i="3"/>
  <c r="Q125" i="3"/>
  <c r="O125" i="3"/>
  <c r="P125" i="3" s="1"/>
  <c r="P126" i="3" s="1"/>
  <c r="L78" i="6"/>
  <c r="O78" i="6"/>
  <c r="Q78" i="6"/>
  <c r="L107" i="3"/>
  <c r="O107" i="3"/>
  <c r="Q107" i="3"/>
  <c r="O11" i="3"/>
  <c r="Q11" i="3"/>
  <c r="Q122" i="6"/>
  <c r="L122" i="6"/>
  <c r="O122" i="6"/>
  <c r="Q121" i="6"/>
  <c r="L120" i="6"/>
  <c r="O119" i="6"/>
  <c r="L119" i="6"/>
  <c r="Q119" i="6"/>
  <c r="Q118" i="6"/>
  <c r="Q117" i="6"/>
  <c r="O117" i="6"/>
  <c r="L117" i="6"/>
  <c r="Q116" i="6"/>
  <c r="Q114" i="6"/>
  <c r="O114" i="6"/>
  <c r="L113" i="6"/>
  <c r="O113" i="6"/>
  <c r="P113" i="6" s="1"/>
  <c r="P114" i="6" s="1"/>
  <c r="Q113" i="6"/>
  <c r="Q110" i="6"/>
  <c r="O110" i="6"/>
  <c r="L110" i="6"/>
  <c r="Q106" i="6"/>
  <c r="O105" i="6"/>
  <c r="L105" i="6"/>
  <c r="Q105" i="6"/>
  <c r="L104" i="6"/>
  <c r="Q103" i="6"/>
  <c r="Q102" i="6"/>
  <c r="L102" i="6"/>
  <c r="O102" i="6"/>
  <c r="P102" i="6" s="1"/>
  <c r="L99" i="6"/>
  <c r="O99" i="6"/>
  <c r="Q99" i="6"/>
  <c r="Q97" i="6"/>
  <c r="L96" i="6"/>
  <c r="O96" i="6"/>
  <c r="Q95" i="6"/>
  <c r="L95" i="6"/>
  <c r="O95" i="6"/>
  <c r="Q94" i="6"/>
  <c r="O93" i="6"/>
  <c r="L93" i="6"/>
  <c r="Q93" i="6"/>
  <c r="L92" i="6"/>
  <c r="Q91" i="6"/>
  <c r="L90" i="6"/>
  <c r="Q89" i="6"/>
  <c r="O89" i="6"/>
  <c r="P89" i="6" s="1"/>
  <c r="P90" i="6" s="1"/>
  <c r="L89" i="6"/>
  <c r="L86" i="6"/>
  <c r="Q86" i="6"/>
  <c r="O86" i="6"/>
  <c r="Q85" i="6"/>
  <c r="Q83" i="6"/>
  <c r="L83" i="6"/>
  <c r="O83" i="6"/>
  <c r="Q79" i="6"/>
  <c r="O77" i="6"/>
  <c r="P77" i="6" s="1"/>
  <c r="Q77" i="6"/>
  <c r="Q73" i="6"/>
  <c r="L71" i="6"/>
  <c r="Q71" i="6"/>
  <c r="Q70" i="6"/>
  <c r="L69" i="6"/>
  <c r="O69" i="6"/>
  <c r="Q69" i="6"/>
  <c r="O65" i="6"/>
  <c r="P65" i="6" s="1"/>
  <c r="P66" i="6" s="1"/>
  <c r="L65" i="6"/>
  <c r="Q65" i="6"/>
  <c r="L62" i="6"/>
  <c r="Q62" i="6"/>
  <c r="Q61" i="6"/>
  <c r="O60" i="6"/>
  <c r="L60" i="6"/>
  <c r="Q60" i="6"/>
  <c r="L53" i="6"/>
  <c r="O53" i="6"/>
  <c r="P53" i="6" s="1"/>
  <c r="P54" i="6" s="1"/>
  <c r="Q49" i="6"/>
  <c r="Q47" i="6"/>
  <c r="L47" i="6"/>
  <c r="O47" i="6"/>
  <c r="Q45" i="6"/>
  <c r="O45" i="6"/>
  <c r="L45" i="6"/>
  <c r="L42" i="6"/>
  <c r="Q42" i="6"/>
  <c r="O42" i="6"/>
  <c r="Q41" i="6"/>
  <c r="O41" i="6"/>
  <c r="P41" i="6" s="1"/>
  <c r="L41" i="6"/>
  <c r="L36" i="6"/>
  <c r="L35" i="6"/>
  <c r="Q34" i="6"/>
  <c r="L32" i="6"/>
  <c r="Q31" i="6"/>
  <c r="Q30" i="6"/>
  <c r="O30" i="6"/>
  <c r="L30" i="6"/>
  <c r="O29" i="6"/>
  <c r="P29" i="6" s="1"/>
  <c r="P30" i="6" s="1"/>
  <c r="L29" i="6"/>
  <c r="Q29" i="6"/>
  <c r="L27" i="6"/>
  <c r="O27" i="6"/>
  <c r="Q27" i="6"/>
  <c r="O26" i="6"/>
  <c r="L26" i="6"/>
  <c r="Q26" i="6"/>
  <c r="Q24" i="6"/>
  <c r="O24" i="6"/>
  <c r="L23" i="6"/>
  <c r="O23" i="6"/>
  <c r="Q23" i="6"/>
  <c r="L21" i="6"/>
  <c r="O21" i="6"/>
  <c r="Q21" i="6"/>
  <c r="Q19" i="6"/>
  <c r="Q18" i="6"/>
  <c r="O18" i="6"/>
  <c r="L18" i="6"/>
  <c r="Q17" i="6"/>
  <c r="O17" i="6"/>
  <c r="P17" i="6" s="1"/>
  <c r="P18" i="6" s="1"/>
  <c r="L17" i="6"/>
  <c r="L15" i="6"/>
  <c r="O15" i="6"/>
  <c r="Q15" i="6"/>
  <c r="Q14" i="6"/>
  <c r="L14" i="6"/>
  <c r="O14" i="6"/>
  <c r="Q11" i="6"/>
  <c r="O11" i="6"/>
  <c r="L11" i="6"/>
  <c r="L8" i="6"/>
  <c r="L6" i="6"/>
  <c r="G5" i="6"/>
  <c r="D113" i="2"/>
  <c r="L5" i="6"/>
  <c r="O5" i="6"/>
  <c r="P5" i="6" s="1"/>
  <c r="P6" i="6" s="1"/>
  <c r="L123" i="5"/>
  <c r="Q121" i="5"/>
  <c r="Q117" i="5"/>
  <c r="O117" i="5"/>
  <c r="L117" i="5"/>
  <c r="O116" i="5"/>
  <c r="L116" i="5"/>
  <c r="Q116" i="5"/>
  <c r="Q115" i="5"/>
  <c r="Q114" i="5"/>
  <c r="O113" i="5"/>
  <c r="P113" i="5" s="1"/>
  <c r="P114" i="5" s="1"/>
  <c r="L111" i="5"/>
  <c r="O111" i="5"/>
  <c r="Q109" i="5"/>
  <c r="O107" i="5"/>
  <c r="L107" i="5"/>
  <c r="Q107" i="5"/>
  <c r="Q106" i="5"/>
  <c r="O105" i="5"/>
  <c r="Q105" i="5"/>
  <c r="Q101" i="5"/>
  <c r="L101" i="5"/>
  <c r="O101" i="5"/>
  <c r="P101" i="5" s="1"/>
  <c r="P102" i="5" s="1"/>
  <c r="L98" i="5"/>
  <c r="O96" i="5"/>
  <c r="L96" i="5"/>
  <c r="Q94" i="5"/>
  <c r="O93" i="5"/>
  <c r="Q93" i="5"/>
  <c r="L92" i="5"/>
  <c r="L90" i="5"/>
  <c r="O90" i="5"/>
  <c r="O89" i="5"/>
  <c r="P89" i="5" s="1"/>
  <c r="P90" i="5" s="1"/>
  <c r="Q89" i="5"/>
  <c r="L89" i="5"/>
  <c r="L87" i="5"/>
  <c r="O87" i="5"/>
  <c r="L86" i="5"/>
  <c r="O86" i="5"/>
  <c r="Q86" i="5"/>
  <c r="Q85" i="5"/>
  <c r="O84" i="5"/>
  <c r="Q84" i="5"/>
  <c r="Q83" i="5"/>
  <c r="O81" i="5"/>
  <c r="L81" i="5"/>
  <c r="Q81" i="5"/>
  <c r="Q79" i="5"/>
  <c r="O78" i="5"/>
  <c r="Q78" i="5"/>
  <c r="O74" i="5"/>
  <c r="L74" i="5"/>
  <c r="Q73" i="5"/>
  <c r="O69" i="5"/>
  <c r="Q69" i="5"/>
  <c r="L69" i="5"/>
  <c r="Q68" i="5"/>
  <c r="L68" i="5"/>
  <c r="O68" i="5"/>
  <c r="Q67" i="5"/>
  <c r="L66" i="5"/>
  <c r="O66" i="5"/>
  <c r="Q66" i="5"/>
  <c r="P66" i="5"/>
  <c r="Q58" i="5"/>
  <c r="Q55" i="5"/>
  <c r="L54" i="5"/>
  <c r="O54" i="5"/>
  <c r="Q54" i="5"/>
  <c r="L50" i="5"/>
  <c r="Q50" i="5"/>
  <c r="O50" i="5"/>
  <c r="Q48" i="5"/>
  <c r="L48" i="5"/>
  <c r="O48" i="5"/>
  <c r="L47" i="5"/>
  <c r="O47" i="5"/>
  <c r="Q47" i="5"/>
  <c r="Q43" i="5"/>
  <c r="Q39" i="5"/>
  <c r="L39" i="5"/>
  <c r="Q37" i="5"/>
  <c r="Q36" i="5"/>
  <c r="L35" i="5"/>
  <c r="O35" i="5"/>
  <c r="Q35" i="5"/>
  <c r="O33" i="5"/>
  <c r="L33" i="5"/>
  <c r="O32" i="5"/>
  <c r="Q32" i="5"/>
  <c r="Q31" i="5"/>
  <c r="Q27" i="5"/>
  <c r="O27" i="5"/>
  <c r="L27" i="5"/>
  <c r="Q25" i="5"/>
  <c r="L24" i="5"/>
  <c r="L23" i="5"/>
  <c r="O23" i="5"/>
  <c r="Q23" i="5"/>
  <c r="Q22" i="5"/>
  <c r="L21" i="5"/>
  <c r="O21" i="5"/>
  <c r="Q21" i="5"/>
  <c r="Q20" i="5"/>
  <c r="L20" i="5"/>
  <c r="O20" i="5"/>
  <c r="Q13" i="5"/>
  <c r="Q9" i="5"/>
  <c r="Q6" i="5"/>
  <c r="O6" i="5"/>
  <c r="L5" i="5"/>
  <c r="O5" i="5"/>
  <c r="P5" i="5" s="1"/>
  <c r="P6" i="5" s="1"/>
  <c r="Q5" i="5"/>
  <c r="Q121" i="4"/>
  <c r="L119" i="4"/>
  <c r="O119" i="4"/>
  <c r="Q119" i="4"/>
  <c r="Q118" i="4"/>
  <c r="O117" i="4"/>
  <c r="Q117" i="4"/>
  <c r="Q113" i="4"/>
  <c r="O113" i="4"/>
  <c r="P113" i="4" s="1"/>
  <c r="P114" i="4" s="1"/>
  <c r="L113" i="4"/>
  <c r="L111" i="4"/>
  <c r="O111" i="4"/>
  <c r="Q111" i="4"/>
  <c r="O110" i="4"/>
  <c r="Q110" i="4"/>
  <c r="L110" i="4"/>
  <c r="Q109" i="4"/>
  <c r="O108" i="4"/>
  <c r="Q108" i="4"/>
  <c r="L108" i="4"/>
  <c r="L107" i="4"/>
  <c r="Q107" i="4"/>
  <c r="O107" i="4"/>
  <c r="L105" i="4"/>
  <c r="O105" i="4"/>
  <c r="Q105" i="4"/>
  <c r="O104" i="4"/>
  <c r="L104" i="4"/>
  <c r="Q104" i="4"/>
  <c r="Q103" i="4"/>
  <c r="L102" i="4"/>
  <c r="O102" i="4"/>
  <c r="P102" i="4" s="1"/>
  <c r="Q102" i="4"/>
  <c r="L99" i="4"/>
  <c r="O99" i="4"/>
  <c r="Q95" i="4"/>
  <c r="Q94" i="4"/>
  <c r="O93" i="4"/>
  <c r="L93" i="4"/>
  <c r="Q93" i="4"/>
  <c r="Q92" i="4"/>
  <c r="O92" i="4"/>
  <c r="L92" i="4"/>
  <c r="Q90" i="4"/>
  <c r="L90" i="4"/>
  <c r="O90" i="4"/>
  <c r="Q89" i="4"/>
  <c r="O89" i="4"/>
  <c r="P89" i="4" s="1"/>
  <c r="P90" i="4" s="1"/>
  <c r="L89" i="4"/>
  <c r="L86" i="4"/>
  <c r="Q86" i="4"/>
  <c r="O86" i="4"/>
  <c r="L83" i="4"/>
  <c r="O83" i="4"/>
  <c r="Q83" i="4"/>
  <c r="Q82" i="4"/>
  <c r="O80" i="4"/>
  <c r="Q80" i="4"/>
  <c r="L77" i="4"/>
  <c r="P77" i="4"/>
  <c r="O75" i="4"/>
  <c r="L75" i="4"/>
  <c r="Q73" i="4"/>
  <c r="O72" i="4"/>
  <c r="Q72" i="4"/>
  <c r="L72" i="4"/>
  <c r="O66" i="4"/>
  <c r="L66" i="4"/>
  <c r="Q65" i="4"/>
  <c r="O65" i="4"/>
  <c r="P65" i="4" s="1"/>
  <c r="P66" i="4" s="1"/>
  <c r="L65" i="4"/>
  <c r="O63" i="4"/>
  <c r="L63" i="4"/>
  <c r="Q61" i="4"/>
  <c r="L60" i="4"/>
  <c r="Q60" i="4"/>
  <c r="Q56" i="4"/>
  <c r="O56" i="4"/>
  <c r="L56" i="4"/>
  <c r="Q55" i="4"/>
  <c r="O54" i="4"/>
  <c r="P54" i="4" s="1"/>
  <c r="Q54" i="4"/>
  <c r="Q49" i="4"/>
  <c r="L48" i="4"/>
  <c r="Q48" i="4"/>
  <c r="O48" i="4"/>
  <c r="O47" i="4"/>
  <c r="L47" i="4"/>
  <c r="Q47" i="4"/>
  <c r="L44" i="4"/>
  <c r="O44" i="4"/>
  <c r="Q44" i="4"/>
  <c r="O42" i="4"/>
  <c r="P42" i="4" s="1"/>
  <c r="L42" i="4"/>
  <c r="Q42" i="4"/>
  <c r="Q39" i="4"/>
  <c r="O39" i="4"/>
  <c r="L36" i="4"/>
  <c r="O36" i="4"/>
  <c r="Q36" i="4"/>
  <c r="Q35" i="4"/>
  <c r="O35" i="4"/>
  <c r="L35" i="4"/>
  <c r="Q34" i="4"/>
  <c r="L33" i="4"/>
  <c r="O29" i="4"/>
  <c r="Q29" i="4"/>
  <c r="P29" i="4"/>
  <c r="P30" i="4" s="1"/>
  <c r="L29" i="4"/>
  <c r="O24" i="4"/>
  <c r="Q24" i="4"/>
  <c r="L24" i="4"/>
  <c r="L23" i="4"/>
  <c r="O23" i="4"/>
  <c r="Q23" i="4"/>
  <c r="Q22" i="4"/>
  <c r="Q21" i="4"/>
  <c r="O21" i="4"/>
  <c r="Q19" i="4"/>
  <c r="Q18" i="4"/>
  <c r="O18" i="4"/>
  <c r="P18" i="4" s="1"/>
  <c r="O14" i="4"/>
  <c r="L14" i="4"/>
  <c r="Q13" i="4"/>
  <c r="L11" i="4"/>
  <c r="O11" i="4"/>
  <c r="Q11" i="4"/>
  <c r="Q10" i="4"/>
  <c r="O9" i="4"/>
  <c r="L9" i="4"/>
  <c r="Q9" i="4"/>
  <c r="Q8" i="4"/>
  <c r="O8" i="4"/>
  <c r="O6" i="4"/>
  <c r="L6" i="4"/>
  <c r="E47" i="2"/>
  <c r="H5" i="4"/>
  <c r="L5" i="4"/>
  <c r="O5" i="4"/>
  <c r="P5" i="4" s="1"/>
  <c r="P6" i="4" s="1"/>
  <c r="Q123" i="3"/>
  <c r="L123" i="3"/>
  <c r="O123" i="3"/>
  <c r="O122" i="3"/>
  <c r="Q122" i="3"/>
  <c r="L122" i="3"/>
  <c r="Q121" i="3"/>
  <c r="O120" i="3"/>
  <c r="Q120" i="3"/>
  <c r="L119" i="3"/>
  <c r="O119" i="3"/>
  <c r="Q119" i="3"/>
  <c r="Q117" i="3"/>
  <c r="L117" i="3"/>
  <c r="O116" i="3"/>
  <c r="L116" i="3"/>
  <c r="L114" i="3"/>
  <c r="O114" i="3"/>
  <c r="P114" i="3" s="1"/>
  <c r="Q114" i="3"/>
  <c r="O111" i="3"/>
  <c r="Q111" i="3"/>
  <c r="Q110" i="3"/>
  <c r="O110" i="3"/>
  <c r="Q109" i="3"/>
  <c r="Q105" i="3"/>
  <c r="O105" i="3"/>
  <c r="Q104" i="3"/>
  <c r="L104" i="3"/>
  <c r="O104" i="3"/>
  <c r="Q103" i="3"/>
  <c r="Q101" i="3"/>
  <c r="P101" i="3"/>
  <c r="P102" i="3" s="1"/>
  <c r="L99" i="3"/>
  <c r="Q99" i="3"/>
  <c r="O99" i="3"/>
  <c r="Q98" i="3"/>
  <c r="Q97" i="3"/>
  <c r="L95" i="3"/>
  <c r="Q95" i="3"/>
  <c r="O95" i="3"/>
  <c r="Q94" i="3"/>
  <c r="Q93" i="3"/>
  <c r="O93" i="3"/>
  <c r="L93" i="3"/>
  <c r="Q91" i="3"/>
  <c r="L90" i="3"/>
  <c r="L87" i="3"/>
  <c r="Q87" i="3"/>
  <c r="O87" i="3"/>
  <c r="Q86" i="3"/>
  <c r="L86" i="3"/>
  <c r="O86" i="3"/>
  <c r="Q85" i="3"/>
  <c r="Q84" i="3"/>
  <c r="O84" i="3"/>
  <c r="L84" i="3"/>
  <c r="O83" i="3"/>
  <c r="L83" i="3"/>
  <c r="Q83" i="3"/>
  <c r="Q82" i="3"/>
  <c r="Q77" i="3"/>
  <c r="L77" i="3"/>
  <c r="O77" i="3"/>
  <c r="P77" i="3" s="1"/>
  <c r="P78" i="3" s="1"/>
  <c r="Q75" i="3"/>
  <c r="L75" i="3"/>
  <c r="O75" i="3"/>
  <c r="Q74" i="3"/>
  <c r="O74" i="3"/>
  <c r="L68" i="3"/>
  <c r="Q68" i="3"/>
  <c r="O68" i="3"/>
  <c r="Q66" i="3"/>
  <c r="Q63" i="3"/>
  <c r="O63" i="3"/>
  <c r="L63" i="3"/>
  <c r="L62" i="3"/>
  <c r="O62" i="3"/>
  <c r="Q62" i="3"/>
  <c r="L60" i="3"/>
  <c r="Q60" i="3"/>
  <c r="O60" i="3"/>
  <c r="Q58" i="3"/>
  <c r="Q55" i="3"/>
  <c r="L54" i="3"/>
  <c r="O54" i="3"/>
  <c r="Q54" i="3"/>
  <c r="Q53" i="3"/>
  <c r="P53" i="3"/>
  <c r="P54" i="3" s="1"/>
  <c r="O51" i="3"/>
  <c r="L51" i="3"/>
  <c r="Q50" i="3"/>
  <c r="O50" i="3"/>
  <c r="L50" i="3"/>
  <c r="L48" i="3"/>
  <c r="O48" i="3"/>
  <c r="Q48" i="3"/>
  <c r="Q47" i="3"/>
  <c r="O47" i="3"/>
  <c r="L47" i="3"/>
  <c r="Q46" i="3"/>
  <c r="Q43" i="3"/>
  <c r="Q41" i="3"/>
  <c r="O41" i="3"/>
  <c r="P41" i="3" s="1"/>
  <c r="P42" i="3" s="1"/>
  <c r="L41" i="3"/>
  <c r="Q39" i="3"/>
  <c r="O39" i="3"/>
  <c r="L39" i="3"/>
  <c r="O38" i="3"/>
  <c r="L38" i="3"/>
  <c r="Q37" i="3"/>
  <c r="Q36" i="3"/>
  <c r="O35" i="3"/>
  <c r="Q35" i="3"/>
  <c r="L33" i="3"/>
  <c r="O33" i="3"/>
  <c r="Q33" i="3"/>
  <c r="L32" i="3"/>
  <c r="L30" i="3"/>
  <c r="Q27" i="3"/>
  <c r="L27" i="3"/>
  <c r="O27" i="3"/>
  <c r="Q25" i="3"/>
  <c r="L24" i="3"/>
  <c r="O24" i="3"/>
  <c r="Q24" i="3"/>
  <c r="O23" i="3"/>
  <c r="L23" i="3"/>
  <c r="Q23" i="3"/>
  <c r="L21" i="3"/>
  <c r="Q20" i="3"/>
  <c r="O20" i="3"/>
  <c r="L20" i="3"/>
  <c r="Q19" i="3"/>
  <c r="L18" i="3"/>
  <c r="Q18" i="3"/>
  <c r="L17" i="3"/>
  <c r="O17" i="3"/>
  <c r="P17" i="3" s="1"/>
  <c r="P18" i="3" s="1"/>
  <c r="Q17" i="3"/>
  <c r="L15" i="3"/>
  <c r="O14" i="3"/>
  <c r="Q14" i="3"/>
  <c r="L14" i="3"/>
  <c r="Q12" i="3"/>
  <c r="L12" i="3"/>
  <c r="O12" i="3"/>
  <c r="Q10" i="3"/>
  <c r="Q9" i="3"/>
  <c r="O9" i="3"/>
  <c r="Q7" i="3"/>
  <c r="L5" i="3"/>
  <c r="O5" i="3"/>
  <c r="P5" i="3" s="1"/>
  <c r="P6" i="3" s="1"/>
  <c r="Q5" i="3"/>
  <c r="P42" i="6" l="1"/>
  <c r="P54" i="5"/>
  <c r="J5" i="3"/>
  <c r="I5" i="3"/>
  <c r="E80" i="2"/>
  <c r="H5" i="5"/>
  <c r="P78" i="6"/>
  <c r="P78" i="4"/>
  <c r="P78" i="5"/>
  <c r="H5" i="6"/>
  <c r="E113" i="2"/>
  <c r="J5" i="4"/>
  <c r="I5" i="4"/>
  <c r="J5" i="5" l="1"/>
  <c r="I5" i="5"/>
  <c r="R5" i="3"/>
  <c r="K5" i="3"/>
  <c r="M5" i="3" s="1"/>
  <c r="N5" i="3" s="1"/>
  <c r="J5" i="6"/>
  <c r="I5" i="6"/>
  <c r="K5" i="4"/>
  <c r="R5" i="4"/>
  <c r="R5" i="5" l="1"/>
  <c r="K5" i="5"/>
  <c r="M5" i="5" s="1"/>
  <c r="N5" i="5" s="1"/>
  <c r="S5" i="3"/>
  <c r="F6" i="3"/>
  <c r="K5" i="6"/>
  <c r="R5" i="6"/>
  <c r="M5" i="4"/>
  <c r="N5" i="4" s="1"/>
  <c r="F6" i="4"/>
  <c r="S5" i="4"/>
  <c r="S5" i="5" l="1"/>
  <c r="F6" i="5"/>
  <c r="G6" i="5" s="1"/>
  <c r="H6" i="5" s="1"/>
  <c r="I6" i="5" s="1"/>
  <c r="G6" i="3"/>
  <c r="H6" i="3" s="1"/>
  <c r="J6" i="5"/>
  <c r="M5" i="6"/>
  <c r="N5" i="6" s="1"/>
  <c r="S5" i="6"/>
  <c r="F6" i="6"/>
  <c r="G6" i="4"/>
  <c r="H6" i="4" s="1"/>
  <c r="J6" i="3" l="1"/>
  <c r="I6" i="3"/>
  <c r="R6" i="5"/>
  <c r="K6" i="5"/>
  <c r="M6" i="5" s="1"/>
  <c r="N6" i="5" s="1"/>
  <c r="G6" i="6"/>
  <c r="H6" i="6" s="1"/>
  <c r="J6" i="4"/>
  <c r="I6" i="4"/>
  <c r="K6" i="3" l="1"/>
  <c r="M6" i="3" s="1"/>
  <c r="N6" i="3" s="1"/>
  <c r="R6" i="3"/>
  <c r="S6" i="5"/>
  <c r="F7" i="5"/>
  <c r="K6" i="4"/>
  <c r="R6" i="4"/>
  <c r="J6" i="6"/>
  <c r="I6" i="6"/>
  <c r="S6" i="3" l="1"/>
  <c r="F7" i="3"/>
  <c r="G7" i="5"/>
  <c r="H7" i="5" s="1"/>
  <c r="M6" i="4"/>
  <c r="N6" i="4" s="1"/>
  <c r="F7" i="4"/>
  <c r="S6" i="4"/>
  <c r="K6" i="6"/>
  <c r="R6" i="6"/>
  <c r="G7" i="3" l="1"/>
  <c r="H7" i="3" s="1"/>
  <c r="J7" i="5"/>
  <c r="I7" i="5"/>
  <c r="G7" i="4"/>
  <c r="H7" i="4" s="1"/>
  <c r="M6" i="6"/>
  <c r="N6" i="6" s="1"/>
  <c r="F7" i="6"/>
  <c r="S6" i="6"/>
  <c r="J7" i="3" l="1"/>
  <c r="I7" i="3"/>
  <c r="L7" i="5"/>
  <c r="K7" i="5"/>
  <c r="M7" i="5" s="1"/>
  <c r="N7" i="5" s="1"/>
  <c r="G7" i="6"/>
  <c r="H7" i="6" s="1"/>
  <c r="J7" i="4"/>
  <c r="I7" i="4"/>
  <c r="L7" i="3" l="1"/>
  <c r="K7" i="3"/>
  <c r="M7" i="3" s="1"/>
  <c r="N7" i="3" s="1"/>
  <c r="O7" i="5"/>
  <c r="J7" i="6"/>
  <c r="I7" i="6"/>
  <c r="L7" i="4"/>
  <c r="K7" i="4"/>
  <c r="O7" i="3" l="1"/>
  <c r="P7" i="5"/>
  <c r="P8" i="5" s="1"/>
  <c r="P9" i="5" s="1"/>
  <c r="R7" i="5"/>
  <c r="K7" i="6"/>
  <c r="M7" i="6" s="1"/>
  <c r="N7" i="6" s="1"/>
  <c r="L7" i="6"/>
  <c r="M7" i="4"/>
  <c r="N7" i="4" s="1"/>
  <c r="O7" i="4" s="1"/>
  <c r="R7" i="3" l="1"/>
  <c r="P7" i="3"/>
  <c r="P8" i="3" s="1"/>
  <c r="P9" i="3" s="1"/>
  <c r="F8" i="5"/>
  <c r="S7" i="5"/>
  <c r="O7" i="6"/>
  <c r="P7" i="4"/>
  <c r="P8" i="4" s="1"/>
  <c r="P9" i="4" s="1"/>
  <c r="R7" i="4"/>
  <c r="F8" i="3" l="1"/>
  <c r="G8" i="3" s="1"/>
  <c r="H8" i="3" s="1"/>
  <c r="S7" i="3"/>
  <c r="G8" i="5"/>
  <c r="H8" i="5" s="1"/>
  <c r="P7" i="6"/>
  <c r="P8" i="6" s="1"/>
  <c r="P9" i="6" s="1"/>
  <c r="R7" i="6"/>
  <c r="F8" i="4"/>
  <c r="S7" i="4"/>
  <c r="I8" i="3" l="1"/>
  <c r="J8" i="3"/>
  <c r="J8" i="5"/>
  <c r="I8" i="5"/>
  <c r="F8" i="6"/>
  <c r="G8" i="6" s="1"/>
  <c r="H8" i="6" s="1"/>
  <c r="S7" i="6"/>
  <c r="G8" i="4"/>
  <c r="H8" i="4" s="1"/>
  <c r="R8" i="3" l="1"/>
  <c r="K8" i="3"/>
  <c r="M8" i="3" s="1"/>
  <c r="N8" i="3" s="1"/>
  <c r="K8" i="5"/>
  <c r="M8" i="5" s="1"/>
  <c r="N8" i="5" s="1"/>
  <c r="R8" i="5"/>
  <c r="J8" i="6"/>
  <c r="I8" i="6"/>
  <c r="F9" i="3"/>
  <c r="S8" i="3"/>
  <c r="J8" i="4"/>
  <c r="I8" i="4"/>
  <c r="F9" i="5" l="1"/>
  <c r="S8" i="5"/>
  <c r="R8" i="6"/>
  <c r="K8" i="6"/>
  <c r="M8" i="6" s="1"/>
  <c r="N8" i="6" s="1"/>
  <c r="G9" i="3"/>
  <c r="H9" i="3" s="1"/>
  <c r="K8" i="4"/>
  <c r="R8" i="4"/>
  <c r="G9" i="5" l="1"/>
  <c r="H9" i="5" s="1"/>
  <c r="J9" i="5" s="1"/>
  <c r="I9" i="5"/>
  <c r="S8" i="6"/>
  <c r="F9" i="6"/>
  <c r="G9" i="6" s="1"/>
  <c r="H9" i="6" s="1"/>
  <c r="M8" i="4"/>
  <c r="N8" i="4" s="1"/>
  <c r="F9" i="4"/>
  <c r="S8" i="4"/>
  <c r="J9" i="3"/>
  <c r="I9" i="3"/>
  <c r="K9" i="5" l="1"/>
  <c r="M9" i="5" s="1"/>
  <c r="N9" i="5" s="1"/>
  <c r="R9" i="5"/>
  <c r="J9" i="6"/>
  <c r="I9" i="6"/>
  <c r="F10" i="5"/>
  <c r="S9" i="5"/>
  <c r="G9" i="4"/>
  <c r="H9" i="4" s="1"/>
  <c r="K9" i="3"/>
  <c r="R9" i="3"/>
  <c r="K9" i="6" l="1"/>
  <c r="M9" i="6" s="1"/>
  <c r="N9" i="6" s="1"/>
  <c r="R9" i="6"/>
  <c r="G10" i="5"/>
  <c r="H10" i="5" s="1"/>
  <c r="J9" i="4"/>
  <c r="I9" i="4"/>
  <c r="M9" i="3"/>
  <c r="N9" i="3" s="1"/>
  <c r="F10" i="3"/>
  <c r="S9" i="3"/>
  <c r="S9" i="6" l="1"/>
  <c r="F10" i="6"/>
  <c r="G10" i="6" s="1"/>
  <c r="H10" i="6" s="1"/>
  <c r="R9" i="4"/>
  <c r="K9" i="4"/>
  <c r="M9" i="4" s="1"/>
  <c r="N9" i="4" s="1"/>
  <c r="J10" i="5"/>
  <c r="I10" i="5"/>
  <c r="G10" i="3"/>
  <c r="H10" i="3" s="1"/>
  <c r="S9" i="4" l="1"/>
  <c r="F10" i="4"/>
  <c r="K10" i="5"/>
  <c r="M10" i="5" s="1"/>
  <c r="N10" i="5" s="1"/>
  <c r="L10" i="5"/>
  <c r="J10" i="6"/>
  <c r="I10" i="6"/>
  <c r="J10" i="3"/>
  <c r="I10" i="3"/>
  <c r="O10" i="5" l="1"/>
  <c r="G10" i="4"/>
  <c r="H10" i="4" s="1"/>
  <c r="L10" i="6"/>
  <c r="K10" i="6"/>
  <c r="L10" i="3"/>
  <c r="K10" i="3"/>
  <c r="P10" i="5" l="1"/>
  <c r="P11" i="5" s="1"/>
  <c r="P12" i="5" s="1"/>
  <c r="R10" i="5"/>
  <c r="J10" i="4"/>
  <c r="I10" i="4"/>
  <c r="M10" i="6"/>
  <c r="N10" i="6" s="1"/>
  <c r="O10" i="6" s="1"/>
  <c r="M10" i="3"/>
  <c r="N10" i="3" s="1"/>
  <c r="O10" i="3" s="1"/>
  <c r="F11" i="5" l="1"/>
  <c r="G11" i="5" s="1"/>
  <c r="H11" i="5" s="1"/>
  <c r="S10" i="5"/>
  <c r="K10" i="4"/>
  <c r="M10" i="4" s="1"/>
  <c r="N10" i="4" s="1"/>
  <c r="L10" i="4"/>
  <c r="R10" i="6"/>
  <c r="P10" i="6"/>
  <c r="P11" i="6" s="1"/>
  <c r="P12" i="6" s="1"/>
  <c r="R10" i="3"/>
  <c r="P10" i="3"/>
  <c r="P11" i="3" s="1"/>
  <c r="P12" i="3" s="1"/>
  <c r="O10" i="4" l="1"/>
  <c r="J11" i="5"/>
  <c r="I11" i="5"/>
  <c r="F11" i="6"/>
  <c r="S10" i="6"/>
  <c r="S10" i="3"/>
  <c r="F11" i="3"/>
  <c r="R10" i="4" l="1"/>
  <c r="P10" i="4"/>
  <c r="P11" i="4" s="1"/>
  <c r="P12" i="4" s="1"/>
  <c r="R11" i="5"/>
  <c r="K11" i="5"/>
  <c r="M11" i="5" s="1"/>
  <c r="N11" i="5" s="1"/>
  <c r="G11" i="6"/>
  <c r="H11" i="6" s="1"/>
  <c r="G11" i="3"/>
  <c r="H11" i="3" s="1"/>
  <c r="S10" i="4" l="1"/>
  <c r="F11" i="4"/>
  <c r="F12" i="5"/>
  <c r="G12" i="5" s="1"/>
  <c r="H12" i="5" s="1"/>
  <c r="S11" i="5"/>
  <c r="J11" i="6"/>
  <c r="I11" i="6"/>
  <c r="J11" i="3"/>
  <c r="I11" i="3"/>
  <c r="J12" i="5" l="1"/>
  <c r="I12" i="5"/>
  <c r="G11" i="4"/>
  <c r="H11" i="4" s="1"/>
  <c r="R11" i="3"/>
  <c r="K11" i="3"/>
  <c r="M11" i="3" s="1"/>
  <c r="N11" i="3" s="1"/>
  <c r="R11" i="6"/>
  <c r="K11" i="6"/>
  <c r="M11" i="6" s="1"/>
  <c r="N11" i="6" s="1"/>
  <c r="R12" i="5" l="1"/>
  <c r="K12" i="5"/>
  <c r="M12" i="5" s="1"/>
  <c r="N12" i="5" s="1"/>
  <c r="J11" i="4"/>
  <c r="I11" i="4"/>
  <c r="F12" i="6"/>
  <c r="S11" i="6"/>
  <c r="F12" i="3"/>
  <c r="S11" i="3"/>
  <c r="R11" i="4" l="1"/>
  <c r="K11" i="4"/>
  <c r="M11" i="4" s="1"/>
  <c r="N11" i="4" s="1"/>
  <c r="S12" i="5"/>
  <c r="F13" i="5"/>
  <c r="G13" i="5" s="1"/>
  <c r="H13" i="5" s="1"/>
  <c r="F12" i="4"/>
  <c r="S11" i="4"/>
  <c r="G12" i="6"/>
  <c r="H12" i="6" s="1"/>
  <c r="G12" i="3"/>
  <c r="H12" i="3" s="1"/>
  <c r="G12" i="4" l="1"/>
  <c r="H12" i="4" s="1"/>
  <c r="J12" i="3"/>
  <c r="I12" i="3"/>
  <c r="J12" i="6"/>
  <c r="I12" i="6"/>
  <c r="J13" i="5"/>
  <c r="I13" i="5"/>
  <c r="J12" i="4" l="1"/>
  <c r="I12" i="4"/>
  <c r="R12" i="3"/>
  <c r="K12" i="3"/>
  <c r="M12" i="3" s="1"/>
  <c r="N12" i="3" s="1"/>
  <c r="R12" i="6"/>
  <c r="K12" i="6"/>
  <c r="M12" i="6" s="1"/>
  <c r="N12" i="6" s="1"/>
  <c r="L13" i="5"/>
  <c r="K13" i="5"/>
  <c r="S12" i="6" l="1"/>
  <c r="F13" i="6"/>
  <c r="K12" i="4"/>
  <c r="M12" i="4" s="1"/>
  <c r="N12" i="4" s="1"/>
  <c r="R12" i="4"/>
  <c r="F13" i="3"/>
  <c r="S12" i="3"/>
  <c r="M13" i="5"/>
  <c r="N13" i="5" s="1"/>
  <c r="O13" i="5" s="1"/>
  <c r="G13" i="6" l="1"/>
  <c r="H13" i="6" s="1"/>
  <c r="F13" i="4"/>
  <c r="S12" i="4"/>
  <c r="G13" i="3"/>
  <c r="H13" i="3" s="1"/>
  <c r="R13" i="5"/>
  <c r="P13" i="5"/>
  <c r="P14" i="5" s="1"/>
  <c r="P15" i="5" s="1"/>
  <c r="J13" i="6" l="1"/>
  <c r="I13" i="6"/>
  <c r="J13" i="3"/>
  <c r="I13" i="3"/>
  <c r="G13" i="4"/>
  <c r="H13" i="4" s="1"/>
  <c r="S13" i="5"/>
  <c r="F14" i="5"/>
  <c r="K13" i="6" l="1"/>
  <c r="M13" i="6" s="1"/>
  <c r="N13" i="6" s="1"/>
  <c r="L13" i="6"/>
  <c r="K13" i="3"/>
  <c r="M13" i="3" s="1"/>
  <c r="N13" i="3" s="1"/>
  <c r="O13" i="3" s="1"/>
  <c r="L13" i="3"/>
  <c r="J13" i="4"/>
  <c r="I13" i="4"/>
  <c r="G14" i="5"/>
  <c r="H14" i="5" s="1"/>
  <c r="L13" i="4" l="1"/>
  <c r="O13" i="4" s="1"/>
  <c r="K13" i="4"/>
  <c r="M13" i="4" s="1"/>
  <c r="N13" i="4" s="1"/>
  <c r="O13" i="6"/>
  <c r="R13" i="3"/>
  <c r="P13" i="3"/>
  <c r="P14" i="3" s="1"/>
  <c r="P15" i="3" s="1"/>
  <c r="J14" i="5"/>
  <c r="I14" i="5"/>
  <c r="R13" i="6" l="1"/>
  <c r="P13" i="6"/>
  <c r="P14" i="6" s="1"/>
  <c r="P15" i="6" s="1"/>
  <c r="F14" i="3"/>
  <c r="G14" i="3" s="1"/>
  <c r="H14" i="3" s="1"/>
  <c r="S13" i="3"/>
  <c r="P13" i="4"/>
  <c r="P14" i="4" s="1"/>
  <c r="P15" i="4" s="1"/>
  <c r="R13" i="4"/>
  <c r="R14" i="5"/>
  <c r="K14" i="5"/>
  <c r="S13" i="6" l="1"/>
  <c r="F14" i="6"/>
  <c r="G14" i="6" s="1"/>
  <c r="H14" i="6" s="1"/>
  <c r="S13" i="4"/>
  <c r="F14" i="4"/>
  <c r="S14" i="5"/>
  <c r="F15" i="5"/>
  <c r="M14" i="5"/>
  <c r="N14" i="5" s="1"/>
  <c r="J14" i="3"/>
  <c r="I14" i="3"/>
  <c r="J14" i="6" l="1"/>
  <c r="I14" i="6"/>
  <c r="G14" i="4"/>
  <c r="H14" i="4" s="1"/>
  <c r="G15" i="5"/>
  <c r="H15" i="5" s="1"/>
  <c r="K14" i="3"/>
  <c r="R14" i="3"/>
  <c r="R14" i="6" l="1"/>
  <c r="K14" i="6"/>
  <c r="J14" i="4"/>
  <c r="I14" i="4"/>
  <c r="J15" i="5"/>
  <c r="R15" i="5" s="1"/>
  <c r="I15" i="5"/>
  <c r="M14" i="3"/>
  <c r="N14" i="3" s="1"/>
  <c r="S14" i="3"/>
  <c r="F15" i="3"/>
  <c r="S14" i="6" l="1"/>
  <c r="F15" i="6"/>
  <c r="M14" i="6"/>
  <c r="N14" i="6" s="1"/>
  <c r="R14" i="4"/>
  <c r="K14" i="4"/>
  <c r="M14" i="4" s="1"/>
  <c r="N14" i="4" s="1"/>
  <c r="F16" i="5"/>
  <c r="G16" i="5" s="1"/>
  <c r="H16" i="5" s="1"/>
  <c r="S15" i="5"/>
  <c r="K15" i="5"/>
  <c r="G15" i="3"/>
  <c r="H15" i="3" s="1"/>
  <c r="G15" i="6" l="1"/>
  <c r="H15" i="6" s="1"/>
  <c r="S14" i="4"/>
  <c r="F15" i="4"/>
  <c r="M15" i="5"/>
  <c r="N15" i="5" s="1"/>
  <c r="J16" i="5"/>
  <c r="I16" i="5"/>
  <c r="J15" i="3"/>
  <c r="I15" i="3"/>
  <c r="J15" i="6" l="1"/>
  <c r="I15" i="6"/>
  <c r="G15" i="4"/>
  <c r="H15" i="4" s="1"/>
  <c r="L16" i="5"/>
  <c r="K16" i="5"/>
  <c r="K15" i="3"/>
  <c r="R15" i="3"/>
  <c r="R15" i="6" l="1"/>
  <c r="K15" i="6"/>
  <c r="J15" i="4"/>
  <c r="I15" i="4"/>
  <c r="M16" i="5"/>
  <c r="N16" i="5" s="1"/>
  <c r="O16" i="5" s="1"/>
  <c r="P16" i="5" s="1"/>
  <c r="I80" i="2"/>
  <c r="M15" i="3"/>
  <c r="N15" i="3" s="1"/>
  <c r="F16" i="3"/>
  <c r="S15" i="3"/>
  <c r="F16" i="6" l="1"/>
  <c r="S15" i="6"/>
  <c r="M15" i="6"/>
  <c r="N15" i="6" s="1"/>
  <c r="R15" i="4"/>
  <c r="K15" i="4"/>
  <c r="M15" i="4" s="1"/>
  <c r="N15" i="4" s="1"/>
  <c r="Q16" i="5"/>
  <c r="J80" i="2"/>
  <c r="G16" i="3"/>
  <c r="H16" i="3" s="1"/>
  <c r="G16" i="6" l="1"/>
  <c r="H16" i="6" s="1"/>
  <c r="F16" i="4"/>
  <c r="S15" i="4"/>
  <c r="R16" i="5"/>
  <c r="L80" i="2"/>
  <c r="K80" i="2"/>
  <c r="J16" i="3"/>
  <c r="I16" i="3"/>
  <c r="J16" i="6" l="1"/>
  <c r="I16" i="6"/>
  <c r="K16" i="6"/>
  <c r="L16" i="6"/>
  <c r="G16" i="4"/>
  <c r="H16" i="4" s="1"/>
  <c r="S16" i="5"/>
  <c r="F17" i="5"/>
  <c r="M80" i="2"/>
  <c r="L16" i="3"/>
  <c r="K16" i="3"/>
  <c r="M16" i="6" l="1"/>
  <c r="N16" i="6" s="1"/>
  <c r="O16" i="6" s="1"/>
  <c r="I113" i="2"/>
  <c r="J16" i="4"/>
  <c r="I16" i="4"/>
  <c r="F80" i="2"/>
  <c r="G80" i="2"/>
  <c r="H80" i="2"/>
  <c r="D81" i="2"/>
  <c r="G17" i="5"/>
  <c r="M16" i="3"/>
  <c r="N16" i="3" s="1"/>
  <c r="O16" i="3" s="1"/>
  <c r="I14" i="2"/>
  <c r="P16" i="6" l="1"/>
  <c r="K16" i="4"/>
  <c r="L16" i="4"/>
  <c r="E81" i="2"/>
  <c r="H17" i="5"/>
  <c r="P16" i="3"/>
  <c r="Q16" i="6" l="1"/>
  <c r="J113" i="2"/>
  <c r="M16" i="4"/>
  <c r="N16" i="4" s="1"/>
  <c r="O16" i="4" s="1"/>
  <c r="I47" i="2"/>
  <c r="I17" i="5"/>
  <c r="J17" i="5"/>
  <c r="Q16" i="3"/>
  <c r="L14" i="2" s="1"/>
  <c r="J14" i="2"/>
  <c r="R16" i="6" l="1"/>
  <c r="L113" i="2"/>
  <c r="K113" i="2"/>
  <c r="P16" i="4"/>
  <c r="R17" i="5"/>
  <c r="K17" i="5"/>
  <c r="R16" i="3"/>
  <c r="K14" i="2"/>
  <c r="S16" i="6" l="1"/>
  <c r="M113" i="2"/>
  <c r="F17" i="6"/>
  <c r="Q16" i="4"/>
  <c r="J47" i="2"/>
  <c r="F18" i="5"/>
  <c r="S17" i="5"/>
  <c r="M17" i="5"/>
  <c r="N17" i="5" s="1"/>
  <c r="M14" i="2"/>
  <c r="F17" i="3"/>
  <c r="S16" i="3"/>
  <c r="G113" i="2" l="1"/>
  <c r="F113" i="2"/>
  <c r="H113" i="2"/>
  <c r="D114" i="2"/>
  <c r="G17" i="6"/>
  <c r="R16" i="4"/>
  <c r="L47" i="2"/>
  <c r="K47" i="2"/>
  <c r="G18" i="5"/>
  <c r="H18" i="5" s="1"/>
  <c r="G17" i="3"/>
  <c r="D15" i="2"/>
  <c r="G14" i="2"/>
  <c r="F14" i="2"/>
  <c r="H14" i="2"/>
  <c r="H17" i="6" l="1"/>
  <c r="E114" i="2"/>
  <c r="F17" i="4"/>
  <c r="S16" i="4"/>
  <c r="M47" i="2"/>
  <c r="J18" i="5"/>
  <c r="I18" i="5"/>
  <c r="H17" i="3"/>
  <c r="E15" i="2"/>
  <c r="I17" i="6" l="1"/>
  <c r="J17" i="6"/>
  <c r="D48" i="2"/>
  <c r="G17" i="4"/>
  <c r="H47" i="2"/>
  <c r="F47" i="2"/>
  <c r="G47" i="2"/>
  <c r="R18" i="5"/>
  <c r="K18" i="5"/>
  <c r="I17" i="3"/>
  <c r="J17" i="3"/>
  <c r="R17" i="6" l="1"/>
  <c r="K17" i="6"/>
  <c r="E48" i="2"/>
  <c r="H17" i="4"/>
  <c r="F19" i="5"/>
  <c r="S18" i="5"/>
  <c r="M18" i="5"/>
  <c r="N18" i="5" s="1"/>
  <c r="R17" i="3"/>
  <c r="K17" i="3"/>
  <c r="S17" i="6" l="1"/>
  <c r="F18" i="6"/>
  <c r="M17" i="6"/>
  <c r="N17" i="6" s="1"/>
  <c r="I17" i="4"/>
  <c r="J17" i="4"/>
  <c r="G19" i="5"/>
  <c r="H19" i="5" s="1"/>
  <c r="F18" i="3"/>
  <c r="S17" i="3"/>
  <c r="M17" i="3"/>
  <c r="N17" i="3" s="1"/>
  <c r="G18" i="6" l="1"/>
  <c r="H18" i="6" s="1"/>
  <c r="R17" i="4"/>
  <c r="K17" i="4"/>
  <c r="J19" i="5"/>
  <c r="I19" i="5"/>
  <c r="G18" i="3"/>
  <c r="H18" i="3" s="1"/>
  <c r="J18" i="6" l="1"/>
  <c r="I18" i="6"/>
  <c r="F18" i="4"/>
  <c r="S17" i="4"/>
  <c r="M17" i="4"/>
  <c r="N17" i="4" s="1"/>
  <c r="L19" i="5"/>
  <c r="K19" i="5"/>
  <c r="M19" i="5" s="1"/>
  <c r="N19" i="5" s="1"/>
  <c r="J18" i="3"/>
  <c r="I18" i="3"/>
  <c r="R18" i="6" l="1"/>
  <c r="K18" i="6"/>
  <c r="M18" i="6" s="1"/>
  <c r="N18" i="6" s="1"/>
  <c r="G18" i="4"/>
  <c r="H18" i="4" s="1"/>
  <c r="O19" i="5"/>
  <c r="K18" i="3"/>
  <c r="R18" i="3"/>
  <c r="S18" i="6" l="1"/>
  <c r="F19" i="6"/>
  <c r="J18" i="4"/>
  <c r="I18" i="4"/>
  <c r="P19" i="5"/>
  <c r="P20" i="5" s="1"/>
  <c r="P21" i="5" s="1"/>
  <c r="R19" i="5"/>
  <c r="M18" i="3"/>
  <c r="N18" i="3" s="1"/>
  <c r="S18" i="3"/>
  <c r="F19" i="3"/>
  <c r="G19" i="6" l="1"/>
  <c r="H19" i="6" s="1"/>
  <c r="R18" i="4"/>
  <c r="K18" i="4"/>
  <c r="M18" i="4" s="1"/>
  <c r="N18" i="4" s="1"/>
  <c r="S19" i="5"/>
  <c r="F20" i="5"/>
  <c r="G20" i="5" s="1"/>
  <c r="H20" i="5" s="1"/>
  <c r="G19" i="3"/>
  <c r="H19" i="3" s="1"/>
  <c r="J19" i="6" l="1"/>
  <c r="I19" i="6"/>
  <c r="L19" i="6"/>
  <c r="K19" i="6"/>
  <c r="M19" i="6" s="1"/>
  <c r="N19" i="6" s="1"/>
  <c r="O19" i="6" s="1"/>
  <c r="F19" i="4"/>
  <c r="S18" i="4"/>
  <c r="J20" i="5"/>
  <c r="I20" i="5"/>
  <c r="J19" i="3"/>
  <c r="I19" i="3"/>
  <c r="R19" i="6" l="1"/>
  <c r="P19" i="6"/>
  <c r="P20" i="6" s="1"/>
  <c r="P21" i="6" s="1"/>
  <c r="G19" i="4"/>
  <c r="H19" i="4" s="1"/>
  <c r="K19" i="3"/>
  <c r="M19" i="3" s="1"/>
  <c r="N19" i="3" s="1"/>
  <c r="L19" i="3"/>
  <c r="R20" i="5"/>
  <c r="K20" i="5"/>
  <c r="F20" i="6" l="1"/>
  <c r="G20" i="6" s="1"/>
  <c r="H20" i="6" s="1"/>
  <c r="S19" i="6"/>
  <c r="J20" i="6"/>
  <c r="I20" i="6"/>
  <c r="J19" i="4"/>
  <c r="I19" i="4"/>
  <c r="O19" i="3"/>
  <c r="F21" i="5"/>
  <c r="S20" i="5"/>
  <c r="M20" i="5"/>
  <c r="N20" i="5" s="1"/>
  <c r="K20" i="6" l="1"/>
  <c r="M20" i="6" s="1"/>
  <c r="N20" i="6" s="1"/>
  <c r="R20" i="6"/>
  <c r="L19" i="4"/>
  <c r="K19" i="4"/>
  <c r="M19" i="4" s="1"/>
  <c r="N19" i="4" s="1"/>
  <c r="O19" i="4" s="1"/>
  <c r="R19" i="3"/>
  <c r="P19" i="3"/>
  <c r="P20" i="3" s="1"/>
  <c r="P21" i="3" s="1"/>
  <c r="G21" i="5"/>
  <c r="H21" i="5" s="1"/>
  <c r="S20" i="6" l="1"/>
  <c r="F21" i="6"/>
  <c r="P19" i="4"/>
  <c r="P20" i="4" s="1"/>
  <c r="P21" i="4" s="1"/>
  <c r="R19" i="4"/>
  <c r="S19" i="3"/>
  <c r="F20" i="3"/>
  <c r="J21" i="5"/>
  <c r="I21" i="5"/>
  <c r="G21" i="6" l="1"/>
  <c r="H21" i="6" s="1"/>
  <c r="F20" i="4"/>
  <c r="S19" i="4"/>
  <c r="G20" i="3"/>
  <c r="H20" i="3" s="1"/>
  <c r="R21" i="5"/>
  <c r="K21" i="5"/>
  <c r="J21" i="6" l="1"/>
  <c r="I21" i="6"/>
  <c r="G20" i="4"/>
  <c r="H20" i="4" s="1"/>
  <c r="J20" i="3"/>
  <c r="I20" i="3"/>
  <c r="S21" i="5"/>
  <c r="F22" i="5"/>
  <c r="M21" i="5"/>
  <c r="N21" i="5" s="1"/>
  <c r="R21" i="6" l="1"/>
  <c r="K21" i="6"/>
  <c r="M21" i="6" s="1"/>
  <c r="N21" i="6" s="1"/>
  <c r="J20" i="4"/>
  <c r="I20" i="4"/>
  <c r="K20" i="3"/>
  <c r="M20" i="3" s="1"/>
  <c r="N20" i="3" s="1"/>
  <c r="R20" i="3"/>
  <c r="G22" i="5"/>
  <c r="H22" i="5" s="1"/>
  <c r="S20" i="3" l="1"/>
  <c r="F21" i="3"/>
  <c r="G21" i="3" s="1"/>
  <c r="H21" i="3" s="1"/>
  <c r="F22" i="6"/>
  <c r="S21" i="6"/>
  <c r="K20" i="4"/>
  <c r="R20" i="4"/>
  <c r="M20" i="4"/>
  <c r="N20" i="4" s="1"/>
  <c r="S20" i="4"/>
  <c r="F21" i="4"/>
  <c r="J22" i="5"/>
  <c r="I22" i="5"/>
  <c r="J21" i="3"/>
  <c r="R21" i="3" s="1"/>
  <c r="I21" i="3"/>
  <c r="G22" i="6" l="1"/>
  <c r="H22" i="6" s="1"/>
  <c r="G21" i="4"/>
  <c r="H21" i="4" s="1"/>
  <c r="L22" i="5"/>
  <c r="K22" i="5"/>
  <c r="F22" i="3"/>
  <c r="G22" i="3" s="1"/>
  <c r="H22" i="3" s="1"/>
  <c r="S21" i="3"/>
  <c r="K21" i="3"/>
  <c r="J22" i="6" l="1"/>
  <c r="I22" i="6"/>
  <c r="J21" i="4"/>
  <c r="I21" i="4"/>
  <c r="M22" i="5"/>
  <c r="N22" i="5" s="1"/>
  <c r="O22" i="5" s="1"/>
  <c r="M21" i="3"/>
  <c r="N21" i="3" s="1"/>
  <c r="J22" i="3"/>
  <c r="I22" i="3"/>
  <c r="L22" i="6" l="1"/>
  <c r="K22" i="6"/>
  <c r="M22" i="6" s="1"/>
  <c r="N22" i="6" s="1"/>
  <c r="R21" i="4"/>
  <c r="K21" i="4"/>
  <c r="M21" i="4" s="1"/>
  <c r="N21" i="4" s="1"/>
  <c r="R22" i="5"/>
  <c r="P22" i="5"/>
  <c r="P23" i="5" s="1"/>
  <c r="P24" i="5" s="1"/>
  <c r="L22" i="3"/>
  <c r="K22" i="3"/>
  <c r="M22" i="3" s="1"/>
  <c r="N22" i="3" s="1"/>
  <c r="O22" i="3" s="1"/>
  <c r="F22" i="4" l="1"/>
  <c r="S21" i="4"/>
  <c r="O22" i="6"/>
  <c r="S22" i="5"/>
  <c r="F23" i="5"/>
  <c r="R22" i="3"/>
  <c r="P22" i="3"/>
  <c r="P23" i="3" s="1"/>
  <c r="P24" i="3" s="1"/>
  <c r="G22" i="4" l="1"/>
  <c r="H22" i="4" s="1"/>
  <c r="J22" i="4" s="1"/>
  <c r="K22" i="4" s="1"/>
  <c r="I22" i="4"/>
  <c r="R22" i="6"/>
  <c r="P22" i="6"/>
  <c r="P23" i="6" s="1"/>
  <c r="P24" i="6" s="1"/>
  <c r="L22" i="4"/>
  <c r="G23" i="5"/>
  <c r="H23" i="5" s="1"/>
  <c r="F23" i="3"/>
  <c r="S22" i="3"/>
  <c r="F23" i="6" l="1"/>
  <c r="S22" i="6"/>
  <c r="M22" i="4"/>
  <c r="N22" i="4" s="1"/>
  <c r="O22" i="4" s="1"/>
  <c r="J23" i="5"/>
  <c r="I23" i="5"/>
  <c r="G23" i="3"/>
  <c r="H23" i="3" s="1"/>
  <c r="G23" i="6" l="1"/>
  <c r="H23" i="6" s="1"/>
  <c r="R22" i="4"/>
  <c r="P22" i="4"/>
  <c r="P23" i="4" s="1"/>
  <c r="P24" i="4" s="1"/>
  <c r="R23" i="5"/>
  <c r="K23" i="5"/>
  <c r="J23" i="3"/>
  <c r="I23" i="3"/>
  <c r="J23" i="6" l="1"/>
  <c r="I23" i="6"/>
  <c r="S22" i="4"/>
  <c r="F23" i="4"/>
  <c r="F24" i="5"/>
  <c r="S23" i="5"/>
  <c r="M23" i="5"/>
  <c r="N23" i="5" s="1"/>
  <c r="K23" i="3"/>
  <c r="R23" i="3"/>
  <c r="K23" i="6" l="1"/>
  <c r="M23" i="6" s="1"/>
  <c r="N23" i="6" s="1"/>
  <c r="R23" i="6"/>
  <c r="G23" i="4"/>
  <c r="H23" i="4" s="1"/>
  <c r="G24" i="5"/>
  <c r="H24" i="5" s="1"/>
  <c r="M23" i="3"/>
  <c r="N23" i="3" s="1"/>
  <c r="S23" i="3"/>
  <c r="F24" i="3"/>
  <c r="S23" i="6" l="1"/>
  <c r="F24" i="6"/>
  <c r="J23" i="4"/>
  <c r="I23" i="4"/>
  <c r="J24" i="5"/>
  <c r="I24" i="5"/>
  <c r="G24" i="3"/>
  <c r="H24" i="3" s="1"/>
  <c r="G24" i="6" l="1"/>
  <c r="H24" i="6" s="1"/>
  <c r="R23" i="4"/>
  <c r="K23" i="4"/>
  <c r="K24" i="5"/>
  <c r="R24" i="5"/>
  <c r="J24" i="3"/>
  <c r="I24" i="3"/>
  <c r="J24" i="6" l="1"/>
  <c r="I24" i="6"/>
  <c r="F24" i="4"/>
  <c r="S23" i="4"/>
  <c r="M23" i="4"/>
  <c r="N23" i="4" s="1"/>
  <c r="M24" i="5"/>
  <c r="N24" i="5" s="1"/>
  <c r="S24" i="5"/>
  <c r="F25" i="5"/>
  <c r="K24" i="3"/>
  <c r="R24" i="3"/>
  <c r="K24" i="6" l="1"/>
  <c r="R24" i="6"/>
  <c r="G24" i="4"/>
  <c r="H24" i="4" s="1"/>
  <c r="G25" i="5"/>
  <c r="H25" i="5" s="1"/>
  <c r="M24" i="3"/>
  <c r="N24" i="3" s="1"/>
  <c r="F25" i="3"/>
  <c r="S24" i="3"/>
  <c r="F25" i="6" l="1"/>
  <c r="S24" i="6"/>
  <c r="M24" i="6"/>
  <c r="N24" i="6" s="1"/>
  <c r="J24" i="4"/>
  <c r="I24" i="4"/>
  <c r="J25" i="5"/>
  <c r="I25" i="5"/>
  <c r="G25" i="3"/>
  <c r="H25" i="3" s="1"/>
  <c r="G25" i="6" l="1"/>
  <c r="H25" i="6" s="1"/>
  <c r="R24" i="4"/>
  <c r="K24" i="4"/>
  <c r="L25" i="5"/>
  <c r="K25" i="5"/>
  <c r="J25" i="3"/>
  <c r="I25" i="3"/>
  <c r="J25" i="6" l="1"/>
  <c r="I25" i="6"/>
  <c r="S24" i="4"/>
  <c r="F25" i="4"/>
  <c r="M24" i="4"/>
  <c r="N24" i="4" s="1"/>
  <c r="K25" i="3"/>
  <c r="M25" i="3" s="1"/>
  <c r="N25" i="3" s="1"/>
  <c r="L25" i="3"/>
  <c r="M25" i="5"/>
  <c r="N25" i="5" s="1"/>
  <c r="O25" i="5" s="1"/>
  <c r="L25" i="6" l="1"/>
  <c r="O25" i="6" s="1"/>
  <c r="K25" i="6"/>
  <c r="M25" i="6" s="1"/>
  <c r="N25" i="6" s="1"/>
  <c r="G25" i="4"/>
  <c r="H25" i="4" s="1"/>
  <c r="O25" i="3"/>
  <c r="R25" i="5"/>
  <c r="P25" i="5"/>
  <c r="P26" i="5" s="1"/>
  <c r="P27" i="5" s="1"/>
  <c r="P25" i="6" l="1"/>
  <c r="P26" i="6" s="1"/>
  <c r="P27" i="6" s="1"/>
  <c r="R25" i="6"/>
  <c r="J25" i="4"/>
  <c r="I25" i="4"/>
  <c r="P25" i="3"/>
  <c r="P26" i="3" s="1"/>
  <c r="P27" i="3" s="1"/>
  <c r="R25" i="3"/>
  <c r="S25" i="5"/>
  <c r="F26" i="5"/>
  <c r="F26" i="6" l="1"/>
  <c r="S25" i="6"/>
  <c r="L25" i="4"/>
  <c r="K25" i="4"/>
  <c r="F26" i="3"/>
  <c r="S25" i="3"/>
  <c r="G26" i="5"/>
  <c r="H26" i="5" s="1"/>
  <c r="G26" i="6" l="1"/>
  <c r="H26" i="6" s="1"/>
  <c r="M25" i="4"/>
  <c r="N25" i="4" s="1"/>
  <c r="O25" i="4" s="1"/>
  <c r="G26" i="3"/>
  <c r="H26" i="3" s="1"/>
  <c r="J26" i="5"/>
  <c r="I26" i="5"/>
  <c r="J26" i="6" l="1"/>
  <c r="I26" i="6"/>
  <c r="R25" i="4"/>
  <c r="P25" i="4"/>
  <c r="P26" i="4" s="1"/>
  <c r="P27" i="4" s="1"/>
  <c r="J26" i="3"/>
  <c r="I26" i="3"/>
  <c r="K26" i="5"/>
  <c r="R26" i="5"/>
  <c r="K26" i="6" l="1"/>
  <c r="M26" i="6" s="1"/>
  <c r="N26" i="6" s="1"/>
  <c r="R26" i="6"/>
  <c r="F26" i="4"/>
  <c r="S25" i="4"/>
  <c r="K26" i="3"/>
  <c r="M26" i="3" s="1"/>
  <c r="N26" i="3" s="1"/>
  <c r="R26" i="3"/>
  <c r="M26" i="5"/>
  <c r="N26" i="5" s="1"/>
  <c r="S26" i="5"/>
  <c r="F27" i="5"/>
  <c r="S26" i="6" l="1"/>
  <c r="F27" i="6"/>
  <c r="G26" i="4"/>
  <c r="H26" i="4" s="1"/>
  <c r="F27" i="3"/>
  <c r="S26" i="3"/>
  <c r="G27" i="5"/>
  <c r="H27" i="5" s="1"/>
  <c r="G27" i="6" l="1"/>
  <c r="H27" i="6" s="1"/>
  <c r="J26" i="4"/>
  <c r="I26" i="4"/>
  <c r="G27" i="3"/>
  <c r="H27" i="3" s="1"/>
  <c r="J27" i="5"/>
  <c r="I27" i="5"/>
  <c r="J27" i="6" l="1"/>
  <c r="I27" i="6"/>
  <c r="K26" i="4"/>
  <c r="M26" i="4" s="1"/>
  <c r="N26" i="4" s="1"/>
  <c r="R26" i="4"/>
  <c r="J27" i="3"/>
  <c r="I27" i="3"/>
  <c r="K27" i="5"/>
  <c r="R27" i="5"/>
  <c r="R27" i="3" l="1"/>
  <c r="K27" i="3"/>
  <c r="M27" i="3" s="1"/>
  <c r="N27" i="3" s="1"/>
  <c r="R27" i="6"/>
  <c r="K27" i="6"/>
  <c r="F27" i="4"/>
  <c r="S26" i="4"/>
  <c r="M27" i="5"/>
  <c r="N27" i="5" s="1"/>
  <c r="S27" i="5"/>
  <c r="F28" i="5"/>
  <c r="F28" i="3" l="1"/>
  <c r="S27" i="3"/>
  <c r="S27" i="6"/>
  <c r="F28" i="6"/>
  <c r="M27" i="6"/>
  <c r="N27" i="6" s="1"/>
  <c r="G27" i="4"/>
  <c r="H27" i="4" s="1"/>
  <c r="G28" i="5"/>
  <c r="H28" i="5" s="1"/>
  <c r="G28" i="3" l="1"/>
  <c r="H28" i="3" s="1"/>
  <c r="J28" i="3" s="1"/>
  <c r="I28" i="3"/>
  <c r="G28" i="6"/>
  <c r="H28" i="6" s="1"/>
  <c r="I27" i="4"/>
  <c r="J27" i="4"/>
  <c r="J28" i="5"/>
  <c r="I28" i="5"/>
  <c r="L28" i="3" l="1"/>
  <c r="K28" i="3"/>
  <c r="K27" i="4"/>
  <c r="M27" i="4" s="1"/>
  <c r="N27" i="4" s="1"/>
  <c r="R27" i="4"/>
  <c r="J28" i="6"/>
  <c r="I28" i="6"/>
  <c r="I15" i="2"/>
  <c r="M28" i="3"/>
  <c r="N28" i="3" s="1"/>
  <c r="O28" i="3" s="1"/>
  <c r="L28" i="5"/>
  <c r="K28" i="5"/>
  <c r="F28" i="4" l="1"/>
  <c r="S27" i="4"/>
  <c r="L28" i="6"/>
  <c r="K28" i="6"/>
  <c r="P28" i="3"/>
  <c r="I81" i="2"/>
  <c r="M28" i="5"/>
  <c r="N28" i="5" s="1"/>
  <c r="O28" i="5" s="1"/>
  <c r="I114" i="2" l="1"/>
  <c r="M28" i="6"/>
  <c r="N28" i="6" s="1"/>
  <c r="O28" i="6" s="1"/>
  <c r="G28" i="4"/>
  <c r="H28" i="4" s="1"/>
  <c r="J15" i="2"/>
  <c r="Q28" i="3"/>
  <c r="L15" i="2" s="1"/>
  <c r="P28" i="5"/>
  <c r="J28" i="4" l="1"/>
  <c r="I28" i="4"/>
  <c r="P28" i="6"/>
  <c r="R28" i="3"/>
  <c r="K15" i="2"/>
  <c r="Q28" i="5"/>
  <c r="J81" i="2"/>
  <c r="L28" i="4" l="1"/>
  <c r="K28" i="4"/>
  <c r="Q28" i="6"/>
  <c r="J114" i="2"/>
  <c r="M15" i="2"/>
  <c r="S28" i="3"/>
  <c r="F29" i="3"/>
  <c r="R28" i="5"/>
  <c r="L81" i="2"/>
  <c r="K81" i="2"/>
  <c r="I48" i="2" l="1"/>
  <c r="M28" i="4"/>
  <c r="N28" i="4" s="1"/>
  <c r="O28" i="4" s="1"/>
  <c r="P28" i="4" s="1"/>
  <c r="R28" i="6"/>
  <c r="L114" i="2"/>
  <c r="K114" i="2"/>
  <c r="H15" i="2"/>
  <c r="F15" i="2"/>
  <c r="G15" i="2"/>
  <c r="D16" i="2"/>
  <c r="G29" i="3"/>
  <c r="M81" i="2"/>
  <c r="F29" i="5"/>
  <c r="S28" i="5"/>
  <c r="Q28" i="4" l="1"/>
  <c r="J48" i="2"/>
  <c r="S28" i="6"/>
  <c r="M114" i="2"/>
  <c r="F29" i="6"/>
  <c r="H29" i="3"/>
  <c r="E16" i="2"/>
  <c r="G29" i="5"/>
  <c r="D82" i="2"/>
  <c r="G81" i="2"/>
  <c r="F81" i="2"/>
  <c r="H81" i="2"/>
  <c r="L48" i="2" l="1"/>
  <c r="R28" i="4"/>
  <c r="K48" i="2"/>
  <c r="F114" i="2"/>
  <c r="G114" i="2"/>
  <c r="H114" i="2"/>
  <c r="G29" i="6"/>
  <c r="D115" i="2"/>
  <c r="S28" i="4"/>
  <c r="M48" i="2"/>
  <c r="F29" i="4"/>
  <c r="I29" i="3"/>
  <c r="J29" i="3"/>
  <c r="H29" i="5"/>
  <c r="E82" i="2"/>
  <c r="E115" i="2" l="1"/>
  <c r="H29" i="6"/>
  <c r="H48" i="2"/>
  <c r="F48" i="2"/>
  <c r="G48" i="2"/>
  <c r="D49" i="2"/>
  <c r="G29" i="4"/>
  <c r="K29" i="3"/>
  <c r="R29" i="3"/>
  <c r="I29" i="5"/>
  <c r="J29" i="5"/>
  <c r="I29" i="6" l="1"/>
  <c r="J29" i="6"/>
  <c r="E49" i="2"/>
  <c r="H29" i="4"/>
  <c r="M29" i="3"/>
  <c r="N29" i="3" s="1"/>
  <c r="S29" i="3"/>
  <c r="F30" i="3"/>
  <c r="R29" i="5"/>
  <c r="K29" i="5"/>
  <c r="R29" i="6" l="1"/>
  <c r="K29" i="6"/>
  <c r="I29" i="4"/>
  <c r="J29" i="4"/>
  <c r="G30" i="3"/>
  <c r="H30" i="3" s="1"/>
  <c r="F30" i="5"/>
  <c r="S29" i="5"/>
  <c r="M29" i="5"/>
  <c r="N29" i="5" s="1"/>
  <c r="S29" i="6" l="1"/>
  <c r="F30" i="6"/>
  <c r="M29" i="6"/>
  <c r="N29" i="6" s="1"/>
  <c r="R29" i="4"/>
  <c r="K29" i="4"/>
  <c r="J30" i="3"/>
  <c r="I30" i="3"/>
  <c r="G30" i="5"/>
  <c r="H30" i="5" s="1"/>
  <c r="G30" i="6" l="1"/>
  <c r="H30" i="6" s="1"/>
  <c r="S29" i="4"/>
  <c r="F30" i="4"/>
  <c r="M29" i="4"/>
  <c r="N29" i="4" s="1"/>
  <c r="R30" i="3"/>
  <c r="K30" i="3"/>
  <c r="J30" i="5"/>
  <c r="I30" i="5"/>
  <c r="J30" i="6" l="1"/>
  <c r="I30" i="6"/>
  <c r="G30" i="4"/>
  <c r="H30" i="4" s="1"/>
  <c r="S30" i="3"/>
  <c r="F31" i="3"/>
  <c r="M30" i="3"/>
  <c r="N30" i="3" s="1"/>
  <c r="K30" i="5"/>
  <c r="R30" i="5"/>
  <c r="R30" i="6" l="1"/>
  <c r="K30" i="6"/>
  <c r="M30" i="6" s="1"/>
  <c r="N30" i="6" s="1"/>
  <c r="J30" i="4"/>
  <c r="I30" i="4"/>
  <c r="G31" i="3"/>
  <c r="H31" i="3" s="1"/>
  <c r="M30" i="5"/>
  <c r="N30" i="5" s="1"/>
  <c r="S30" i="5"/>
  <c r="F31" i="5"/>
  <c r="F31" i="6" l="1"/>
  <c r="S30" i="6"/>
  <c r="R30" i="4"/>
  <c r="K30" i="4"/>
  <c r="M30" i="4" s="1"/>
  <c r="N30" i="4" s="1"/>
  <c r="J31" i="3"/>
  <c r="I31" i="3"/>
  <c r="G31" i="5"/>
  <c r="H31" i="5" s="1"/>
  <c r="G31" i="6" l="1"/>
  <c r="H31" i="6" s="1"/>
  <c r="S30" i="4"/>
  <c r="F31" i="4"/>
  <c r="L31" i="3"/>
  <c r="K31" i="3"/>
  <c r="J31" i="5"/>
  <c r="I31" i="5"/>
  <c r="J31" i="6" l="1"/>
  <c r="I31" i="6"/>
  <c r="G31" i="4"/>
  <c r="H31" i="4" s="1"/>
  <c r="M31" i="3"/>
  <c r="N31" i="3" s="1"/>
  <c r="O31" i="3" s="1"/>
  <c r="L31" i="5"/>
  <c r="K31" i="5"/>
  <c r="L31" i="6" l="1"/>
  <c r="K31" i="6"/>
  <c r="J31" i="4"/>
  <c r="I31" i="4"/>
  <c r="L31" i="4"/>
  <c r="K31" i="4"/>
  <c r="R31" i="3"/>
  <c r="P31" i="3"/>
  <c r="P32" i="3" s="1"/>
  <c r="P33" i="3" s="1"/>
  <c r="M31" i="5"/>
  <c r="N31" i="5" s="1"/>
  <c r="O31" i="5" s="1"/>
  <c r="M31" i="6" l="1"/>
  <c r="N31" i="6" s="1"/>
  <c r="O31" i="6" s="1"/>
  <c r="M31" i="4"/>
  <c r="N31" i="4" s="1"/>
  <c r="O31" i="4" s="1"/>
  <c r="S31" i="3"/>
  <c r="F32" i="3"/>
  <c r="R31" i="5"/>
  <c r="P31" i="5"/>
  <c r="P32" i="5" s="1"/>
  <c r="P33" i="5" s="1"/>
  <c r="R31" i="6" l="1"/>
  <c r="P31" i="6"/>
  <c r="P32" i="6" s="1"/>
  <c r="P33" i="6" s="1"/>
  <c r="P31" i="4"/>
  <c r="P32" i="4" s="1"/>
  <c r="P33" i="4" s="1"/>
  <c r="R31" i="4"/>
  <c r="G32" i="3"/>
  <c r="H32" i="3" s="1"/>
  <c r="F32" i="5"/>
  <c r="S31" i="5"/>
  <c r="F32" i="6" l="1"/>
  <c r="S31" i="6"/>
  <c r="F32" i="4"/>
  <c r="S31" i="4"/>
  <c r="J32" i="3"/>
  <c r="I32" i="3"/>
  <c r="G32" i="5"/>
  <c r="H32" i="5" s="1"/>
  <c r="G32" i="6" l="1"/>
  <c r="H32" i="6" s="1"/>
  <c r="G32" i="4"/>
  <c r="H32" i="4" s="1"/>
  <c r="R32" i="3"/>
  <c r="K32" i="3"/>
  <c r="J32" i="5"/>
  <c r="I32" i="5"/>
  <c r="J32" i="6" l="1"/>
  <c r="I32" i="6"/>
  <c r="J32" i="4"/>
  <c r="I32" i="4"/>
  <c r="F33" i="3"/>
  <c r="S32" i="3"/>
  <c r="M32" i="3"/>
  <c r="N32" i="3" s="1"/>
  <c r="R32" i="5"/>
  <c r="K32" i="5"/>
  <c r="R32" i="6" l="1"/>
  <c r="K32" i="6"/>
  <c r="R32" i="4"/>
  <c r="K32" i="4"/>
  <c r="M32" i="4" s="1"/>
  <c r="N32" i="4" s="1"/>
  <c r="G33" i="3"/>
  <c r="H33" i="3" s="1"/>
  <c r="S32" i="5"/>
  <c r="F33" i="5"/>
  <c r="M32" i="5"/>
  <c r="N32" i="5" s="1"/>
  <c r="F33" i="6" l="1"/>
  <c r="S32" i="6"/>
  <c r="M32" i="6"/>
  <c r="N32" i="6" s="1"/>
  <c r="S32" i="4"/>
  <c r="F33" i="4"/>
  <c r="J33" i="3"/>
  <c r="I33" i="3"/>
  <c r="G33" i="5"/>
  <c r="H33" i="5" s="1"/>
  <c r="G33" i="6" l="1"/>
  <c r="H33" i="6" s="1"/>
  <c r="G33" i="4"/>
  <c r="H33" i="4" s="1"/>
  <c r="K33" i="3"/>
  <c r="R33" i="3"/>
  <c r="J33" i="5"/>
  <c r="I33" i="5"/>
  <c r="J33" i="6" l="1"/>
  <c r="I33" i="6"/>
  <c r="J33" i="4"/>
  <c r="I33" i="4"/>
  <c r="M33" i="3"/>
  <c r="N33" i="3" s="1"/>
  <c r="S33" i="3"/>
  <c r="F34" i="3"/>
  <c r="R33" i="5"/>
  <c r="K33" i="5"/>
  <c r="R33" i="6" l="1"/>
  <c r="K33" i="6"/>
  <c r="K33" i="4"/>
  <c r="R33" i="4"/>
  <c r="G34" i="3"/>
  <c r="H34" i="3" s="1"/>
  <c r="F34" i="5"/>
  <c r="S33" i="5"/>
  <c r="M33" i="5"/>
  <c r="N33" i="5" s="1"/>
  <c r="F34" i="6" l="1"/>
  <c r="S33" i="6"/>
  <c r="M33" i="6"/>
  <c r="N33" i="6" s="1"/>
  <c r="M33" i="4"/>
  <c r="N33" i="4" s="1"/>
  <c r="S33" i="4"/>
  <c r="F34" i="4"/>
  <c r="J34" i="3"/>
  <c r="I34" i="3"/>
  <c r="G34" i="5"/>
  <c r="H34" i="5" s="1"/>
  <c r="G34" i="6" l="1"/>
  <c r="H34" i="6" s="1"/>
  <c r="G34" i="4"/>
  <c r="H34" i="4" s="1"/>
  <c r="L34" i="3"/>
  <c r="K34" i="3"/>
  <c r="J34" i="5"/>
  <c r="I34" i="5"/>
  <c r="J34" i="6" l="1"/>
  <c r="I34" i="6"/>
  <c r="J34" i="4"/>
  <c r="I34" i="4"/>
  <c r="M34" i="3"/>
  <c r="N34" i="3" s="1"/>
  <c r="O34" i="3" s="1"/>
  <c r="L34" i="5"/>
  <c r="K34" i="5"/>
  <c r="L34" i="6" l="1"/>
  <c r="K34" i="6"/>
  <c r="L34" i="4"/>
  <c r="K34" i="4"/>
  <c r="R34" i="3"/>
  <c r="P34" i="3"/>
  <c r="P35" i="3" s="1"/>
  <c r="P36" i="3" s="1"/>
  <c r="M34" i="5"/>
  <c r="N34" i="5" s="1"/>
  <c r="O34" i="5" s="1"/>
  <c r="M34" i="6" l="1"/>
  <c r="N34" i="6" s="1"/>
  <c r="O34" i="6" s="1"/>
  <c r="M34" i="4"/>
  <c r="N34" i="4" s="1"/>
  <c r="O34" i="4" s="1"/>
  <c r="S34" i="3"/>
  <c r="F35" i="3"/>
  <c r="R34" i="5"/>
  <c r="P34" i="5"/>
  <c r="P35" i="5" s="1"/>
  <c r="P36" i="5" s="1"/>
  <c r="R34" i="6" l="1"/>
  <c r="P34" i="6"/>
  <c r="P35" i="6" s="1"/>
  <c r="P36" i="6" s="1"/>
  <c r="R34" i="4"/>
  <c r="P34" i="4"/>
  <c r="P35" i="4" s="1"/>
  <c r="P36" i="4" s="1"/>
  <c r="G35" i="3"/>
  <c r="H35" i="3" s="1"/>
  <c r="S34" i="5"/>
  <c r="F35" i="5"/>
  <c r="S34" i="6" l="1"/>
  <c r="F35" i="6"/>
  <c r="S34" i="4"/>
  <c r="F35" i="4"/>
  <c r="J35" i="3"/>
  <c r="I35" i="3"/>
  <c r="G35" i="5"/>
  <c r="H35" i="5" s="1"/>
  <c r="G35" i="6" l="1"/>
  <c r="H35" i="6" s="1"/>
  <c r="G35" i="4"/>
  <c r="H35" i="4" s="1"/>
  <c r="R35" i="3"/>
  <c r="K35" i="3"/>
  <c r="J35" i="5"/>
  <c r="I35" i="5"/>
  <c r="J35" i="6" l="1"/>
  <c r="I35" i="6"/>
  <c r="J35" i="4"/>
  <c r="I35" i="4"/>
  <c r="F36" i="3"/>
  <c r="S35" i="3"/>
  <c r="M35" i="3"/>
  <c r="N35" i="3" s="1"/>
  <c r="R35" i="5"/>
  <c r="K35" i="5"/>
  <c r="R35" i="6" l="1"/>
  <c r="K35" i="6"/>
  <c r="R35" i="4"/>
  <c r="K35" i="4"/>
  <c r="G36" i="3"/>
  <c r="H36" i="3" s="1"/>
  <c r="F36" i="5"/>
  <c r="S35" i="5"/>
  <c r="M35" i="5"/>
  <c r="N35" i="5" s="1"/>
  <c r="S35" i="6" l="1"/>
  <c r="F36" i="6"/>
  <c r="M35" i="6"/>
  <c r="N35" i="6" s="1"/>
  <c r="S35" i="4"/>
  <c r="F36" i="4"/>
  <c r="M35" i="4"/>
  <c r="N35" i="4" s="1"/>
  <c r="J36" i="3"/>
  <c r="I36" i="3"/>
  <c r="G36" i="5"/>
  <c r="H36" i="5" s="1"/>
  <c r="G36" i="6" l="1"/>
  <c r="H36" i="6" s="1"/>
  <c r="G36" i="4"/>
  <c r="H36" i="4" s="1"/>
  <c r="K36" i="3"/>
  <c r="R36" i="3"/>
  <c r="J36" i="5"/>
  <c r="I36" i="5"/>
  <c r="J36" i="6" l="1"/>
  <c r="I36" i="6"/>
  <c r="J36" i="4"/>
  <c r="I36" i="4"/>
  <c r="M36" i="3"/>
  <c r="N36" i="3" s="1"/>
  <c r="F37" i="3"/>
  <c r="S36" i="3"/>
  <c r="K36" i="5"/>
  <c r="R36" i="5"/>
  <c r="K36" i="6" l="1"/>
  <c r="R36" i="6"/>
  <c r="K36" i="4"/>
  <c r="R36" i="4"/>
  <c r="G37" i="3"/>
  <c r="H37" i="3" s="1"/>
  <c r="M36" i="5"/>
  <c r="N36" i="5" s="1"/>
  <c r="F37" i="5"/>
  <c r="S36" i="5"/>
  <c r="M36" i="6" l="1"/>
  <c r="N36" i="6" s="1"/>
  <c r="S36" i="6"/>
  <c r="F37" i="6"/>
  <c r="M36" i="4"/>
  <c r="N36" i="4" s="1"/>
  <c r="S36" i="4"/>
  <c r="F37" i="4"/>
  <c r="J37" i="3"/>
  <c r="I37" i="3"/>
  <c r="G37" i="5"/>
  <c r="H37" i="5" s="1"/>
  <c r="G37" i="6" l="1"/>
  <c r="H37" i="6" s="1"/>
  <c r="G37" i="4"/>
  <c r="H37" i="4" s="1"/>
  <c r="L37" i="3"/>
  <c r="K37" i="3"/>
  <c r="J37" i="5"/>
  <c r="I37" i="5"/>
  <c r="J37" i="6" l="1"/>
  <c r="I37" i="6"/>
  <c r="J37" i="4"/>
  <c r="I37" i="4"/>
  <c r="M37" i="3"/>
  <c r="N37" i="3" s="1"/>
  <c r="O37" i="3" s="1"/>
  <c r="L37" i="5"/>
  <c r="K37" i="5"/>
  <c r="L37" i="6" l="1"/>
  <c r="K37" i="6"/>
  <c r="L37" i="4"/>
  <c r="K37" i="4"/>
  <c r="R37" i="3"/>
  <c r="P37" i="3"/>
  <c r="P38" i="3" s="1"/>
  <c r="P39" i="3" s="1"/>
  <c r="M37" i="5"/>
  <c r="N37" i="5" s="1"/>
  <c r="O37" i="5" s="1"/>
  <c r="M37" i="6" l="1"/>
  <c r="N37" i="6" s="1"/>
  <c r="O37" i="6" s="1"/>
  <c r="M37" i="4"/>
  <c r="N37" i="4" s="1"/>
  <c r="O37" i="4" s="1"/>
  <c r="F38" i="3"/>
  <c r="S37" i="3"/>
  <c r="R37" i="5"/>
  <c r="P37" i="5"/>
  <c r="P38" i="5" s="1"/>
  <c r="P39" i="5" s="1"/>
  <c r="R37" i="6" l="1"/>
  <c r="P37" i="6"/>
  <c r="P38" i="6" s="1"/>
  <c r="P39" i="6" s="1"/>
  <c r="R37" i="4"/>
  <c r="P37" i="4"/>
  <c r="P38" i="4" s="1"/>
  <c r="P39" i="4" s="1"/>
  <c r="G38" i="3"/>
  <c r="H38" i="3" s="1"/>
  <c r="S37" i="5"/>
  <c r="F38" i="5"/>
  <c r="S37" i="6" l="1"/>
  <c r="F38" i="6"/>
  <c r="F38" i="4"/>
  <c r="S37" i="4"/>
  <c r="J38" i="3"/>
  <c r="I38" i="3"/>
  <c r="G38" i="5"/>
  <c r="H38" i="5" s="1"/>
  <c r="G38" i="6" l="1"/>
  <c r="H38" i="6" s="1"/>
  <c r="G38" i="4"/>
  <c r="H38" i="4" s="1"/>
  <c r="K38" i="3"/>
  <c r="R38" i="3"/>
  <c r="J38" i="5"/>
  <c r="I38" i="5"/>
  <c r="J38" i="6" l="1"/>
  <c r="I38" i="6"/>
  <c r="J38" i="4"/>
  <c r="I38" i="4"/>
  <c r="M38" i="3"/>
  <c r="N38" i="3" s="1"/>
  <c r="F39" i="3"/>
  <c r="S38" i="3"/>
  <c r="R38" i="5"/>
  <c r="K38" i="5"/>
  <c r="R38" i="6" l="1"/>
  <c r="K38" i="6"/>
  <c r="R38" i="4"/>
  <c r="K38" i="4"/>
  <c r="G39" i="3"/>
  <c r="H39" i="3" s="1"/>
  <c r="F39" i="5"/>
  <c r="S38" i="5"/>
  <c r="M38" i="5"/>
  <c r="N38" i="5" s="1"/>
  <c r="F39" i="6" l="1"/>
  <c r="S38" i="6"/>
  <c r="M38" i="6"/>
  <c r="N38" i="6" s="1"/>
  <c r="F39" i="4"/>
  <c r="S38" i="4"/>
  <c r="M38" i="4"/>
  <c r="N38" i="4" s="1"/>
  <c r="J39" i="3"/>
  <c r="I39" i="3"/>
  <c r="G39" i="5"/>
  <c r="H39" i="5" s="1"/>
  <c r="G39" i="6" l="1"/>
  <c r="H39" i="6" s="1"/>
  <c r="G39" i="4"/>
  <c r="H39" i="4" s="1"/>
  <c r="K39" i="3"/>
  <c r="R39" i="3"/>
  <c r="J39" i="5"/>
  <c r="I39" i="5"/>
  <c r="J39" i="6" l="1"/>
  <c r="I39" i="6"/>
  <c r="J39" i="4"/>
  <c r="I39" i="4"/>
  <c r="M39" i="3"/>
  <c r="N39" i="3" s="1"/>
  <c r="S39" i="3"/>
  <c r="F40" i="3"/>
  <c r="K39" i="5"/>
  <c r="R39" i="5"/>
  <c r="K39" i="6" l="1"/>
  <c r="R39" i="6"/>
  <c r="K39" i="4"/>
  <c r="R39" i="4"/>
  <c r="G40" i="3"/>
  <c r="H40" i="3" s="1"/>
  <c r="M39" i="5"/>
  <c r="N39" i="5" s="1"/>
  <c r="F40" i="5"/>
  <c r="S39" i="5"/>
  <c r="M39" i="6" l="1"/>
  <c r="N39" i="6" s="1"/>
  <c r="F40" i="6"/>
  <c r="S39" i="6"/>
  <c r="M39" i="4"/>
  <c r="N39" i="4" s="1"/>
  <c r="F40" i="4"/>
  <c r="S39" i="4"/>
  <c r="J40" i="3"/>
  <c r="I40" i="3"/>
  <c r="G40" i="5"/>
  <c r="H40" i="5" s="1"/>
  <c r="G40" i="6" l="1"/>
  <c r="H40" i="6" s="1"/>
  <c r="G40" i="4"/>
  <c r="H40" i="4" s="1"/>
  <c r="L40" i="3"/>
  <c r="K40" i="3"/>
  <c r="J40" i="5"/>
  <c r="I40" i="5"/>
  <c r="J40" i="6" l="1"/>
  <c r="I40" i="6"/>
  <c r="J40" i="4"/>
  <c r="I40" i="4"/>
  <c r="I16" i="2"/>
  <c r="M40" i="3"/>
  <c r="N40" i="3" s="1"/>
  <c r="O40" i="3" s="1"/>
  <c r="L40" i="5"/>
  <c r="K40" i="5"/>
  <c r="L40" i="6" l="1"/>
  <c r="K40" i="6"/>
  <c r="L40" i="4"/>
  <c r="K40" i="4"/>
  <c r="P40" i="3"/>
  <c r="I82" i="2"/>
  <c r="M40" i="5"/>
  <c r="N40" i="5" s="1"/>
  <c r="O40" i="5" s="1"/>
  <c r="M40" i="6" l="1"/>
  <c r="N40" i="6" s="1"/>
  <c r="O40" i="6" s="1"/>
  <c r="I115" i="2"/>
  <c r="I49" i="2"/>
  <c r="M40" i="4"/>
  <c r="N40" i="4" s="1"/>
  <c r="O40" i="4" s="1"/>
  <c r="Q40" i="3"/>
  <c r="J16" i="2"/>
  <c r="P40" i="5"/>
  <c r="P40" i="6" l="1"/>
  <c r="P40" i="4"/>
  <c r="R40" i="3"/>
  <c r="L16" i="2"/>
  <c r="K16" i="2"/>
  <c r="Q40" i="5"/>
  <c r="J82" i="2"/>
  <c r="Q40" i="6" l="1"/>
  <c r="L115" i="2" s="1"/>
  <c r="J115" i="2"/>
  <c r="Q40" i="4"/>
  <c r="L49" i="2" s="1"/>
  <c r="J49" i="2"/>
  <c r="S40" i="3"/>
  <c r="M16" i="2"/>
  <c r="F41" i="3"/>
  <c r="R40" i="5"/>
  <c r="L82" i="2"/>
  <c r="K82" i="2"/>
  <c r="R40" i="6" l="1"/>
  <c r="K115" i="2"/>
  <c r="R40" i="4"/>
  <c r="K49" i="2"/>
  <c r="F16" i="2"/>
  <c r="G16" i="2"/>
  <c r="H16" i="2"/>
  <c r="G41" i="3"/>
  <c r="D17" i="2"/>
  <c r="M82" i="2"/>
  <c r="S40" i="5"/>
  <c r="F41" i="5"/>
  <c r="M115" i="2" l="1"/>
  <c r="F41" i="6"/>
  <c r="S40" i="6"/>
  <c r="S40" i="4"/>
  <c r="M49" i="2"/>
  <c r="F41" i="4"/>
  <c r="E17" i="2"/>
  <c r="H41" i="3"/>
  <c r="G82" i="2"/>
  <c r="H82" i="2"/>
  <c r="F82" i="2"/>
  <c r="G41" i="5"/>
  <c r="D83" i="2"/>
  <c r="D116" i="2" l="1"/>
  <c r="G41" i="6"/>
  <c r="F115" i="2"/>
  <c r="G115" i="2"/>
  <c r="H115" i="2"/>
  <c r="F49" i="2"/>
  <c r="G49" i="2"/>
  <c r="H49" i="2"/>
  <c r="G41" i="4"/>
  <c r="D50" i="2"/>
  <c r="I41" i="3"/>
  <c r="J41" i="3"/>
  <c r="H41" i="5"/>
  <c r="E83" i="2"/>
  <c r="H41" i="6" l="1"/>
  <c r="E116" i="2"/>
  <c r="E50" i="2"/>
  <c r="H41" i="4"/>
  <c r="R41" i="3"/>
  <c r="K41" i="3"/>
  <c r="I41" i="5"/>
  <c r="J41" i="5"/>
  <c r="I41" i="6" l="1"/>
  <c r="J41" i="6"/>
  <c r="I41" i="4"/>
  <c r="J41" i="4"/>
  <c r="S41" i="3"/>
  <c r="F42" i="3"/>
  <c r="M41" i="3"/>
  <c r="N41" i="3" s="1"/>
  <c r="R41" i="5"/>
  <c r="K41" i="5"/>
  <c r="R41" i="6" l="1"/>
  <c r="K41" i="6"/>
  <c r="R41" i="4"/>
  <c r="K41" i="4"/>
  <c r="G42" i="3"/>
  <c r="H42" i="3" s="1"/>
  <c r="F42" i="5"/>
  <c r="S41" i="5"/>
  <c r="M41" i="5"/>
  <c r="N41" i="5" s="1"/>
  <c r="F42" i="6" l="1"/>
  <c r="S41" i="6"/>
  <c r="M41" i="6"/>
  <c r="N41" i="6" s="1"/>
  <c r="S41" i="4"/>
  <c r="F42" i="4"/>
  <c r="M41" i="4"/>
  <c r="N41" i="4" s="1"/>
  <c r="J42" i="3"/>
  <c r="I42" i="3"/>
  <c r="G42" i="5"/>
  <c r="H42" i="5" s="1"/>
  <c r="G42" i="6" l="1"/>
  <c r="H42" i="6" s="1"/>
  <c r="G42" i="4"/>
  <c r="H42" i="4" s="1"/>
  <c r="R42" i="3"/>
  <c r="K42" i="3"/>
  <c r="J42" i="5"/>
  <c r="I42" i="5"/>
  <c r="J42" i="6" l="1"/>
  <c r="I42" i="6"/>
  <c r="J42" i="4"/>
  <c r="I42" i="4"/>
  <c r="S42" i="3"/>
  <c r="F43" i="3"/>
  <c r="M42" i="3"/>
  <c r="N42" i="3" s="1"/>
  <c r="K42" i="5"/>
  <c r="R42" i="5"/>
  <c r="K42" i="6" l="1"/>
  <c r="R42" i="6"/>
  <c r="K42" i="4"/>
  <c r="R42" i="4"/>
  <c r="G43" i="3"/>
  <c r="H43" i="3" s="1"/>
  <c r="M42" i="5"/>
  <c r="N42" i="5" s="1"/>
  <c r="F43" i="5"/>
  <c r="S42" i="5"/>
  <c r="M42" i="6" l="1"/>
  <c r="N42" i="6" s="1"/>
  <c r="S42" i="6"/>
  <c r="F43" i="6"/>
  <c r="M42" i="4"/>
  <c r="N42" i="4" s="1"/>
  <c r="S42" i="4"/>
  <c r="F43" i="4"/>
  <c r="J43" i="3"/>
  <c r="I43" i="3"/>
  <c r="G43" i="5"/>
  <c r="H43" i="5" s="1"/>
  <c r="G43" i="6" l="1"/>
  <c r="H43" i="6" s="1"/>
  <c r="G43" i="4"/>
  <c r="H43" i="4" s="1"/>
  <c r="L43" i="3"/>
  <c r="K43" i="3"/>
  <c r="J43" i="5"/>
  <c r="I43" i="5"/>
  <c r="J43" i="6" l="1"/>
  <c r="I43" i="6"/>
  <c r="J43" i="4"/>
  <c r="I43" i="4"/>
  <c r="M43" i="3"/>
  <c r="N43" i="3" s="1"/>
  <c r="O43" i="3" s="1"/>
  <c r="L43" i="5"/>
  <c r="K43" i="5"/>
  <c r="L43" i="6" l="1"/>
  <c r="K43" i="6"/>
  <c r="L43" i="4"/>
  <c r="K43" i="4"/>
  <c r="R43" i="3"/>
  <c r="P43" i="3"/>
  <c r="P44" i="3" s="1"/>
  <c r="P45" i="3" s="1"/>
  <c r="M43" i="5"/>
  <c r="N43" i="5" s="1"/>
  <c r="O43" i="5" s="1"/>
  <c r="M43" i="6" l="1"/>
  <c r="N43" i="6" s="1"/>
  <c r="O43" i="6" s="1"/>
  <c r="M43" i="4"/>
  <c r="N43" i="4" s="1"/>
  <c r="O43" i="4" s="1"/>
  <c r="S43" i="3"/>
  <c r="F44" i="3"/>
  <c r="R43" i="5"/>
  <c r="P43" i="5"/>
  <c r="P44" i="5" s="1"/>
  <c r="P45" i="5" s="1"/>
  <c r="R43" i="6" l="1"/>
  <c r="P43" i="6"/>
  <c r="P44" i="6" s="1"/>
  <c r="P45" i="6" s="1"/>
  <c r="R43" i="4"/>
  <c r="P43" i="4"/>
  <c r="P44" i="4" s="1"/>
  <c r="P45" i="4" s="1"/>
  <c r="G44" i="3"/>
  <c r="H44" i="3" s="1"/>
  <c r="S43" i="5"/>
  <c r="F44" i="5"/>
  <c r="S43" i="6" l="1"/>
  <c r="F44" i="6"/>
  <c r="S43" i="4"/>
  <c r="F44" i="4"/>
  <c r="J44" i="3"/>
  <c r="I44" i="3"/>
  <c r="G44" i="5"/>
  <c r="H44" i="5" s="1"/>
  <c r="G44" i="6" l="1"/>
  <c r="H44" i="6" s="1"/>
  <c r="G44" i="4"/>
  <c r="H44" i="4" s="1"/>
  <c r="K44" i="3"/>
  <c r="R44" i="3"/>
  <c r="J44" i="5"/>
  <c r="I44" i="5"/>
  <c r="J44" i="6" l="1"/>
  <c r="I44" i="6"/>
  <c r="J44" i="4"/>
  <c r="R44" i="4" s="1"/>
  <c r="I44" i="4"/>
  <c r="K44" i="5"/>
  <c r="M44" i="5" s="1"/>
  <c r="N44" i="5" s="1"/>
  <c r="R44" i="5"/>
  <c r="M44" i="3"/>
  <c r="N44" i="3" s="1"/>
  <c r="S44" i="3"/>
  <c r="F45" i="3"/>
  <c r="K44" i="6" l="1"/>
  <c r="R44" i="6"/>
  <c r="S44" i="4"/>
  <c r="F45" i="4"/>
  <c r="G45" i="4" s="1"/>
  <c r="H45" i="4" s="1"/>
  <c r="K44" i="4"/>
  <c r="F45" i="5"/>
  <c r="G45" i="5" s="1"/>
  <c r="H45" i="5" s="1"/>
  <c r="S44" i="5"/>
  <c r="G45" i="3"/>
  <c r="H45" i="3" s="1"/>
  <c r="M44" i="6" l="1"/>
  <c r="N44" i="6" s="1"/>
  <c r="F45" i="6"/>
  <c r="S44" i="6"/>
  <c r="M44" i="4"/>
  <c r="N44" i="4" s="1"/>
  <c r="J45" i="4"/>
  <c r="K45" i="4" s="1"/>
  <c r="I45" i="4"/>
  <c r="J45" i="3"/>
  <c r="I45" i="3"/>
  <c r="J45" i="5"/>
  <c r="I45" i="5"/>
  <c r="G45" i="6" l="1"/>
  <c r="H45" i="6" s="1"/>
  <c r="M45" i="4"/>
  <c r="N45" i="4" s="1"/>
  <c r="R45" i="4"/>
  <c r="R45" i="5"/>
  <c r="K45" i="5"/>
  <c r="M45" i="5" s="1"/>
  <c r="N45" i="5" s="1"/>
  <c r="K45" i="3"/>
  <c r="R45" i="3"/>
  <c r="J45" i="6" l="1"/>
  <c r="I45" i="6"/>
  <c r="F46" i="4"/>
  <c r="S45" i="4"/>
  <c r="S45" i="5"/>
  <c r="F46" i="5"/>
  <c r="M45" i="3"/>
  <c r="N45" i="3" s="1"/>
  <c r="F46" i="3"/>
  <c r="S45" i="3"/>
  <c r="K45" i="6" l="1"/>
  <c r="R45" i="6"/>
  <c r="G46" i="4"/>
  <c r="H46" i="4" s="1"/>
  <c r="G46" i="5"/>
  <c r="H46" i="5" s="1"/>
  <c r="G46" i="3"/>
  <c r="H46" i="3" s="1"/>
  <c r="M45" i="6" l="1"/>
  <c r="N45" i="6" s="1"/>
  <c r="S45" i="6"/>
  <c r="F46" i="6"/>
  <c r="J46" i="5"/>
  <c r="L46" i="5" s="1"/>
  <c r="I46" i="5"/>
  <c r="J46" i="4"/>
  <c r="I46" i="4"/>
  <c r="K46" i="5"/>
  <c r="M46" i="5" s="1"/>
  <c r="N46" i="5" s="1"/>
  <c r="J46" i="3"/>
  <c r="I46" i="3"/>
  <c r="G46" i="6" l="1"/>
  <c r="H46" i="6" s="1"/>
  <c r="O46" i="5"/>
  <c r="L46" i="4"/>
  <c r="K46" i="4"/>
  <c r="L46" i="3"/>
  <c r="K46" i="3"/>
  <c r="R46" i="5" l="1"/>
  <c r="P46" i="5"/>
  <c r="P47" i="5" s="1"/>
  <c r="P48" i="5" s="1"/>
  <c r="J46" i="6"/>
  <c r="I46" i="6"/>
  <c r="M46" i="4"/>
  <c r="N46" i="4" s="1"/>
  <c r="O46" i="4" s="1"/>
  <c r="M46" i="3"/>
  <c r="N46" i="3" s="1"/>
  <c r="O46" i="3" s="1"/>
  <c r="F47" i="5" l="1"/>
  <c r="G47" i="5" s="1"/>
  <c r="H47" i="5" s="1"/>
  <c r="S46" i="5"/>
  <c r="L46" i="6"/>
  <c r="K46" i="6"/>
  <c r="R46" i="4"/>
  <c r="P46" i="4"/>
  <c r="P47" i="4" s="1"/>
  <c r="P48" i="4" s="1"/>
  <c r="R46" i="3"/>
  <c r="P46" i="3"/>
  <c r="P47" i="3" s="1"/>
  <c r="P48" i="3" s="1"/>
  <c r="M46" i="6" l="1"/>
  <c r="N46" i="6" s="1"/>
  <c r="O46" i="6" s="1"/>
  <c r="J47" i="5"/>
  <c r="I47" i="5"/>
  <c r="F47" i="4"/>
  <c r="S46" i="4"/>
  <c r="S46" i="3"/>
  <c r="F47" i="3"/>
  <c r="R47" i="5" l="1"/>
  <c r="S47" i="5" s="1"/>
  <c r="K47" i="5"/>
  <c r="M47" i="5" s="1"/>
  <c r="N47" i="5" s="1"/>
  <c r="R46" i="6"/>
  <c r="P46" i="6"/>
  <c r="P47" i="6" s="1"/>
  <c r="P48" i="6" s="1"/>
  <c r="F48" i="5"/>
  <c r="G48" i="5" s="1"/>
  <c r="H48" i="5" s="1"/>
  <c r="G47" i="4"/>
  <c r="H47" i="4" s="1"/>
  <c r="G47" i="3"/>
  <c r="H47" i="3" s="1"/>
  <c r="S46" i="6" l="1"/>
  <c r="F47" i="6"/>
  <c r="J47" i="4"/>
  <c r="I47" i="4"/>
  <c r="J47" i="3"/>
  <c r="I47" i="3"/>
  <c r="J48" i="5"/>
  <c r="I48" i="5"/>
  <c r="G47" i="6" l="1"/>
  <c r="H47" i="6" s="1"/>
  <c r="R47" i="4"/>
  <c r="K47" i="4"/>
  <c r="R47" i="3"/>
  <c r="K47" i="3"/>
  <c r="M47" i="3" s="1"/>
  <c r="N47" i="3" s="1"/>
  <c r="K48" i="5"/>
  <c r="M48" i="5" s="1"/>
  <c r="N48" i="5" s="1"/>
  <c r="R48" i="5"/>
  <c r="J47" i="6" l="1"/>
  <c r="I47" i="6"/>
  <c r="S47" i="4"/>
  <c r="F48" i="4"/>
  <c r="M47" i="4"/>
  <c r="N47" i="4" s="1"/>
  <c r="F48" i="3"/>
  <c r="S47" i="3"/>
  <c r="S48" i="5"/>
  <c r="F49" i="5"/>
  <c r="G49" i="5" s="1"/>
  <c r="H49" i="5" s="1"/>
  <c r="K47" i="6" l="1"/>
  <c r="R47" i="6"/>
  <c r="G48" i="4"/>
  <c r="H48" i="4" s="1"/>
  <c r="G48" i="3"/>
  <c r="H48" i="3" s="1"/>
  <c r="J49" i="5"/>
  <c r="I49" i="5"/>
  <c r="M47" i="6" l="1"/>
  <c r="N47" i="6" s="1"/>
  <c r="F48" i="6"/>
  <c r="S47" i="6"/>
  <c r="J48" i="4"/>
  <c r="I48" i="4"/>
  <c r="J48" i="3"/>
  <c r="I48" i="3"/>
  <c r="K49" i="5"/>
  <c r="M49" i="5" s="1"/>
  <c r="N49" i="5" s="1"/>
  <c r="L49" i="5"/>
  <c r="G48" i="6" l="1"/>
  <c r="H48" i="6" s="1"/>
  <c r="K48" i="4"/>
  <c r="R48" i="4"/>
  <c r="O49" i="5"/>
  <c r="K48" i="3"/>
  <c r="M48" i="3" s="1"/>
  <c r="N48" i="3" s="1"/>
  <c r="R48" i="3"/>
  <c r="J48" i="6" l="1"/>
  <c r="I48" i="6"/>
  <c r="M48" i="4"/>
  <c r="N48" i="4" s="1"/>
  <c r="F49" i="4"/>
  <c r="S48" i="4"/>
  <c r="R49" i="5"/>
  <c r="P49" i="5"/>
  <c r="P50" i="5" s="1"/>
  <c r="P51" i="5" s="1"/>
  <c r="F49" i="3"/>
  <c r="S48" i="3"/>
  <c r="K48" i="6" l="1"/>
  <c r="R48" i="6"/>
  <c r="S49" i="5"/>
  <c r="F50" i="5"/>
  <c r="G50" i="5" s="1"/>
  <c r="H50" i="5" s="1"/>
  <c r="G49" i="4"/>
  <c r="H49" i="4" s="1"/>
  <c r="G49" i="3"/>
  <c r="H49" i="3" s="1"/>
  <c r="M48" i="6" l="1"/>
  <c r="N48" i="6" s="1"/>
  <c r="S48" i="6"/>
  <c r="F49" i="6"/>
  <c r="J49" i="4"/>
  <c r="I49" i="4"/>
  <c r="J49" i="3"/>
  <c r="I49" i="3"/>
  <c r="J50" i="5"/>
  <c r="I50" i="5"/>
  <c r="G49" i="6" l="1"/>
  <c r="H49" i="6" s="1"/>
  <c r="L49" i="4"/>
  <c r="K49" i="4"/>
  <c r="K49" i="3"/>
  <c r="M49" i="3" s="1"/>
  <c r="N49" i="3" s="1"/>
  <c r="L49" i="3"/>
  <c r="R50" i="5"/>
  <c r="K50" i="5"/>
  <c r="J49" i="6" l="1"/>
  <c r="I49" i="6"/>
  <c r="M49" i="4"/>
  <c r="N49" i="4" s="1"/>
  <c r="O49" i="4" s="1"/>
  <c r="O49" i="3"/>
  <c r="S50" i="5"/>
  <c r="F51" i="5"/>
  <c r="M50" i="5"/>
  <c r="N50" i="5" s="1"/>
  <c r="L49" i="6" l="1"/>
  <c r="K49" i="6"/>
  <c r="R49" i="4"/>
  <c r="P49" i="4"/>
  <c r="P50" i="4" s="1"/>
  <c r="P51" i="4" s="1"/>
  <c r="R49" i="3"/>
  <c r="P49" i="3"/>
  <c r="P50" i="3" s="1"/>
  <c r="P51" i="3" s="1"/>
  <c r="G51" i="5"/>
  <c r="H51" i="5" s="1"/>
  <c r="M49" i="6" l="1"/>
  <c r="N49" i="6" s="1"/>
  <c r="O49" i="6" s="1"/>
  <c r="S49" i="4"/>
  <c r="F50" i="4"/>
  <c r="S49" i="3"/>
  <c r="F50" i="3"/>
  <c r="G50" i="3" s="1"/>
  <c r="H50" i="3" s="1"/>
  <c r="J51" i="5"/>
  <c r="I51" i="5"/>
  <c r="R49" i="6" l="1"/>
  <c r="P49" i="6"/>
  <c r="P50" i="6" s="1"/>
  <c r="P51" i="6" s="1"/>
  <c r="G50" i="4"/>
  <c r="H50" i="4" s="1"/>
  <c r="J50" i="3"/>
  <c r="I50" i="3"/>
  <c r="K51" i="5"/>
  <c r="R51" i="5"/>
  <c r="S49" i="6" l="1"/>
  <c r="F50" i="6"/>
  <c r="J50" i="4"/>
  <c r="I50" i="4"/>
  <c r="K50" i="3"/>
  <c r="M50" i="3" s="1"/>
  <c r="N50" i="3" s="1"/>
  <c r="R50" i="3"/>
  <c r="M51" i="5"/>
  <c r="N51" i="5" s="1"/>
  <c r="S51" i="5"/>
  <c r="F52" i="5"/>
  <c r="G50" i="6" l="1"/>
  <c r="H50" i="6" s="1"/>
  <c r="R50" i="4"/>
  <c r="K50" i="4"/>
  <c r="S50" i="3"/>
  <c r="F51" i="3"/>
  <c r="G52" i="5"/>
  <c r="H52" i="5" s="1"/>
  <c r="J50" i="6" l="1"/>
  <c r="I50" i="6"/>
  <c r="S50" i="4"/>
  <c r="F51" i="4"/>
  <c r="M50" i="4"/>
  <c r="N50" i="4" s="1"/>
  <c r="G51" i="3"/>
  <c r="H51" i="3" s="1"/>
  <c r="J52" i="5"/>
  <c r="I52" i="5"/>
  <c r="K50" i="6" l="1"/>
  <c r="R50" i="6"/>
  <c r="G51" i="4"/>
  <c r="H51" i="4" s="1"/>
  <c r="J51" i="3"/>
  <c r="I51" i="3"/>
  <c r="L52" i="5"/>
  <c r="K52" i="5"/>
  <c r="M50" i="6" l="1"/>
  <c r="N50" i="6" s="1"/>
  <c r="F51" i="6"/>
  <c r="S50" i="6"/>
  <c r="J51" i="4"/>
  <c r="I51" i="4"/>
  <c r="K51" i="3"/>
  <c r="M51" i="3" s="1"/>
  <c r="N51" i="3" s="1"/>
  <c r="R51" i="3"/>
  <c r="M52" i="5"/>
  <c r="N52" i="5" s="1"/>
  <c r="O52" i="5" s="1"/>
  <c r="I83" i="2"/>
  <c r="G51" i="6" l="1"/>
  <c r="H51" i="6" s="1"/>
  <c r="K51" i="4"/>
  <c r="R51" i="4"/>
  <c r="S51" i="3"/>
  <c r="F52" i="3"/>
  <c r="P52" i="5"/>
  <c r="J51" i="6" l="1"/>
  <c r="I51" i="6"/>
  <c r="M51" i="4"/>
  <c r="N51" i="4" s="1"/>
  <c r="S51" i="4"/>
  <c r="F52" i="4"/>
  <c r="G52" i="3"/>
  <c r="H52" i="3" s="1"/>
  <c r="Q52" i="5"/>
  <c r="J83" i="2"/>
  <c r="K51" i="6" l="1"/>
  <c r="R51" i="6"/>
  <c r="G52" i="4"/>
  <c r="H52" i="4" s="1"/>
  <c r="J52" i="3"/>
  <c r="I52" i="3"/>
  <c r="R52" i="5"/>
  <c r="L83" i="2"/>
  <c r="K83" i="2"/>
  <c r="M51" i="6" l="1"/>
  <c r="N51" i="6" s="1"/>
  <c r="F52" i="6"/>
  <c r="S51" i="6"/>
  <c r="J52" i="4"/>
  <c r="I52" i="4"/>
  <c r="L52" i="3"/>
  <c r="K52" i="3"/>
  <c r="M83" i="2"/>
  <c r="S52" i="5"/>
  <c r="F53" i="5"/>
  <c r="G52" i="6" l="1"/>
  <c r="H52" i="6" s="1"/>
  <c r="L52" i="4"/>
  <c r="K52" i="4"/>
  <c r="I17" i="2"/>
  <c r="M52" i="3"/>
  <c r="N52" i="3" s="1"/>
  <c r="O52" i="3" s="1"/>
  <c r="P52" i="3" s="1"/>
  <c r="F83" i="2"/>
  <c r="H83" i="2"/>
  <c r="G83" i="2"/>
  <c r="D84" i="2"/>
  <c r="G53" i="5"/>
  <c r="J52" i="6" l="1"/>
  <c r="I52" i="6"/>
  <c r="I50" i="2"/>
  <c r="M52" i="4"/>
  <c r="N52" i="4" s="1"/>
  <c r="O52" i="4" s="1"/>
  <c r="Q52" i="3"/>
  <c r="J17" i="2"/>
  <c r="E84" i="2"/>
  <c r="H53" i="5"/>
  <c r="L52" i="6" l="1"/>
  <c r="K52" i="6"/>
  <c r="P52" i="4"/>
  <c r="K17" i="2"/>
  <c r="R52" i="3"/>
  <c r="L17" i="2"/>
  <c r="I53" i="5"/>
  <c r="J53" i="5"/>
  <c r="I116" i="2" l="1"/>
  <c r="M52" i="6"/>
  <c r="N52" i="6" s="1"/>
  <c r="O52" i="6" s="1"/>
  <c r="Q52" i="4"/>
  <c r="L50" i="2" s="1"/>
  <c r="J50" i="2"/>
  <c r="F53" i="3"/>
  <c r="S52" i="3"/>
  <c r="M17" i="2"/>
  <c r="R53" i="5"/>
  <c r="K53" i="5"/>
  <c r="P52" i="6" l="1"/>
  <c r="R52" i="4"/>
  <c r="K50" i="2"/>
  <c r="G53" i="3"/>
  <c r="D18" i="2"/>
  <c r="G17" i="2"/>
  <c r="H17" i="2"/>
  <c r="F17" i="2"/>
  <c r="S53" i="5"/>
  <c r="F54" i="5"/>
  <c r="M53" i="5"/>
  <c r="N53" i="5" s="1"/>
  <c r="Q52" i="6" l="1"/>
  <c r="L116" i="2" s="1"/>
  <c r="J116" i="2"/>
  <c r="S52" i="4"/>
  <c r="F53" i="4"/>
  <c r="M50" i="2"/>
  <c r="E18" i="2"/>
  <c r="H53" i="3"/>
  <c r="G54" i="5"/>
  <c r="H54" i="5" s="1"/>
  <c r="R52" i="6" l="1"/>
  <c r="K116" i="2"/>
  <c r="F50" i="2"/>
  <c r="G50" i="2"/>
  <c r="H50" i="2"/>
  <c r="G53" i="4"/>
  <c r="D51" i="2"/>
  <c r="J53" i="3"/>
  <c r="I53" i="3"/>
  <c r="J54" i="5"/>
  <c r="I54" i="5"/>
  <c r="S52" i="6" l="1"/>
  <c r="M116" i="2"/>
  <c r="F53" i="6"/>
  <c r="E51" i="2"/>
  <c r="H53" i="4"/>
  <c r="K53" i="3"/>
  <c r="M53" i="3" s="1"/>
  <c r="N53" i="3" s="1"/>
  <c r="R53" i="3"/>
  <c r="K54" i="5"/>
  <c r="R54" i="5"/>
  <c r="G116" i="2" l="1"/>
  <c r="H116" i="2"/>
  <c r="F116" i="2"/>
  <c r="G53" i="6"/>
  <c r="D117" i="2"/>
  <c r="I53" i="4"/>
  <c r="J53" i="4"/>
  <c r="F54" i="3"/>
  <c r="S53" i="3"/>
  <c r="M54" i="5"/>
  <c r="N54" i="5" s="1"/>
  <c r="F55" i="5"/>
  <c r="S54" i="5"/>
  <c r="H53" i="6" l="1"/>
  <c r="E117" i="2"/>
  <c r="R53" i="4"/>
  <c r="K53" i="4"/>
  <c r="G54" i="3"/>
  <c r="H54" i="3" s="1"/>
  <c r="G55" i="5"/>
  <c r="H55" i="5" s="1"/>
  <c r="I53" i="6" l="1"/>
  <c r="J53" i="6"/>
  <c r="S53" i="4"/>
  <c r="F54" i="4"/>
  <c r="M53" i="4"/>
  <c r="N53" i="4" s="1"/>
  <c r="J54" i="3"/>
  <c r="I54" i="3"/>
  <c r="J55" i="5"/>
  <c r="I55" i="5"/>
  <c r="R53" i="6" l="1"/>
  <c r="K53" i="6"/>
  <c r="G54" i="4"/>
  <c r="H54" i="4" s="1"/>
  <c r="R54" i="3"/>
  <c r="K54" i="3"/>
  <c r="M54" i="3" s="1"/>
  <c r="N54" i="3" s="1"/>
  <c r="L55" i="5"/>
  <c r="K55" i="5"/>
  <c r="F54" i="6" l="1"/>
  <c r="S53" i="6"/>
  <c r="M53" i="6"/>
  <c r="N53" i="6" s="1"/>
  <c r="J54" i="4"/>
  <c r="I54" i="4"/>
  <c r="S54" i="3"/>
  <c r="F55" i="3"/>
  <c r="G55" i="3" s="1"/>
  <c r="H55" i="3" s="1"/>
  <c r="M55" i="5"/>
  <c r="N55" i="5" s="1"/>
  <c r="O55" i="5" s="1"/>
  <c r="G54" i="6" l="1"/>
  <c r="H54" i="6" s="1"/>
  <c r="R54" i="4"/>
  <c r="K54" i="4"/>
  <c r="M54" i="4" s="1"/>
  <c r="N54" i="4" s="1"/>
  <c r="J55" i="3"/>
  <c r="I55" i="3"/>
  <c r="R55" i="5"/>
  <c r="P55" i="5"/>
  <c r="P56" i="5" s="1"/>
  <c r="P57" i="5" s="1"/>
  <c r="F55" i="4" l="1"/>
  <c r="S54" i="4"/>
  <c r="J54" i="6"/>
  <c r="R54" i="6" s="1"/>
  <c r="I54" i="6"/>
  <c r="K55" i="3"/>
  <c r="M55" i="3" s="1"/>
  <c r="N55" i="3" s="1"/>
  <c r="L55" i="3"/>
  <c r="F56" i="5"/>
  <c r="S55" i="5"/>
  <c r="F55" i="6" l="1"/>
  <c r="S54" i="6"/>
  <c r="K54" i="6"/>
  <c r="G55" i="4"/>
  <c r="H55" i="4" s="1"/>
  <c r="J55" i="4" s="1"/>
  <c r="K55" i="4" s="1"/>
  <c r="M55" i="4" s="1"/>
  <c r="N55" i="4" s="1"/>
  <c r="I55" i="4"/>
  <c r="L55" i="4"/>
  <c r="O55" i="3"/>
  <c r="G56" i="5"/>
  <c r="H56" i="5" s="1"/>
  <c r="G55" i="6" l="1"/>
  <c r="H55" i="6" s="1"/>
  <c r="M54" i="6"/>
  <c r="N54" i="6" s="1"/>
  <c r="O55" i="4"/>
  <c r="R55" i="4"/>
  <c r="P55" i="4"/>
  <c r="P56" i="4" s="1"/>
  <c r="P57" i="4" s="1"/>
  <c r="R55" i="3"/>
  <c r="P55" i="3"/>
  <c r="P56" i="3" s="1"/>
  <c r="P57" i="3" s="1"/>
  <c r="J56" i="5"/>
  <c r="R56" i="5" s="1"/>
  <c r="I56" i="5"/>
  <c r="J55" i="6" l="1"/>
  <c r="I55" i="6"/>
  <c r="F56" i="4"/>
  <c r="G56" i="4" s="1"/>
  <c r="H56" i="4" s="1"/>
  <c r="S55" i="4"/>
  <c r="S55" i="3"/>
  <c r="F56" i="3"/>
  <c r="F57" i="5"/>
  <c r="G57" i="5" s="1"/>
  <c r="H57" i="5" s="1"/>
  <c r="S56" i="5"/>
  <c r="K56" i="5"/>
  <c r="M56" i="5" s="1"/>
  <c r="N56" i="5" s="1"/>
  <c r="K55" i="6" l="1"/>
  <c r="M55" i="6" s="1"/>
  <c r="N55" i="6" s="1"/>
  <c r="O55" i="6" s="1"/>
  <c r="L55" i="6"/>
  <c r="R55" i="6"/>
  <c r="P55" i="6"/>
  <c r="P56" i="6" s="1"/>
  <c r="P57" i="6" s="1"/>
  <c r="J56" i="4"/>
  <c r="I56" i="4"/>
  <c r="G56" i="3"/>
  <c r="H56" i="3" s="1"/>
  <c r="J57" i="5"/>
  <c r="K57" i="5" s="1"/>
  <c r="I57" i="5"/>
  <c r="S55" i="6" l="1"/>
  <c r="F56" i="6"/>
  <c r="K56" i="4"/>
  <c r="M56" i="4" s="1"/>
  <c r="N56" i="4" s="1"/>
  <c r="R56" i="4"/>
  <c r="J56" i="3"/>
  <c r="I56" i="3"/>
  <c r="M57" i="5"/>
  <c r="N57" i="5" s="1"/>
  <c r="R57" i="5"/>
  <c r="G56" i="6" l="1"/>
  <c r="H56" i="6" s="1"/>
  <c r="F57" i="4"/>
  <c r="S56" i="4"/>
  <c r="K56" i="3"/>
  <c r="M56" i="3" s="1"/>
  <c r="N56" i="3" s="1"/>
  <c r="R56" i="3"/>
  <c r="S57" i="5"/>
  <c r="F58" i="5"/>
  <c r="J56" i="6" l="1"/>
  <c r="I56" i="6"/>
  <c r="G57" i="4"/>
  <c r="H57" i="4" s="1"/>
  <c r="S56" i="3"/>
  <c r="F57" i="3"/>
  <c r="G58" i="5"/>
  <c r="H58" i="5" s="1"/>
  <c r="R56" i="6" l="1"/>
  <c r="K56" i="6"/>
  <c r="G57" i="3"/>
  <c r="H57" i="3" s="1"/>
  <c r="J57" i="3" s="1"/>
  <c r="I57" i="3"/>
  <c r="J57" i="4"/>
  <c r="I57" i="4"/>
  <c r="J58" i="5"/>
  <c r="I58" i="5"/>
  <c r="R57" i="3" l="1"/>
  <c r="K57" i="3"/>
  <c r="S56" i="6"/>
  <c r="F57" i="6"/>
  <c r="M56" i="6"/>
  <c r="N56" i="6" s="1"/>
  <c r="K57" i="4"/>
  <c r="R57" i="4"/>
  <c r="M57" i="3"/>
  <c r="N57" i="3" s="1"/>
  <c r="S57" i="3"/>
  <c r="F58" i="3"/>
  <c r="K58" i="5"/>
  <c r="L58" i="5"/>
  <c r="G57" i="6" l="1"/>
  <c r="H57" i="6" s="1"/>
  <c r="M57" i="4"/>
  <c r="N57" i="4" s="1"/>
  <c r="S57" i="4"/>
  <c r="F58" i="4"/>
  <c r="G58" i="3"/>
  <c r="H58" i="3" s="1"/>
  <c r="M58" i="5"/>
  <c r="N58" i="5" s="1"/>
  <c r="O58" i="5" s="1"/>
  <c r="J57" i="6" l="1"/>
  <c r="I57" i="6"/>
  <c r="G58" i="4"/>
  <c r="H58" i="4" s="1"/>
  <c r="J58" i="3"/>
  <c r="I58" i="3"/>
  <c r="R58" i="5"/>
  <c r="P58" i="5"/>
  <c r="P59" i="5" s="1"/>
  <c r="P60" i="5" s="1"/>
  <c r="K57" i="6" l="1"/>
  <c r="R57" i="6"/>
  <c r="J58" i="4"/>
  <c r="I58" i="4"/>
  <c r="L58" i="3"/>
  <c r="K58" i="3"/>
  <c r="F59" i="5"/>
  <c r="S58" i="5"/>
  <c r="M57" i="6" l="1"/>
  <c r="N57" i="6" s="1"/>
  <c r="F58" i="6"/>
  <c r="S57" i="6"/>
  <c r="L58" i="4"/>
  <c r="K58" i="4"/>
  <c r="M58" i="4" s="1"/>
  <c r="N58" i="4" s="1"/>
  <c r="M58" i="3"/>
  <c r="N58" i="3" s="1"/>
  <c r="O58" i="3" s="1"/>
  <c r="G59" i="5"/>
  <c r="H59" i="5" s="1"/>
  <c r="G58" i="6" l="1"/>
  <c r="H58" i="6" s="1"/>
  <c r="O58" i="4"/>
  <c r="R58" i="3"/>
  <c r="P58" i="3"/>
  <c r="P59" i="3" s="1"/>
  <c r="P60" i="3" s="1"/>
  <c r="J59" i="5"/>
  <c r="I59" i="5"/>
  <c r="R58" i="4" l="1"/>
  <c r="P58" i="4"/>
  <c r="P59" i="4" s="1"/>
  <c r="P60" i="4" s="1"/>
  <c r="J58" i="6"/>
  <c r="I58" i="6"/>
  <c r="F59" i="4"/>
  <c r="S58" i="4"/>
  <c r="F59" i="3"/>
  <c r="S58" i="3"/>
  <c r="R59" i="5"/>
  <c r="K59" i="5"/>
  <c r="L58" i="6" l="1"/>
  <c r="K58" i="6"/>
  <c r="G59" i="4"/>
  <c r="H59" i="4" s="1"/>
  <c r="G59" i="3"/>
  <c r="H59" i="3" s="1"/>
  <c r="S59" i="5"/>
  <c r="F60" i="5"/>
  <c r="M59" i="5"/>
  <c r="N59" i="5" s="1"/>
  <c r="M58" i="6" l="1"/>
  <c r="N58" i="6" s="1"/>
  <c r="O58" i="6" s="1"/>
  <c r="J59" i="4"/>
  <c r="I59" i="4"/>
  <c r="J59" i="3"/>
  <c r="I59" i="3"/>
  <c r="G60" i="5"/>
  <c r="H60" i="5" s="1"/>
  <c r="R58" i="6" l="1"/>
  <c r="P58" i="6"/>
  <c r="P59" i="6" s="1"/>
  <c r="P60" i="6" s="1"/>
  <c r="R59" i="4"/>
  <c r="K59" i="4"/>
  <c r="M59" i="4" s="1"/>
  <c r="N59" i="4" s="1"/>
  <c r="K59" i="3"/>
  <c r="R59" i="3"/>
  <c r="J60" i="5"/>
  <c r="I60" i="5"/>
  <c r="S58" i="6" l="1"/>
  <c r="F59" i="6"/>
  <c r="F60" i="4"/>
  <c r="S59" i="4"/>
  <c r="M59" i="3"/>
  <c r="N59" i="3" s="1"/>
  <c r="S59" i="3"/>
  <c r="F60" i="3"/>
  <c r="K60" i="5"/>
  <c r="R60" i="5"/>
  <c r="G59" i="6" l="1"/>
  <c r="H59" i="6" s="1"/>
  <c r="G60" i="4"/>
  <c r="H60" i="4" s="1"/>
  <c r="G60" i="3"/>
  <c r="H60" i="3" s="1"/>
  <c r="M60" i="5"/>
  <c r="N60" i="5" s="1"/>
  <c r="F61" i="5"/>
  <c r="S60" i="5"/>
  <c r="J59" i="6" l="1"/>
  <c r="I59" i="6"/>
  <c r="J60" i="4"/>
  <c r="I60" i="4"/>
  <c r="J60" i="3"/>
  <c r="R60" i="3" s="1"/>
  <c r="I60" i="3"/>
  <c r="G61" i="5"/>
  <c r="H61" i="5" s="1"/>
  <c r="K59" i="6" l="1"/>
  <c r="R59" i="6"/>
  <c r="R60" i="4"/>
  <c r="K60" i="4"/>
  <c r="M60" i="4" s="1"/>
  <c r="N60" i="4" s="1"/>
  <c r="S60" i="3"/>
  <c r="F61" i="3"/>
  <c r="G61" i="3" s="1"/>
  <c r="H61" i="3" s="1"/>
  <c r="K60" i="3"/>
  <c r="J61" i="5"/>
  <c r="I61" i="5"/>
  <c r="M59" i="6" l="1"/>
  <c r="N59" i="6" s="1"/>
  <c r="F60" i="6"/>
  <c r="S59" i="6"/>
  <c r="F61" i="4"/>
  <c r="S60" i="4"/>
  <c r="M60" i="3"/>
  <c r="N60" i="3" s="1"/>
  <c r="J61" i="3"/>
  <c r="I61" i="3"/>
  <c r="L61" i="5"/>
  <c r="K61" i="5"/>
  <c r="G60" i="6" l="1"/>
  <c r="H60" i="6" s="1"/>
  <c r="G61" i="4"/>
  <c r="H61" i="4" s="1"/>
  <c r="K61" i="3"/>
  <c r="M61" i="3" s="1"/>
  <c r="N61" i="3" s="1"/>
  <c r="L61" i="3"/>
  <c r="M61" i="5"/>
  <c r="N61" i="5" s="1"/>
  <c r="O61" i="5" s="1"/>
  <c r="J60" i="6" l="1"/>
  <c r="I60" i="6"/>
  <c r="J61" i="4"/>
  <c r="I61" i="4"/>
  <c r="O61" i="3"/>
  <c r="R61" i="5"/>
  <c r="P61" i="5"/>
  <c r="P62" i="5" s="1"/>
  <c r="P63" i="5" s="1"/>
  <c r="R60" i="6" l="1"/>
  <c r="K60" i="6"/>
  <c r="K61" i="4"/>
  <c r="M61" i="4" s="1"/>
  <c r="N61" i="4" s="1"/>
  <c r="L61" i="4"/>
  <c r="P61" i="3"/>
  <c r="P62" i="3" s="1"/>
  <c r="P63" i="3" s="1"/>
  <c r="R61" i="3"/>
  <c r="S61" i="5"/>
  <c r="F62" i="5"/>
  <c r="S60" i="6" l="1"/>
  <c r="F61" i="6"/>
  <c r="M60" i="6"/>
  <c r="N60" i="6" s="1"/>
  <c r="O61" i="4"/>
  <c r="F62" i="3"/>
  <c r="G62" i="3" s="1"/>
  <c r="H62" i="3" s="1"/>
  <c r="S61" i="3"/>
  <c r="G62" i="5"/>
  <c r="H62" i="5" s="1"/>
  <c r="G61" i="6" l="1"/>
  <c r="H61" i="6" s="1"/>
  <c r="R61" i="4"/>
  <c r="P61" i="4"/>
  <c r="P62" i="4" s="1"/>
  <c r="P63" i="4" s="1"/>
  <c r="J62" i="3"/>
  <c r="I62" i="3"/>
  <c r="J62" i="5"/>
  <c r="I62" i="5"/>
  <c r="J61" i="6" l="1"/>
  <c r="I61" i="6"/>
  <c r="S61" i="4"/>
  <c r="F62" i="4"/>
  <c r="K62" i="3"/>
  <c r="R62" i="3"/>
  <c r="R62" i="5"/>
  <c r="K62" i="5"/>
  <c r="L61" i="6" l="1"/>
  <c r="K61" i="6"/>
  <c r="G62" i="4"/>
  <c r="H62" i="4" s="1"/>
  <c r="M62" i="3"/>
  <c r="N62" i="3" s="1"/>
  <c r="F63" i="3"/>
  <c r="S62" i="3"/>
  <c r="S62" i="5"/>
  <c r="F63" i="5"/>
  <c r="M62" i="5"/>
  <c r="N62" i="5" s="1"/>
  <c r="M61" i="6" l="1"/>
  <c r="N61" i="6" s="1"/>
  <c r="O61" i="6" s="1"/>
  <c r="J62" i="4"/>
  <c r="I62" i="4"/>
  <c r="G63" i="3"/>
  <c r="H63" i="3" s="1"/>
  <c r="G63" i="5"/>
  <c r="H63" i="5" s="1"/>
  <c r="R61" i="6" l="1"/>
  <c r="P61" i="6"/>
  <c r="P62" i="6" s="1"/>
  <c r="P63" i="6" s="1"/>
  <c r="R62" i="4"/>
  <c r="K62" i="4"/>
  <c r="M62" i="4" s="1"/>
  <c r="N62" i="4" s="1"/>
  <c r="J63" i="3"/>
  <c r="I63" i="3"/>
  <c r="J63" i="5"/>
  <c r="I63" i="5"/>
  <c r="F62" i="6" l="1"/>
  <c r="S61" i="6"/>
  <c r="S62" i="4"/>
  <c r="F63" i="4"/>
  <c r="R63" i="3"/>
  <c r="K63" i="3"/>
  <c r="K63" i="5"/>
  <c r="R63" i="5"/>
  <c r="G62" i="6" l="1"/>
  <c r="H62" i="6" s="1"/>
  <c r="G63" i="4"/>
  <c r="H63" i="4" s="1"/>
  <c r="F64" i="3"/>
  <c r="S63" i="3"/>
  <c r="M63" i="3"/>
  <c r="N63" i="3" s="1"/>
  <c r="M63" i="5"/>
  <c r="N63" i="5" s="1"/>
  <c r="S63" i="5"/>
  <c r="F64" i="5"/>
  <c r="J62" i="6" l="1"/>
  <c r="I62" i="6"/>
  <c r="J63" i="4"/>
  <c r="I63" i="4"/>
  <c r="G64" i="3"/>
  <c r="H64" i="3" s="1"/>
  <c r="G64" i="5"/>
  <c r="H64" i="5" s="1"/>
  <c r="K62" i="6" l="1"/>
  <c r="R62" i="6"/>
  <c r="R63" i="4"/>
  <c r="K63" i="4"/>
  <c r="J64" i="3"/>
  <c r="I64" i="3"/>
  <c r="J64" i="5"/>
  <c r="I64" i="5"/>
  <c r="M62" i="6" l="1"/>
  <c r="N62" i="6" s="1"/>
  <c r="S62" i="6"/>
  <c r="F63" i="6"/>
  <c r="F64" i="4"/>
  <c r="S63" i="4"/>
  <c r="M63" i="4"/>
  <c r="N63" i="4" s="1"/>
  <c r="L64" i="3"/>
  <c r="K64" i="3"/>
  <c r="L64" i="5"/>
  <c r="K64" i="5"/>
  <c r="G63" i="6" l="1"/>
  <c r="H63" i="6" s="1"/>
  <c r="G64" i="4"/>
  <c r="H64" i="4" s="1"/>
  <c r="M64" i="3"/>
  <c r="N64" i="3" s="1"/>
  <c r="O64" i="3" s="1"/>
  <c r="I18" i="2"/>
  <c r="M64" i="5"/>
  <c r="N64" i="5" s="1"/>
  <c r="O64" i="5" s="1"/>
  <c r="I84" i="2"/>
  <c r="J63" i="6" l="1"/>
  <c r="I63" i="6"/>
  <c r="J64" i="4"/>
  <c r="I64" i="4"/>
  <c r="P64" i="3"/>
  <c r="P64" i="5"/>
  <c r="K63" i="6" l="1"/>
  <c r="R63" i="6"/>
  <c r="L64" i="4"/>
  <c r="K64" i="4"/>
  <c r="Q64" i="3"/>
  <c r="J18" i="2"/>
  <c r="Q64" i="5"/>
  <c r="J84" i="2"/>
  <c r="M63" i="6" l="1"/>
  <c r="N63" i="6" s="1"/>
  <c r="F64" i="6"/>
  <c r="S63" i="6"/>
  <c r="I51" i="2"/>
  <c r="M64" i="4"/>
  <c r="N64" i="4" s="1"/>
  <c r="O64" i="4" s="1"/>
  <c r="R64" i="3"/>
  <c r="L18" i="2"/>
  <c r="K18" i="2"/>
  <c r="R64" i="5"/>
  <c r="L84" i="2"/>
  <c r="K84" i="2"/>
  <c r="G64" i="6" l="1"/>
  <c r="H64" i="6" s="1"/>
  <c r="P64" i="4"/>
  <c r="M18" i="2"/>
  <c r="F65" i="3"/>
  <c r="S64" i="3"/>
  <c r="F65" i="5"/>
  <c r="M84" i="2"/>
  <c r="S64" i="5"/>
  <c r="J64" i="6" l="1"/>
  <c r="I64" i="6"/>
  <c r="Q64" i="4"/>
  <c r="L51" i="2" s="1"/>
  <c r="J51" i="2"/>
  <c r="D19" i="2"/>
  <c r="G65" i="3"/>
  <c r="H18" i="2"/>
  <c r="G18" i="2"/>
  <c r="F18" i="2"/>
  <c r="G65" i="5"/>
  <c r="D85" i="2"/>
  <c r="F84" i="2"/>
  <c r="G84" i="2"/>
  <c r="H84" i="2"/>
  <c r="L64" i="6" l="1"/>
  <c r="K64" i="6"/>
  <c r="R64" i="4"/>
  <c r="K51" i="2"/>
  <c r="H65" i="3"/>
  <c r="E19" i="2"/>
  <c r="E85" i="2"/>
  <c r="H65" i="5"/>
  <c r="I117" i="2" l="1"/>
  <c r="M64" i="6"/>
  <c r="N64" i="6" s="1"/>
  <c r="O64" i="6" s="1"/>
  <c r="M51" i="2"/>
  <c r="F65" i="4"/>
  <c r="S64" i="4"/>
  <c r="I65" i="3"/>
  <c r="J65" i="3"/>
  <c r="I65" i="5"/>
  <c r="J65" i="5"/>
  <c r="P64" i="6" l="1"/>
  <c r="G65" i="4"/>
  <c r="D52" i="2"/>
  <c r="F51" i="2"/>
  <c r="G51" i="2"/>
  <c r="H51" i="2"/>
  <c r="R65" i="3"/>
  <c r="K65" i="3"/>
  <c r="R65" i="5"/>
  <c r="K65" i="5"/>
  <c r="Q64" i="6" l="1"/>
  <c r="L117" i="2" s="1"/>
  <c r="J117" i="2"/>
  <c r="H65" i="4"/>
  <c r="E52" i="2"/>
  <c r="F66" i="3"/>
  <c r="S65" i="3"/>
  <c r="M65" i="3"/>
  <c r="N65" i="3" s="1"/>
  <c r="S65" i="5"/>
  <c r="F66" i="5"/>
  <c r="M65" i="5"/>
  <c r="N65" i="5" s="1"/>
  <c r="R64" i="6" l="1"/>
  <c r="K117" i="2"/>
  <c r="I65" i="4"/>
  <c r="J65" i="4"/>
  <c r="G66" i="3"/>
  <c r="H66" i="3" s="1"/>
  <c r="G66" i="5"/>
  <c r="H66" i="5" s="1"/>
  <c r="S64" i="6" l="1"/>
  <c r="M117" i="2"/>
  <c r="F65" i="6"/>
  <c r="R65" i="4"/>
  <c r="K65" i="4"/>
  <c r="J66" i="3"/>
  <c r="R66" i="3" s="1"/>
  <c r="I66" i="3"/>
  <c r="J66" i="5"/>
  <c r="R66" i="5" s="1"/>
  <c r="I66" i="5"/>
  <c r="H117" i="2" l="1"/>
  <c r="G117" i="2"/>
  <c r="F117" i="2"/>
  <c r="G65" i="6"/>
  <c r="D118" i="2"/>
  <c r="F66" i="4"/>
  <c r="S65" i="4"/>
  <c r="M65" i="4"/>
  <c r="N65" i="4" s="1"/>
  <c r="S66" i="3"/>
  <c r="F67" i="3"/>
  <c r="G67" i="3" s="1"/>
  <c r="H67" i="3" s="1"/>
  <c r="K66" i="3"/>
  <c r="S66" i="5"/>
  <c r="F67" i="5"/>
  <c r="G67" i="5" s="1"/>
  <c r="H67" i="5" s="1"/>
  <c r="K66" i="5"/>
  <c r="E118" i="2" l="1"/>
  <c r="H65" i="6"/>
  <c r="G66" i="4"/>
  <c r="H66" i="4" s="1"/>
  <c r="M66" i="3"/>
  <c r="N66" i="3" s="1"/>
  <c r="J67" i="3"/>
  <c r="I67" i="3"/>
  <c r="M66" i="5"/>
  <c r="N66" i="5" s="1"/>
  <c r="J67" i="5"/>
  <c r="K67" i="5" s="1"/>
  <c r="I67" i="5"/>
  <c r="I65" i="6" l="1"/>
  <c r="J65" i="6"/>
  <c r="J66" i="4"/>
  <c r="I66" i="4"/>
  <c r="L67" i="3"/>
  <c r="K67" i="3"/>
  <c r="M67" i="3" s="1"/>
  <c r="N67" i="3" s="1"/>
  <c r="M67" i="5"/>
  <c r="N67" i="5" s="1"/>
  <c r="L67" i="5"/>
  <c r="R65" i="6" l="1"/>
  <c r="K65" i="6"/>
  <c r="K66" i="4"/>
  <c r="R66" i="4"/>
  <c r="O67" i="3"/>
  <c r="O67" i="5"/>
  <c r="F66" i="6" l="1"/>
  <c r="S65" i="6"/>
  <c r="M65" i="6"/>
  <c r="N65" i="6" s="1"/>
  <c r="R67" i="3"/>
  <c r="P67" i="3"/>
  <c r="P68" i="3" s="1"/>
  <c r="P69" i="3" s="1"/>
  <c r="M66" i="4"/>
  <c r="N66" i="4" s="1"/>
  <c r="F67" i="4"/>
  <c r="S66" i="4"/>
  <c r="R67" i="5"/>
  <c r="P67" i="5"/>
  <c r="P68" i="5" s="1"/>
  <c r="P69" i="5" s="1"/>
  <c r="G66" i="6" l="1"/>
  <c r="H66" i="6" s="1"/>
  <c r="S67" i="3"/>
  <c r="F68" i="3"/>
  <c r="G68" i="3" s="1"/>
  <c r="H68" i="3" s="1"/>
  <c r="G67" i="4"/>
  <c r="H67" i="4" s="1"/>
  <c r="S67" i="5"/>
  <c r="F68" i="5"/>
  <c r="J66" i="6" l="1"/>
  <c r="I66" i="6"/>
  <c r="J67" i="4"/>
  <c r="I67" i="4"/>
  <c r="J68" i="3"/>
  <c r="I68" i="3"/>
  <c r="G68" i="5"/>
  <c r="H68" i="5" s="1"/>
  <c r="R66" i="6" l="1"/>
  <c r="K66" i="6"/>
  <c r="L67" i="4"/>
  <c r="K67" i="4"/>
  <c r="R68" i="3"/>
  <c r="K68" i="3"/>
  <c r="M68" i="3" s="1"/>
  <c r="N68" i="3" s="1"/>
  <c r="J68" i="5"/>
  <c r="I68" i="5"/>
  <c r="F67" i="6" l="1"/>
  <c r="S66" i="6"/>
  <c r="M66" i="6"/>
  <c r="N66" i="6" s="1"/>
  <c r="M67" i="4"/>
  <c r="N67" i="4" s="1"/>
  <c r="O67" i="4" s="1"/>
  <c r="F69" i="3"/>
  <c r="S68" i="3"/>
  <c r="R68" i="5"/>
  <c r="K68" i="5"/>
  <c r="G67" i="6" l="1"/>
  <c r="H67" i="6" s="1"/>
  <c r="R67" i="4"/>
  <c r="P67" i="4"/>
  <c r="P68" i="4" s="1"/>
  <c r="P69" i="4" s="1"/>
  <c r="G69" i="3"/>
  <c r="H69" i="3" s="1"/>
  <c r="F69" i="5"/>
  <c r="S68" i="5"/>
  <c r="M68" i="5"/>
  <c r="N68" i="5" s="1"/>
  <c r="J67" i="6" l="1"/>
  <c r="I67" i="6"/>
  <c r="K67" i="6"/>
  <c r="L67" i="6"/>
  <c r="S67" i="4"/>
  <c r="F68" i="4"/>
  <c r="J69" i="3"/>
  <c r="I69" i="3"/>
  <c r="G69" i="5"/>
  <c r="H69" i="5" s="1"/>
  <c r="M67" i="6" l="1"/>
  <c r="N67" i="6" s="1"/>
  <c r="O67" i="6" s="1"/>
  <c r="G68" i="4"/>
  <c r="H68" i="4" s="1"/>
  <c r="K69" i="3"/>
  <c r="M69" i="3" s="1"/>
  <c r="N69" i="3" s="1"/>
  <c r="R69" i="3"/>
  <c r="J69" i="5"/>
  <c r="I69" i="5"/>
  <c r="R67" i="6" l="1"/>
  <c r="P67" i="6"/>
  <c r="P68" i="6" s="1"/>
  <c r="P69" i="6" s="1"/>
  <c r="J68" i="4"/>
  <c r="I68" i="4"/>
  <c r="S69" i="3"/>
  <c r="F70" i="3"/>
  <c r="K69" i="5"/>
  <c r="R69" i="5"/>
  <c r="S67" i="6" l="1"/>
  <c r="F68" i="6"/>
  <c r="K68" i="4"/>
  <c r="M68" i="4" s="1"/>
  <c r="N68" i="4" s="1"/>
  <c r="R68" i="4"/>
  <c r="G70" i="3"/>
  <c r="H70" i="3" s="1"/>
  <c r="M69" i="5"/>
  <c r="N69" i="5" s="1"/>
  <c r="S69" i="5"/>
  <c r="F70" i="5"/>
  <c r="G68" i="6" l="1"/>
  <c r="H68" i="6" s="1"/>
  <c r="F69" i="4"/>
  <c r="S68" i="4"/>
  <c r="J70" i="3"/>
  <c r="I70" i="3"/>
  <c r="G70" i="5"/>
  <c r="H70" i="5" s="1"/>
  <c r="J68" i="6" l="1"/>
  <c r="I68" i="6"/>
  <c r="G69" i="4"/>
  <c r="H69" i="4" s="1"/>
  <c r="L70" i="3"/>
  <c r="K70" i="3"/>
  <c r="M70" i="3" s="1"/>
  <c r="N70" i="3" s="1"/>
  <c r="J70" i="5"/>
  <c r="I70" i="5"/>
  <c r="K68" i="6" l="1"/>
  <c r="R68" i="6"/>
  <c r="J69" i="4"/>
  <c r="I69" i="4"/>
  <c r="O70" i="3"/>
  <c r="L70" i="5"/>
  <c r="K70" i="5"/>
  <c r="M68" i="6" l="1"/>
  <c r="N68" i="6" s="1"/>
  <c r="S68" i="6"/>
  <c r="F69" i="6"/>
  <c r="R69" i="4"/>
  <c r="K69" i="4"/>
  <c r="M69" i="4" s="1"/>
  <c r="N69" i="4" s="1"/>
  <c r="P70" i="3"/>
  <c r="P71" i="3" s="1"/>
  <c r="P72" i="3" s="1"/>
  <c r="R70" i="3"/>
  <c r="M70" i="5"/>
  <c r="N70" i="5" s="1"/>
  <c r="O70" i="5" s="1"/>
  <c r="S69" i="4" l="1"/>
  <c r="F70" i="4"/>
  <c r="G70" i="4" s="1"/>
  <c r="H70" i="4" s="1"/>
  <c r="G69" i="6"/>
  <c r="H69" i="6" s="1"/>
  <c r="F71" i="3"/>
  <c r="S70" i="3"/>
  <c r="J70" i="4"/>
  <c r="I70" i="4"/>
  <c r="R70" i="5"/>
  <c r="P70" i="5"/>
  <c r="P71" i="5" s="1"/>
  <c r="P72" i="5" s="1"/>
  <c r="J69" i="6" l="1"/>
  <c r="I69" i="6"/>
  <c r="G71" i="3"/>
  <c r="H71" i="3" s="1"/>
  <c r="L70" i="4"/>
  <c r="K70" i="4"/>
  <c r="F71" i="5"/>
  <c r="S70" i="5"/>
  <c r="K69" i="6" l="1"/>
  <c r="R69" i="6"/>
  <c r="M70" i="4"/>
  <c r="N70" i="4" s="1"/>
  <c r="O70" i="4" s="1"/>
  <c r="J71" i="3"/>
  <c r="I71" i="3"/>
  <c r="G71" i="5"/>
  <c r="H71" i="5" s="1"/>
  <c r="M69" i="6" l="1"/>
  <c r="N69" i="6" s="1"/>
  <c r="F70" i="6"/>
  <c r="S69" i="6"/>
  <c r="P70" i="4"/>
  <c r="P71" i="4" s="1"/>
  <c r="P72" i="4" s="1"/>
  <c r="R70" i="4"/>
  <c r="R71" i="3"/>
  <c r="K71" i="3"/>
  <c r="M71" i="3" s="1"/>
  <c r="N71" i="3" s="1"/>
  <c r="J71" i="5"/>
  <c r="I71" i="5"/>
  <c r="G70" i="6" l="1"/>
  <c r="H70" i="6" s="1"/>
  <c r="F71" i="4"/>
  <c r="S70" i="4"/>
  <c r="S71" i="3"/>
  <c r="F72" i="3"/>
  <c r="K71" i="5"/>
  <c r="R71" i="5"/>
  <c r="J70" i="6" l="1"/>
  <c r="I70" i="6"/>
  <c r="G71" i="4"/>
  <c r="H71" i="4" s="1"/>
  <c r="G72" i="3"/>
  <c r="H72" i="3" s="1"/>
  <c r="M71" i="5"/>
  <c r="N71" i="5" s="1"/>
  <c r="S71" i="5"/>
  <c r="F72" i="5"/>
  <c r="L70" i="6" l="1"/>
  <c r="K70" i="6"/>
  <c r="J71" i="4"/>
  <c r="I71" i="4"/>
  <c r="J72" i="3"/>
  <c r="I72" i="3"/>
  <c r="G72" i="5"/>
  <c r="H72" i="5" s="1"/>
  <c r="M70" i="6" l="1"/>
  <c r="N70" i="6" s="1"/>
  <c r="O70" i="6" s="1"/>
  <c r="K71" i="4"/>
  <c r="M71" i="4" s="1"/>
  <c r="N71" i="4" s="1"/>
  <c r="R71" i="4"/>
  <c r="K72" i="3"/>
  <c r="M72" i="3" s="1"/>
  <c r="N72" i="3" s="1"/>
  <c r="R72" i="3"/>
  <c r="J72" i="5"/>
  <c r="I72" i="5"/>
  <c r="R70" i="6" l="1"/>
  <c r="P70" i="6"/>
  <c r="P71" i="6" s="1"/>
  <c r="P72" i="6" s="1"/>
  <c r="F72" i="4"/>
  <c r="S71" i="4"/>
  <c r="S72" i="3"/>
  <c r="F73" i="3"/>
  <c r="K72" i="5"/>
  <c r="R72" i="5"/>
  <c r="F71" i="6" l="1"/>
  <c r="S70" i="6"/>
  <c r="G72" i="4"/>
  <c r="H72" i="4" s="1"/>
  <c r="G73" i="3"/>
  <c r="H73" i="3" s="1"/>
  <c r="M72" i="5"/>
  <c r="N72" i="5" s="1"/>
  <c r="S72" i="5"/>
  <c r="F73" i="5"/>
  <c r="G71" i="6" l="1"/>
  <c r="H71" i="6" s="1"/>
  <c r="I72" i="4"/>
  <c r="J72" i="4"/>
  <c r="J73" i="3"/>
  <c r="I73" i="3"/>
  <c r="G73" i="5"/>
  <c r="H73" i="5" s="1"/>
  <c r="J71" i="6" l="1"/>
  <c r="R71" i="6" s="1"/>
  <c r="I71" i="6"/>
  <c r="R72" i="4"/>
  <c r="K72" i="4"/>
  <c r="M72" i="4" s="1"/>
  <c r="N72" i="4" s="1"/>
  <c r="K73" i="3"/>
  <c r="M73" i="3" s="1"/>
  <c r="N73" i="3" s="1"/>
  <c r="L73" i="3"/>
  <c r="J73" i="5"/>
  <c r="I73" i="5"/>
  <c r="S71" i="6" l="1"/>
  <c r="F72" i="6"/>
  <c r="G72" i="6"/>
  <c r="H72" i="6" s="1"/>
  <c r="K71" i="6"/>
  <c r="S72" i="4"/>
  <c r="F73" i="4"/>
  <c r="O73" i="3"/>
  <c r="L73" i="5"/>
  <c r="K73" i="5"/>
  <c r="M71" i="6" l="1"/>
  <c r="N71" i="6" s="1"/>
  <c r="J72" i="6"/>
  <c r="K72" i="6" s="1"/>
  <c r="I72" i="6"/>
  <c r="P73" i="3"/>
  <c r="P74" i="3" s="1"/>
  <c r="P75" i="3" s="1"/>
  <c r="R73" i="3"/>
  <c r="G73" i="4"/>
  <c r="H73" i="4" s="1"/>
  <c r="M73" i="5"/>
  <c r="N73" i="5" s="1"/>
  <c r="O73" i="5" s="1"/>
  <c r="S73" i="3" l="1"/>
  <c r="F74" i="3"/>
  <c r="M72" i="6"/>
  <c r="N72" i="6" s="1"/>
  <c r="R72" i="6"/>
  <c r="J73" i="4"/>
  <c r="I73" i="4"/>
  <c r="G74" i="3"/>
  <c r="H74" i="3" s="1"/>
  <c r="R73" i="5"/>
  <c r="P73" i="5"/>
  <c r="P74" i="5" s="1"/>
  <c r="P75" i="5" s="1"/>
  <c r="S72" i="6" l="1"/>
  <c r="F73" i="6"/>
  <c r="L73" i="4"/>
  <c r="K73" i="4"/>
  <c r="M73" i="4" s="1"/>
  <c r="N73" i="4" s="1"/>
  <c r="J74" i="3"/>
  <c r="I74" i="3"/>
  <c r="F74" i="5"/>
  <c r="S73" i="5"/>
  <c r="G73" i="6" l="1"/>
  <c r="H73" i="6" s="1"/>
  <c r="O73" i="4"/>
  <c r="R74" i="3"/>
  <c r="K74" i="3"/>
  <c r="G74" i="5"/>
  <c r="H74" i="5" s="1"/>
  <c r="J73" i="6" l="1"/>
  <c r="I73" i="6"/>
  <c r="P73" i="4"/>
  <c r="P74" i="4" s="1"/>
  <c r="P75" i="4" s="1"/>
  <c r="R73" i="4"/>
  <c r="F75" i="3"/>
  <c r="S74" i="3"/>
  <c r="M74" i="3"/>
  <c r="N74" i="3" s="1"/>
  <c r="J74" i="5"/>
  <c r="I74" i="5"/>
  <c r="K73" i="6" l="1"/>
  <c r="L73" i="6"/>
  <c r="F74" i="4"/>
  <c r="S73" i="4"/>
  <c r="G75" i="3"/>
  <c r="H75" i="3" s="1"/>
  <c r="R74" i="5"/>
  <c r="K74" i="5"/>
  <c r="M73" i="6" l="1"/>
  <c r="N73" i="6" s="1"/>
  <c r="O73" i="6" s="1"/>
  <c r="G74" i="4"/>
  <c r="H74" i="4" s="1"/>
  <c r="J75" i="3"/>
  <c r="I75" i="3"/>
  <c r="F75" i="5"/>
  <c r="S74" i="5"/>
  <c r="M74" i="5"/>
  <c r="N74" i="5" s="1"/>
  <c r="R73" i="6" l="1"/>
  <c r="P73" i="6"/>
  <c r="P74" i="6" s="1"/>
  <c r="P75" i="6" s="1"/>
  <c r="J74" i="4"/>
  <c r="I74" i="4"/>
  <c r="R75" i="3"/>
  <c r="K75" i="3"/>
  <c r="M75" i="3" s="1"/>
  <c r="N75" i="3" s="1"/>
  <c r="G75" i="5"/>
  <c r="H75" i="5" s="1"/>
  <c r="F74" i="6" l="1"/>
  <c r="S73" i="6"/>
  <c r="R74" i="4"/>
  <c r="K74" i="4"/>
  <c r="M74" i="4" s="1"/>
  <c r="N74" i="4" s="1"/>
  <c r="F76" i="3"/>
  <c r="S75" i="3"/>
  <c r="J75" i="5"/>
  <c r="I75" i="5"/>
  <c r="G74" i="6" l="1"/>
  <c r="H74" i="6" s="1"/>
  <c r="F75" i="4"/>
  <c r="S74" i="4"/>
  <c r="G76" i="3"/>
  <c r="H76" i="3" s="1"/>
  <c r="K75" i="5"/>
  <c r="R75" i="5"/>
  <c r="J74" i="6" l="1"/>
  <c r="I74" i="6"/>
  <c r="G75" i="4"/>
  <c r="H75" i="4" s="1"/>
  <c r="J76" i="3"/>
  <c r="I76" i="3"/>
  <c r="M75" i="5"/>
  <c r="N75" i="5" s="1"/>
  <c r="F76" i="5"/>
  <c r="S75" i="5"/>
  <c r="K74" i="6" l="1"/>
  <c r="R74" i="6"/>
  <c r="J75" i="4"/>
  <c r="I75" i="4"/>
  <c r="L76" i="3"/>
  <c r="K76" i="3"/>
  <c r="G76" i="5"/>
  <c r="H76" i="5" s="1"/>
  <c r="M74" i="6" l="1"/>
  <c r="N74" i="6" s="1"/>
  <c r="F75" i="6"/>
  <c r="S74" i="6"/>
  <c r="K75" i="4"/>
  <c r="M75" i="4" s="1"/>
  <c r="N75" i="4" s="1"/>
  <c r="R75" i="4"/>
  <c r="M76" i="3"/>
  <c r="N76" i="3" s="1"/>
  <c r="O76" i="3" s="1"/>
  <c r="I19" i="2"/>
  <c r="J76" i="5"/>
  <c r="I76" i="5"/>
  <c r="G75" i="6" l="1"/>
  <c r="H75" i="6" s="1"/>
  <c r="F76" i="4"/>
  <c r="S75" i="4"/>
  <c r="P76" i="3"/>
  <c r="L76" i="5"/>
  <c r="K76" i="5"/>
  <c r="J75" i="6" l="1"/>
  <c r="I75" i="6"/>
  <c r="G76" i="4"/>
  <c r="H76" i="4" s="1"/>
  <c r="Q76" i="3"/>
  <c r="L19" i="2" s="1"/>
  <c r="J19" i="2"/>
  <c r="I85" i="2"/>
  <c r="M76" i="5"/>
  <c r="N76" i="5" s="1"/>
  <c r="O76" i="5" s="1"/>
  <c r="P76" i="5" s="1"/>
  <c r="R75" i="6" l="1"/>
  <c r="K75" i="6"/>
  <c r="J76" i="4"/>
  <c r="K76" i="4" s="1"/>
  <c r="I76" i="4"/>
  <c r="L76" i="4"/>
  <c r="R76" i="3"/>
  <c r="K19" i="2"/>
  <c r="Q76" i="5"/>
  <c r="J85" i="2"/>
  <c r="S75" i="6" l="1"/>
  <c r="F76" i="6"/>
  <c r="M75" i="6"/>
  <c r="N75" i="6" s="1"/>
  <c r="I52" i="2"/>
  <c r="M76" i="4"/>
  <c r="N76" i="4" s="1"/>
  <c r="O76" i="4" s="1"/>
  <c r="F77" i="3"/>
  <c r="M19" i="2"/>
  <c r="S76" i="3"/>
  <c r="R76" i="5"/>
  <c r="L85" i="2"/>
  <c r="K85" i="2"/>
  <c r="G76" i="6" l="1"/>
  <c r="H76" i="6" s="1"/>
  <c r="P76" i="4"/>
  <c r="D20" i="2"/>
  <c r="G77" i="3"/>
  <c r="F19" i="2"/>
  <c r="H19" i="2"/>
  <c r="G19" i="2"/>
  <c r="M85" i="2"/>
  <c r="F77" i="5"/>
  <c r="S76" i="5"/>
  <c r="J76" i="6" l="1"/>
  <c r="I76" i="6"/>
  <c r="J52" i="2"/>
  <c r="Q76" i="4"/>
  <c r="L52" i="2" s="1"/>
  <c r="H77" i="3"/>
  <c r="E20" i="2"/>
  <c r="G77" i="5"/>
  <c r="D86" i="2"/>
  <c r="H85" i="2"/>
  <c r="G85" i="2"/>
  <c r="F85" i="2"/>
  <c r="L76" i="6" l="1"/>
  <c r="K76" i="6"/>
  <c r="R76" i="4"/>
  <c r="K52" i="2"/>
  <c r="I77" i="3"/>
  <c r="J77" i="3"/>
  <c r="E86" i="2"/>
  <c r="H77" i="5"/>
  <c r="M76" i="6" l="1"/>
  <c r="N76" i="6" s="1"/>
  <c r="O76" i="6" s="1"/>
  <c r="I118" i="2"/>
  <c r="S76" i="4"/>
  <c r="M52" i="2"/>
  <c r="F77" i="4"/>
  <c r="R77" i="3"/>
  <c r="K77" i="3"/>
  <c r="I77" i="5"/>
  <c r="J77" i="5"/>
  <c r="P76" i="6" l="1"/>
  <c r="G52" i="2"/>
  <c r="H52" i="2"/>
  <c r="F52" i="2"/>
  <c r="G77" i="4"/>
  <c r="D53" i="2"/>
  <c r="S77" i="3"/>
  <c r="F78" i="3"/>
  <c r="M77" i="3"/>
  <c r="N77" i="3" s="1"/>
  <c r="R77" i="5"/>
  <c r="K77" i="5"/>
  <c r="Q76" i="6" l="1"/>
  <c r="L118" i="2" s="1"/>
  <c r="J118" i="2"/>
  <c r="H77" i="4"/>
  <c r="E53" i="2"/>
  <c r="G78" i="3"/>
  <c r="H78" i="3" s="1"/>
  <c r="F78" i="5"/>
  <c r="S77" i="5"/>
  <c r="M77" i="5"/>
  <c r="N77" i="5" s="1"/>
  <c r="R76" i="6" l="1"/>
  <c r="K118" i="2"/>
  <c r="J77" i="4"/>
  <c r="I77" i="4"/>
  <c r="J78" i="3"/>
  <c r="I78" i="3"/>
  <c r="G78" i="5"/>
  <c r="H78" i="5" s="1"/>
  <c r="M118" i="2" l="1"/>
  <c r="F77" i="6"/>
  <c r="S76" i="6"/>
  <c r="K77" i="4"/>
  <c r="M77" i="4" s="1"/>
  <c r="N77" i="4" s="1"/>
  <c r="R77" i="4"/>
  <c r="R78" i="3"/>
  <c r="K78" i="3"/>
  <c r="M78" i="3" s="1"/>
  <c r="N78" i="3" s="1"/>
  <c r="J78" i="5"/>
  <c r="I78" i="5"/>
  <c r="D119" i="2" l="1"/>
  <c r="G77" i="6"/>
  <c r="H118" i="2"/>
  <c r="G118" i="2"/>
  <c r="F118" i="2"/>
  <c r="F78" i="4"/>
  <c r="S77" i="4"/>
  <c r="S78" i="3"/>
  <c r="F79" i="3"/>
  <c r="R78" i="5"/>
  <c r="K78" i="5"/>
  <c r="H77" i="6" l="1"/>
  <c r="E119" i="2"/>
  <c r="G78" i="4"/>
  <c r="H78" i="4" s="1"/>
  <c r="G79" i="3"/>
  <c r="H79" i="3" s="1"/>
  <c r="S78" i="5"/>
  <c r="F79" i="5"/>
  <c r="M78" i="5"/>
  <c r="N78" i="5" s="1"/>
  <c r="I77" i="6" l="1"/>
  <c r="J77" i="6"/>
  <c r="J78" i="4"/>
  <c r="I78" i="4"/>
  <c r="J79" i="3"/>
  <c r="I79" i="3"/>
  <c r="G79" i="5"/>
  <c r="H79" i="5" s="1"/>
  <c r="R77" i="6" l="1"/>
  <c r="K77" i="6"/>
  <c r="R78" i="4"/>
  <c r="K78" i="4"/>
  <c r="M78" i="4" s="1"/>
  <c r="N78" i="4" s="1"/>
  <c r="K79" i="3"/>
  <c r="M79" i="3" s="1"/>
  <c r="N79" i="3" s="1"/>
  <c r="L79" i="3"/>
  <c r="J79" i="5"/>
  <c r="I79" i="5"/>
  <c r="S77" i="6" l="1"/>
  <c r="F78" i="6"/>
  <c r="M77" i="6"/>
  <c r="N77" i="6" s="1"/>
  <c r="S78" i="4"/>
  <c r="F79" i="4"/>
  <c r="O79" i="3"/>
  <c r="L79" i="5"/>
  <c r="K79" i="5"/>
  <c r="G78" i="6" l="1"/>
  <c r="H78" i="6" s="1"/>
  <c r="G79" i="4"/>
  <c r="H79" i="4" s="1"/>
  <c r="P79" i="3"/>
  <c r="P80" i="3" s="1"/>
  <c r="P81" i="3" s="1"/>
  <c r="R79" i="3"/>
  <c r="M79" i="5"/>
  <c r="N79" i="5" s="1"/>
  <c r="O79" i="5" s="1"/>
  <c r="J78" i="6" l="1"/>
  <c r="I78" i="6"/>
  <c r="F80" i="3"/>
  <c r="S79" i="3"/>
  <c r="J79" i="4"/>
  <c r="I79" i="4"/>
  <c r="G80" i="3"/>
  <c r="H80" i="3" s="1"/>
  <c r="R79" i="5"/>
  <c r="P79" i="5"/>
  <c r="P80" i="5" s="1"/>
  <c r="P81" i="5" s="1"/>
  <c r="K78" i="6" l="1"/>
  <c r="R78" i="6"/>
  <c r="L79" i="4"/>
  <c r="K79" i="4"/>
  <c r="M79" i="4" s="1"/>
  <c r="N79" i="4" s="1"/>
  <c r="J80" i="3"/>
  <c r="I80" i="3"/>
  <c r="S79" i="5"/>
  <c r="F80" i="5"/>
  <c r="O79" i="4" l="1"/>
  <c r="M78" i="6"/>
  <c r="N78" i="6" s="1"/>
  <c r="S78" i="6"/>
  <c r="F79" i="6"/>
  <c r="R80" i="3"/>
  <c r="K80" i="3"/>
  <c r="M80" i="3" s="1"/>
  <c r="N80" i="3" s="1"/>
  <c r="G80" i="5"/>
  <c r="H80" i="5" s="1"/>
  <c r="P79" i="4" l="1"/>
  <c r="P80" i="4" s="1"/>
  <c r="P81" i="4" s="1"/>
  <c r="R79" i="4"/>
  <c r="G79" i="6"/>
  <c r="H79" i="6" s="1"/>
  <c r="F80" i="4"/>
  <c r="S79" i="4"/>
  <c r="S80" i="3"/>
  <c r="F81" i="3"/>
  <c r="J80" i="5"/>
  <c r="I80" i="5"/>
  <c r="J79" i="6" l="1"/>
  <c r="I79" i="6"/>
  <c r="G80" i="4"/>
  <c r="H80" i="4" s="1"/>
  <c r="G81" i="3"/>
  <c r="H81" i="3" s="1"/>
  <c r="R80" i="5"/>
  <c r="K80" i="5"/>
  <c r="L79" i="6" l="1"/>
  <c r="K79" i="6"/>
  <c r="J80" i="4"/>
  <c r="I80" i="4"/>
  <c r="J81" i="3"/>
  <c r="I81" i="3"/>
  <c r="F81" i="5"/>
  <c r="S80" i="5"/>
  <c r="M80" i="5"/>
  <c r="N80" i="5" s="1"/>
  <c r="M79" i="6" l="1"/>
  <c r="N79" i="6" s="1"/>
  <c r="O79" i="6" s="1"/>
  <c r="K80" i="4"/>
  <c r="M80" i="4" s="1"/>
  <c r="N80" i="4" s="1"/>
  <c r="R80" i="4"/>
  <c r="R81" i="3"/>
  <c r="K81" i="3"/>
  <c r="M81" i="3" s="1"/>
  <c r="N81" i="3" s="1"/>
  <c r="G81" i="5"/>
  <c r="H81" i="5" s="1"/>
  <c r="R79" i="6" l="1"/>
  <c r="P79" i="6"/>
  <c r="P80" i="6" s="1"/>
  <c r="P81" i="6" s="1"/>
  <c r="F81" i="4"/>
  <c r="S80" i="4"/>
  <c r="S81" i="3"/>
  <c r="F82" i="3"/>
  <c r="J81" i="5"/>
  <c r="I81" i="5"/>
  <c r="S79" i="6" l="1"/>
  <c r="F80" i="6"/>
  <c r="G81" i="4"/>
  <c r="H81" i="4" s="1"/>
  <c r="G82" i="3"/>
  <c r="H82" i="3" s="1"/>
  <c r="K81" i="5"/>
  <c r="R81" i="5"/>
  <c r="G80" i="6" l="1"/>
  <c r="H80" i="6" s="1"/>
  <c r="J81" i="4"/>
  <c r="I81" i="4"/>
  <c r="J82" i="3"/>
  <c r="I82" i="3"/>
  <c r="M81" i="5"/>
  <c r="N81" i="5" s="1"/>
  <c r="F82" i="5"/>
  <c r="S81" i="5"/>
  <c r="J80" i="6" l="1"/>
  <c r="I80" i="6"/>
  <c r="K81" i="4"/>
  <c r="M81" i="4" s="1"/>
  <c r="N81" i="4" s="1"/>
  <c r="R81" i="4"/>
  <c r="L82" i="3"/>
  <c r="K82" i="3"/>
  <c r="G82" i="5"/>
  <c r="H82" i="5" s="1"/>
  <c r="K80" i="6" l="1"/>
  <c r="R80" i="6"/>
  <c r="S81" i="4"/>
  <c r="F82" i="4"/>
  <c r="M82" i="3"/>
  <c r="N82" i="3" s="1"/>
  <c r="O82" i="3" s="1"/>
  <c r="J82" i="5"/>
  <c r="I82" i="5"/>
  <c r="M80" i="6" l="1"/>
  <c r="N80" i="6" s="1"/>
  <c r="S80" i="6"/>
  <c r="F81" i="6"/>
  <c r="G82" i="4"/>
  <c r="H82" i="4" s="1"/>
  <c r="R82" i="3"/>
  <c r="P82" i="3"/>
  <c r="P83" i="3" s="1"/>
  <c r="P84" i="3" s="1"/>
  <c r="K82" i="5"/>
  <c r="M82" i="5" s="1"/>
  <c r="N82" i="5" s="1"/>
  <c r="L82" i="5"/>
  <c r="G81" i="6" l="1"/>
  <c r="H81" i="6" s="1"/>
  <c r="J82" i="4"/>
  <c r="I82" i="4"/>
  <c r="S82" i="3"/>
  <c r="F83" i="3"/>
  <c r="O82" i="5"/>
  <c r="J81" i="6" l="1"/>
  <c r="I81" i="6"/>
  <c r="L82" i="4"/>
  <c r="K82" i="4"/>
  <c r="M82" i="4" s="1"/>
  <c r="N82" i="4" s="1"/>
  <c r="O82" i="4" s="1"/>
  <c r="G83" i="3"/>
  <c r="H83" i="3" s="1"/>
  <c r="P82" i="5"/>
  <c r="P83" i="5" s="1"/>
  <c r="P84" i="5" s="1"/>
  <c r="R82" i="5"/>
  <c r="K81" i="6" l="1"/>
  <c r="R81" i="6"/>
  <c r="R82" i="4"/>
  <c r="P82" i="4"/>
  <c r="P83" i="4" s="1"/>
  <c r="P84" i="4" s="1"/>
  <c r="J83" i="3"/>
  <c r="I83" i="3"/>
  <c r="F83" i="5"/>
  <c r="G83" i="5" s="1"/>
  <c r="H83" i="5" s="1"/>
  <c r="S82" i="5"/>
  <c r="M81" i="6" l="1"/>
  <c r="N81" i="6" s="1"/>
  <c r="S81" i="6"/>
  <c r="F82" i="6"/>
  <c r="S82" i="4"/>
  <c r="F83" i="4"/>
  <c r="R83" i="3"/>
  <c r="K83" i="3"/>
  <c r="J83" i="5"/>
  <c r="I83" i="5"/>
  <c r="G82" i="6" l="1"/>
  <c r="H82" i="6" s="1"/>
  <c r="G83" i="4"/>
  <c r="H83" i="4" s="1"/>
  <c r="F84" i="3"/>
  <c r="S83" i="3"/>
  <c r="M83" i="3"/>
  <c r="N83" i="3" s="1"/>
  <c r="K83" i="5"/>
  <c r="R83" i="5"/>
  <c r="J82" i="6" l="1"/>
  <c r="I82" i="6"/>
  <c r="J83" i="4"/>
  <c r="I83" i="4"/>
  <c r="G84" i="3"/>
  <c r="H84" i="3" s="1"/>
  <c r="M83" i="5"/>
  <c r="N83" i="5" s="1"/>
  <c r="S83" i="5"/>
  <c r="F84" i="5"/>
  <c r="L82" i="6" l="1"/>
  <c r="K82" i="6"/>
  <c r="K83" i="4"/>
  <c r="M83" i="4" s="1"/>
  <c r="N83" i="4" s="1"/>
  <c r="R83" i="4"/>
  <c r="J84" i="3"/>
  <c r="I84" i="3"/>
  <c r="G84" i="5"/>
  <c r="H84" i="5" s="1"/>
  <c r="M82" i="6" l="1"/>
  <c r="N82" i="6" s="1"/>
  <c r="O82" i="6" s="1"/>
  <c r="F84" i="4"/>
  <c r="S83" i="4"/>
  <c r="K84" i="3"/>
  <c r="R84" i="3"/>
  <c r="J84" i="5"/>
  <c r="I84" i="5"/>
  <c r="G84" i="4" l="1"/>
  <c r="H84" i="4" s="1"/>
  <c r="J84" i="4" s="1"/>
  <c r="K84" i="4" s="1"/>
  <c r="M84" i="4" s="1"/>
  <c r="N84" i="4" s="1"/>
  <c r="I84" i="4"/>
  <c r="R82" i="6"/>
  <c r="P82" i="6"/>
  <c r="P83" i="6" s="1"/>
  <c r="P84" i="6" s="1"/>
  <c r="R84" i="4"/>
  <c r="M84" i="3"/>
  <c r="N84" i="3" s="1"/>
  <c r="F85" i="3"/>
  <c r="S84" i="3"/>
  <c r="K84" i="5"/>
  <c r="R84" i="5"/>
  <c r="S82" i="6" l="1"/>
  <c r="F83" i="6"/>
  <c r="F85" i="4"/>
  <c r="S84" i="4"/>
  <c r="G85" i="3"/>
  <c r="H85" i="3" s="1"/>
  <c r="M84" i="5"/>
  <c r="N84" i="5" s="1"/>
  <c r="S84" i="5"/>
  <c r="F85" i="5"/>
  <c r="G83" i="6" l="1"/>
  <c r="H83" i="6" s="1"/>
  <c r="G85" i="4"/>
  <c r="H85" i="4" s="1"/>
  <c r="J85" i="3"/>
  <c r="I85" i="3"/>
  <c r="G85" i="5"/>
  <c r="H85" i="5" s="1"/>
  <c r="J83" i="6" l="1"/>
  <c r="I83" i="6"/>
  <c r="J85" i="4"/>
  <c r="I85" i="4"/>
  <c r="L85" i="3"/>
  <c r="K85" i="3"/>
  <c r="J85" i="5"/>
  <c r="I85" i="5"/>
  <c r="K83" i="6" l="1"/>
  <c r="R83" i="6"/>
  <c r="L85" i="4"/>
  <c r="K85" i="4"/>
  <c r="M85" i="4" s="1"/>
  <c r="N85" i="4" s="1"/>
  <c r="O85" i="4" s="1"/>
  <c r="M85" i="3"/>
  <c r="N85" i="3" s="1"/>
  <c r="O85" i="3" s="1"/>
  <c r="L85" i="5"/>
  <c r="K85" i="5"/>
  <c r="M83" i="6" l="1"/>
  <c r="N83" i="6" s="1"/>
  <c r="F84" i="6"/>
  <c r="S83" i="6"/>
  <c r="P85" i="4"/>
  <c r="P86" i="4" s="1"/>
  <c r="P87" i="4" s="1"/>
  <c r="R85" i="4"/>
  <c r="R85" i="3"/>
  <c r="P85" i="3"/>
  <c r="P86" i="3" s="1"/>
  <c r="P87" i="3" s="1"/>
  <c r="M85" i="5"/>
  <c r="N85" i="5" s="1"/>
  <c r="O85" i="5" s="1"/>
  <c r="G84" i="6" l="1"/>
  <c r="H84" i="6" s="1"/>
  <c r="S85" i="4"/>
  <c r="F86" i="4"/>
  <c r="F86" i="3"/>
  <c r="S85" i="3"/>
  <c r="R85" i="5"/>
  <c r="P85" i="5"/>
  <c r="P86" i="5" s="1"/>
  <c r="P87" i="5" s="1"/>
  <c r="J84" i="6" l="1"/>
  <c r="I84" i="6"/>
  <c r="G86" i="4"/>
  <c r="H86" i="4" s="1"/>
  <c r="G86" i="3"/>
  <c r="H86" i="3" s="1"/>
  <c r="F86" i="5"/>
  <c r="S85" i="5"/>
  <c r="K84" i="6" l="1"/>
  <c r="R84" i="6"/>
  <c r="J86" i="4"/>
  <c r="I86" i="4"/>
  <c r="J86" i="3"/>
  <c r="I86" i="3"/>
  <c r="G86" i="5"/>
  <c r="H86" i="5" s="1"/>
  <c r="M84" i="6" l="1"/>
  <c r="N84" i="6" s="1"/>
  <c r="S84" i="6"/>
  <c r="F85" i="6"/>
  <c r="R86" i="4"/>
  <c r="K86" i="4"/>
  <c r="M86" i="4" s="1"/>
  <c r="N86" i="4" s="1"/>
  <c r="R86" i="3"/>
  <c r="K86" i="3"/>
  <c r="J86" i="5"/>
  <c r="I86" i="5"/>
  <c r="G85" i="6" l="1"/>
  <c r="H85" i="6" s="1"/>
  <c r="S86" i="4"/>
  <c r="F87" i="4"/>
  <c r="S86" i="3"/>
  <c r="F87" i="3"/>
  <c r="M86" i="3"/>
  <c r="N86" i="3" s="1"/>
  <c r="R86" i="5"/>
  <c r="K86" i="5"/>
  <c r="M86" i="5" s="1"/>
  <c r="N86" i="5" s="1"/>
  <c r="J85" i="6" l="1"/>
  <c r="I85" i="6"/>
  <c r="K85" i="6"/>
  <c r="L85" i="6"/>
  <c r="G87" i="4"/>
  <c r="H87" i="4" s="1"/>
  <c r="G87" i="3"/>
  <c r="H87" i="3" s="1"/>
  <c r="S86" i="5"/>
  <c r="F87" i="5"/>
  <c r="M85" i="6" l="1"/>
  <c r="N85" i="6" s="1"/>
  <c r="O85" i="6" s="1"/>
  <c r="J87" i="4"/>
  <c r="I87" i="4"/>
  <c r="J87" i="3"/>
  <c r="I87" i="3"/>
  <c r="G87" i="5"/>
  <c r="H87" i="5" s="1"/>
  <c r="R85" i="6" l="1"/>
  <c r="P85" i="6"/>
  <c r="P86" i="6" s="1"/>
  <c r="P87" i="6" s="1"/>
  <c r="R87" i="4"/>
  <c r="K87" i="4"/>
  <c r="M87" i="4" s="1"/>
  <c r="N87" i="4" s="1"/>
  <c r="K87" i="3"/>
  <c r="R87" i="3"/>
  <c r="J87" i="5"/>
  <c r="I87" i="5"/>
  <c r="F86" i="6" l="1"/>
  <c r="S85" i="6"/>
  <c r="F88" i="4"/>
  <c r="S87" i="4"/>
  <c r="M87" i="3"/>
  <c r="N87" i="3" s="1"/>
  <c r="F88" i="3"/>
  <c r="S87" i="3"/>
  <c r="K87" i="5"/>
  <c r="M87" i="5" s="1"/>
  <c r="N87" i="5" s="1"/>
  <c r="R87" i="5"/>
  <c r="G86" i="6" l="1"/>
  <c r="H86" i="6" s="1"/>
  <c r="G88" i="4"/>
  <c r="H88" i="4" s="1"/>
  <c r="G88" i="3"/>
  <c r="H88" i="3" s="1"/>
  <c r="S87" i="5"/>
  <c r="F88" i="5"/>
  <c r="J86" i="6" l="1"/>
  <c r="I86" i="6"/>
  <c r="J88" i="4"/>
  <c r="I88" i="4"/>
  <c r="K88" i="4"/>
  <c r="L88" i="4"/>
  <c r="J88" i="3"/>
  <c r="I88" i="3"/>
  <c r="G88" i="5"/>
  <c r="H88" i="5" s="1"/>
  <c r="K86" i="6" l="1"/>
  <c r="R86" i="6"/>
  <c r="M88" i="4"/>
  <c r="N88" i="4" s="1"/>
  <c r="O88" i="4" s="1"/>
  <c r="I53" i="2"/>
  <c r="L88" i="3"/>
  <c r="K88" i="3"/>
  <c r="J88" i="5"/>
  <c r="I88" i="5"/>
  <c r="M86" i="6" l="1"/>
  <c r="N86" i="6" s="1"/>
  <c r="S86" i="6"/>
  <c r="F87" i="6"/>
  <c r="P88" i="4"/>
  <c r="M88" i="3"/>
  <c r="N88" i="3" s="1"/>
  <c r="O88" i="3" s="1"/>
  <c r="I20" i="2"/>
  <c r="K88" i="5"/>
  <c r="I86" i="2" s="1"/>
  <c r="L88" i="5"/>
  <c r="M88" i="5"/>
  <c r="N88" i="5" s="1"/>
  <c r="G87" i="6" l="1"/>
  <c r="H87" i="6" s="1"/>
  <c r="J53" i="2"/>
  <c r="Q88" i="4"/>
  <c r="L53" i="2" s="1"/>
  <c r="P88" i="3"/>
  <c r="O88" i="5"/>
  <c r="P88" i="5" s="1"/>
  <c r="J87" i="6" l="1"/>
  <c r="I87" i="6"/>
  <c r="R88" i="4"/>
  <c r="K53" i="2"/>
  <c r="Q88" i="3"/>
  <c r="L20" i="2" s="1"/>
  <c r="J20" i="2"/>
  <c r="Q88" i="5"/>
  <c r="J86" i="2"/>
  <c r="K87" i="6" l="1"/>
  <c r="R87" i="6"/>
  <c r="S88" i="4"/>
  <c r="F89" i="4"/>
  <c r="M53" i="2"/>
  <c r="R88" i="3"/>
  <c r="K20" i="2"/>
  <c r="R88" i="5"/>
  <c r="L86" i="2"/>
  <c r="K86" i="2"/>
  <c r="M87" i="6" l="1"/>
  <c r="N87" i="6" s="1"/>
  <c r="S87" i="6"/>
  <c r="F88" i="6"/>
  <c r="G53" i="2"/>
  <c r="H53" i="2"/>
  <c r="F53" i="2"/>
  <c r="G89" i="4"/>
  <c r="D54" i="2"/>
  <c r="F89" i="3"/>
  <c r="S88" i="3"/>
  <c r="M20" i="2"/>
  <c r="F89" i="5"/>
  <c r="G89" i="5" s="1"/>
  <c r="M86" i="2"/>
  <c r="S88" i="5"/>
  <c r="D87" i="2"/>
  <c r="G88" i="6" l="1"/>
  <c r="H88" i="6" s="1"/>
  <c r="H89" i="4"/>
  <c r="E54" i="2"/>
  <c r="F86" i="2"/>
  <c r="H86" i="2"/>
  <c r="G86" i="2"/>
  <c r="G89" i="3"/>
  <c r="D21" i="2"/>
  <c r="F20" i="2"/>
  <c r="H20" i="2"/>
  <c r="G20" i="2"/>
  <c r="H89" i="5"/>
  <c r="E87" i="2"/>
  <c r="J88" i="6" l="1"/>
  <c r="I88" i="6"/>
  <c r="I89" i="4"/>
  <c r="J89" i="4"/>
  <c r="E21" i="2"/>
  <c r="H89" i="3"/>
  <c r="I89" i="5"/>
  <c r="J89" i="5"/>
  <c r="L88" i="6" l="1"/>
  <c r="K88" i="6"/>
  <c r="K89" i="4"/>
  <c r="M89" i="4" s="1"/>
  <c r="N89" i="4" s="1"/>
  <c r="R89" i="4"/>
  <c r="I89" i="3"/>
  <c r="J89" i="3"/>
  <c r="R89" i="5"/>
  <c r="K89" i="5"/>
  <c r="M88" i="6" l="1"/>
  <c r="N88" i="6" s="1"/>
  <c r="O88" i="6" s="1"/>
  <c r="I119" i="2"/>
  <c r="S89" i="4"/>
  <c r="F90" i="4"/>
  <c r="R89" i="3"/>
  <c r="K89" i="3"/>
  <c r="F90" i="5"/>
  <c r="S89" i="5"/>
  <c r="M89" i="5"/>
  <c r="N89" i="5" s="1"/>
  <c r="P88" i="6" l="1"/>
  <c r="G90" i="4"/>
  <c r="H90" i="4" s="1"/>
  <c r="S89" i="3"/>
  <c r="F90" i="3"/>
  <c r="M89" i="3"/>
  <c r="N89" i="3" s="1"/>
  <c r="G90" i="5"/>
  <c r="H90" i="5" s="1"/>
  <c r="Q88" i="6" l="1"/>
  <c r="L119" i="2" s="1"/>
  <c r="J119" i="2"/>
  <c r="J90" i="4"/>
  <c r="I90" i="4"/>
  <c r="G90" i="3"/>
  <c r="H90" i="3" s="1"/>
  <c r="J90" i="5"/>
  <c r="I90" i="5"/>
  <c r="R88" i="6" l="1"/>
  <c r="K119" i="2"/>
  <c r="K90" i="4"/>
  <c r="M90" i="4" s="1"/>
  <c r="N90" i="4" s="1"/>
  <c r="R90" i="4"/>
  <c r="J90" i="3"/>
  <c r="I90" i="3"/>
  <c r="R90" i="5"/>
  <c r="K90" i="5"/>
  <c r="F89" i="6" l="1"/>
  <c r="M119" i="2"/>
  <c r="S88" i="6"/>
  <c r="S90" i="4"/>
  <c r="F91" i="4"/>
  <c r="K90" i="3"/>
  <c r="R90" i="3"/>
  <c r="S90" i="5"/>
  <c r="F91" i="5"/>
  <c r="M90" i="5"/>
  <c r="N90" i="5" s="1"/>
  <c r="D120" i="2" l="1"/>
  <c r="G89" i="6"/>
  <c r="H119" i="2"/>
  <c r="F119" i="2"/>
  <c r="G119" i="2"/>
  <c r="G91" i="4"/>
  <c r="H91" i="4" s="1"/>
  <c r="M90" i="3"/>
  <c r="N90" i="3" s="1"/>
  <c r="F91" i="3"/>
  <c r="S90" i="3"/>
  <c r="G91" i="5"/>
  <c r="H91" i="5" s="1"/>
  <c r="E120" i="2" l="1"/>
  <c r="H89" i="6"/>
  <c r="J91" i="4"/>
  <c r="I91" i="4"/>
  <c r="G91" i="3"/>
  <c r="H91" i="3" s="1"/>
  <c r="J91" i="5"/>
  <c r="I91" i="5"/>
  <c r="I89" i="6" l="1"/>
  <c r="J89" i="6"/>
  <c r="L91" i="4"/>
  <c r="K91" i="4"/>
  <c r="M91" i="4" s="1"/>
  <c r="N91" i="4" s="1"/>
  <c r="J91" i="3"/>
  <c r="I91" i="3"/>
  <c r="L91" i="5"/>
  <c r="K91" i="5"/>
  <c r="O91" i="4" l="1"/>
  <c r="R89" i="6"/>
  <c r="K89" i="6"/>
  <c r="L91" i="3"/>
  <c r="K91" i="3"/>
  <c r="M91" i="5"/>
  <c r="N91" i="5" s="1"/>
  <c r="O91" i="5" s="1"/>
  <c r="P91" i="4" l="1"/>
  <c r="P92" i="4" s="1"/>
  <c r="P93" i="4" s="1"/>
  <c r="R91" i="4"/>
  <c r="S91" i="4" s="1"/>
  <c r="S89" i="6"/>
  <c r="F90" i="6"/>
  <c r="M89" i="6"/>
  <c r="N89" i="6" s="1"/>
  <c r="F92" i="4"/>
  <c r="M91" i="3"/>
  <c r="N91" i="3" s="1"/>
  <c r="O91" i="3" s="1"/>
  <c r="R91" i="5"/>
  <c r="P91" i="5"/>
  <c r="P92" i="5" s="1"/>
  <c r="P93" i="5" s="1"/>
  <c r="G90" i="6" l="1"/>
  <c r="H90" i="6" s="1"/>
  <c r="G92" i="4"/>
  <c r="H92" i="4" s="1"/>
  <c r="R91" i="3"/>
  <c r="P91" i="3"/>
  <c r="P92" i="3" s="1"/>
  <c r="P93" i="3" s="1"/>
  <c r="S91" i="5"/>
  <c r="F92" i="5"/>
  <c r="J92" i="4" l="1"/>
  <c r="I92" i="4"/>
  <c r="J90" i="6"/>
  <c r="I90" i="6"/>
  <c r="K92" i="4"/>
  <c r="R92" i="4"/>
  <c r="F93" i="4" s="1"/>
  <c r="F92" i="3"/>
  <c r="S91" i="3"/>
  <c r="G92" i="5"/>
  <c r="H92" i="5" s="1"/>
  <c r="M92" i="4"/>
  <c r="N92" i="4" s="1"/>
  <c r="S92" i="4"/>
  <c r="K90" i="6" l="1"/>
  <c r="R90" i="6"/>
  <c r="G92" i="3"/>
  <c r="H92" i="3" s="1"/>
  <c r="G93" i="4"/>
  <c r="H93" i="4" s="1"/>
  <c r="J92" i="5"/>
  <c r="I92" i="5"/>
  <c r="M90" i="6" l="1"/>
  <c r="N90" i="6" s="1"/>
  <c r="F91" i="6"/>
  <c r="S90" i="6"/>
  <c r="J92" i="3"/>
  <c r="I92" i="3"/>
  <c r="K92" i="5"/>
  <c r="R92" i="5"/>
  <c r="J93" i="4"/>
  <c r="I93" i="4"/>
  <c r="G91" i="6" l="1"/>
  <c r="H91" i="6" s="1"/>
  <c r="K92" i="3"/>
  <c r="R92" i="3"/>
  <c r="M92" i="5"/>
  <c r="N92" i="5" s="1"/>
  <c r="F93" i="5"/>
  <c r="S92" i="5"/>
  <c r="K93" i="4"/>
  <c r="R93" i="4"/>
  <c r="J91" i="6" l="1"/>
  <c r="I91" i="6"/>
  <c r="M92" i="3"/>
  <c r="N92" i="3" s="1"/>
  <c r="F93" i="3"/>
  <c r="S92" i="3"/>
  <c r="G93" i="5"/>
  <c r="H93" i="5" s="1"/>
  <c r="M93" i="4"/>
  <c r="N93" i="4" s="1"/>
  <c r="S93" i="4"/>
  <c r="F94" i="4"/>
  <c r="L91" i="6" l="1"/>
  <c r="K91" i="6"/>
  <c r="G93" i="3"/>
  <c r="H93" i="3" s="1"/>
  <c r="G94" i="4"/>
  <c r="H94" i="4" s="1"/>
  <c r="J93" i="5"/>
  <c r="I93" i="5"/>
  <c r="M91" i="6" l="1"/>
  <c r="N91" i="6" s="1"/>
  <c r="O91" i="6" s="1"/>
  <c r="J93" i="3"/>
  <c r="I93" i="3"/>
  <c r="R93" i="5"/>
  <c r="K93" i="5"/>
  <c r="J94" i="4"/>
  <c r="I94" i="4"/>
  <c r="R91" i="6" l="1"/>
  <c r="P91" i="6"/>
  <c r="P92" i="6" s="1"/>
  <c r="P93" i="6" s="1"/>
  <c r="K93" i="3"/>
  <c r="R93" i="3"/>
  <c r="S93" i="5"/>
  <c r="F94" i="5"/>
  <c r="M93" i="5"/>
  <c r="N93" i="5" s="1"/>
  <c r="L94" i="4"/>
  <c r="K94" i="4"/>
  <c r="S91" i="6" l="1"/>
  <c r="F92" i="6"/>
  <c r="M93" i="3"/>
  <c r="N93" i="3" s="1"/>
  <c r="S93" i="3"/>
  <c r="F94" i="3"/>
  <c r="G94" i="5"/>
  <c r="H94" i="5" s="1"/>
  <c r="M94" i="4"/>
  <c r="N94" i="4" s="1"/>
  <c r="O94" i="4" s="1"/>
  <c r="G92" i="6" l="1"/>
  <c r="H92" i="6" s="1"/>
  <c r="G94" i="3"/>
  <c r="H94" i="3" s="1"/>
  <c r="R94" i="4"/>
  <c r="P94" i="4"/>
  <c r="P95" i="4" s="1"/>
  <c r="P96" i="4" s="1"/>
  <c r="J94" i="5"/>
  <c r="I94" i="5"/>
  <c r="J92" i="6" l="1"/>
  <c r="I92" i="6"/>
  <c r="J94" i="3"/>
  <c r="I94" i="3"/>
  <c r="S94" i="4"/>
  <c r="F95" i="4"/>
  <c r="L94" i="5"/>
  <c r="K94" i="5"/>
  <c r="K92" i="6" l="1"/>
  <c r="R92" i="6"/>
  <c r="L94" i="3"/>
  <c r="K94" i="3"/>
  <c r="G95" i="4"/>
  <c r="H95" i="4" s="1"/>
  <c r="M94" i="5"/>
  <c r="N94" i="5" s="1"/>
  <c r="O94" i="5" s="1"/>
  <c r="M92" i="6" l="1"/>
  <c r="N92" i="6" s="1"/>
  <c r="S92" i="6"/>
  <c r="F93" i="6"/>
  <c r="M94" i="3"/>
  <c r="N94" i="3" s="1"/>
  <c r="O94" i="3" s="1"/>
  <c r="R94" i="5"/>
  <c r="P94" i="5"/>
  <c r="P95" i="5" s="1"/>
  <c r="P96" i="5" s="1"/>
  <c r="J95" i="4"/>
  <c r="I95" i="4"/>
  <c r="G93" i="6" l="1"/>
  <c r="H93" i="6" s="1"/>
  <c r="R94" i="3"/>
  <c r="P94" i="3"/>
  <c r="P95" i="3" s="1"/>
  <c r="P96" i="3" s="1"/>
  <c r="S94" i="5"/>
  <c r="F95" i="5"/>
  <c r="K95" i="4"/>
  <c r="R95" i="4"/>
  <c r="J93" i="6" l="1"/>
  <c r="I93" i="6"/>
  <c r="S94" i="3"/>
  <c r="F95" i="3"/>
  <c r="G95" i="5"/>
  <c r="H95" i="5" s="1"/>
  <c r="M95" i="4"/>
  <c r="N95" i="4" s="1"/>
  <c r="S95" i="4"/>
  <c r="F96" i="4"/>
  <c r="K93" i="6" l="1"/>
  <c r="R93" i="6"/>
  <c r="G95" i="3"/>
  <c r="H95" i="3" s="1"/>
  <c r="G96" i="4"/>
  <c r="H96" i="4" s="1"/>
  <c r="J95" i="5"/>
  <c r="I95" i="5"/>
  <c r="M93" i="6" l="1"/>
  <c r="N93" i="6" s="1"/>
  <c r="F94" i="6"/>
  <c r="S93" i="6"/>
  <c r="J95" i="3"/>
  <c r="I95" i="3"/>
  <c r="J96" i="4"/>
  <c r="I96" i="4"/>
  <c r="R95" i="5"/>
  <c r="K95" i="5"/>
  <c r="G94" i="6" l="1"/>
  <c r="H94" i="6" s="1"/>
  <c r="K95" i="3"/>
  <c r="R95" i="3"/>
  <c r="R96" i="4"/>
  <c r="K96" i="4"/>
  <c r="M96" i="4" s="1"/>
  <c r="N96" i="4" s="1"/>
  <c r="S95" i="5"/>
  <c r="F96" i="5"/>
  <c r="M95" i="5"/>
  <c r="N95" i="5" s="1"/>
  <c r="J94" i="6" l="1"/>
  <c r="I94" i="6"/>
  <c r="M95" i="3"/>
  <c r="N95" i="3" s="1"/>
  <c r="F96" i="3"/>
  <c r="S95" i="3"/>
  <c r="F97" i="4"/>
  <c r="G97" i="4" s="1"/>
  <c r="H97" i="4" s="1"/>
  <c r="S96" i="4"/>
  <c r="G96" i="5"/>
  <c r="H96" i="5" s="1"/>
  <c r="L94" i="6" l="1"/>
  <c r="K94" i="6"/>
  <c r="G96" i="3"/>
  <c r="H96" i="3" s="1"/>
  <c r="I97" i="4"/>
  <c r="J97" i="4"/>
  <c r="J96" i="5"/>
  <c r="I96" i="5"/>
  <c r="M94" i="6" l="1"/>
  <c r="N94" i="6" s="1"/>
  <c r="O94" i="6" s="1"/>
  <c r="J96" i="3"/>
  <c r="I96" i="3"/>
  <c r="L97" i="4"/>
  <c r="K97" i="4"/>
  <c r="M97" i="4" s="1"/>
  <c r="N97" i="4" s="1"/>
  <c r="O97" i="4" s="1"/>
  <c r="K96" i="5"/>
  <c r="R96" i="5"/>
  <c r="R94" i="6" l="1"/>
  <c r="P94" i="6"/>
  <c r="P95" i="6" s="1"/>
  <c r="P96" i="6" s="1"/>
  <c r="K96" i="3"/>
  <c r="R96" i="3"/>
  <c r="R97" i="4"/>
  <c r="P97" i="4"/>
  <c r="P98" i="4" s="1"/>
  <c r="P99" i="4" s="1"/>
  <c r="M96" i="5"/>
  <c r="N96" i="5" s="1"/>
  <c r="S96" i="5"/>
  <c r="F97" i="5"/>
  <c r="F95" i="6" l="1"/>
  <c r="S94" i="6"/>
  <c r="M96" i="3"/>
  <c r="N96" i="3" s="1"/>
  <c r="S96" i="3"/>
  <c r="F97" i="3"/>
  <c r="S97" i="4"/>
  <c r="F98" i="4"/>
  <c r="G97" i="5"/>
  <c r="H97" i="5" s="1"/>
  <c r="G95" i="6" l="1"/>
  <c r="H95" i="6" s="1"/>
  <c r="G97" i="3"/>
  <c r="H97" i="3" s="1"/>
  <c r="G98" i="4"/>
  <c r="H98" i="4" s="1"/>
  <c r="J97" i="5"/>
  <c r="I97" i="5"/>
  <c r="J95" i="6" l="1"/>
  <c r="I95" i="6"/>
  <c r="J97" i="3"/>
  <c r="I97" i="3"/>
  <c r="L97" i="5"/>
  <c r="K97" i="5"/>
  <c r="J98" i="4"/>
  <c r="I98" i="4"/>
  <c r="K95" i="6" l="1"/>
  <c r="R95" i="6"/>
  <c r="L97" i="3"/>
  <c r="K97" i="3"/>
  <c r="M97" i="5"/>
  <c r="N97" i="5" s="1"/>
  <c r="O97" i="5" s="1"/>
  <c r="K98" i="4"/>
  <c r="R98" i="4"/>
  <c r="M95" i="6" l="1"/>
  <c r="N95" i="6" s="1"/>
  <c r="S95" i="6"/>
  <c r="F96" i="6"/>
  <c r="M97" i="3"/>
  <c r="N97" i="3" s="1"/>
  <c r="O97" i="3" s="1"/>
  <c r="R97" i="5"/>
  <c r="P97" i="5"/>
  <c r="P98" i="5" s="1"/>
  <c r="P99" i="5" s="1"/>
  <c r="M98" i="4"/>
  <c r="N98" i="4" s="1"/>
  <c r="S98" i="4"/>
  <c r="F99" i="4"/>
  <c r="G96" i="6" l="1"/>
  <c r="H96" i="6" s="1"/>
  <c r="R97" i="3"/>
  <c r="P97" i="3"/>
  <c r="P98" i="3" s="1"/>
  <c r="P99" i="3" s="1"/>
  <c r="F98" i="5"/>
  <c r="S97" i="5"/>
  <c r="G99" i="4"/>
  <c r="H99" i="4" s="1"/>
  <c r="J96" i="6" l="1"/>
  <c r="R96" i="6" s="1"/>
  <c r="I96" i="6"/>
  <c r="F97" i="6"/>
  <c r="S96" i="6"/>
  <c r="K96" i="6"/>
  <c r="F98" i="3"/>
  <c r="S97" i="3"/>
  <c r="G98" i="5"/>
  <c r="H98" i="5" s="1"/>
  <c r="J99" i="4"/>
  <c r="I99" i="4"/>
  <c r="G97" i="6" l="1"/>
  <c r="H97" i="6" s="1"/>
  <c r="M96" i="6"/>
  <c r="N96" i="6" s="1"/>
  <c r="G98" i="3"/>
  <c r="H98" i="3" s="1"/>
  <c r="J98" i="5"/>
  <c r="I98" i="5"/>
  <c r="R99" i="4"/>
  <c r="K99" i="4"/>
  <c r="J97" i="6" l="1"/>
  <c r="I97" i="6"/>
  <c r="J98" i="3"/>
  <c r="I98" i="3"/>
  <c r="R98" i="5"/>
  <c r="K98" i="5"/>
  <c r="M98" i="5" s="1"/>
  <c r="N98" i="5" s="1"/>
  <c r="F100" i="4"/>
  <c r="S99" i="4"/>
  <c r="M99" i="4"/>
  <c r="N99" i="4" s="1"/>
  <c r="K97" i="6" l="1"/>
  <c r="L97" i="6"/>
  <c r="K98" i="3"/>
  <c r="R98" i="3"/>
  <c r="S98" i="5"/>
  <c r="F99" i="5"/>
  <c r="G100" i="4"/>
  <c r="H100" i="4" s="1"/>
  <c r="M97" i="6" l="1"/>
  <c r="N97" i="6" s="1"/>
  <c r="O97" i="6" s="1"/>
  <c r="M98" i="3"/>
  <c r="N98" i="3" s="1"/>
  <c r="F99" i="3"/>
  <c r="S98" i="3"/>
  <c r="G99" i="5"/>
  <c r="H99" i="5" s="1"/>
  <c r="J100" i="4"/>
  <c r="I100" i="4"/>
  <c r="R97" i="6" l="1"/>
  <c r="P97" i="6"/>
  <c r="P98" i="6" s="1"/>
  <c r="P99" i="6" s="1"/>
  <c r="G99" i="3"/>
  <c r="H99" i="3" s="1"/>
  <c r="J99" i="5"/>
  <c r="I99" i="5"/>
  <c r="L100" i="4"/>
  <c r="K100" i="4"/>
  <c r="S97" i="6" l="1"/>
  <c r="F98" i="6"/>
  <c r="J99" i="3"/>
  <c r="I99" i="3"/>
  <c r="K99" i="5"/>
  <c r="M99" i="5" s="1"/>
  <c r="N99" i="5" s="1"/>
  <c r="R99" i="5"/>
  <c r="I54" i="2"/>
  <c r="M100" i="4"/>
  <c r="N100" i="4" s="1"/>
  <c r="O100" i="4" s="1"/>
  <c r="G98" i="6" l="1"/>
  <c r="H98" i="6" s="1"/>
  <c r="K99" i="3"/>
  <c r="R99" i="3"/>
  <c r="S99" i="5"/>
  <c r="F100" i="5"/>
  <c r="P100" i="4"/>
  <c r="J98" i="6" l="1"/>
  <c r="I98" i="6"/>
  <c r="M99" i="3"/>
  <c r="N99" i="3" s="1"/>
  <c r="F100" i="3"/>
  <c r="S99" i="3"/>
  <c r="G100" i="5"/>
  <c r="H100" i="5" s="1"/>
  <c r="Q100" i="4"/>
  <c r="L54" i="2" s="1"/>
  <c r="J54" i="2"/>
  <c r="K98" i="6" l="1"/>
  <c r="R98" i="6"/>
  <c r="G100" i="3"/>
  <c r="H100" i="3" s="1"/>
  <c r="J100" i="5"/>
  <c r="I100" i="5"/>
  <c r="R100" i="4"/>
  <c r="K54" i="2"/>
  <c r="M98" i="6" l="1"/>
  <c r="N98" i="6" s="1"/>
  <c r="S98" i="6"/>
  <c r="F99" i="6"/>
  <c r="J100" i="3"/>
  <c r="I100" i="3"/>
  <c r="L100" i="5"/>
  <c r="K100" i="5"/>
  <c r="S100" i="4"/>
  <c r="M54" i="2"/>
  <c r="F101" i="4"/>
  <c r="G99" i="6" l="1"/>
  <c r="H99" i="6" s="1"/>
  <c r="L100" i="3"/>
  <c r="K100" i="3"/>
  <c r="I87" i="2"/>
  <c r="M100" i="5"/>
  <c r="N100" i="5" s="1"/>
  <c r="O100" i="5" s="1"/>
  <c r="G54" i="2"/>
  <c r="F54" i="2"/>
  <c r="H54" i="2"/>
  <c r="D55" i="2"/>
  <c r="G101" i="4"/>
  <c r="J99" i="6" l="1"/>
  <c r="I99" i="6"/>
  <c r="I21" i="2"/>
  <c r="M100" i="3"/>
  <c r="N100" i="3" s="1"/>
  <c r="O100" i="3" s="1"/>
  <c r="P100" i="5"/>
  <c r="H101" i="4"/>
  <c r="E55" i="2"/>
  <c r="K99" i="6" l="1"/>
  <c r="R99" i="6"/>
  <c r="P100" i="3"/>
  <c r="J87" i="2"/>
  <c r="Q100" i="5"/>
  <c r="L87" i="2" s="1"/>
  <c r="I101" i="4"/>
  <c r="J101" i="4"/>
  <c r="M99" i="6" l="1"/>
  <c r="N99" i="6" s="1"/>
  <c r="F100" i="6"/>
  <c r="S99" i="6"/>
  <c r="Q100" i="3"/>
  <c r="L21" i="2" s="1"/>
  <c r="J21" i="2"/>
  <c r="R100" i="5"/>
  <c r="K87" i="2"/>
  <c r="R101" i="4"/>
  <c r="K101" i="4"/>
  <c r="G100" i="6" l="1"/>
  <c r="H100" i="6" s="1"/>
  <c r="R100" i="3"/>
  <c r="K21" i="2"/>
  <c r="M87" i="2"/>
  <c r="F101" i="5"/>
  <c r="S100" i="5"/>
  <c r="F102" i="4"/>
  <c r="S101" i="4"/>
  <c r="M101" i="4"/>
  <c r="N101" i="4" s="1"/>
  <c r="J100" i="6" l="1"/>
  <c r="I100" i="6"/>
  <c r="S100" i="3"/>
  <c r="M21" i="2"/>
  <c r="F101" i="3"/>
  <c r="G101" i="5"/>
  <c r="D88" i="2"/>
  <c r="F87" i="2"/>
  <c r="H87" i="2"/>
  <c r="G87" i="2"/>
  <c r="G102" i="4"/>
  <c r="H102" i="4" s="1"/>
  <c r="L100" i="6" l="1"/>
  <c r="K100" i="6"/>
  <c r="H21" i="2"/>
  <c r="G21" i="2"/>
  <c r="F21" i="2"/>
  <c r="G101" i="3"/>
  <c r="D22" i="2"/>
  <c r="E88" i="2"/>
  <c r="H101" i="5"/>
  <c r="J102" i="4"/>
  <c r="I102" i="4"/>
  <c r="I120" i="2" l="1"/>
  <c r="M100" i="6"/>
  <c r="N100" i="6" s="1"/>
  <c r="O100" i="6" s="1"/>
  <c r="H101" i="3"/>
  <c r="E22" i="2"/>
  <c r="I101" i="5"/>
  <c r="J101" i="5"/>
  <c r="K102" i="4"/>
  <c r="R102" i="4"/>
  <c r="P100" i="6" l="1"/>
  <c r="I101" i="3"/>
  <c r="J101" i="3"/>
  <c r="K101" i="5"/>
  <c r="M101" i="5" s="1"/>
  <c r="N101" i="5" s="1"/>
  <c r="R101" i="5"/>
  <c r="M102" i="4"/>
  <c r="N102" i="4" s="1"/>
  <c r="S102" i="4"/>
  <c r="F103" i="4"/>
  <c r="Q100" i="6" l="1"/>
  <c r="L120" i="2" s="1"/>
  <c r="J120" i="2"/>
  <c r="R101" i="3"/>
  <c r="K101" i="3"/>
  <c r="S101" i="5"/>
  <c r="F102" i="5"/>
  <c r="G103" i="4"/>
  <c r="H103" i="4" s="1"/>
  <c r="R100" i="6" l="1"/>
  <c r="K120" i="2"/>
  <c r="F102" i="3"/>
  <c r="S101" i="3"/>
  <c r="M101" i="3"/>
  <c r="N101" i="3" s="1"/>
  <c r="G102" i="5"/>
  <c r="H102" i="5" s="1"/>
  <c r="J103" i="4"/>
  <c r="I103" i="4"/>
  <c r="F101" i="6" l="1"/>
  <c r="S100" i="6"/>
  <c r="M120" i="2"/>
  <c r="G102" i="3"/>
  <c r="H102" i="3" s="1"/>
  <c r="J102" i="5"/>
  <c r="I102" i="5"/>
  <c r="L103" i="4"/>
  <c r="K103" i="4"/>
  <c r="D121" i="2" l="1"/>
  <c r="G101" i="6"/>
  <c r="H120" i="2"/>
  <c r="G120" i="2"/>
  <c r="F120" i="2"/>
  <c r="J102" i="3"/>
  <c r="I102" i="3"/>
  <c r="K102" i="5"/>
  <c r="M102" i="5" s="1"/>
  <c r="N102" i="5" s="1"/>
  <c r="R102" i="5"/>
  <c r="M103" i="4"/>
  <c r="N103" i="4" s="1"/>
  <c r="O103" i="4" s="1"/>
  <c r="E121" i="2" l="1"/>
  <c r="H101" i="6"/>
  <c r="K102" i="3"/>
  <c r="R102" i="3"/>
  <c r="S102" i="5"/>
  <c r="F103" i="5"/>
  <c r="R103" i="4"/>
  <c r="P103" i="4"/>
  <c r="P104" i="4" s="1"/>
  <c r="P105" i="4" s="1"/>
  <c r="I101" i="6" l="1"/>
  <c r="J101" i="6"/>
  <c r="M102" i="3"/>
  <c r="N102" i="3" s="1"/>
  <c r="S102" i="3"/>
  <c r="F103" i="3"/>
  <c r="G103" i="5"/>
  <c r="H103" i="5" s="1"/>
  <c r="S103" i="4"/>
  <c r="F104" i="4"/>
  <c r="R101" i="6" l="1"/>
  <c r="K101" i="6"/>
  <c r="G103" i="3"/>
  <c r="H103" i="3" s="1"/>
  <c r="J103" i="5"/>
  <c r="I103" i="5"/>
  <c r="G104" i="4"/>
  <c r="H104" i="4" s="1"/>
  <c r="S101" i="6" l="1"/>
  <c r="F102" i="6"/>
  <c r="M101" i="6"/>
  <c r="N101" i="6" s="1"/>
  <c r="J103" i="3"/>
  <c r="I103" i="3"/>
  <c r="L103" i="5"/>
  <c r="K103" i="5"/>
  <c r="M103" i="5" s="1"/>
  <c r="N103" i="5" s="1"/>
  <c r="O103" i="5" s="1"/>
  <c r="J104" i="4"/>
  <c r="I104" i="4"/>
  <c r="G102" i="6" l="1"/>
  <c r="H102" i="6" s="1"/>
  <c r="L103" i="3"/>
  <c r="K103" i="3"/>
  <c r="P103" i="5"/>
  <c r="P104" i="5" s="1"/>
  <c r="P105" i="5" s="1"/>
  <c r="R103" i="5"/>
  <c r="K104" i="4"/>
  <c r="R104" i="4"/>
  <c r="J102" i="6" l="1"/>
  <c r="I102" i="6"/>
  <c r="M103" i="3"/>
  <c r="N103" i="3" s="1"/>
  <c r="O103" i="3" s="1"/>
  <c r="F104" i="5"/>
  <c r="G104" i="5" s="1"/>
  <c r="H104" i="5" s="1"/>
  <c r="S103" i="5"/>
  <c r="M104" i="4"/>
  <c r="N104" i="4" s="1"/>
  <c r="S104" i="4"/>
  <c r="F105" i="4"/>
  <c r="K102" i="6" l="1"/>
  <c r="R102" i="6"/>
  <c r="R103" i="3"/>
  <c r="P103" i="3"/>
  <c r="P104" i="3" s="1"/>
  <c r="P105" i="3" s="1"/>
  <c r="J104" i="5"/>
  <c r="I104" i="5"/>
  <c r="G105" i="4"/>
  <c r="H105" i="4" s="1"/>
  <c r="M102" i="6" l="1"/>
  <c r="N102" i="6" s="1"/>
  <c r="F103" i="6"/>
  <c r="S102" i="6"/>
  <c r="F104" i="3"/>
  <c r="S103" i="3"/>
  <c r="K104" i="5"/>
  <c r="M104" i="5" s="1"/>
  <c r="N104" i="5" s="1"/>
  <c r="R104" i="5"/>
  <c r="J105" i="4"/>
  <c r="I105" i="4"/>
  <c r="G103" i="6" l="1"/>
  <c r="H103" i="6" s="1"/>
  <c r="G104" i="3"/>
  <c r="H104" i="3" s="1"/>
  <c r="F105" i="5"/>
  <c r="G105" i="5" s="1"/>
  <c r="H105" i="5" s="1"/>
  <c r="S104" i="5"/>
  <c r="R105" i="4"/>
  <c r="K105" i="4"/>
  <c r="M105" i="4" s="1"/>
  <c r="N105" i="4" s="1"/>
  <c r="J103" i="6" l="1"/>
  <c r="I103" i="6"/>
  <c r="K103" i="6"/>
  <c r="L103" i="6"/>
  <c r="J104" i="3"/>
  <c r="I104" i="3"/>
  <c r="F106" i="4"/>
  <c r="S105" i="4"/>
  <c r="J105" i="5"/>
  <c r="I105" i="5"/>
  <c r="M103" i="6" l="1"/>
  <c r="N103" i="6" s="1"/>
  <c r="O103" i="6" s="1"/>
  <c r="R104" i="3"/>
  <c r="K104" i="3"/>
  <c r="M104" i="3"/>
  <c r="N104" i="3" s="1"/>
  <c r="G106" i="4"/>
  <c r="H106" i="4" s="1"/>
  <c r="K105" i="5"/>
  <c r="R105" i="5"/>
  <c r="S104" i="3" l="1"/>
  <c r="F105" i="3"/>
  <c r="R103" i="6"/>
  <c r="P103" i="6"/>
  <c r="P104" i="6" s="1"/>
  <c r="P105" i="6" s="1"/>
  <c r="J106" i="4"/>
  <c r="I106" i="4"/>
  <c r="M105" i="5"/>
  <c r="N105" i="5" s="1"/>
  <c r="S105" i="5"/>
  <c r="F106" i="5"/>
  <c r="G105" i="3" l="1"/>
  <c r="H105" i="3" s="1"/>
  <c r="J105" i="3" s="1"/>
  <c r="I105" i="3"/>
  <c r="S103" i="6"/>
  <c r="F104" i="6"/>
  <c r="K105" i="3"/>
  <c r="R105" i="3"/>
  <c r="K106" i="4"/>
  <c r="M106" i="4" s="1"/>
  <c r="N106" i="4" s="1"/>
  <c r="L106" i="4"/>
  <c r="G106" i="5"/>
  <c r="H106" i="5" s="1"/>
  <c r="G104" i="6" l="1"/>
  <c r="H104" i="6" s="1"/>
  <c r="M105" i="3"/>
  <c r="N105" i="3" s="1"/>
  <c r="F106" i="3"/>
  <c r="S105" i="3"/>
  <c r="O106" i="4"/>
  <c r="J106" i="5"/>
  <c r="I106" i="5"/>
  <c r="J104" i="6" l="1"/>
  <c r="I104" i="6"/>
  <c r="G106" i="3"/>
  <c r="H106" i="3" s="1"/>
  <c r="P106" i="4"/>
  <c r="P107" i="4" s="1"/>
  <c r="P108" i="4" s="1"/>
  <c r="R106" i="4"/>
  <c r="L106" i="5"/>
  <c r="K106" i="5"/>
  <c r="K104" i="6" l="1"/>
  <c r="R104" i="6"/>
  <c r="J106" i="3"/>
  <c r="I106" i="3"/>
  <c r="S106" i="4"/>
  <c r="F107" i="4"/>
  <c r="M106" i="5"/>
  <c r="N106" i="5" s="1"/>
  <c r="O106" i="5" s="1"/>
  <c r="M104" i="6" l="1"/>
  <c r="N104" i="6" s="1"/>
  <c r="S104" i="6"/>
  <c r="F105" i="6"/>
  <c r="L106" i="3"/>
  <c r="K106" i="3"/>
  <c r="G107" i="4"/>
  <c r="H107" i="4" s="1"/>
  <c r="R106" i="5"/>
  <c r="P106" i="5"/>
  <c r="P107" i="5" s="1"/>
  <c r="P108" i="5" s="1"/>
  <c r="G105" i="6" l="1"/>
  <c r="H105" i="6" s="1"/>
  <c r="J107" i="4"/>
  <c r="I107" i="4"/>
  <c r="M106" i="3"/>
  <c r="N106" i="3" s="1"/>
  <c r="O106" i="3" s="1"/>
  <c r="S106" i="5"/>
  <c r="F107" i="5"/>
  <c r="J105" i="6" l="1"/>
  <c r="I105" i="6"/>
  <c r="K107" i="4"/>
  <c r="M107" i="4" s="1"/>
  <c r="N107" i="4" s="1"/>
  <c r="R107" i="4"/>
  <c r="R106" i="3"/>
  <c r="P106" i="3"/>
  <c r="P107" i="3" s="1"/>
  <c r="P108" i="3" s="1"/>
  <c r="G107" i="5"/>
  <c r="H107" i="5" s="1"/>
  <c r="K105" i="6" l="1"/>
  <c r="R105" i="6"/>
  <c r="F108" i="4"/>
  <c r="S107" i="4"/>
  <c r="S106" i="3"/>
  <c r="F107" i="3"/>
  <c r="J107" i="5"/>
  <c r="I107" i="5"/>
  <c r="G108" i="4" l="1"/>
  <c r="H108" i="4" s="1"/>
  <c r="J108" i="4" s="1"/>
  <c r="I108" i="4"/>
  <c r="M105" i="6"/>
  <c r="N105" i="6" s="1"/>
  <c r="S105" i="6"/>
  <c r="F106" i="6"/>
  <c r="G107" i="3"/>
  <c r="H107" i="3" s="1"/>
  <c r="R107" i="5"/>
  <c r="K107" i="5"/>
  <c r="R108" i="4"/>
  <c r="K108" i="4"/>
  <c r="G106" i="6" l="1"/>
  <c r="H106" i="6" s="1"/>
  <c r="J107" i="3"/>
  <c r="I107" i="3"/>
  <c r="F108" i="5"/>
  <c r="S107" i="5"/>
  <c r="M107" i="5"/>
  <c r="N107" i="5" s="1"/>
  <c r="S108" i="4"/>
  <c r="F109" i="4"/>
  <c r="M108" i="4"/>
  <c r="N108" i="4" s="1"/>
  <c r="J106" i="6" l="1"/>
  <c r="I106" i="6"/>
  <c r="K107" i="3"/>
  <c r="R107" i="3"/>
  <c r="G108" i="5"/>
  <c r="H108" i="5" s="1"/>
  <c r="G109" i="4"/>
  <c r="H109" i="4" s="1"/>
  <c r="L106" i="6" l="1"/>
  <c r="K106" i="6"/>
  <c r="M107" i="3"/>
  <c r="N107" i="3" s="1"/>
  <c r="S107" i="3"/>
  <c r="F108" i="3"/>
  <c r="J108" i="5"/>
  <c r="I108" i="5"/>
  <c r="J109" i="4"/>
  <c r="I109" i="4"/>
  <c r="M106" i="6" l="1"/>
  <c r="N106" i="6" s="1"/>
  <c r="O106" i="6" s="1"/>
  <c r="G108" i="3"/>
  <c r="H108" i="3" s="1"/>
  <c r="R108" i="5"/>
  <c r="K108" i="5"/>
  <c r="L109" i="4"/>
  <c r="K109" i="4"/>
  <c r="R106" i="6" l="1"/>
  <c r="P106" i="6"/>
  <c r="P107" i="6" s="1"/>
  <c r="P108" i="6" s="1"/>
  <c r="J108" i="3"/>
  <c r="I108" i="3"/>
  <c r="S108" i="5"/>
  <c r="F109" i="5"/>
  <c r="M108" i="5"/>
  <c r="N108" i="5" s="1"/>
  <c r="M109" i="4"/>
  <c r="N109" i="4" s="1"/>
  <c r="O109" i="4" s="1"/>
  <c r="S106" i="6" l="1"/>
  <c r="F107" i="6"/>
  <c r="K108" i="3"/>
  <c r="R108" i="3"/>
  <c r="G109" i="5"/>
  <c r="H109" i="5" s="1"/>
  <c r="R109" i="4"/>
  <c r="P109" i="4"/>
  <c r="P110" i="4" s="1"/>
  <c r="P111" i="4" s="1"/>
  <c r="G107" i="6" l="1"/>
  <c r="H107" i="6" s="1"/>
  <c r="M108" i="3"/>
  <c r="N108" i="3" s="1"/>
  <c r="S108" i="3"/>
  <c r="F109" i="3"/>
  <c r="F110" i="4"/>
  <c r="S109" i="4"/>
  <c r="J109" i="5"/>
  <c r="I109" i="5"/>
  <c r="J107" i="6" l="1"/>
  <c r="I107" i="6"/>
  <c r="G109" i="3"/>
  <c r="H109" i="3" s="1"/>
  <c r="G110" i="4"/>
  <c r="H110" i="4" s="1"/>
  <c r="L109" i="5"/>
  <c r="K109" i="5"/>
  <c r="K107" i="6" l="1"/>
  <c r="R107" i="6"/>
  <c r="J109" i="3"/>
  <c r="I109" i="3"/>
  <c r="M109" i="5"/>
  <c r="N109" i="5" s="1"/>
  <c r="O109" i="5" s="1"/>
  <c r="J110" i="4"/>
  <c r="I110" i="4"/>
  <c r="M107" i="6" l="1"/>
  <c r="N107" i="6" s="1"/>
  <c r="S107" i="6"/>
  <c r="F108" i="6"/>
  <c r="L109" i="3"/>
  <c r="K109" i="3"/>
  <c r="R109" i="5"/>
  <c r="P109" i="5"/>
  <c r="P110" i="5" s="1"/>
  <c r="P111" i="5" s="1"/>
  <c r="K110" i="4"/>
  <c r="R110" i="4"/>
  <c r="G108" i="6" l="1"/>
  <c r="H108" i="6" s="1"/>
  <c r="M109" i="3"/>
  <c r="N109" i="3" s="1"/>
  <c r="O109" i="3" s="1"/>
  <c r="F110" i="5"/>
  <c r="S109" i="5"/>
  <c r="M110" i="4"/>
  <c r="N110" i="4" s="1"/>
  <c r="F111" i="4"/>
  <c r="S110" i="4"/>
  <c r="J108" i="6" l="1"/>
  <c r="I108" i="6"/>
  <c r="R109" i="3"/>
  <c r="P109" i="3"/>
  <c r="P110" i="3" s="1"/>
  <c r="P111" i="3" s="1"/>
  <c r="G110" i="5"/>
  <c r="H110" i="5" s="1"/>
  <c r="G111" i="4"/>
  <c r="H111" i="4" s="1"/>
  <c r="K108" i="6" l="1"/>
  <c r="R108" i="6"/>
  <c r="F110" i="3"/>
  <c r="S109" i="3"/>
  <c r="J110" i="5"/>
  <c r="I110" i="5"/>
  <c r="J111" i="4"/>
  <c r="I111" i="4"/>
  <c r="M108" i="6" l="1"/>
  <c r="N108" i="6" s="1"/>
  <c r="F109" i="6"/>
  <c r="S108" i="6"/>
  <c r="G110" i="3"/>
  <c r="H110" i="3" s="1"/>
  <c r="K110" i="5"/>
  <c r="R110" i="5"/>
  <c r="R111" i="4"/>
  <c r="K111" i="4"/>
  <c r="G109" i="6" l="1"/>
  <c r="H109" i="6" s="1"/>
  <c r="J110" i="3"/>
  <c r="I110" i="3"/>
  <c r="M110" i="5"/>
  <c r="N110" i="5" s="1"/>
  <c r="F111" i="5"/>
  <c r="S110" i="5"/>
  <c r="F112" i="4"/>
  <c r="S111" i="4"/>
  <c r="M111" i="4"/>
  <c r="N111" i="4" s="1"/>
  <c r="R110" i="3" l="1"/>
  <c r="K110" i="3"/>
  <c r="J109" i="6"/>
  <c r="I109" i="6"/>
  <c r="G111" i="3"/>
  <c r="H111" i="3" s="1"/>
  <c r="M110" i="3"/>
  <c r="N110" i="3" s="1"/>
  <c r="G111" i="5"/>
  <c r="H111" i="5" s="1"/>
  <c r="G112" i="4"/>
  <c r="H112" i="4" s="1"/>
  <c r="S110" i="3" l="1"/>
  <c r="F111" i="3"/>
  <c r="L109" i="6"/>
  <c r="K109" i="6"/>
  <c r="J111" i="3"/>
  <c r="I111" i="3"/>
  <c r="J111" i="5"/>
  <c r="I111" i="5"/>
  <c r="J112" i="4"/>
  <c r="I112" i="4"/>
  <c r="M109" i="6" l="1"/>
  <c r="N109" i="6" s="1"/>
  <c r="O109" i="6" s="1"/>
  <c r="R111" i="3"/>
  <c r="K111" i="3"/>
  <c r="R111" i="5"/>
  <c r="K111" i="5"/>
  <c r="M111" i="5" s="1"/>
  <c r="N111" i="5" s="1"/>
  <c r="L112" i="4"/>
  <c r="K112" i="4"/>
  <c r="R109" i="6" l="1"/>
  <c r="P109" i="6"/>
  <c r="P110" i="6" s="1"/>
  <c r="P111" i="6" s="1"/>
  <c r="F112" i="3"/>
  <c r="S111" i="3"/>
  <c r="M111" i="3"/>
  <c r="N111" i="3" s="1"/>
  <c r="S111" i="5"/>
  <c r="F112" i="5"/>
  <c r="M112" i="4"/>
  <c r="N112" i="4" s="1"/>
  <c r="O112" i="4" s="1"/>
  <c r="I55" i="2"/>
  <c r="S109" i="6" l="1"/>
  <c r="F110" i="6"/>
  <c r="G112" i="3"/>
  <c r="H112" i="3" s="1"/>
  <c r="G112" i="5"/>
  <c r="H112" i="5" s="1"/>
  <c r="P112" i="4"/>
  <c r="G110" i="6" l="1"/>
  <c r="H110" i="6" s="1"/>
  <c r="J112" i="3"/>
  <c r="I112" i="3"/>
  <c r="I112" i="5"/>
  <c r="J112" i="5"/>
  <c r="Q112" i="4"/>
  <c r="J55" i="2"/>
  <c r="J110" i="6" l="1"/>
  <c r="I110" i="6"/>
  <c r="L112" i="3"/>
  <c r="K112" i="3"/>
  <c r="L112" i="5"/>
  <c r="K112" i="5"/>
  <c r="R112" i="4"/>
  <c r="L55" i="2"/>
  <c r="K55" i="2"/>
  <c r="K110" i="6" l="1"/>
  <c r="R110" i="6"/>
  <c r="I22" i="2"/>
  <c r="M112" i="3"/>
  <c r="N112" i="3" s="1"/>
  <c r="O112" i="3" s="1"/>
  <c r="M112" i="5"/>
  <c r="N112" i="5" s="1"/>
  <c r="O112" i="5" s="1"/>
  <c r="I88" i="2"/>
  <c r="M55" i="2"/>
  <c r="F113" i="4"/>
  <c r="S112" i="4"/>
  <c r="M110" i="6" l="1"/>
  <c r="N110" i="6" s="1"/>
  <c r="S110" i="6"/>
  <c r="F111" i="6"/>
  <c r="P112" i="3"/>
  <c r="P112" i="5"/>
  <c r="G113" i="4"/>
  <c r="D56" i="2"/>
  <c r="F55" i="2"/>
  <c r="H55" i="2"/>
  <c r="G55" i="2"/>
  <c r="G111" i="6" l="1"/>
  <c r="H111" i="6" s="1"/>
  <c r="Q112" i="3"/>
  <c r="L22" i="2" s="1"/>
  <c r="J22" i="2"/>
  <c r="Q112" i="5"/>
  <c r="L88" i="2" s="1"/>
  <c r="J88" i="2"/>
  <c r="H113" i="4"/>
  <c r="E56" i="2"/>
  <c r="J111" i="6" l="1"/>
  <c r="R111" i="6" s="1"/>
  <c r="I111" i="6"/>
  <c r="R112" i="3"/>
  <c r="K22" i="2"/>
  <c r="R112" i="5"/>
  <c r="K88" i="2"/>
  <c r="I113" i="4"/>
  <c r="J113" i="4"/>
  <c r="S111" i="6" l="1"/>
  <c r="F112" i="6"/>
  <c r="G112" i="6"/>
  <c r="H112" i="6" s="1"/>
  <c r="K111" i="6"/>
  <c r="F113" i="3"/>
  <c r="M22" i="2"/>
  <c r="S112" i="3"/>
  <c r="S112" i="5"/>
  <c r="F113" i="5"/>
  <c r="M88" i="2"/>
  <c r="R113" i="4"/>
  <c r="K113" i="4"/>
  <c r="M111" i="6" l="1"/>
  <c r="N111" i="6" s="1"/>
  <c r="K112" i="6"/>
  <c r="J112" i="6"/>
  <c r="L112" i="6" s="1"/>
  <c r="I112" i="6"/>
  <c r="G113" i="3"/>
  <c r="D23" i="2"/>
  <c r="F22" i="2"/>
  <c r="H22" i="2"/>
  <c r="G22" i="2"/>
  <c r="H88" i="2"/>
  <c r="F88" i="2"/>
  <c r="G88" i="2"/>
  <c r="G113" i="5"/>
  <c r="D89" i="2"/>
  <c r="S113" i="4"/>
  <c r="F114" i="4"/>
  <c r="M113" i="4"/>
  <c r="N113" i="4" s="1"/>
  <c r="I121" i="2" l="1"/>
  <c r="M112" i="6"/>
  <c r="N112" i="6" s="1"/>
  <c r="O112" i="6" s="1"/>
  <c r="E23" i="2"/>
  <c r="H113" i="3"/>
  <c r="E89" i="2"/>
  <c r="H113" i="5"/>
  <c r="G114" i="4"/>
  <c r="H114" i="4" s="1"/>
  <c r="P112" i="6" l="1"/>
  <c r="I113" i="3"/>
  <c r="J113" i="3"/>
  <c r="I113" i="5"/>
  <c r="J113" i="5"/>
  <c r="J114" i="4"/>
  <c r="I114" i="4"/>
  <c r="Q112" i="6" l="1"/>
  <c r="L121" i="2" s="1"/>
  <c r="J121" i="2"/>
  <c r="R113" i="3"/>
  <c r="K113" i="3"/>
  <c r="K113" i="5"/>
  <c r="M113" i="5" s="1"/>
  <c r="N113" i="5" s="1"/>
  <c r="R113" i="5"/>
  <c r="R114" i="4"/>
  <c r="K114" i="4"/>
  <c r="M114" i="4" s="1"/>
  <c r="N114" i="4" s="1"/>
  <c r="R112" i="6" l="1"/>
  <c r="K121" i="2"/>
  <c r="F114" i="3"/>
  <c r="S113" i="3"/>
  <c r="M113" i="3"/>
  <c r="N113" i="3" s="1"/>
  <c r="F114" i="5"/>
  <c r="S113" i="5"/>
  <c r="F115" i="4"/>
  <c r="S114" i="4"/>
  <c r="F113" i="6" l="1"/>
  <c r="S112" i="6"/>
  <c r="M121" i="2"/>
  <c r="G114" i="3"/>
  <c r="H114" i="3" s="1"/>
  <c r="G114" i="5"/>
  <c r="H114" i="5" s="1"/>
  <c r="G115" i="4"/>
  <c r="H115" i="4" s="1"/>
  <c r="D122" i="2" l="1"/>
  <c r="G113" i="6"/>
  <c r="H121" i="2"/>
  <c r="G121" i="2"/>
  <c r="F121" i="2"/>
  <c r="J114" i="3"/>
  <c r="I114" i="3"/>
  <c r="J114" i="5"/>
  <c r="I114" i="5"/>
  <c r="J115" i="4"/>
  <c r="I115" i="4"/>
  <c r="H113" i="6" l="1"/>
  <c r="E122" i="2"/>
  <c r="K114" i="3"/>
  <c r="R114" i="3"/>
  <c r="R114" i="5"/>
  <c r="K114" i="5"/>
  <c r="M114" i="5" s="1"/>
  <c r="N114" i="5" s="1"/>
  <c r="K115" i="4"/>
  <c r="L115" i="4"/>
  <c r="I113" i="6" l="1"/>
  <c r="J113" i="6"/>
  <c r="M114" i="3"/>
  <c r="N114" i="3" s="1"/>
  <c r="S114" i="3"/>
  <c r="F115" i="3"/>
  <c r="S114" i="5"/>
  <c r="F115" i="5"/>
  <c r="M115" i="4"/>
  <c r="N115" i="4" s="1"/>
  <c r="O115" i="4" s="1"/>
  <c r="R113" i="6" l="1"/>
  <c r="K113" i="6"/>
  <c r="G115" i="3"/>
  <c r="H115" i="3" s="1"/>
  <c r="G115" i="5"/>
  <c r="H115" i="5" s="1"/>
  <c r="R115" i="4"/>
  <c r="P115" i="4"/>
  <c r="P116" i="4" s="1"/>
  <c r="P117" i="4" s="1"/>
  <c r="F114" i="6" l="1"/>
  <c r="S113" i="6"/>
  <c r="M113" i="6"/>
  <c r="N113" i="6" s="1"/>
  <c r="J115" i="3"/>
  <c r="I115" i="3"/>
  <c r="J115" i="5"/>
  <c r="I115" i="5"/>
  <c r="F116" i="4"/>
  <c r="S115" i="4"/>
  <c r="G114" i="6" l="1"/>
  <c r="H114" i="6" s="1"/>
  <c r="L115" i="3"/>
  <c r="K115" i="3"/>
  <c r="L115" i="5"/>
  <c r="K115" i="5"/>
  <c r="M115" i="5" s="1"/>
  <c r="N115" i="5" s="1"/>
  <c r="G116" i="4"/>
  <c r="H116" i="4" s="1"/>
  <c r="J114" i="6" l="1"/>
  <c r="I114" i="6"/>
  <c r="M115" i="3"/>
  <c r="N115" i="3" s="1"/>
  <c r="O115" i="3" s="1"/>
  <c r="O115" i="5"/>
  <c r="J116" i="4"/>
  <c r="I116" i="4"/>
  <c r="K114" i="6" l="1"/>
  <c r="R114" i="6"/>
  <c r="R115" i="5"/>
  <c r="P115" i="5"/>
  <c r="P116" i="5" s="1"/>
  <c r="P117" i="5" s="1"/>
  <c r="R115" i="3"/>
  <c r="P115" i="3"/>
  <c r="P116" i="3" s="1"/>
  <c r="P117" i="3" s="1"/>
  <c r="K116" i="4"/>
  <c r="R116" i="4"/>
  <c r="M114" i="6" l="1"/>
  <c r="N114" i="6" s="1"/>
  <c r="S114" i="6"/>
  <c r="F115" i="6"/>
  <c r="F116" i="5"/>
  <c r="S115" i="5"/>
  <c r="F116" i="3"/>
  <c r="S115" i="3"/>
  <c r="G116" i="5"/>
  <c r="H116" i="5" s="1"/>
  <c r="M116" i="4"/>
  <c r="N116" i="4" s="1"/>
  <c r="F117" i="4"/>
  <c r="S116" i="4"/>
  <c r="G115" i="6" l="1"/>
  <c r="H115" i="6" s="1"/>
  <c r="G116" i="3"/>
  <c r="H116" i="3" s="1"/>
  <c r="J116" i="5"/>
  <c r="I116" i="5"/>
  <c r="G117" i="4"/>
  <c r="H117" i="4" s="1"/>
  <c r="J115" i="6" l="1"/>
  <c r="I115" i="6"/>
  <c r="J116" i="3"/>
  <c r="I116" i="3"/>
  <c r="K116" i="5"/>
  <c r="M116" i="5" s="1"/>
  <c r="N116" i="5" s="1"/>
  <c r="R116" i="5"/>
  <c r="J117" i="4"/>
  <c r="I117" i="4"/>
  <c r="L115" i="6" l="1"/>
  <c r="K115" i="6"/>
  <c r="R116" i="3"/>
  <c r="K116" i="3"/>
  <c r="S116" i="5"/>
  <c r="F117" i="5"/>
  <c r="K117" i="4"/>
  <c r="R117" i="4"/>
  <c r="M115" i="6" l="1"/>
  <c r="N115" i="6" s="1"/>
  <c r="O115" i="6" s="1"/>
  <c r="F117" i="3"/>
  <c r="S116" i="3"/>
  <c r="M116" i="3"/>
  <c r="N116" i="3" s="1"/>
  <c r="G117" i="5"/>
  <c r="H117" i="5" s="1"/>
  <c r="M117" i="4"/>
  <c r="N117" i="4" s="1"/>
  <c r="F118" i="4"/>
  <c r="S117" i="4"/>
  <c r="R115" i="6" l="1"/>
  <c r="P115" i="6"/>
  <c r="P116" i="6" s="1"/>
  <c r="P117" i="6" s="1"/>
  <c r="G117" i="3"/>
  <c r="H117" i="3" s="1"/>
  <c r="J117" i="5"/>
  <c r="I117" i="5"/>
  <c r="G118" i="4"/>
  <c r="H118" i="4" s="1"/>
  <c r="F116" i="6" l="1"/>
  <c r="S115" i="6"/>
  <c r="J117" i="3"/>
  <c r="I117" i="3"/>
  <c r="K117" i="5"/>
  <c r="M117" i="5" s="1"/>
  <c r="N117" i="5" s="1"/>
  <c r="R117" i="5"/>
  <c r="J118" i="4"/>
  <c r="I118" i="4"/>
  <c r="G116" i="6" l="1"/>
  <c r="H116" i="6" s="1"/>
  <c r="K117" i="3"/>
  <c r="R117" i="3"/>
  <c r="S117" i="5"/>
  <c r="F118" i="5"/>
  <c r="L118" i="4"/>
  <c r="K118" i="4"/>
  <c r="M118" i="4" s="1"/>
  <c r="N118" i="4" s="1"/>
  <c r="J116" i="6" l="1"/>
  <c r="I116" i="6"/>
  <c r="M117" i="3"/>
  <c r="N117" i="3" s="1"/>
  <c r="S117" i="3"/>
  <c r="F118" i="3"/>
  <c r="G118" i="5"/>
  <c r="H118" i="5" s="1"/>
  <c r="O118" i="4"/>
  <c r="K116" i="6" l="1"/>
  <c r="R116" i="6"/>
  <c r="G118" i="3"/>
  <c r="H118" i="3" s="1"/>
  <c r="P118" i="4"/>
  <c r="P119" i="4" s="1"/>
  <c r="P120" i="4" s="1"/>
  <c r="R118" i="4"/>
  <c r="J118" i="5"/>
  <c r="I118" i="5"/>
  <c r="M116" i="6" l="1"/>
  <c r="N116" i="6" s="1"/>
  <c r="S116" i="6"/>
  <c r="F117" i="6"/>
  <c r="J118" i="3"/>
  <c r="I118" i="3"/>
  <c r="F119" i="4"/>
  <c r="G119" i="4" s="1"/>
  <c r="H119" i="4" s="1"/>
  <c r="S118" i="4"/>
  <c r="L118" i="5"/>
  <c r="K118" i="5"/>
  <c r="M118" i="5" s="1"/>
  <c r="N118" i="5" s="1"/>
  <c r="G117" i="6" l="1"/>
  <c r="H117" i="6" s="1"/>
  <c r="L118" i="3"/>
  <c r="K118" i="3"/>
  <c r="O118" i="5"/>
  <c r="J119" i="4"/>
  <c r="I119" i="4"/>
  <c r="J117" i="6" l="1"/>
  <c r="I117" i="6"/>
  <c r="M118" i="3"/>
  <c r="N118" i="3" s="1"/>
  <c r="O118" i="3" s="1"/>
  <c r="R118" i="5"/>
  <c r="P118" i="5"/>
  <c r="P119" i="5" s="1"/>
  <c r="P120" i="5" s="1"/>
  <c r="K119" i="4"/>
  <c r="R119" i="4"/>
  <c r="R117" i="6" l="1"/>
  <c r="K117" i="6"/>
  <c r="F119" i="5"/>
  <c r="G119" i="5" s="1"/>
  <c r="H119" i="5" s="1"/>
  <c r="S118" i="5"/>
  <c r="R118" i="3"/>
  <c r="P118" i="3"/>
  <c r="P119" i="3" s="1"/>
  <c r="P120" i="3" s="1"/>
  <c r="M119" i="4"/>
  <c r="N119" i="4" s="1"/>
  <c r="F120" i="4"/>
  <c r="S119" i="4"/>
  <c r="S117" i="6" l="1"/>
  <c r="F118" i="6"/>
  <c r="M117" i="6"/>
  <c r="N117" i="6" s="1"/>
  <c r="F119" i="3"/>
  <c r="S118" i="3"/>
  <c r="J119" i="5"/>
  <c r="R119" i="5" s="1"/>
  <c r="I119" i="5"/>
  <c r="K119" i="5"/>
  <c r="M119" i="5" s="1"/>
  <c r="N119" i="5" s="1"/>
  <c r="G120" i="4"/>
  <c r="H120" i="4" s="1"/>
  <c r="G118" i="6" l="1"/>
  <c r="H118" i="6" s="1"/>
  <c r="G119" i="3"/>
  <c r="H119" i="3" s="1"/>
  <c r="F120" i="5"/>
  <c r="G120" i="5" s="1"/>
  <c r="H120" i="5" s="1"/>
  <c r="S119" i="5"/>
  <c r="J120" i="4"/>
  <c r="I120" i="4"/>
  <c r="J118" i="6" l="1"/>
  <c r="I118" i="6"/>
  <c r="J119" i="3"/>
  <c r="I119" i="3"/>
  <c r="R120" i="4"/>
  <c r="K120" i="4"/>
  <c r="M120" i="4" s="1"/>
  <c r="N120" i="4" s="1"/>
  <c r="J120" i="5"/>
  <c r="I120" i="5"/>
  <c r="L118" i="6" l="1"/>
  <c r="K118" i="6"/>
  <c r="R119" i="3"/>
  <c r="K119" i="3"/>
  <c r="S120" i="4"/>
  <c r="F121" i="4"/>
  <c r="K120" i="5"/>
  <c r="R120" i="5"/>
  <c r="M118" i="6" l="1"/>
  <c r="N118" i="6" s="1"/>
  <c r="O118" i="6" s="1"/>
  <c r="F120" i="3"/>
  <c r="S119" i="3"/>
  <c r="M119" i="3"/>
  <c r="N119" i="3" s="1"/>
  <c r="G121" i="4"/>
  <c r="H121" i="4" s="1"/>
  <c r="M120" i="5"/>
  <c r="N120" i="5" s="1"/>
  <c r="F121" i="5"/>
  <c r="S120" i="5"/>
  <c r="R118" i="6" l="1"/>
  <c r="P118" i="6"/>
  <c r="P119" i="6" s="1"/>
  <c r="P120" i="6" s="1"/>
  <c r="G120" i="3"/>
  <c r="H120" i="3" s="1"/>
  <c r="J121" i="4"/>
  <c r="I121" i="4"/>
  <c r="G121" i="5"/>
  <c r="H121" i="5" s="1"/>
  <c r="F119" i="6" l="1"/>
  <c r="S118" i="6"/>
  <c r="J120" i="3"/>
  <c r="I120" i="3"/>
  <c r="K121" i="4"/>
  <c r="M121" i="4" s="1"/>
  <c r="N121" i="4" s="1"/>
  <c r="L121" i="4"/>
  <c r="J121" i="5"/>
  <c r="I121" i="5"/>
  <c r="G119" i="6" l="1"/>
  <c r="H119" i="6" s="1"/>
  <c r="K120" i="3"/>
  <c r="R120" i="3"/>
  <c r="O121" i="4"/>
  <c r="L121" i="5"/>
  <c r="K121" i="5"/>
  <c r="J119" i="6" l="1"/>
  <c r="I119" i="6"/>
  <c r="M120" i="3"/>
  <c r="N120" i="3" s="1"/>
  <c r="S120" i="3"/>
  <c r="F121" i="3"/>
  <c r="R121" i="4"/>
  <c r="P121" i="4"/>
  <c r="P122" i="4" s="1"/>
  <c r="P123" i="4" s="1"/>
  <c r="M121" i="5"/>
  <c r="N121" i="5" s="1"/>
  <c r="O121" i="5" s="1"/>
  <c r="K119" i="6" l="1"/>
  <c r="R119" i="6"/>
  <c r="F122" i="4"/>
  <c r="S121" i="4"/>
  <c r="G121" i="3"/>
  <c r="H121" i="3" s="1"/>
  <c r="R121" i="5"/>
  <c r="P121" i="5"/>
  <c r="P122" i="5" s="1"/>
  <c r="P123" i="5" s="1"/>
  <c r="G122" i="4" l="1"/>
  <c r="H122" i="4" s="1"/>
  <c r="J122" i="4" s="1"/>
  <c r="I122" i="4"/>
  <c r="M119" i="6"/>
  <c r="N119" i="6" s="1"/>
  <c r="S119" i="6"/>
  <c r="F120" i="6"/>
  <c r="J121" i="3"/>
  <c r="I121" i="3"/>
  <c r="F122" i="5"/>
  <c r="S121" i="5"/>
  <c r="K122" i="4" l="1"/>
  <c r="M122" i="4" s="1"/>
  <c r="N122" i="4" s="1"/>
  <c r="R122" i="4"/>
  <c r="S122" i="4" s="1"/>
  <c r="G120" i="6"/>
  <c r="H120" i="6" s="1"/>
  <c r="L121" i="3"/>
  <c r="K121" i="3"/>
  <c r="F123" i="4"/>
  <c r="G122" i="5"/>
  <c r="H122" i="5" s="1"/>
  <c r="J120" i="6" l="1"/>
  <c r="I120" i="6"/>
  <c r="M121" i="3"/>
  <c r="N121" i="3" s="1"/>
  <c r="O121" i="3" s="1"/>
  <c r="G123" i="4"/>
  <c r="H123" i="4" s="1"/>
  <c r="J122" i="5"/>
  <c r="R122" i="5" s="1"/>
  <c r="I122" i="5"/>
  <c r="K120" i="6" l="1"/>
  <c r="R120" i="6"/>
  <c r="J123" i="4"/>
  <c r="I123" i="4"/>
  <c r="R121" i="3"/>
  <c r="P121" i="3"/>
  <c r="P122" i="3" s="1"/>
  <c r="P123" i="3" s="1"/>
  <c r="K123" i="4"/>
  <c r="M123" i="4" s="1"/>
  <c r="N123" i="4" s="1"/>
  <c r="R123" i="4"/>
  <c r="F123" i="5"/>
  <c r="G123" i="5" s="1"/>
  <c r="H123" i="5" s="1"/>
  <c r="S122" i="5"/>
  <c r="K122" i="5"/>
  <c r="M120" i="6" l="1"/>
  <c r="N120" i="6" s="1"/>
  <c r="F121" i="6"/>
  <c r="S120" i="6"/>
  <c r="F124" i="4"/>
  <c r="G124" i="4" s="1"/>
  <c r="H124" i="4" s="1"/>
  <c r="S123" i="4"/>
  <c r="F122" i="3"/>
  <c r="S121" i="3"/>
  <c r="J123" i="5"/>
  <c r="I123" i="5"/>
  <c r="M122" i="5"/>
  <c r="N122" i="5" s="1"/>
  <c r="G121" i="6" l="1"/>
  <c r="H121" i="6" s="1"/>
  <c r="G122" i="3"/>
  <c r="H122" i="3" s="1"/>
  <c r="R123" i="5"/>
  <c r="K123" i="5"/>
  <c r="M123" i="5" s="1"/>
  <c r="N123" i="5" s="1"/>
  <c r="J124" i="4"/>
  <c r="I124" i="4"/>
  <c r="J121" i="6" l="1"/>
  <c r="I121" i="6"/>
  <c r="J122" i="3"/>
  <c r="I122" i="3"/>
  <c r="S123" i="5"/>
  <c r="F124" i="5"/>
  <c r="L124" i="4"/>
  <c r="K124" i="4"/>
  <c r="L121" i="6" l="1"/>
  <c r="K121" i="6"/>
  <c r="K122" i="3"/>
  <c r="R122" i="3"/>
  <c r="G124" i="5"/>
  <c r="H124" i="5" s="1"/>
  <c r="M124" i="4"/>
  <c r="N124" i="4" s="1"/>
  <c r="O124" i="4" s="1"/>
  <c r="I56" i="2"/>
  <c r="M121" i="6" l="1"/>
  <c r="N121" i="6" s="1"/>
  <c r="O121" i="6" s="1"/>
  <c r="M122" i="3"/>
  <c r="N122" i="3" s="1"/>
  <c r="S122" i="3"/>
  <c r="F123" i="3"/>
  <c r="J124" i="5"/>
  <c r="I124" i="5"/>
  <c r="P124" i="4"/>
  <c r="R121" i="6" l="1"/>
  <c r="P121" i="6"/>
  <c r="P122" i="6" s="1"/>
  <c r="P123" i="6" s="1"/>
  <c r="G123" i="3"/>
  <c r="H123" i="3" s="1"/>
  <c r="L124" i="5"/>
  <c r="K124" i="5"/>
  <c r="Q124" i="4"/>
  <c r="J56" i="2"/>
  <c r="S121" i="6" l="1"/>
  <c r="F122" i="6"/>
  <c r="J123" i="3"/>
  <c r="I123" i="3"/>
  <c r="M124" i="5"/>
  <c r="N124" i="5" s="1"/>
  <c r="O124" i="5" s="1"/>
  <c r="I89" i="2"/>
  <c r="R124" i="4"/>
  <c r="F125" i="4" s="1"/>
  <c r="L56" i="2"/>
  <c r="K56" i="2"/>
  <c r="G122" i="6" l="1"/>
  <c r="H122" i="6" s="1"/>
  <c r="K123" i="3"/>
  <c r="R123" i="3"/>
  <c r="P124" i="5"/>
  <c r="G125" i="4"/>
  <c r="D57" i="2"/>
  <c r="M56" i="2"/>
  <c r="S124" i="4"/>
  <c r="J122" i="6" l="1"/>
  <c r="I122" i="6"/>
  <c r="M123" i="3"/>
  <c r="N123" i="3" s="1"/>
  <c r="S123" i="3"/>
  <c r="F124" i="3"/>
  <c r="Q124" i="5"/>
  <c r="L89" i="2" s="1"/>
  <c r="J89" i="2"/>
  <c r="H125" i="4"/>
  <c r="E57" i="2"/>
  <c r="H56" i="2"/>
  <c r="F56" i="2"/>
  <c r="G56" i="2"/>
  <c r="K122" i="6" l="1"/>
  <c r="R122" i="6"/>
  <c r="G124" i="3"/>
  <c r="H124" i="3" s="1"/>
  <c r="R124" i="5"/>
  <c r="K89" i="2"/>
  <c r="I125" i="4"/>
  <c r="J125" i="4"/>
  <c r="M122" i="6" l="1"/>
  <c r="N122" i="6" s="1"/>
  <c r="F123" i="6"/>
  <c r="S122" i="6"/>
  <c r="J124" i="3"/>
  <c r="I124" i="3"/>
  <c r="S124" i="5"/>
  <c r="M89" i="2"/>
  <c r="F125" i="5"/>
  <c r="R125" i="4"/>
  <c r="K125" i="4"/>
  <c r="G123" i="6" l="1"/>
  <c r="H123" i="6" s="1"/>
  <c r="L124" i="3"/>
  <c r="K124" i="3"/>
  <c r="D90" i="2"/>
  <c r="G125" i="5"/>
  <c r="H89" i="2"/>
  <c r="G89" i="2"/>
  <c r="F89" i="2"/>
  <c r="F126" i="4"/>
  <c r="S125" i="4"/>
  <c r="M125" i="4"/>
  <c r="N125" i="4" s="1"/>
  <c r="J123" i="6" l="1"/>
  <c r="I123" i="6"/>
  <c r="M124" i="3"/>
  <c r="N124" i="3" s="1"/>
  <c r="O124" i="3" s="1"/>
  <c r="I23" i="2"/>
  <c r="H125" i="5"/>
  <c r="E90" i="2"/>
  <c r="G126" i="4"/>
  <c r="H126" i="4" s="1"/>
  <c r="K123" i="6" l="1"/>
  <c r="R123" i="6"/>
  <c r="P124" i="3"/>
  <c r="I125" i="5"/>
  <c r="J125" i="5"/>
  <c r="J126" i="4"/>
  <c r="I126" i="4"/>
  <c r="M123" i="6" l="1"/>
  <c r="N123" i="6" s="1"/>
  <c r="S123" i="6"/>
  <c r="F124" i="6"/>
  <c r="R126" i="4"/>
  <c r="K126" i="4"/>
  <c r="M126" i="4" s="1"/>
  <c r="N126" i="4" s="1"/>
  <c r="Q124" i="3"/>
  <c r="L23" i="2" s="1"/>
  <c r="J23" i="2"/>
  <c r="R125" i="5"/>
  <c r="K125" i="5"/>
  <c r="M125" i="5" s="1"/>
  <c r="N125" i="5" s="1"/>
  <c r="G124" i="6" l="1"/>
  <c r="H124" i="6" s="1"/>
  <c r="S126" i="4"/>
  <c r="F127" i="4"/>
  <c r="R124" i="3"/>
  <c r="K23" i="2"/>
  <c r="S125" i="5"/>
  <c r="F126" i="5"/>
  <c r="J124" i="6" l="1"/>
  <c r="I124" i="6"/>
  <c r="G127" i="4"/>
  <c r="H127" i="4" s="1"/>
  <c r="J127" i="4" s="1"/>
  <c r="I127" i="4"/>
  <c r="F125" i="3"/>
  <c r="S124" i="3"/>
  <c r="M23" i="2"/>
  <c r="G126" i="5"/>
  <c r="H126" i="5" s="1"/>
  <c r="K127" i="4"/>
  <c r="L127" i="4"/>
  <c r="L124" i="6" l="1"/>
  <c r="K124" i="6"/>
  <c r="G125" i="3"/>
  <c r="D24" i="2"/>
  <c r="G23" i="2"/>
  <c r="F23" i="2"/>
  <c r="H23" i="2"/>
  <c r="J126" i="5"/>
  <c r="I126" i="5"/>
  <c r="M127" i="4"/>
  <c r="N127" i="4" s="1"/>
  <c r="O127" i="4" s="1"/>
  <c r="I122" i="2" l="1"/>
  <c r="M124" i="6"/>
  <c r="N124" i="6" s="1"/>
  <c r="O124" i="6" s="1"/>
  <c r="H125" i="3"/>
  <c r="E24" i="2"/>
  <c r="R126" i="5"/>
  <c r="K126" i="5"/>
  <c r="M126" i="5" s="1"/>
  <c r="N126" i="5" s="1"/>
  <c r="R127" i="4"/>
  <c r="P127" i="4"/>
  <c r="P128" i="4" s="1"/>
  <c r="P129" i="4" s="1"/>
  <c r="P124" i="6" l="1"/>
  <c r="I125" i="3"/>
  <c r="J125" i="3"/>
  <c r="S126" i="5"/>
  <c r="F127" i="5"/>
  <c r="F128" i="4"/>
  <c r="S127" i="4"/>
  <c r="Q124" i="6" l="1"/>
  <c r="L122" i="2" s="1"/>
  <c r="J122" i="2"/>
  <c r="R125" i="3"/>
  <c r="K125" i="3"/>
  <c r="G127" i="5"/>
  <c r="H127" i="5" s="1"/>
  <c r="G128" i="4"/>
  <c r="H128" i="4" s="1"/>
  <c r="R124" i="6" l="1"/>
  <c r="K122" i="2"/>
  <c r="F126" i="3"/>
  <c r="S125" i="3"/>
  <c r="M125" i="3"/>
  <c r="N125" i="3" s="1"/>
  <c r="J127" i="5"/>
  <c r="I127" i="5"/>
  <c r="J128" i="4"/>
  <c r="I128" i="4"/>
  <c r="S124" i="6" l="1"/>
  <c r="M122" i="2"/>
  <c r="F125" i="6"/>
  <c r="G126" i="3"/>
  <c r="H126" i="3" s="1"/>
  <c r="L127" i="5"/>
  <c r="K127" i="5"/>
  <c r="M127" i="5" s="1"/>
  <c r="N127" i="5" s="1"/>
  <c r="O127" i="5" s="1"/>
  <c r="K128" i="4"/>
  <c r="R128" i="4"/>
  <c r="H122" i="2" l="1"/>
  <c r="G122" i="2"/>
  <c r="F122" i="2"/>
  <c r="D123" i="2"/>
  <c r="G125" i="6"/>
  <c r="J126" i="3"/>
  <c r="I126" i="3"/>
  <c r="K126" i="3"/>
  <c r="R126" i="3"/>
  <c r="R127" i="5"/>
  <c r="P127" i="5"/>
  <c r="P128" i="5" s="1"/>
  <c r="P129" i="5" s="1"/>
  <c r="M128" i="4"/>
  <c r="N128" i="4" s="1"/>
  <c r="F129" i="4"/>
  <c r="S128" i="4"/>
  <c r="H125" i="6" l="1"/>
  <c r="E123" i="2"/>
  <c r="M126" i="3"/>
  <c r="N126" i="3" s="1"/>
  <c r="F127" i="3"/>
  <c r="S126" i="3"/>
  <c r="F128" i="5"/>
  <c r="S127" i="5"/>
  <c r="G129" i="4"/>
  <c r="H129" i="4" s="1"/>
  <c r="I125" i="6" l="1"/>
  <c r="J125" i="6"/>
  <c r="G127" i="3"/>
  <c r="H127" i="3" s="1"/>
  <c r="G128" i="5"/>
  <c r="H128" i="5" s="1"/>
  <c r="J129" i="4"/>
  <c r="I129" i="4"/>
  <c r="R125" i="6" l="1"/>
  <c r="K125" i="6"/>
  <c r="J127" i="3"/>
  <c r="I127" i="3"/>
  <c r="J128" i="5"/>
  <c r="I128" i="5"/>
  <c r="K129" i="4"/>
  <c r="R129" i="4"/>
  <c r="S125" i="6" l="1"/>
  <c r="F126" i="6"/>
  <c r="M125" i="6"/>
  <c r="N125" i="6" s="1"/>
  <c r="L127" i="3"/>
  <c r="K127" i="3"/>
  <c r="R128" i="5"/>
  <c r="K128" i="5"/>
  <c r="M129" i="4"/>
  <c r="N129" i="4" s="1"/>
  <c r="S129" i="4"/>
  <c r="F130" i="4"/>
  <c r="G126" i="6" l="1"/>
  <c r="H126" i="6" s="1"/>
  <c r="M127" i="3"/>
  <c r="N127" i="3" s="1"/>
  <c r="O127" i="3" s="1"/>
  <c r="F129" i="5"/>
  <c r="S128" i="5"/>
  <c r="M128" i="5"/>
  <c r="N128" i="5" s="1"/>
  <c r="G130" i="4"/>
  <c r="H130" i="4" s="1"/>
  <c r="J126" i="6" l="1"/>
  <c r="I126" i="6"/>
  <c r="R127" i="3"/>
  <c r="P127" i="3"/>
  <c r="P128" i="3" s="1"/>
  <c r="P129" i="3" s="1"/>
  <c r="G129" i="5"/>
  <c r="H129" i="5" s="1"/>
  <c r="J130" i="4"/>
  <c r="I130" i="4"/>
  <c r="K126" i="6" l="1"/>
  <c r="R126" i="6"/>
  <c r="S127" i="3"/>
  <c r="F128" i="3"/>
  <c r="J129" i="5"/>
  <c r="I129" i="5"/>
  <c r="L130" i="4"/>
  <c r="K130" i="4"/>
  <c r="M126" i="6" l="1"/>
  <c r="N126" i="6" s="1"/>
  <c r="S126" i="6"/>
  <c r="F127" i="6"/>
  <c r="G128" i="3"/>
  <c r="H128" i="3" s="1"/>
  <c r="R129" i="5"/>
  <c r="K129" i="5"/>
  <c r="M130" i="4"/>
  <c r="N130" i="4" s="1"/>
  <c r="O130" i="4" s="1"/>
  <c r="G127" i="6" l="1"/>
  <c r="H127" i="6" s="1"/>
  <c r="F130" i="5"/>
  <c r="S129" i="5"/>
  <c r="M129" i="5"/>
  <c r="N129" i="5" s="1"/>
  <c r="J128" i="3"/>
  <c r="I128" i="3"/>
  <c r="R130" i="4"/>
  <c r="P130" i="4"/>
  <c r="P131" i="4" s="1"/>
  <c r="P132" i="4" s="1"/>
  <c r="J127" i="6" l="1"/>
  <c r="I127" i="6"/>
  <c r="G130" i="5"/>
  <c r="H130" i="5" s="1"/>
  <c r="K128" i="3"/>
  <c r="R128" i="3"/>
  <c r="S130" i="4"/>
  <c r="F131" i="4"/>
  <c r="L127" i="6" l="1"/>
  <c r="K127" i="6"/>
  <c r="J130" i="5"/>
  <c r="I130" i="5"/>
  <c r="M128" i="3"/>
  <c r="N128" i="3" s="1"/>
  <c r="F129" i="3"/>
  <c r="S128" i="3"/>
  <c r="G131" i="4"/>
  <c r="H131" i="4" s="1"/>
  <c r="M127" i="6" l="1"/>
  <c r="N127" i="6" s="1"/>
  <c r="O127" i="6" s="1"/>
  <c r="K130" i="5"/>
  <c r="M130" i="5" s="1"/>
  <c r="N130" i="5" s="1"/>
  <c r="O130" i="5" s="1"/>
  <c r="L130" i="5"/>
  <c r="G129" i="3"/>
  <c r="H129" i="3" s="1"/>
  <c r="J131" i="4"/>
  <c r="I131" i="4"/>
  <c r="R130" i="5" l="1"/>
  <c r="P130" i="5"/>
  <c r="P131" i="5" s="1"/>
  <c r="P132" i="5" s="1"/>
  <c r="R127" i="6"/>
  <c r="P127" i="6"/>
  <c r="P128" i="6" s="1"/>
  <c r="P129" i="6" s="1"/>
  <c r="F131" i="5"/>
  <c r="S130" i="5"/>
  <c r="J129" i="3"/>
  <c r="I129" i="3"/>
  <c r="R131" i="4"/>
  <c r="K131" i="4"/>
  <c r="M131" i="4" s="1"/>
  <c r="N131" i="4" s="1"/>
  <c r="F128" i="6" l="1"/>
  <c r="S127" i="6"/>
  <c r="F132" i="4"/>
  <c r="S131" i="4"/>
  <c r="G131" i="5"/>
  <c r="H131" i="5" s="1"/>
  <c r="R129" i="3"/>
  <c r="K129" i="3"/>
  <c r="G128" i="6" l="1"/>
  <c r="H128" i="6" s="1"/>
  <c r="G132" i="4"/>
  <c r="H132" i="4" s="1"/>
  <c r="F130" i="3"/>
  <c r="S129" i="3"/>
  <c r="M129" i="3"/>
  <c r="N129" i="3" s="1"/>
  <c r="J131" i="5"/>
  <c r="I131" i="5"/>
  <c r="I132" i="4" l="1"/>
  <c r="J132" i="4"/>
  <c r="J128" i="6"/>
  <c r="I128" i="6"/>
  <c r="G130" i="3"/>
  <c r="H130" i="3" s="1"/>
  <c r="R131" i="5"/>
  <c r="K131" i="5"/>
  <c r="R132" i="4" l="1"/>
  <c r="K132" i="4"/>
  <c r="M132" i="4" s="1"/>
  <c r="N132" i="4" s="1"/>
  <c r="K128" i="6"/>
  <c r="R128" i="6"/>
  <c r="S131" i="5"/>
  <c r="F132" i="5"/>
  <c r="M131" i="5"/>
  <c r="N131" i="5" s="1"/>
  <c r="J130" i="3"/>
  <c r="I130" i="3"/>
  <c r="F133" i="4" l="1"/>
  <c r="S132" i="4"/>
  <c r="M128" i="6"/>
  <c r="N128" i="6" s="1"/>
  <c r="F129" i="6"/>
  <c r="S128" i="6"/>
  <c r="G132" i="5"/>
  <c r="H132" i="5" s="1"/>
  <c r="L130" i="3"/>
  <c r="K130" i="3"/>
  <c r="G133" i="4" l="1"/>
  <c r="H133" i="4" s="1"/>
  <c r="J133" i="4" s="1"/>
  <c r="I133" i="4"/>
  <c r="G129" i="6"/>
  <c r="H129" i="6" s="1"/>
  <c r="M130" i="3"/>
  <c r="N130" i="3" s="1"/>
  <c r="O130" i="3" s="1"/>
  <c r="J132" i="5"/>
  <c r="I132" i="5"/>
  <c r="L133" i="4"/>
  <c r="K133" i="4"/>
  <c r="J129" i="6" l="1"/>
  <c r="I129" i="6"/>
  <c r="R130" i="3"/>
  <c r="P130" i="3"/>
  <c r="P131" i="3" s="1"/>
  <c r="P132" i="3" s="1"/>
  <c r="R132" i="5"/>
  <c r="K132" i="5"/>
  <c r="M133" i="4"/>
  <c r="N133" i="4" s="1"/>
  <c r="O133" i="4" s="1"/>
  <c r="K129" i="6" l="1"/>
  <c r="R129" i="6"/>
  <c r="S130" i="3"/>
  <c r="F131" i="3"/>
  <c r="S132" i="5"/>
  <c r="F133" i="5"/>
  <c r="M132" i="5"/>
  <c r="N132" i="5" s="1"/>
  <c r="R133" i="4"/>
  <c r="P133" i="4"/>
  <c r="P134" i="4" s="1"/>
  <c r="P135" i="4" s="1"/>
  <c r="M129" i="6" l="1"/>
  <c r="N129" i="6" s="1"/>
  <c r="F130" i="6"/>
  <c r="S129" i="6"/>
  <c r="G131" i="3"/>
  <c r="H131" i="3" s="1"/>
  <c r="G133" i="5"/>
  <c r="H133" i="5" s="1"/>
  <c r="F134" i="4"/>
  <c r="S133" i="4"/>
  <c r="G130" i="6" l="1"/>
  <c r="H130" i="6" s="1"/>
  <c r="J131" i="3"/>
  <c r="I131" i="3"/>
  <c r="J133" i="5"/>
  <c r="I133" i="5"/>
  <c r="G134" i="4"/>
  <c r="H134" i="4" s="1"/>
  <c r="J130" i="6" l="1"/>
  <c r="I130" i="6"/>
  <c r="K131" i="3"/>
  <c r="R131" i="3"/>
  <c r="L133" i="5"/>
  <c r="K133" i="5"/>
  <c r="J134" i="4"/>
  <c r="I134" i="4"/>
  <c r="L130" i="6" l="1"/>
  <c r="K130" i="6"/>
  <c r="M131" i="3"/>
  <c r="N131" i="3" s="1"/>
  <c r="F132" i="3"/>
  <c r="S131" i="3"/>
  <c r="M133" i="5"/>
  <c r="N133" i="5" s="1"/>
  <c r="O133" i="5" s="1"/>
  <c r="K134" i="4"/>
  <c r="R134" i="4"/>
  <c r="M130" i="6" l="1"/>
  <c r="N130" i="6" s="1"/>
  <c r="O130" i="6" s="1"/>
  <c r="G132" i="3"/>
  <c r="H132" i="3" s="1"/>
  <c r="P133" i="5"/>
  <c r="P134" i="5" s="1"/>
  <c r="P135" i="5" s="1"/>
  <c r="R133" i="5"/>
  <c r="M134" i="4"/>
  <c r="N134" i="4" s="1"/>
  <c r="S134" i="4"/>
  <c r="F135" i="4"/>
  <c r="R130" i="6" l="1"/>
  <c r="P130" i="6"/>
  <c r="P131" i="6" s="1"/>
  <c r="P132" i="6" s="1"/>
  <c r="S133" i="5"/>
  <c r="F134" i="5"/>
  <c r="J132" i="3"/>
  <c r="I132" i="3"/>
  <c r="G135" i="4"/>
  <c r="H135" i="4" s="1"/>
  <c r="S130" i="6" l="1"/>
  <c r="F131" i="6"/>
  <c r="G134" i="5"/>
  <c r="H134" i="5" s="1"/>
  <c r="K132" i="3"/>
  <c r="R132" i="3"/>
  <c r="J135" i="4"/>
  <c r="I135" i="4"/>
  <c r="G131" i="6" l="1"/>
  <c r="H131" i="6" s="1"/>
  <c r="M132" i="3"/>
  <c r="N132" i="3" s="1"/>
  <c r="S132" i="3"/>
  <c r="F133" i="3"/>
  <c r="J134" i="5"/>
  <c r="I134" i="5"/>
  <c r="K135" i="4"/>
  <c r="R135" i="4"/>
  <c r="J131" i="6" l="1"/>
  <c r="I131" i="6"/>
  <c r="G133" i="3"/>
  <c r="H133" i="3" s="1"/>
  <c r="R134" i="5"/>
  <c r="K134" i="5"/>
  <c r="M134" i="5" s="1"/>
  <c r="N134" i="5" s="1"/>
  <c r="M135" i="4"/>
  <c r="N135" i="4" s="1"/>
  <c r="S135" i="4"/>
  <c r="F136" i="4"/>
  <c r="R131" i="6" l="1"/>
  <c r="K131" i="6"/>
  <c r="F135" i="5"/>
  <c r="S134" i="5"/>
  <c r="J133" i="3"/>
  <c r="I133" i="3"/>
  <c r="G136" i="4"/>
  <c r="H136" i="4" s="1"/>
  <c r="F132" i="6" l="1"/>
  <c r="S131" i="6"/>
  <c r="M131" i="6"/>
  <c r="N131" i="6" s="1"/>
  <c r="G135" i="5"/>
  <c r="H135" i="5" s="1"/>
  <c r="L133" i="3"/>
  <c r="K133" i="3"/>
  <c r="J136" i="4"/>
  <c r="I136" i="4"/>
  <c r="G132" i="6" l="1"/>
  <c r="H132" i="6" s="1"/>
  <c r="M133" i="3"/>
  <c r="N133" i="3" s="1"/>
  <c r="O133" i="3" s="1"/>
  <c r="J135" i="5"/>
  <c r="I135" i="5"/>
  <c r="L136" i="4"/>
  <c r="K136" i="4"/>
  <c r="J132" i="6" l="1"/>
  <c r="I132" i="6"/>
  <c r="R133" i="3"/>
  <c r="P133" i="3"/>
  <c r="P134" i="3" s="1"/>
  <c r="P135" i="3" s="1"/>
  <c r="K135" i="5"/>
  <c r="M135" i="5" s="1"/>
  <c r="N135" i="5" s="1"/>
  <c r="R135" i="5"/>
  <c r="I57" i="2"/>
  <c r="M136" i="4"/>
  <c r="N136" i="4" s="1"/>
  <c r="O136" i="4" s="1"/>
  <c r="K132" i="6" l="1"/>
  <c r="R132" i="6"/>
  <c r="S133" i="3"/>
  <c r="F134" i="3"/>
  <c r="F136" i="5"/>
  <c r="S135" i="5"/>
  <c r="P136" i="4"/>
  <c r="M132" i="6" l="1"/>
  <c r="N132" i="6" s="1"/>
  <c r="F133" i="6"/>
  <c r="S132" i="6"/>
  <c r="G134" i="3"/>
  <c r="H134" i="3" s="1"/>
  <c r="G136" i="5"/>
  <c r="H136" i="5" s="1"/>
  <c r="Q136" i="4"/>
  <c r="L57" i="2" s="1"/>
  <c r="J57" i="2"/>
  <c r="G133" i="6" l="1"/>
  <c r="H133" i="6" s="1"/>
  <c r="J136" i="5"/>
  <c r="I136" i="5"/>
  <c r="J134" i="3"/>
  <c r="I134" i="3"/>
  <c r="R136" i="4"/>
  <c r="K57" i="2"/>
  <c r="J133" i="6" l="1"/>
  <c r="I133" i="6"/>
  <c r="L136" i="5"/>
  <c r="K136" i="5"/>
  <c r="I90" i="2"/>
  <c r="M136" i="5"/>
  <c r="N136" i="5" s="1"/>
  <c r="O136" i="5" s="1"/>
  <c r="K134" i="3"/>
  <c r="R134" i="3"/>
  <c r="S136" i="4"/>
  <c r="M57" i="2"/>
  <c r="F137" i="4"/>
  <c r="L133" i="6" l="1"/>
  <c r="K133" i="6"/>
  <c r="P136" i="5"/>
  <c r="M134" i="3"/>
  <c r="N134" i="3" s="1"/>
  <c r="S134" i="3"/>
  <c r="F135" i="3"/>
  <c r="F57" i="2"/>
  <c r="H57" i="2"/>
  <c r="G57" i="2"/>
  <c r="D58" i="2"/>
  <c r="G137" i="4"/>
  <c r="M133" i="6" l="1"/>
  <c r="N133" i="6" s="1"/>
  <c r="O133" i="6" s="1"/>
  <c r="Q136" i="5"/>
  <c r="J90" i="2"/>
  <c r="G135" i="3"/>
  <c r="H135" i="3" s="1"/>
  <c r="H137" i="4"/>
  <c r="E58" i="2"/>
  <c r="R133" i="6" l="1"/>
  <c r="P133" i="6"/>
  <c r="P134" i="6" s="1"/>
  <c r="P135" i="6" s="1"/>
  <c r="R136" i="5"/>
  <c r="L90" i="2"/>
  <c r="K90" i="2"/>
  <c r="J135" i="3"/>
  <c r="I135" i="3"/>
  <c r="I137" i="4"/>
  <c r="J137" i="4"/>
  <c r="S133" i="6" l="1"/>
  <c r="F134" i="6"/>
  <c r="M90" i="2"/>
  <c r="F137" i="5"/>
  <c r="S136" i="5"/>
  <c r="K135" i="3"/>
  <c r="R135" i="3"/>
  <c r="R137" i="4"/>
  <c r="K137" i="4"/>
  <c r="G134" i="6" l="1"/>
  <c r="H134" i="6" s="1"/>
  <c r="G137" i="5"/>
  <c r="D91" i="2"/>
  <c r="F90" i="2"/>
  <c r="H90" i="2"/>
  <c r="G90" i="2"/>
  <c r="M135" i="3"/>
  <c r="N135" i="3" s="1"/>
  <c r="F136" i="3"/>
  <c r="S135" i="3"/>
  <c r="F138" i="4"/>
  <c r="S137" i="4"/>
  <c r="M137" i="4"/>
  <c r="N137" i="4" s="1"/>
  <c r="J134" i="6" l="1"/>
  <c r="R134" i="6" s="1"/>
  <c r="I134" i="6"/>
  <c r="E91" i="2"/>
  <c r="H137" i="5"/>
  <c r="G136" i="3"/>
  <c r="H136" i="3" s="1"/>
  <c r="G138" i="4"/>
  <c r="H138" i="4" s="1"/>
  <c r="S134" i="6" l="1"/>
  <c r="F135" i="6"/>
  <c r="G135" i="6"/>
  <c r="H135" i="6" s="1"/>
  <c r="K134" i="6"/>
  <c r="I137" i="5"/>
  <c r="J137" i="5"/>
  <c r="J136" i="3"/>
  <c r="I136" i="3"/>
  <c r="J138" i="4"/>
  <c r="I138" i="4"/>
  <c r="M134" i="6" l="1"/>
  <c r="N134" i="6" s="1"/>
  <c r="J135" i="6"/>
  <c r="K135" i="6" s="1"/>
  <c r="I135" i="6"/>
  <c r="R137" i="5"/>
  <c r="K137" i="5"/>
  <c r="L136" i="3"/>
  <c r="K136" i="3"/>
  <c r="K138" i="4"/>
  <c r="R138" i="4"/>
  <c r="M135" i="6" l="1"/>
  <c r="N135" i="6" s="1"/>
  <c r="R135" i="6"/>
  <c r="S137" i="5"/>
  <c r="F138" i="5"/>
  <c r="M137" i="5"/>
  <c r="N137" i="5" s="1"/>
  <c r="M136" i="3"/>
  <c r="N136" i="3" s="1"/>
  <c r="O136" i="3" s="1"/>
  <c r="I24" i="2"/>
  <c r="M138" i="4"/>
  <c r="N138" i="4" s="1"/>
  <c r="F139" i="4"/>
  <c r="S138" i="4"/>
  <c r="S135" i="6" l="1"/>
  <c r="F136" i="6"/>
  <c r="G138" i="5"/>
  <c r="H138" i="5" s="1"/>
  <c r="P136" i="3"/>
  <c r="G139" i="4"/>
  <c r="H139" i="4" s="1"/>
  <c r="G136" i="6" l="1"/>
  <c r="H136" i="6" s="1"/>
  <c r="Q136" i="3"/>
  <c r="J24" i="2"/>
  <c r="J138" i="5"/>
  <c r="I138" i="5"/>
  <c r="J139" i="4"/>
  <c r="I139" i="4"/>
  <c r="J136" i="6" l="1"/>
  <c r="I136" i="6"/>
  <c r="R136" i="3"/>
  <c r="L24" i="2"/>
  <c r="K24" i="2"/>
  <c r="K138" i="5"/>
  <c r="R138" i="5"/>
  <c r="L139" i="4"/>
  <c r="K139" i="4"/>
  <c r="L136" i="6" l="1"/>
  <c r="K136" i="6"/>
  <c r="S136" i="3"/>
  <c r="M24" i="2"/>
  <c r="F137" i="3"/>
  <c r="M138" i="5"/>
  <c r="N138" i="5" s="1"/>
  <c r="S138" i="5"/>
  <c r="F139" i="5"/>
  <c r="M139" i="4"/>
  <c r="N139" i="4" s="1"/>
  <c r="O139" i="4" s="1"/>
  <c r="I123" i="2" l="1"/>
  <c r="M136" i="6"/>
  <c r="N136" i="6" s="1"/>
  <c r="O136" i="6" s="1"/>
  <c r="G24" i="2"/>
  <c r="F24" i="2"/>
  <c r="H24" i="2"/>
  <c r="D25" i="2"/>
  <c r="G137" i="3"/>
  <c r="G139" i="5"/>
  <c r="H139" i="5" s="1"/>
  <c r="R139" i="4"/>
  <c r="P139" i="4"/>
  <c r="P140" i="4" s="1"/>
  <c r="P141" i="4" s="1"/>
  <c r="P136" i="6" l="1"/>
  <c r="H137" i="3"/>
  <c r="E25" i="2"/>
  <c r="J139" i="5"/>
  <c r="I139" i="5"/>
  <c r="F140" i="4"/>
  <c r="S139" i="4"/>
  <c r="Q136" i="6" l="1"/>
  <c r="J123" i="2"/>
  <c r="I137" i="3"/>
  <c r="J137" i="3"/>
  <c r="L139" i="5"/>
  <c r="K139" i="5"/>
  <c r="G140" i="4"/>
  <c r="H140" i="4" s="1"/>
  <c r="R136" i="6" l="1"/>
  <c r="L123" i="2"/>
  <c r="K123" i="2"/>
  <c r="R137" i="3"/>
  <c r="K137" i="3"/>
  <c r="M139" i="5"/>
  <c r="N139" i="5" s="1"/>
  <c r="O139" i="5" s="1"/>
  <c r="J140" i="4"/>
  <c r="I140" i="4"/>
  <c r="M123" i="2" l="1"/>
  <c r="F137" i="6"/>
  <c r="S136" i="6"/>
  <c r="S137" i="3"/>
  <c r="F138" i="3"/>
  <c r="M137" i="3"/>
  <c r="N137" i="3" s="1"/>
  <c r="R139" i="5"/>
  <c r="P139" i="5"/>
  <c r="P140" i="5" s="1"/>
  <c r="P141" i="5" s="1"/>
  <c r="K140" i="4"/>
  <c r="R140" i="4"/>
  <c r="D124" i="2" l="1"/>
  <c r="G137" i="6"/>
  <c r="F123" i="2"/>
  <c r="G123" i="2"/>
  <c r="H123" i="2"/>
  <c r="G138" i="3"/>
  <c r="H138" i="3" s="1"/>
  <c r="S139" i="5"/>
  <c r="F140" i="5"/>
  <c r="M140" i="4"/>
  <c r="N140" i="4" s="1"/>
  <c r="F141" i="4"/>
  <c r="S140" i="4"/>
  <c r="H137" i="6" l="1"/>
  <c r="E124" i="2"/>
  <c r="G140" i="5"/>
  <c r="H140" i="5" s="1"/>
  <c r="J138" i="3"/>
  <c r="I138" i="3"/>
  <c r="G141" i="4"/>
  <c r="H141" i="4" s="1"/>
  <c r="I137" i="6" l="1"/>
  <c r="J137" i="6"/>
  <c r="K138" i="3"/>
  <c r="R138" i="3"/>
  <c r="J140" i="5"/>
  <c r="I140" i="5"/>
  <c r="J141" i="4"/>
  <c r="I141" i="4"/>
  <c r="R137" i="6" l="1"/>
  <c r="K137" i="6"/>
  <c r="R141" i="4"/>
  <c r="K141" i="4"/>
  <c r="M141" i="4" s="1"/>
  <c r="N141" i="4" s="1"/>
  <c r="M138" i="3"/>
  <c r="N138" i="3" s="1"/>
  <c r="S138" i="3"/>
  <c r="F139" i="3"/>
  <c r="R140" i="5"/>
  <c r="K140" i="5"/>
  <c r="S137" i="6" l="1"/>
  <c r="F138" i="6"/>
  <c r="M137" i="6"/>
  <c r="N137" i="6" s="1"/>
  <c r="F142" i="4"/>
  <c r="G142" i="4" s="1"/>
  <c r="H142" i="4" s="1"/>
  <c r="S141" i="4"/>
  <c r="G139" i="3"/>
  <c r="H139" i="3" s="1"/>
  <c r="F141" i="5"/>
  <c r="S140" i="5"/>
  <c r="M140" i="5"/>
  <c r="N140" i="5" s="1"/>
  <c r="J142" i="4" l="1"/>
  <c r="I142" i="4"/>
  <c r="G138" i="6"/>
  <c r="H138" i="6" s="1"/>
  <c r="G141" i="5"/>
  <c r="H141" i="5" s="1"/>
  <c r="J139" i="3"/>
  <c r="I139" i="3"/>
  <c r="K142" i="4"/>
  <c r="L142" i="4"/>
  <c r="J138" i="6" l="1"/>
  <c r="I138" i="6"/>
  <c r="L139" i="3"/>
  <c r="K139" i="3"/>
  <c r="J141" i="5"/>
  <c r="I141" i="5"/>
  <c r="M142" i="4"/>
  <c r="N142" i="4" s="1"/>
  <c r="O142" i="4" s="1"/>
  <c r="K138" i="6" l="1"/>
  <c r="M138" i="6" s="1"/>
  <c r="N138" i="6" s="1"/>
  <c r="R138" i="6"/>
  <c r="M139" i="3"/>
  <c r="N139" i="3" s="1"/>
  <c r="O139" i="3" s="1"/>
  <c r="K141" i="5"/>
  <c r="R141" i="5"/>
  <c r="R142" i="4"/>
  <c r="P142" i="4"/>
  <c r="P143" i="4" s="1"/>
  <c r="P144" i="4" s="1"/>
  <c r="S138" i="6" l="1"/>
  <c r="F139" i="6"/>
  <c r="R139" i="3"/>
  <c r="P139" i="3"/>
  <c r="P140" i="3" s="1"/>
  <c r="P141" i="3" s="1"/>
  <c r="M141" i="5"/>
  <c r="N141" i="5" s="1"/>
  <c r="S141" i="5"/>
  <c r="F142" i="5"/>
  <c r="S142" i="4"/>
  <c r="F143" i="4"/>
  <c r="G139" i="6" l="1"/>
  <c r="H139" i="6" s="1"/>
  <c r="F140" i="3"/>
  <c r="S139" i="3"/>
  <c r="G142" i="5"/>
  <c r="H142" i="5" s="1"/>
  <c r="G143" i="4"/>
  <c r="H143" i="4" s="1"/>
  <c r="J139" i="6" l="1"/>
  <c r="I139" i="6"/>
  <c r="G140" i="3"/>
  <c r="H140" i="3" s="1"/>
  <c r="J142" i="5"/>
  <c r="I142" i="5"/>
  <c r="J143" i="4"/>
  <c r="I143" i="4"/>
  <c r="K139" i="6" l="1"/>
  <c r="L139" i="6"/>
  <c r="L142" i="5"/>
  <c r="K142" i="5"/>
  <c r="J140" i="3"/>
  <c r="I140" i="3"/>
  <c r="K143" i="4"/>
  <c r="R143" i="4"/>
  <c r="M139" i="6" l="1"/>
  <c r="N139" i="6" s="1"/>
  <c r="O139" i="6" s="1"/>
  <c r="M142" i="5"/>
  <c r="N142" i="5" s="1"/>
  <c r="O142" i="5" s="1"/>
  <c r="R140" i="3"/>
  <c r="K140" i="3"/>
  <c r="M143" i="4"/>
  <c r="N143" i="4" s="1"/>
  <c r="F144" i="4"/>
  <c r="S143" i="4"/>
  <c r="R139" i="6" l="1"/>
  <c r="P139" i="6"/>
  <c r="P140" i="6" s="1"/>
  <c r="P141" i="6" s="1"/>
  <c r="R142" i="5"/>
  <c r="P142" i="5"/>
  <c r="P143" i="5" s="1"/>
  <c r="P144" i="5" s="1"/>
  <c r="F141" i="3"/>
  <c r="S140" i="3"/>
  <c r="M140" i="3"/>
  <c r="N140" i="3" s="1"/>
  <c r="G144" i="4"/>
  <c r="H144" i="4" s="1"/>
  <c r="S139" i="6" l="1"/>
  <c r="F140" i="6"/>
  <c r="F143" i="5"/>
  <c r="S142" i="5"/>
  <c r="G141" i="3"/>
  <c r="H141" i="3" s="1"/>
  <c r="J144" i="4"/>
  <c r="I144" i="4"/>
  <c r="G140" i="6" l="1"/>
  <c r="H140" i="6" s="1"/>
  <c r="G143" i="5"/>
  <c r="H143" i="5" s="1"/>
  <c r="J141" i="3"/>
  <c r="I141" i="3"/>
  <c r="R144" i="4"/>
  <c r="K144" i="4"/>
  <c r="M144" i="4" s="1"/>
  <c r="N144" i="4" s="1"/>
  <c r="J140" i="6" l="1"/>
  <c r="I140" i="6"/>
  <c r="K141" i="3"/>
  <c r="R141" i="3"/>
  <c r="J143" i="5"/>
  <c r="I143" i="5"/>
  <c r="F145" i="4"/>
  <c r="S144" i="4"/>
  <c r="K140" i="6" l="1"/>
  <c r="R140" i="6"/>
  <c r="M141" i="3"/>
  <c r="N141" i="3" s="1"/>
  <c r="S141" i="3"/>
  <c r="F142" i="3"/>
  <c r="K143" i="5"/>
  <c r="R143" i="5"/>
  <c r="G145" i="4"/>
  <c r="H145" i="4" s="1"/>
  <c r="M140" i="6" l="1"/>
  <c r="N140" i="6" s="1"/>
  <c r="S140" i="6"/>
  <c r="F141" i="6"/>
  <c r="J145" i="4"/>
  <c r="I145" i="4"/>
  <c r="G142" i="3"/>
  <c r="H142" i="3" s="1"/>
  <c r="M143" i="5"/>
  <c r="N143" i="5" s="1"/>
  <c r="F144" i="5"/>
  <c r="S143" i="5"/>
  <c r="K145" i="4"/>
  <c r="M145" i="4" s="1"/>
  <c r="N145" i="4" s="1"/>
  <c r="O145" i="4" s="1"/>
  <c r="L145" i="4"/>
  <c r="G141" i="6" l="1"/>
  <c r="H141" i="6" s="1"/>
  <c r="G144" i="5"/>
  <c r="H144" i="5" s="1"/>
  <c r="J142" i="3"/>
  <c r="I142" i="3"/>
  <c r="R145" i="4"/>
  <c r="P145" i="4"/>
  <c r="P146" i="4" s="1"/>
  <c r="P147" i="4" s="1"/>
  <c r="J141" i="6" l="1"/>
  <c r="R141" i="6" s="1"/>
  <c r="I141" i="6"/>
  <c r="F142" i="6"/>
  <c r="S141" i="6"/>
  <c r="K141" i="6"/>
  <c r="L142" i="3"/>
  <c r="K142" i="3"/>
  <c r="J144" i="5"/>
  <c r="I144" i="5"/>
  <c r="G149" i="6"/>
  <c r="D125" i="2"/>
  <c r="S145" i="4"/>
  <c r="F146" i="4"/>
  <c r="G142" i="6" l="1"/>
  <c r="H142" i="6" s="1"/>
  <c r="M141" i="6"/>
  <c r="N141" i="6" s="1"/>
  <c r="K142" i="6"/>
  <c r="M142" i="3"/>
  <c r="N142" i="3" s="1"/>
  <c r="O142" i="3" s="1"/>
  <c r="R144" i="5"/>
  <c r="K144" i="5"/>
  <c r="E125" i="2"/>
  <c r="H149" i="6"/>
  <c r="G146" i="4"/>
  <c r="H146" i="4" s="1"/>
  <c r="J142" i="6" l="1"/>
  <c r="L142" i="6" s="1"/>
  <c r="I142" i="6"/>
  <c r="M142" i="6"/>
  <c r="N142" i="6" s="1"/>
  <c r="O142" i="6" s="1"/>
  <c r="R142" i="3"/>
  <c r="P142" i="3"/>
  <c r="P143" i="3" s="1"/>
  <c r="P144" i="3" s="1"/>
  <c r="S144" i="5"/>
  <c r="F145" i="5"/>
  <c r="M144" i="5"/>
  <c r="N144" i="5" s="1"/>
  <c r="I149" i="6"/>
  <c r="J149" i="6"/>
  <c r="J146" i="4"/>
  <c r="I146" i="4"/>
  <c r="P142" i="6" l="1"/>
  <c r="P143" i="6" s="1"/>
  <c r="P144" i="6" s="1"/>
  <c r="R142" i="6"/>
  <c r="F143" i="3"/>
  <c r="S142" i="3"/>
  <c r="G145" i="5"/>
  <c r="H145" i="5" s="1"/>
  <c r="R149" i="6"/>
  <c r="K149" i="6"/>
  <c r="K146" i="4"/>
  <c r="R146" i="4"/>
  <c r="F143" i="6" l="1"/>
  <c r="S142" i="6"/>
  <c r="G143" i="3"/>
  <c r="H143" i="3" s="1"/>
  <c r="J145" i="5"/>
  <c r="I145" i="5"/>
  <c r="S149" i="6"/>
  <c r="F150" i="6"/>
  <c r="M149" i="6"/>
  <c r="N149" i="6" s="1"/>
  <c r="M146" i="4"/>
  <c r="N146" i="4" s="1"/>
  <c r="F147" i="4"/>
  <c r="S146" i="4"/>
  <c r="G143" i="6" l="1"/>
  <c r="H143" i="6" s="1"/>
  <c r="L145" i="5"/>
  <c r="K145" i="5"/>
  <c r="J143" i="3"/>
  <c r="I143" i="3"/>
  <c r="I150" i="6"/>
  <c r="G150" i="6"/>
  <c r="H150" i="6" s="1"/>
  <c r="J150" i="6" s="1"/>
  <c r="R150" i="6" s="1"/>
  <c r="G147" i="4"/>
  <c r="H147" i="4" s="1"/>
  <c r="J143" i="6" l="1"/>
  <c r="I143" i="6"/>
  <c r="M145" i="5"/>
  <c r="N145" i="5" s="1"/>
  <c r="O145" i="5" s="1"/>
  <c r="K143" i="3"/>
  <c r="R143" i="3"/>
  <c r="J147" i="4"/>
  <c r="R147" i="4" s="1"/>
  <c r="I147" i="4"/>
  <c r="S150" i="6"/>
  <c r="F151" i="6"/>
  <c r="K150" i="6"/>
  <c r="K147" i="4"/>
  <c r="K143" i="6" l="1"/>
  <c r="R143" i="6"/>
  <c r="R145" i="5"/>
  <c r="P145" i="5"/>
  <c r="P146" i="5" s="1"/>
  <c r="P147" i="5" s="1"/>
  <c r="M143" i="3"/>
  <c r="N143" i="3" s="1"/>
  <c r="F144" i="3"/>
  <c r="S143" i="3"/>
  <c r="S147" i="4"/>
  <c r="F148" i="4"/>
  <c r="G148" i="4" s="1"/>
  <c r="H148" i="4" s="1"/>
  <c r="G151" i="6"/>
  <c r="H151" i="6" s="1"/>
  <c r="M150" i="6"/>
  <c r="N150" i="6" s="1"/>
  <c r="K151" i="6"/>
  <c r="M147" i="4"/>
  <c r="N147" i="4" s="1"/>
  <c r="M143" i="6" l="1"/>
  <c r="N143" i="6" s="1"/>
  <c r="F144" i="6"/>
  <c r="S143" i="6"/>
  <c r="S145" i="5"/>
  <c r="F146" i="5"/>
  <c r="G144" i="3"/>
  <c r="H144" i="3" s="1"/>
  <c r="M151" i="6"/>
  <c r="N151" i="6" s="1"/>
  <c r="O151" i="6" s="1"/>
  <c r="P151" i="6" s="1"/>
  <c r="P152" i="6" s="1"/>
  <c r="P153" i="6" s="1"/>
  <c r="J151" i="6"/>
  <c r="I151" i="6"/>
  <c r="J148" i="4"/>
  <c r="I148" i="4"/>
  <c r="G144" i="6" l="1"/>
  <c r="H144" i="6" s="1"/>
  <c r="G146" i="5"/>
  <c r="H146" i="5" s="1"/>
  <c r="J144" i="3"/>
  <c r="I144" i="3"/>
  <c r="R151" i="6"/>
  <c r="L151" i="6"/>
  <c r="K148" i="4"/>
  <c r="L148" i="4"/>
  <c r="J144" i="6" l="1"/>
  <c r="I144" i="6"/>
  <c r="K144" i="3"/>
  <c r="R144" i="3"/>
  <c r="J146" i="5"/>
  <c r="I146" i="5"/>
  <c r="S151" i="6"/>
  <c r="F152" i="6"/>
  <c r="D92" i="2"/>
  <c r="G149" i="5"/>
  <c r="M148" i="4"/>
  <c r="N148" i="4" s="1"/>
  <c r="O148" i="4" s="1"/>
  <c r="I58" i="2"/>
  <c r="R144" i="6" l="1"/>
  <c r="K144" i="6"/>
  <c r="M144" i="3"/>
  <c r="N144" i="3" s="1"/>
  <c r="F145" i="3"/>
  <c r="S144" i="3"/>
  <c r="K146" i="5"/>
  <c r="R146" i="5"/>
  <c r="F149" i="3"/>
  <c r="G152" i="6"/>
  <c r="H152" i="6" s="1"/>
  <c r="J152" i="6" s="1"/>
  <c r="I152" i="6"/>
  <c r="R152" i="6"/>
  <c r="H149" i="5"/>
  <c r="E92" i="2"/>
  <c r="P148" i="4"/>
  <c r="F145" i="6" l="1"/>
  <c r="S144" i="6"/>
  <c r="M144" i="6"/>
  <c r="N144" i="6" s="1"/>
  <c r="G145" i="3"/>
  <c r="H145" i="3" s="1"/>
  <c r="M146" i="5"/>
  <c r="N146" i="5" s="1"/>
  <c r="S146" i="5"/>
  <c r="F147" i="5"/>
  <c r="D26" i="2"/>
  <c r="G149" i="3"/>
  <c r="K152" i="6"/>
  <c r="S152" i="6"/>
  <c r="F153" i="6"/>
  <c r="I149" i="5"/>
  <c r="J149" i="5"/>
  <c r="Q148" i="4"/>
  <c r="L58" i="2" s="1"/>
  <c r="J58" i="2"/>
  <c r="G145" i="6" l="1"/>
  <c r="H145" i="6" s="1"/>
  <c r="G147" i="5"/>
  <c r="H147" i="5" s="1"/>
  <c r="J145" i="3"/>
  <c r="I145" i="3"/>
  <c r="E26" i="2"/>
  <c r="H149" i="3"/>
  <c r="M152" i="6"/>
  <c r="N152" i="6" s="1"/>
  <c r="G153" i="6"/>
  <c r="H153" i="6" s="1"/>
  <c r="R149" i="5"/>
  <c r="K149" i="5"/>
  <c r="R148" i="4"/>
  <c r="F149" i="4" s="1"/>
  <c r="K58" i="2"/>
  <c r="J145" i="6" l="1"/>
  <c r="I145" i="6"/>
  <c r="L145" i="3"/>
  <c r="K145" i="3"/>
  <c r="J147" i="5"/>
  <c r="I147" i="5"/>
  <c r="I149" i="3"/>
  <c r="J149" i="3"/>
  <c r="S149" i="5"/>
  <c r="F150" i="5"/>
  <c r="M149" i="5"/>
  <c r="N149" i="5" s="1"/>
  <c r="J153" i="6"/>
  <c r="I153" i="6"/>
  <c r="G149" i="4"/>
  <c r="D59" i="2"/>
  <c r="M58" i="2"/>
  <c r="S148" i="4"/>
  <c r="L145" i="6" l="1"/>
  <c r="K145" i="6"/>
  <c r="M145" i="3"/>
  <c r="N145" i="3" s="1"/>
  <c r="O145" i="3" s="1"/>
  <c r="K147" i="5"/>
  <c r="R147" i="5"/>
  <c r="R149" i="3"/>
  <c r="K149" i="3"/>
  <c r="G150" i="5"/>
  <c r="H150" i="5" s="1"/>
  <c r="R153" i="6"/>
  <c r="K153" i="6"/>
  <c r="H149" i="4"/>
  <c r="E59" i="2"/>
  <c r="G58" i="2"/>
  <c r="H58" i="2"/>
  <c r="F58" i="2"/>
  <c r="M145" i="6" l="1"/>
  <c r="N145" i="6" s="1"/>
  <c r="O145" i="6" s="1"/>
  <c r="R145" i="3"/>
  <c r="P145" i="3"/>
  <c r="P146" i="3" s="1"/>
  <c r="P147" i="3" s="1"/>
  <c r="M147" i="5"/>
  <c r="N147" i="5" s="1"/>
  <c r="S147" i="5"/>
  <c r="F148" i="5"/>
  <c r="F150" i="3"/>
  <c r="S149" i="3"/>
  <c r="M149" i="3"/>
  <c r="N149" i="3" s="1"/>
  <c r="F154" i="6"/>
  <c r="S153" i="6"/>
  <c r="M153" i="6"/>
  <c r="N153" i="6" s="1"/>
  <c r="I149" i="4"/>
  <c r="J149" i="4"/>
  <c r="J150" i="5"/>
  <c r="I150" i="5"/>
  <c r="R145" i="6" l="1"/>
  <c r="P145" i="6"/>
  <c r="P146" i="6" s="1"/>
  <c r="P147" i="6" s="1"/>
  <c r="S145" i="3"/>
  <c r="F146" i="3"/>
  <c r="G148" i="5"/>
  <c r="H148" i="5" s="1"/>
  <c r="G150" i="3"/>
  <c r="H150" i="3" s="1"/>
  <c r="G154" i="6"/>
  <c r="H154" i="6" s="1"/>
  <c r="R149" i="4"/>
  <c r="K149" i="4"/>
  <c r="K150" i="5"/>
  <c r="R150" i="5"/>
  <c r="F146" i="6" l="1"/>
  <c r="S145" i="6"/>
  <c r="G146" i="3"/>
  <c r="H146" i="3" s="1"/>
  <c r="J148" i="5"/>
  <c r="I148" i="5"/>
  <c r="F150" i="4"/>
  <c r="S149" i="4"/>
  <c r="M149" i="4"/>
  <c r="N149" i="4" s="1"/>
  <c r="M150" i="5"/>
  <c r="N150" i="5" s="1"/>
  <c r="S150" i="5"/>
  <c r="F151" i="5"/>
  <c r="J150" i="3"/>
  <c r="I150" i="3"/>
  <c r="J154" i="6"/>
  <c r="I154" i="6"/>
  <c r="G146" i="6" l="1"/>
  <c r="H146" i="6" s="1"/>
  <c r="L148" i="5"/>
  <c r="K148" i="5"/>
  <c r="J146" i="3"/>
  <c r="I146" i="3"/>
  <c r="G150" i="4"/>
  <c r="H150" i="4" s="1"/>
  <c r="J150" i="4" s="1"/>
  <c r="R150" i="4" s="1"/>
  <c r="I150" i="4"/>
  <c r="G151" i="5"/>
  <c r="H151" i="5" s="1"/>
  <c r="K150" i="3"/>
  <c r="R150" i="3"/>
  <c r="L154" i="6"/>
  <c r="K154" i="6"/>
  <c r="J146" i="6" l="1"/>
  <c r="R146" i="6" s="1"/>
  <c r="I146" i="6"/>
  <c r="M148" i="5"/>
  <c r="N148" i="5" s="1"/>
  <c r="O148" i="5" s="1"/>
  <c r="I91" i="2"/>
  <c r="K146" i="3"/>
  <c r="R146" i="3"/>
  <c r="K150" i="4"/>
  <c r="S150" i="4"/>
  <c r="F151" i="4"/>
  <c r="M150" i="3"/>
  <c r="N150" i="3" s="1"/>
  <c r="F151" i="3"/>
  <c r="S150" i="3"/>
  <c r="M154" i="6"/>
  <c r="N154" i="6" s="1"/>
  <c r="O154" i="6" s="1"/>
  <c r="J151" i="5"/>
  <c r="I151" i="5"/>
  <c r="F147" i="6" l="1"/>
  <c r="S146" i="6"/>
  <c r="G147" i="6"/>
  <c r="H147" i="6" s="1"/>
  <c r="K146" i="6"/>
  <c r="P148" i="5"/>
  <c r="M146" i="3"/>
  <c r="N146" i="3" s="1"/>
  <c r="S146" i="3"/>
  <c r="F147" i="3"/>
  <c r="M150" i="4"/>
  <c r="N150" i="4" s="1"/>
  <c r="G151" i="4"/>
  <c r="H151" i="4" s="1"/>
  <c r="G151" i="3"/>
  <c r="H151" i="3" s="1"/>
  <c r="R154" i="6"/>
  <c r="P154" i="6"/>
  <c r="P155" i="6" s="1"/>
  <c r="P156" i="6" s="1"/>
  <c r="L151" i="5"/>
  <c r="K151" i="5"/>
  <c r="M146" i="6" l="1"/>
  <c r="N146" i="6" s="1"/>
  <c r="J147" i="6"/>
  <c r="K147" i="6" s="1"/>
  <c r="I147" i="6"/>
  <c r="Q148" i="5"/>
  <c r="J91" i="2"/>
  <c r="G147" i="3"/>
  <c r="H147" i="3" s="1"/>
  <c r="S154" i="6"/>
  <c r="F155" i="6"/>
  <c r="M151" i="5"/>
  <c r="N151" i="5" s="1"/>
  <c r="O151" i="5" s="1"/>
  <c r="J151" i="4"/>
  <c r="I151" i="4"/>
  <c r="J151" i="3"/>
  <c r="I151" i="3"/>
  <c r="M147" i="6" l="1"/>
  <c r="N147" i="6" s="1"/>
  <c r="R147" i="6"/>
  <c r="R148" i="5"/>
  <c r="L91" i="2"/>
  <c r="K91" i="2"/>
  <c r="J147" i="3"/>
  <c r="I147" i="3"/>
  <c r="G155" i="6"/>
  <c r="H155" i="6" s="1"/>
  <c r="R151" i="5"/>
  <c r="P151" i="5"/>
  <c r="P152" i="5" s="1"/>
  <c r="P153" i="5" s="1"/>
  <c r="K151" i="4"/>
  <c r="L151" i="4"/>
  <c r="L151" i="3"/>
  <c r="K151" i="3"/>
  <c r="S147" i="6" l="1"/>
  <c r="F148" i="6"/>
  <c r="F149" i="5"/>
  <c r="M91" i="2"/>
  <c r="S148" i="5"/>
  <c r="K147" i="3"/>
  <c r="R147" i="3"/>
  <c r="F152" i="5"/>
  <c r="S151" i="5"/>
  <c r="M151" i="4"/>
  <c r="N151" i="4" s="1"/>
  <c r="O151" i="4" s="1"/>
  <c r="M151" i="3"/>
  <c r="N151" i="3" s="1"/>
  <c r="O151" i="3" s="1"/>
  <c r="J155" i="6"/>
  <c r="I155" i="6"/>
  <c r="G148" i="6" l="1"/>
  <c r="H148" i="6" s="1"/>
  <c r="F91" i="2"/>
  <c r="H91" i="2"/>
  <c r="G91" i="2"/>
  <c r="M147" i="3"/>
  <c r="N147" i="3" s="1"/>
  <c r="F148" i="3"/>
  <c r="S147" i="3"/>
  <c r="G152" i="5"/>
  <c r="H152" i="5" s="1"/>
  <c r="R151" i="4"/>
  <c r="P151" i="4"/>
  <c r="P152" i="4" s="1"/>
  <c r="P153" i="4" s="1"/>
  <c r="R151" i="3"/>
  <c r="P151" i="3"/>
  <c r="P152" i="3" s="1"/>
  <c r="P153" i="3" s="1"/>
  <c r="K155" i="6"/>
  <c r="R155" i="6"/>
  <c r="J148" i="6" l="1"/>
  <c r="I148" i="6"/>
  <c r="G148" i="3"/>
  <c r="H148" i="3" s="1"/>
  <c r="S151" i="4"/>
  <c r="F152" i="4"/>
  <c r="S151" i="3"/>
  <c r="F152" i="3"/>
  <c r="M155" i="6"/>
  <c r="N155" i="6" s="1"/>
  <c r="F156" i="6"/>
  <c r="S155" i="6"/>
  <c r="J152" i="5"/>
  <c r="I152" i="5"/>
  <c r="K148" i="6" l="1"/>
  <c r="L148" i="6"/>
  <c r="J148" i="3"/>
  <c r="I148" i="3"/>
  <c r="G152" i="4"/>
  <c r="H152" i="4" s="1"/>
  <c r="J152" i="4" s="1"/>
  <c r="I152" i="4"/>
  <c r="R152" i="4"/>
  <c r="I152" i="3"/>
  <c r="G152" i="3"/>
  <c r="H152" i="3" s="1"/>
  <c r="J152" i="3" s="1"/>
  <c r="R152" i="3" s="1"/>
  <c r="G156" i="6"/>
  <c r="H156" i="6" s="1"/>
  <c r="J156" i="6" s="1"/>
  <c r="I156" i="6"/>
  <c r="R156" i="6"/>
  <c r="K152" i="5"/>
  <c r="R152" i="5"/>
  <c r="I124" i="2" l="1"/>
  <c r="M148" i="6"/>
  <c r="N148" i="6" s="1"/>
  <c r="O148" i="6" s="1"/>
  <c r="L148" i="3"/>
  <c r="K148" i="3"/>
  <c r="K152" i="4"/>
  <c r="S152" i="4"/>
  <c r="F153" i="4"/>
  <c r="F153" i="3"/>
  <c r="S152" i="3"/>
  <c r="K152" i="3"/>
  <c r="K156" i="6"/>
  <c r="S156" i="6"/>
  <c r="F157" i="6"/>
  <c r="M152" i="5"/>
  <c r="N152" i="5" s="1"/>
  <c r="S152" i="5"/>
  <c r="F153" i="5"/>
  <c r="P148" i="6" l="1"/>
  <c r="M148" i="3"/>
  <c r="N148" i="3" s="1"/>
  <c r="O148" i="3" s="1"/>
  <c r="I25" i="2"/>
  <c r="M152" i="4"/>
  <c r="N152" i="4" s="1"/>
  <c r="G153" i="4"/>
  <c r="H153" i="4" s="1"/>
  <c r="G153" i="3"/>
  <c r="H153" i="3" s="1"/>
  <c r="M152" i="3"/>
  <c r="N152" i="3" s="1"/>
  <c r="M156" i="6"/>
  <c r="N156" i="6" s="1"/>
  <c r="G157" i="6"/>
  <c r="H157" i="6" s="1"/>
  <c r="J157" i="6" s="1"/>
  <c r="I157" i="6"/>
  <c r="G153" i="5"/>
  <c r="H153" i="5" s="1"/>
  <c r="J153" i="5" s="1"/>
  <c r="R153" i="5" s="1"/>
  <c r="I153" i="5"/>
  <c r="Q148" i="6" l="1"/>
  <c r="J124" i="2"/>
  <c r="P148" i="3"/>
  <c r="K153" i="5"/>
  <c r="S153" i="5"/>
  <c r="F154" i="5"/>
  <c r="J153" i="4"/>
  <c r="I153" i="4"/>
  <c r="J153" i="3"/>
  <c r="I153" i="3"/>
  <c r="L157" i="6"/>
  <c r="K157" i="6"/>
  <c r="R148" i="6" l="1"/>
  <c r="L124" i="2"/>
  <c r="K124" i="2"/>
  <c r="Q148" i="3"/>
  <c r="J25" i="2"/>
  <c r="M153" i="5"/>
  <c r="N153" i="5" s="1"/>
  <c r="K154" i="5"/>
  <c r="G154" i="5"/>
  <c r="H154" i="5" s="1"/>
  <c r="J154" i="5" s="1"/>
  <c r="L154" i="5" s="1"/>
  <c r="I154" i="5"/>
  <c r="K153" i="4"/>
  <c r="R153" i="4"/>
  <c r="K153" i="3"/>
  <c r="R153" i="3"/>
  <c r="M157" i="6"/>
  <c r="N157" i="6" s="1"/>
  <c r="O157" i="6" s="1"/>
  <c r="F149" i="6" l="1"/>
  <c r="M124" i="2"/>
  <c r="S148" i="6"/>
  <c r="R148" i="3"/>
  <c r="L25" i="2"/>
  <c r="K25" i="2"/>
  <c r="M154" i="5"/>
  <c r="N154" i="5" s="1"/>
  <c r="O154" i="5" s="1"/>
  <c r="M153" i="4"/>
  <c r="N153" i="4" s="1"/>
  <c r="F154" i="4"/>
  <c r="S153" i="4"/>
  <c r="M153" i="3"/>
  <c r="N153" i="3" s="1"/>
  <c r="F154" i="3"/>
  <c r="S153" i="3"/>
  <c r="R157" i="6"/>
  <c r="P157" i="6"/>
  <c r="P158" i="6" s="1"/>
  <c r="P159" i="6" s="1"/>
  <c r="F124" i="2" l="1"/>
  <c r="H124" i="2"/>
  <c r="G124" i="2"/>
  <c r="S148" i="3"/>
  <c r="M25" i="2"/>
  <c r="R154" i="5"/>
  <c r="P154" i="5"/>
  <c r="P155" i="5" s="1"/>
  <c r="P156" i="5" s="1"/>
  <c r="G154" i="4"/>
  <c r="H154" i="4" s="1"/>
  <c r="G154" i="3"/>
  <c r="H154" i="3" s="1"/>
  <c r="F158" i="6"/>
  <c r="S157" i="6"/>
  <c r="H25" i="2" l="1"/>
  <c r="G25" i="2"/>
  <c r="F25" i="2"/>
  <c r="F155" i="5"/>
  <c r="S154" i="5"/>
  <c r="G158" i="6"/>
  <c r="H158" i="6" s="1"/>
  <c r="J154" i="4"/>
  <c r="I154" i="4"/>
  <c r="J154" i="3"/>
  <c r="I154" i="3"/>
  <c r="G155" i="5" l="1"/>
  <c r="H155" i="5" s="1"/>
  <c r="L154" i="4"/>
  <c r="K154" i="4"/>
  <c r="L154" i="3"/>
  <c r="K154" i="3"/>
  <c r="J158" i="6"/>
  <c r="I158" i="6"/>
  <c r="M154" i="4" l="1"/>
  <c r="N154" i="4" s="1"/>
  <c r="O154" i="4" s="1"/>
  <c r="M154" i="3"/>
  <c r="N154" i="3" s="1"/>
  <c r="O154" i="3" s="1"/>
  <c r="K158" i="6"/>
  <c r="R158" i="6"/>
  <c r="J155" i="5"/>
  <c r="I155" i="5"/>
  <c r="R154" i="4" l="1"/>
  <c r="P154" i="4"/>
  <c r="P155" i="4" s="1"/>
  <c r="P156" i="4" s="1"/>
  <c r="P154" i="3"/>
  <c r="P155" i="3" s="1"/>
  <c r="P156" i="3" s="1"/>
  <c r="R154" i="3"/>
  <c r="M158" i="6"/>
  <c r="N158" i="6" s="1"/>
  <c r="F159" i="6"/>
  <c r="S158" i="6"/>
  <c r="K155" i="5"/>
  <c r="R155" i="5"/>
  <c r="S154" i="4" l="1"/>
  <c r="F155" i="4"/>
  <c r="F155" i="3"/>
  <c r="S154" i="3"/>
  <c r="G159" i="6"/>
  <c r="H159" i="6" s="1"/>
  <c r="M155" i="5"/>
  <c r="N155" i="5" s="1"/>
  <c r="S155" i="5"/>
  <c r="F156" i="5"/>
  <c r="G155" i="4" l="1"/>
  <c r="H155" i="4" s="1"/>
  <c r="J155" i="4" s="1"/>
  <c r="I155" i="4"/>
  <c r="R155" i="4"/>
  <c r="G155" i="3"/>
  <c r="H155" i="3" s="1"/>
  <c r="G156" i="5"/>
  <c r="H156" i="5" s="1"/>
  <c r="J159" i="6"/>
  <c r="I159" i="6"/>
  <c r="K155" i="4" l="1"/>
  <c r="S155" i="4"/>
  <c r="F156" i="4"/>
  <c r="K159" i="6"/>
  <c r="R159" i="6"/>
  <c r="J155" i="3"/>
  <c r="I155" i="3"/>
  <c r="J156" i="5"/>
  <c r="I156" i="5"/>
  <c r="M155" i="4" l="1"/>
  <c r="N155" i="4" s="1"/>
  <c r="G156" i="4"/>
  <c r="H156" i="4" s="1"/>
  <c r="M159" i="6"/>
  <c r="N159" i="6" s="1"/>
  <c r="S159" i="6"/>
  <c r="F160" i="6"/>
  <c r="K155" i="3"/>
  <c r="R155" i="3"/>
  <c r="K156" i="5"/>
  <c r="R156" i="5"/>
  <c r="G160" i="6" l="1"/>
  <c r="H160" i="6" s="1"/>
  <c r="M155" i="3"/>
  <c r="N155" i="3" s="1"/>
  <c r="F156" i="3"/>
  <c r="S155" i="3"/>
  <c r="M156" i="5"/>
  <c r="N156" i="5" s="1"/>
  <c r="S156" i="5"/>
  <c r="F157" i="5"/>
  <c r="J156" i="4"/>
  <c r="I156" i="4"/>
  <c r="R156" i="3" l="1"/>
  <c r="G156" i="3"/>
  <c r="H156" i="3" s="1"/>
  <c r="J156" i="3" s="1"/>
  <c r="I156" i="3"/>
  <c r="G157" i="5"/>
  <c r="H157" i="5" s="1"/>
  <c r="K156" i="4"/>
  <c r="R156" i="4"/>
  <c r="J160" i="6"/>
  <c r="I160" i="6"/>
  <c r="S156" i="3" l="1"/>
  <c r="F157" i="3"/>
  <c r="K156" i="3"/>
  <c r="M156" i="4"/>
  <c r="N156" i="4" s="1"/>
  <c r="F157" i="4"/>
  <c r="S156" i="4"/>
  <c r="L160" i="6"/>
  <c r="K160" i="6"/>
  <c r="J157" i="5"/>
  <c r="I157" i="5"/>
  <c r="G157" i="3" l="1"/>
  <c r="H157" i="3" s="1"/>
  <c r="M156" i="3"/>
  <c r="N156" i="3" s="1"/>
  <c r="K157" i="3"/>
  <c r="G157" i="4"/>
  <c r="H157" i="4" s="1"/>
  <c r="I125" i="2"/>
  <c r="M160" i="6"/>
  <c r="N160" i="6" s="1"/>
  <c r="O160" i="6" s="1"/>
  <c r="L157" i="5"/>
  <c r="K157" i="5"/>
  <c r="M157" i="3" l="1"/>
  <c r="N157" i="3" s="1"/>
  <c r="O157" i="3" s="1"/>
  <c r="P160" i="6"/>
  <c r="M157" i="5"/>
  <c r="N157" i="5" s="1"/>
  <c r="O157" i="5" s="1"/>
  <c r="J157" i="3"/>
  <c r="L157" i="3" s="1"/>
  <c r="I157" i="3"/>
  <c r="J157" i="4"/>
  <c r="I157" i="4"/>
  <c r="R157" i="3" l="1"/>
  <c r="P157" i="3"/>
  <c r="P158" i="3" s="1"/>
  <c r="P159" i="3" s="1"/>
  <c r="Q160" i="6"/>
  <c r="L125" i="2" s="1"/>
  <c r="J125" i="2"/>
  <c r="R157" i="5"/>
  <c r="P157" i="5"/>
  <c r="P158" i="5" s="1"/>
  <c r="P159" i="5" s="1"/>
  <c r="L157" i="4"/>
  <c r="K157" i="4"/>
  <c r="S157" i="3" l="1"/>
  <c r="F158" i="3"/>
  <c r="R160" i="6"/>
  <c r="K125" i="2"/>
  <c r="F158" i="5"/>
  <c r="S157" i="5"/>
  <c r="M157" i="4"/>
  <c r="N157" i="4" s="1"/>
  <c r="O157" i="4" s="1"/>
  <c r="G158" i="3" l="1"/>
  <c r="H158" i="3" s="1"/>
  <c r="M125" i="2"/>
  <c r="F161" i="6"/>
  <c r="S160" i="6"/>
  <c r="G158" i="5"/>
  <c r="H158" i="5" s="1"/>
  <c r="R157" i="4"/>
  <c r="P157" i="4"/>
  <c r="P158" i="4" s="1"/>
  <c r="P159" i="4" s="1"/>
  <c r="G161" i="6" l="1"/>
  <c r="D126" i="2"/>
  <c r="H125" i="2"/>
  <c r="F125" i="2"/>
  <c r="G125" i="2"/>
  <c r="S157" i="4"/>
  <c r="F158" i="4"/>
  <c r="J158" i="3"/>
  <c r="I158" i="3"/>
  <c r="J158" i="5"/>
  <c r="I158" i="5"/>
  <c r="H161" i="6" l="1"/>
  <c r="E126" i="2"/>
  <c r="G158" i="4"/>
  <c r="H158" i="4" s="1"/>
  <c r="K158" i="3"/>
  <c r="R158" i="3"/>
  <c r="K158" i="5"/>
  <c r="R158" i="5"/>
  <c r="I161" i="6" l="1"/>
  <c r="J161" i="6"/>
  <c r="M158" i="3"/>
  <c r="N158" i="3" s="1"/>
  <c r="S158" i="3"/>
  <c r="F159" i="3"/>
  <c r="M158" i="5"/>
  <c r="N158" i="5" s="1"/>
  <c r="S158" i="5"/>
  <c r="F159" i="5"/>
  <c r="J158" i="4"/>
  <c r="I158" i="4"/>
  <c r="R161" i="6" l="1"/>
  <c r="K161" i="6"/>
  <c r="G159" i="3"/>
  <c r="H159" i="3" s="1"/>
  <c r="I159" i="5"/>
  <c r="G159" i="5"/>
  <c r="H159" i="5" s="1"/>
  <c r="J159" i="5" s="1"/>
  <c r="R159" i="5" s="1"/>
  <c r="K158" i="4"/>
  <c r="R158" i="4"/>
  <c r="F162" i="6" l="1"/>
  <c r="S161" i="6"/>
  <c r="M161" i="6"/>
  <c r="N161" i="6" s="1"/>
  <c r="S159" i="5"/>
  <c r="F160" i="5"/>
  <c r="K159" i="5"/>
  <c r="M158" i="4"/>
  <c r="N158" i="4" s="1"/>
  <c r="F159" i="4"/>
  <c r="S158" i="4"/>
  <c r="J159" i="3"/>
  <c r="I159" i="3"/>
  <c r="G162" i="6" l="1"/>
  <c r="H162" i="6" s="1"/>
  <c r="G160" i="5"/>
  <c r="H160" i="5" s="1"/>
  <c r="M159" i="5"/>
  <c r="N159" i="5" s="1"/>
  <c r="G159" i="4"/>
  <c r="H159" i="4" s="1"/>
  <c r="K159" i="3"/>
  <c r="R159" i="3"/>
  <c r="M159" i="3" l="1"/>
  <c r="N159" i="3" s="1"/>
  <c r="S159" i="3"/>
  <c r="F160" i="3"/>
  <c r="J162" i="6"/>
  <c r="I162" i="6"/>
  <c r="J160" i="5"/>
  <c r="I160" i="5"/>
  <c r="J159" i="4"/>
  <c r="I159" i="4"/>
  <c r="G160" i="3" l="1"/>
  <c r="H160" i="3" s="1"/>
  <c r="K162" i="6"/>
  <c r="R162" i="6"/>
  <c r="K160" i="5"/>
  <c r="L160" i="5"/>
  <c r="K159" i="4"/>
  <c r="R159" i="4"/>
  <c r="M162" i="6" l="1"/>
  <c r="N162" i="6" s="1"/>
  <c r="F163" i="6"/>
  <c r="S162" i="6"/>
  <c r="I92" i="2"/>
  <c r="M160" i="5"/>
  <c r="N160" i="5" s="1"/>
  <c r="O160" i="5" s="1"/>
  <c r="M159" i="4"/>
  <c r="N159" i="4" s="1"/>
  <c r="F160" i="4"/>
  <c r="S159" i="4"/>
  <c r="J160" i="3"/>
  <c r="I160" i="3"/>
  <c r="G163" i="6" l="1"/>
  <c r="H163" i="6" s="1"/>
  <c r="P160" i="5"/>
  <c r="G160" i="4"/>
  <c r="H160" i="4" s="1"/>
  <c r="L160" i="3"/>
  <c r="K160" i="3"/>
  <c r="Q160" i="5" l="1"/>
  <c r="L92" i="2" s="1"/>
  <c r="J92" i="2"/>
  <c r="M160" i="3"/>
  <c r="N160" i="3" s="1"/>
  <c r="O160" i="3" s="1"/>
  <c r="I26" i="2"/>
  <c r="J163" i="6"/>
  <c r="I163" i="6"/>
  <c r="J160" i="4"/>
  <c r="I160" i="4"/>
  <c r="R160" i="5" l="1"/>
  <c r="K92" i="2"/>
  <c r="P160" i="3"/>
  <c r="L163" i="6"/>
  <c r="K163" i="6"/>
  <c r="L160" i="4"/>
  <c r="K160" i="4"/>
  <c r="M92" i="2" l="1"/>
  <c r="S160" i="5"/>
  <c r="F161" i="5"/>
  <c r="Q160" i="3"/>
  <c r="L26" i="2"/>
  <c r="J26" i="2"/>
  <c r="M163" i="6"/>
  <c r="N163" i="6" s="1"/>
  <c r="O163" i="6" s="1"/>
  <c r="M160" i="4"/>
  <c r="N160" i="4" s="1"/>
  <c r="O160" i="4" s="1"/>
  <c r="I59" i="2"/>
  <c r="F92" i="2" l="1"/>
  <c r="H92" i="2"/>
  <c r="G92" i="2"/>
  <c r="G161" i="5"/>
  <c r="D93" i="2"/>
  <c r="R160" i="3"/>
  <c r="K26" i="2"/>
  <c r="R163" i="6"/>
  <c r="P163" i="6"/>
  <c r="P164" i="6" s="1"/>
  <c r="P165" i="6" s="1"/>
  <c r="P160" i="4"/>
  <c r="E93" i="2" l="1"/>
  <c r="H161" i="5"/>
  <c r="M26" i="2"/>
  <c r="F161" i="3"/>
  <c r="S160" i="3"/>
  <c r="S163" i="6"/>
  <c r="F164" i="6"/>
  <c r="L59" i="2"/>
  <c r="Q160" i="4"/>
  <c r="J59" i="2"/>
  <c r="I161" i="5" l="1"/>
  <c r="J161" i="5"/>
  <c r="D27" i="2"/>
  <c r="G161" i="3"/>
  <c r="H26" i="2"/>
  <c r="F26" i="2"/>
  <c r="G26" i="2"/>
  <c r="R164" i="6"/>
  <c r="I164" i="6"/>
  <c r="G164" i="6"/>
  <c r="H164" i="6" s="1"/>
  <c r="J164" i="6" s="1"/>
  <c r="R160" i="4"/>
  <c r="K59" i="2"/>
  <c r="R161" i="5" l="1"/>
  <c r="K161" i="5"/>
  <c r="H161" i="3"/>
  <c r="E27" i="2"/>
  <c r="S164" i="6"/>
  <c r="F165" i="6"/>
  <c r="K164" i="6"/>
  <c r="M59" i="2"/>
  <c r="F161" i="4"/>
  <c r="S160" i="4"/>
  <c r="F162" i="5" l="1"/>
  <c r="S161" i="5"/>
  <c r="M161" i="5"/>
  <c r="N161" i="5" s="1"/>
  <c r="I161" i="3"/>
  <c r="J161" i="3"/>
  <c r="G165" i="6"/>
  <c r="H165" i="6" s="1"/>
  <c r="M164" i="6"/>
  <c r="N164" i="6" s="1"/>
  <c r="G161" i="4"/>
  <c r="D60" i="2"/>
  <c r="H59" i="2"/>
  <c r="F59" i="2"/>
  <c r="G59" i="2"/>
  <c r="G162" i="5" l="1"/>
  <c r="H162" i="5" s="1"/>
  <c r="J162" i="5" s="1"/>
  <c r="I162" i="5"/>
  <c r="R162" i="5"/>
  <c r="R161" i="3"/>
  <c r="K161" i="3"/>
  <c r="H161" i="4"/>
  <c r="E60" i="2"/>
  <c r="J165" i="6"/>
  <c r="I165" i="6"/>
  <c r="K162" i="5" l="1"/>
  <c r="S162" i="5"/>
  <c r="F163" i="5"/>
  <c r="F162" i="3"/>
  <c r="S161" i="3"/>
  <c r="M161" i="3"/>
  <c r="N161" i="3" s="1"/>
  <c r="I161" i="4"/>
  <c r="J161" i="4"/>
  <c r="K165" i="6"/>
  <c r="R165" i="6"/>
  <c r="M162" i="5" l="1"/>
  <c r="N162" i="5" s="1"/>
  <c r="G163" i="5"/>
  <c r="H163" i="5" s="1"/>
  <c r="G162" i="3"/>
  <c r="H162" i="3" s="1"/>
  <c r="J162" i="3" s="1"/>
  <c r="R162" i="3"/>
  <c r="I162" i="3"/>
  <c r="R161" i="4"/>
  <c r="K161" i="4"/>
  <c r="M165" i="6"/>
  <c r="N165" i="6" s="1"/>
  <c r="S165" i="6"/>
  <c r="F166" i="6"/>
  <c r="K162" i="3" l="1"/>
  <c r="S162" i="3"/>
  <c r="F163" i="3"/>
  <c r="F162" i="4"/>
  <c r="S161" i="4"/>
  <c r="M161" i="4"/>
  <c r="N161" i="4" s="1"/>
  <c r="G166" i="6"/>
  <c r="H166" i="6" s="1"/>
  <c r="J163" i="5"/>
  <c r="I163" i="5"/>
  <c r="M162" i="3" l="1"/>
  <c r="N162" i="3" s="1"/>
  <c r="G163" i="3"/>
  <c r="H163" i="3" s="1"/>
  <c r="G162" i="4"/>
  <c r="H162" i="4" s="1"/>
  <c r="J162" i="4" s="1"/>
  <c r="R162" i="4" s="1"/>
  <c r="I162" i="4"/>
  <c r="K163" i="5"/>
  <c r="L163" i="5"/>
  <c r="J166" i="6"/>
  <c r="I166" i="6"/>
  <c r="K162" i="4" l="1"/>
  <c r="S162" i="4"/>
  <c r="F163" i="4"/>
  <c r="M163" i="5"/>
  <c r="N163" i="5" s="1"/>
  <c r="O163" i="5" s="1"/>
  <c r="L166" i="6"/>
  <c r="K166" i="6"/>
  <c r="J163" i="3"/>
  <c r="I163" i="3"/>
  <c r="M162" i="4" l="1"/>
  <c r="N162" i="4" s="1"/>
  <c r="G163" i="4"/>
  <c r="H163" i="4" s="1"/>
  <c r="R163" i="5"/>
  <c r="P163" i="5"/>
  <c r="P164" i="5" s="1"/>
  <c r="P165" i="5" s="1"/>
  <c r="M166" i="6"/>
  <c r="N166" i="6" s="1"/>
  <c r="O166" i="6" s="1"/>
  <c r="K163" i="3"/>
  <c r="L163" i="3"/>
  <c r="F164" i="5" l="1"/>
  <c r="S163" i="5"/>
  <c r="P166" i="6"/>
  <c r="P167" i="6" s="1"/>
  <c r="P168" i="6" s="1"/>
  <c r="R166" i="6"/>
  <c r="M163" i="3"/>
  <c r="N163" i="3" s="1"/>
  <c r="O163" i="3" s="1"/>
  <c r="J163" i="4"/>
  <c r="I163" i="4"/>
  <c r="G164" i="5" l="1"/>
  <c r="H164" i="5" s="1"/>
  <c r="J164" i="5" s="1"/>
  <c r="R164" i="5"/>
  <c r="I164" i="5"/>
  <c r="S166" i="6"/>
  <c r="F167" i="6"/>
  <c r="R163" i="3"/>
  <c r="P163" i="3"/>
  <c r="P164" i="3" s="1"/>
  <c r="P165" i="3" s="1"/>
  <c r="K163" i="4"/>
  <c r="L163" i="4"/>
  <c r="K164" i="5" l="1"/>
  <c r="S164" i="5"/>
  <c r="F165" i="5"/>
  <c r="G167" i="6"/>
  <c r="H167" i="6" s="1"/>
  <c r="J167" i="6" s="1"/>
  <c r="I167" i="6"/>
  <c r="R167" i="6"/>
  <c r="S163" i="3"/>
  <c r="F164" i="3"/>
  <c r="M163" i="4"/>
  <c r="N163" i="4" s="1"/>
  <c r="O163" i="4" s="1"/>
  <c r="M164" i="5" l="1"/>
  <c r="N164" i="5" s="1"/>
  <c r="G165" i="5"/>
  <c r="H165" i="5" s="1"/>
  <c r="J165" i="5" s="1"/>
  <c r="K165" i="5" s="1"/>
  <c r="R165" i="5"/>
  <c r="I165" i="5"/>
  <c r="K167" i="6"/>
  <c r="S167" i="6"/>
  <c r="F168" i="6"/>
  <c r="G164" i="3"/>
  <c r="H164" i="3" s="1"/>
  <c r="R163" i="4"/>
  <c r="P163" i="4"/>
  <c r="P164" i="4" s="1"/>
  <c r="P165" i="4" s="1"/>
  <c r="M165" i="5" l="1"/>
  <c r="N165" i="5" s="1"/>
  <c r="F166" i="5"/>
  <c r="S165" i="5"/>
  <c r="M167" i="6"/>
  <c r="N167" i="6" s="1"/>
  <c r="G168" i="6"/>
  <c r="H168" i="6" s="1"/>
  <c r="S163" i="4"/>
  <c r="F164" i="4"/>
  <c r="J164" i="3"/>
  <c r="I164" i="3"/>
  <c r="G166" i="5" l="1"/>
  <c r="H166" i="5" s="1"/>
  <c r="G164" i="4"/>
  <c r="H164" i="4" s="1"/>
  <c r="J164" i="4" s="1"/>
  <c r="I164" i="4"/>
  <c r="R164" i="4"/>
  <c r="K164" i="3"/>
  <c r="R164" i="3"/>
  <c r="J168" i="6"/>
  <c r="I168" i="6"/>
  <c r="K164" i="4" l="1"/>
  <c r="S164" i="4"/>
  <c r="F165" i="4"/>
  <c r="M164" i="3"/>
  <c r="N164" i="3" s="1"/>
  <c r="F165" i="3"/>
  <c r="S164" i="3"/>
  <c r="K168" i="6"/>
  <c r="R168" i="6"/>
  <c r="J166" i="5"/>
  <c r="I166" i="5"/>
  <c r="M164" i="4" l="1"/>
  <c r="N164" i="4" s="1"/>
  <c r="G165" i="4"/>
  <c r="H165" i="4" s="1"/>
  <c r="J165" i="4" s="1"/>
  <c r="K165" i="4" s="1"/>
  <c r="I165" i="4"/>
  <c r="R165" i="4"/>
  <c r="G165" i="3"/>
  <c r="H165" i="3" s="1"/>
  <c r="M168" i="6"/>
  <c r="N168" i="6" s="1"/>
  <c r="S168" i="6"/>
  <c r="F169" i="6"/>
  <c r="L166" i="5"/>
  <c r="K166" i="5"/>
  <c r="M165" i="4" l="1"/>
  <c r="N165" i="4" s="1"/>
  <c r="S165" i="4"/>
  <c r="F166" i="4"/>
  <c r="G169" i="6"/>
  <c r="H169" i="6" s="1"/>
  <c r="M166" i="5"/>
  <c r="N166" i="5" s="1"/>
  <c r="O166" i="5" s="1"/>
  <c r="J165" i="3"/>
  <c r="I165" i="3"/>
  <c r="G166" i="4" l="1"/>
  <c r="H166" i="4" s="1"/>
  <c r="J166" i="4" s="1"/>
  <c r="I166" i="4"/>
  <c r="R166" i="5"/>
  <c r="P166" i="5"/>
  <c r="P167" i="5" s="1"/>
  <c r="P168" i="5" s="1"/>
  <c r="K165" i="3"/>
  <c r="R165" i="3"/>
  <c r="J169" i="6"/>
  <c r="I169" i="6"/>
  <c r="K166" i="4" l="1"/>
  <c r="L166" i="4"/>
  <c r="F167" i="5"/>
  <c r="S166" i="5"/>
  <c r="M165" i="3"/>
  <c r="N165" i="3" s="1"/>
  <c r="F166" i="3"/>
  <c r="S165" i="3"/>
  <c r="L169" i="6"/>
  <c r="K169" i="6"/>
  <c r="M166" i="4" l="1"/>
  <c r="N166" i="4" s="1"/>
  <c r="O166" i="4" s="1"/>
  <c r="G167" i="5"/>
  <c r="H167" i="5" s="1"/>
  <c r="J167" i="5" s="1"/>
  <c r="I167" i="5"/>
  <c r="R167" i="5"/>
  <c r="G166" i="3"/>
  <c r="H166" i="3" s="1"/>
  <c r="J166" i="3" s="1"/>
  <c r="I166" i="3"/>
  <c r="M169" i="6"/>
  <c r="N169" i="6" s="1"/>
  <c r="O169" i="6" s="1"/>
  <c r="K167" i="5" l="1"/>
  <c r="F168" i="5"/>
  <c r="S167" i="5"/>
  <c r="K166" i="3"/>
  <c r="L166" i="3"/>
  <c r="R169" i="6"/>
  <c r="P169" i="6"/>
  <c r="P170" i="6" s="1"/>
  <c r="P171" i="6" s="1"/>
  <c r="P166" i="4"/>
  <c r="P167" i="4" s="1"/>
  <c r="P168" i="4" s="1"/>
  <c r="R166" i="4"/>
  <c r="M167" i="5" l="1"/>
  <c r="N167" i="5" s="1"/>
  <c r="G168" i="5"/>
  <c r="H168" i="5" s="1"/>
  <c r="M166" i="3"/>
  <c r="N166" i="3" s="1"/>
  <c r="O166" i="3" s="1"/>
  <c r="S169" i="6"/>
  <c r="F170" i="6"/>
  <c r="S166" i="4"/>
  <c r="F167" i="4"/>
  <c r="G170" i="6" l="1"/>
  <c r="H170" i="6" s="1"/>
  <c r="G167" i="4"/>
  <c r="H167" i="4" s="1"/>
  <c r="J167" i="4" s="1"/>
  <c r="I167" i="4"/>
  <c r="R167" i="4"/>
  <c r="J168" i="5"/>
  <c r="I168" i="5"/>
  <c r="P166" i="3"/>
  <c r="P167" i="3" s="1"/>
  <c r="P168" i="3" s="1"/>
  <c r="R166" i="3"/>
  <c r="K167" i="4" l="1"/>
  <c r="S167" i="4"/>
  <c r="F168" i="4"/>
  <c r="R168" i="5"/>
  <c r="K168" i="5"/>
  <c r="F167" i="3"/>
  <c r="S166" i="3"/>
  <c r="J170" i="6"/>
  <c r="I170" i="6"/>
  <c r="M167" i="4" l="1"/>
  <c r="N167" i="4" s="1"/>
  <c r="G168" i="4"/>
  <c r="H168" i="4" s="1"/>
  <c r="F169" i="5"/>
  <c r="S168" i="5"/>
  <c r="M168" i="5"/>
  <c r="N168" i="5" s="1"/>
  <c r="G167" i="3"/>
  <c r="H167" i="3" s="1"/>
  <c r="J167" i="3" s="1"/>
  <c r="I167" i="3"/>
  <c r="R167" i="3"/>
  <c r="K170" i="6"/>
  <c r="R170" i="6"/>
  <c r="G169" i="5" l="1"/>
  <c r="H169" i="5" s="1"/>
  <c r="K167" i="3"/>
  <c r="S167" i="3"/>
  <c r="F168" i="3"/>
  <c r="M170" i="6"/>
  <c r="N170" i="6" s="1"/>
  <c r="S170" i="6"/>
  <c r="F171" i="6"/>
  <c r="J168" i="4"/>
  <c r="I168" i="4"/>
  <c r="M167" i="3" l="1"/>
  <c r="N167" i="3" s="1"/>
  <c r="K168" i="3"/>
  <c r="G168" i="3"/>
  <c r="H168" i="3" s="1"/>
  <c r="J168" i="3" s="1"/>
  <c r="I168" i="3"/>
  <c r="R168" i="3"/>
  <c r="G171" i="6"/>
  <c r="H171" i="6" s="1"/>
  <c r="R171" i="6"/>
  <c r="R168" i="4"/>
  <c r="K168" i="4"/>
  <c r="J169" i="5"/>
  <c r="I169" i="5"/>
  <c r="M168" i="3" l="1"/>
  <c r="N168" i="3" s="1"/>
  <c r="S168" i="3"/>
  <c r="F169" i="3"/>
  <c r="F172" i="6"/>
  <c r="S171" i="6"/>
  <c r="F169" i="4"/>
  <c r="S168" i="4"/>
  <c r="M168" i="4"/>
  <c r="N168" i="4" s="1"/>
  <c r="L169" i="5"/>
  <c r="K169" i="5"/>
  <c r="J171" i="6"/>
  <c r="I171" i="6"/>
  <c r="G169" i="3" l="1"/>
  <c r="H169" i="3" s="1"/>
  <c r="G172" i="6"/>
  <c r="H172" i="6" s="1"/>
  <c r="G169" i="4"/>
  <c r="H169" i="4" s="1"/>
  <c r="J169" i="4" s="1"/>
  <c r="I169" i="4"/>
  <c r="M169" i="5"/>
  <c r="N169" i="5" s="1"/>
  <c r="O169" i="5" s="1"/>
  <c r="K171" i="6"/>
  <c r="K169" i="4" l="1"/>
  <c r="L169" i="4"/>
  <c r="R169" i="5"/>
  <c r="P169" i="5"/>
  <c r="P170" i="5" s="1"/>
  <c r="P171" i="5" s="1"/>
  <c r="M171" i="6"/>
  <c r="N171" i="6" s="1"/>
  <c r="K172" i="6"/>
  <c r="J169" i="3"/>
  <c r="I169" i="3"/>
  <c r="J172" i="6"/>
  <c r="I172" i="6"/>
  <c r="M169" i="4" l="1"/>
  <c r="N169" i="4" s="1"/>
  <c r="O169" i="4" s="1"/>
  <c r="R169" i="4"/>
  <c r="P169" i="4"/>
  <c r="P170" i="4" s="1"/>
  <c r="P171" i="4" s="1"/>
  <c r="F170" i="5"/>
  <c r="S169" i="5"/>
  <c r="M172" i="6"/>
  <c r="N172" i="6" s="1"/>
  <c r="I126" i="2"/>
  <c r="Q172" i="6"/>
  <c r="K126" i="2" s="1"/>
  <c r="L169" i="3"/>
  <c r="K169" i="3"/>
  <c r="L172" i="6"/>
  <c r="O172" i="6" s="1"/>
  <c r="F170" i="4" l="1"/>
  <c r="S169" i="4"/>
  <c r="G170" i="5"/>
  <c r="H170" i="5" s="1"/>
  <c r="M169" i="3"/>
  <c r="N169" i="3" s="1"/>
  <c r="O169" i="3" s="1"/>
  <c r="P172" i="6"/>
  <c r="R172" i="6"/>
  <c r="G170" i="4" l="1"/>
  <c r="H170" i="4" s="1"/>
  <c r="P169" i="3"/>
  <c r="P170" i="3" s="1"/>
  <c r="P171" i="3" s="1"/>
  <c r="R169" i="3"/>
  <c r="L126" i="2"/>
  <c r="J126" i="2"/>
  <c r="F173" i="6"/>
  <c r="M126" i="2"/>
  <c r="S172" i="6"/>
  <c r="J170" i="5"/>
  <c r="I170" i="5"/>
  <c r="F170" i="3" l="1"/>
  <c r="S169" i="3"/>
  <c r="G173" i="6"/>
  <c r="D127" i="2"/>
  <c r="H126" i="2"/>
  <c r="F126" i="2"/>
  <c r="G126" i="2"/>
  <c r="K170" i="5"/>
  <c r="R170" i="5"/>
  <c r="J170" i="4"/>
  <c r="I170" i="4"/>
  <c r="G170" i="3" l="1"/>
  <c r="H170" i="3" s="1"/>
  <c r="J170" i="3" s="1"/>
  <c r="R170" i="3" s="1"/>
  <c r="I170" i="3"/>
  <c r="H173" i="6"/>
  <c r="E127" i="2"/>
  <c r="M170" i="5"/>
  <c r="N170" i="5" s="1"/>
  <c r="S170" i="5"/>
  <c r="F171" i="5"/>
  <c r="K170" i="4"/>
  <c r="R170" i="4"/>
  <c r="K170" i="3" l="1"/>
  <c r="F171" i="3"/>
  <c r="S170" i="3"/>
  <c r="I173" i="6"/>
  <c r="J173" i="6"/>
  <c r="G171" i="5"/>
  <c r="H171" i="5" s="1"/>
  <c r="M170" i="4"/>
  <c r="N170" i="4" s="1"/>
  <c r="F171" i="4"/>
  <c r="S170" i="4"/>
  <c r="M170" i="3" l="1"/>
  <c r="N170" i="3" s="1"/>
  <c r="G171" i="3"/>
  <c r="H171" i="3" s="1"/>
  <c r="J171" i="3" s="1"/>
  <c r="K171" i="3" s="1"/>
  <c r="I171" i="3"/>
  <c r="R171" i="3"/>
  <c r="R173" i="6"/>
  <c r="K173" i="6"/>
  <c r="G171" i="4"/>
  <c r="H171" i="4" s="1"/>
  <c r="J171" i="5"/>
  <c r="I171" i="5"/>
  <c r="M171" i="3" l="1"/>
  <c r="N171" i="3" s="1"/>
  <c r="S171" i="3"/>
  <c r="F172" i="3"/>
  <c r="S173" i="6"/>
  <c r="F174" i="6"/>
  <c r="M173" i="6"/>
  <c r="N173" i="6" s="1"/>
  <c r="K171" i="5"/>
  <c r="R171" i="5"/>
  <c r="J171" i="4"/>
  <c r="I171" i="4"/>
  <c r="G172" i="3" l="1"/>
  <c r="H172" i="3" s="1"/>
  <c r="G174" i="6"/>
  <c r="H174" i="6" s="1"/>
  <c r="J174" i="6" s="1"/>
  <c r="I174" i="6"/>
  <c r="R174" i="6"/>
  <c r="M171" i="5"/>
  <c r="N171" i="5" s="1"/>
  <c r="S171" i="5"/>
  <c r="F172" i="5"/>
  <c r="K171" i="4"/>
  <c r="R171" i="4"/>
  <c r="K174" i="6" l="1"/>
  <c r="S174" i="6"/>
  <c r="F175" i="6"/>
  <c r="G172" i="5"/>
  <c r="H172" i="5" s="1"/>
  <c r="M171" i="4"/>
  <c r="N171" i="4" s="1"/>
  <c r="F172" i="4"/>
  <c r="S171" i="4"/>
  <c r="J172" i="3"/>
  <c r="I172" i="3"/>
  <c r="M174" i="6" l="1"/>
  <c r="N174" i="6" s="1"/>
  <c r="G175" i="6"/>
  <c r="H175" i="6" s="1"/>
  <c r="G172" i="4"/>
  <c r="H172" i="4" s="1"/>
  <c r="L172" i="3"/>
  <c r="K172" i="3"/>
  <c r="J172" i="5"/>
  <c r="I172" i="5"/>
  <c r="I27" i="2" l="1"/>
  <c r="M172" i="3"/>
  <c r="N172" i="3" s="1"/>
  <c r="O172" i="3" s="1"/>
  <c r="L172" i="5"/>
  <c r="K172" i="5"/>
  <c r="J175" i="6"/>
  <c r="I175" i="6"/>
  <c r="J172" i="4"/>
  <c r="I172" i="4"/>
  <c r="P172" i="3" l="1"/>
  <c r="I93" i="2"/>
  <c r="M172" i="5"/>
  <c r="N172" i="5" s="1"/>
  <c r="O172" i="5" s="1"/>
  <c r="K175" i="6"/>
  <c r="L175" i="6"/>
  <c r="L172" i="4"/>
  <c r="K172" i="4"/>
  <c r="Q172" i="3" l="1"/>
  <c r="L27" i="2" s="1"/>
  <c r="J27" i="2"/>
  <c r="P172" i="5"/>
  <c r="M175" i="6"/>
  <c r="N175" i="6" s="1"/>
  <c r="O175" i="6" s="1"/>
  <c r="M172" i="4"/>
  <c r="N172" i="4" s="1"/>
  <c r="O172" i="4" s="1"/>
  <c r="I60" i="2"/>
  <c r="R172" i="3" l="1"/>
  <c r="K27" i="2"/>
  <c r="Q172" i="5"/>
  <c r="L93" i="2" s="1"/>
  <c r="J93" i="2"/>
  <c r="R175" i="6"/>
  <c r="P175" i="6"/>
  <c r="P176" i="6" s="1"/>
  <c r="P177" i="6" s="1"/>
  <c r="P172" i="4"/>
  <c r="M27" i="2" l="1"/>
  <c r="F173" i="3"/>
  <c r="S172" i="3"/>
  <c r="R172" i="5"/>
  <c r="K93" i="2"/>
  <c r="F176" i="6"/>
  <c r="S175" i="6"/>
  <c r="L60" i="2"/>
  <c r="Q172" i="4"/>
  <c r="J60" i="2"/>
  <c r="D28" i="2" l="1"/>
  <c r="G173" i="3"/>
  <c r="F27" i="2"/>
  <c r="G27" i="2"/>
  <c r="H27" i="2"/>
  <c r="S172" i="5"/>
  <c r="F173" i="5"/>
  <c r="M93" i="2"/>
  <c r="G176" i="6"/>
  <c r="H176" i="6" s="1"/>
  <c r="R172" i="4"/>
  <c r="K60" i="2"/>
  <c r="H173" i="3" l="1"/>
  <c r="E28" i="2"/>
  <c r="H93" i="2"/>
  <c r="F93" i="2"/>
  <c r="G93" i="2"/>
  <c r="G173" i="5"/>
  <c r="D94" i="2"/>
  <c r="M60" i="2"/>
  <c r="F173" i="4"/>
  <c r="S172" i="4"/>
  <c r="J176" i="6"/>
  <c r="I176" i="6"/>
  <c r="I173" i="3" l="1"/>
  <c r="J173" i="3"/>
  <c r="H173" i="5"/>
  <c r="E94" i="2"/>
  <c r="G173" i="4"/>
  <c r="D61" i="2"/>
  <c r="F60" i="2"/>
  <c r="G60" i="2"/>
  <c r="H60" i="2"/>
  <c r="K176" i="6"/>
  <c r="R176" i="6"/>
  <c r="R173" i="3" l="1"/>
  <c r="K173" i="3"/>
  <c r="I173" i="5"/>
  <c r="J173" i="5"/>
  <c r="H173" i="4"/>
  <c r="E61" i="2"/>
  <c r="M176" i="6"/>
  <c r="N176" i="6" s="1"/>
  <c r="F177" i="6"/>
  <c r="S176" i="6"/>
  <c r="S173" i="3" l="1"/>
  <c r="F174" i="3"/>
  <c r="M173" i="3"/>
  <c r="N173" i="3" s="1"/>
  <c r="R173" i="5"/>
  <c r="K173" i="5"/>
  <c r="I173" i="4"/>
  <c r="J173" i="4"/>
  <c r="G177" i="6"/>
  <c r="H177" i="6" s="1"/>
  <c r="J177" i="6" s="1"/>
  <c r="I177" i="6"/>
  <c r="R177" i="6"/>
  <c r="G174" i="3" l="1"/>
  <c r="H174" i="3" s="1"/>
  <c r="S173" i="5"/>
  <c r="F174" i="5"/>
  <c r="M173" i="5"/>
  <c r="N173" i="5" s="1"/>
  <c r="R173" i="4"/>
  <c r="K173" i="4"/>
  <c r="K177" i="6"/>
  <c r="F178" i="6"/>
  <c r="S177" i="6"/>
  <c r="G174" i="5" l="1"/>
  <c r="H174" i="5" s="1"/>
  <c r="F174" i="4"/>
  <c r="S173" i="4"/>
  <c r="M173" i="4"/>
  <c r="N173" i="4" s="1"/>
  <c r="M177" i="6"/>
  <c r="N177" i="6" s="1"/>
  <c r="G178" i="6"/>
  <c r="H178" i="6" s="1"/>
  <c r="J174" i="3"/>
  <c r="I174" i="3"/>
  <c r="G174" i="4" l="1"/>
  <c r="H174" i="4" s="1"/>
  <c r="K174" i="3"/>
  <c r="R174" i="3"/>
  <c r="J174" i="5"/>
  <c r="I174" i="5"/>
  <c r="J178" i="6"/>
  <c r="I178" i="6"/>
  <c r="M174" i="3" l="1"/>
  <c r="N174" i="3" s="1"/>
  <c r="F175" i="3"/>
  <c r="S174" i="3"/>
  <c r="K174" i="5"/>
  <c r="R174" i="5"/>
  <c r="K178" i="6"/>
  <c r="L178" i="6"/>
  <c r="J174" i="4"/>
  <c r="I174" i="4"/>
  <c r="G175" i="3" l="1"/>
  <c r="H175" i="3" s="1"/>
  <c r="J175" i="3" s="1"/>
  <c r="I175" i="3"/>
  <c r="M174" i="5"/>
  <c r="N174" i="5" s="1"/>
  <c r="S174" i="5"/>
  <c r="F175" i="5"/>
  <c r="M178" i="6"/>
  <c r="N178" i="6" s="1"/>
  <c r="O178" i="6" s="1"/>
  <c r="K174" i="4"/>
  <c r="R174" i="4"/>
  <c r="K175" i="3" l="1"/>
  <c r="L175" i="3"/>
  <c r="G175" i="5"/>
  <c r="H175" i="5" s="1"/>
  <c r="R178" i="6"/>
  <c r="P178" i="6"/>
  <c r="P179" i="6" s="1"/>
  <c r="P180" i="6" s="1"/>
  <c r="M174" i="4"/>
  <c r="N174" i="4" s="1"/>
  <c r="F175" i="4"/>
  <c r="S174" i="4"/>
  <c r="M175" i="3" l="1"/>
  <c r="N175" i="3" s="1"/>
  <c r="O175" i="3" s="1"/>
  <c r="F179" i="6"/>
  <c r="S178" i="6"/>
  <c r="G175" i="4"/>
  <c r="H175" i="4" s="1"/>
  <c r="J175" i="5"/>
  <c r="I175" i="5"/>
  <c r="G179" i="6" l="1"/>
  <c r="H179" i="6" s="1"/>
  <c r="J179" i="6" s="1"/>
  <c r="I179" i="6"/>
  <c r="R179" i="6"/>
  <c r="L175" i="5"/>
  <c r="K175" i="5"/>
  <c r="R175" i="3"/>
  <c r="P175" i="3"/>
  <c r="P176" i="3" s="1"/>
  <c r="P177" i="3" s="1"/>
  <c r="J175" i="4"/>
  <c r="I175" i="4"/>
  <c r="K179" i="6" l="1"/>
  <c r="S179" i="6"/>
  <c r="F180" i="6"/>
  <c r="M175" i="5"/>
  <c r="N175" i="5" s="1"/>
  <c r="O175" i="5" s="1"/>
  <c r="F176" i="3"/>
  <c r="S175" i="3"/>
  <c r="L175" i="4"/>
  <c r="K175" i="4"/>
  <c r="M179" i="6" l="1"/>
  <c r="N179" i="6" s="1"/>
  <c r="G180" i="6"/>
  <c r="H180" i="6" s="1"/>
  <c r="R175" i="5"/>
  <c r="P175" i="5"/>
  <c r="P176" i="5" s="1"/>
  <c r="P177" i="5" s="1"/>
  <c r="G176" i="3"/>
  <c r="H176" i="3" s="1"/>
  <c r="M175" i="4"/>
  <c r="N175" i="4" s="1"/>
  <c r="O175" i="4" s="1"/>
  <c r="S175" i="5" l="1"/>
  <c r="F176" i="5"/>
  <c r="R175" i="4"/>
  <c r="P175" i="4"/>
  <c r="P176" i="4" s="1"/>
  <c r="P177" i="4" s="1"/>
  <c r="J180" i="6"/>
  <c r="I180" i="6"/>
  <c r="J176" i="3"/>
  <c r="I176" i="3"/>
  <c r="G176" i="5" l="1"/>
  <c r="H176" i="5" s="1"/>
  <c r="S175" i="4"/>
  <c r="F176" i="4"/>
  <c r="K180" i="6"/>
  <c r="R180" i="6"/>
  <c r="K176" i="3"/>
  <c r="R176" i="3"/>
  <c r="G176" i="4" l="1"/>
  <c r="H176" i="4" s="1"/>
  <c r="J176" i="4" s="1"/>
  <c r="I176" i="4"/>
  <c r="R176" i="4"/>
  <c r="M180" i="6"/>
  <c r="N180" i="6" s="1"/>
  <c r="S180" i="6"/>
  <c r="F181" i="6"/>
  <c r="M176" i="3"/>
  <c r="N176" i="3" s="1"/>
  <c r="S176" i="3"/>
  <c r="F177" i="3"/>
  <c r="J176" i="5"/>
  <c r="I176" i="5"/>
  <c r="K176" i="4" l="1"/>
  <c r="S176" i="4"/>
  <c r="F177" i="4"/>
  <c r="G181" i="6"/>
  <c r="H181" i="6" s="1"/>
  <c r="G177" i="3"/>
  <c r="H177" i="3" s="1"/>
  <c r="K176" i="5"/>
  <c r="R176" i="5"/>
  <c r="M176" i="4" l="1"/>
  <c r="N176" i="4" s="1"/>
  <c r="G177" i="4"/>
  <c r="H177" i="4" s="1"/>
  <c r="J177" i="4" s="1"/>
  <c r="K177" i="4" s="1"/>
  <c r="I177" i="4"/>
  <c r="R177" i="4"/>
  <c r="M176" i="5"/>
  <c r="N176" i="5" s="1"/>
  <c r="S176" i="5"/>
  <c r="F177" i="5"/>
  <c r="J181" i="6"/>
  <c r="I181" i="6"/>
  <c r="J177" i="3"/>
  <c r="I177" i="3"/>
  <c r="M177" i="4" l="1"/>
  <c r="N177" i="4" s="1"/>
  <c r="S177" i="4"/>
  <c r="F178" i="4"/>
  <c r="G177" i="5"/>
  <c r="H177" i="5" s="1"/>
  <c r="J177" i="5" s="1"/>
  <c r="I177" i="5"/>
  <c r="R177" i="5"/>
  <c r="L181" i="6"/>
  <c r="K181" i="6"/>
  <c r="K177" i="3"/>
  <c r="R177" i="3"/>
  <c r="G178" i="4" l="1"/>
  <c r="H178" i="4" s="1"/>
  <c r="K177" i="5"/>
  <c r="S177" i="5"/>
  <c r="F178" i="5"/>
  <c r="M181" i="6"/>
  <c r="N181" i="6" s="1"/>
  <c r="O181" i="6" s="1"/>
  <c r="M177" i="3"/>
  <c r="N177" i="3" s="1"/>
  <c r="S177" i="3"/>
  <c r="F178" i="3"/>
  <c r="M177" i="5" l="1"/>
  <c r="N177" i="5" s="1"/>
  <c r="G178" i="5"/>
  <c r="H178" i="5" s="1"/>
  <c r="R181" i="6"/>
  <c r="P181" i="6"/>
  <c r="P182" i="6" s="1"/>
  <c r="P183" i="6" s="1"/>
  <c r="G178" i="3"/>
  <c r="H178" i="3" s="1"/>
  <c r="J178" i="4"/>
  <c r="I178" i="4"/>
  <c r="F182" i="6" l="1"/>
  <c r="S181" i="6"/>
  <c r="L178" i="4"/>
  <c r="K178" i="4"/>
  <c r="J178" i="5"/>
  <c r="I178" i="5"/>
  <c r="J178" i="3"/>
  <c r="I178" i="3"/>
  <c r="G182" i="6" l="1"/>
  <c r="H182" i="6" s="1"/>
  <c r="J182" i="6" s="1"/>
  <c r="R182" i="6"/>
  <c r="I182" i="6"/>
  <c r="M178" i="4"/>
  <c r="N178" i="4" s="1"/>
  <c r="O178" i="4" s="1"/>
  <c r="K178" i="5"/>
  <c r="L178" i="5"/>
  <c r="L178" i="3"/>
  <c r="K178" i="3"/>
  <c r="K182" i="6" l="1"/>
  <c r="F183" i="6"/>
  <c r="S182" i="6"/>
  <c r="R178" i="4"/>
  <c r="P178" i="4"/>
  <c r="P179" i="4" s="1"/>
  <c r="P180" i="4" s="1"/>
  <c r="M178" i="5"/>
  <c r="N178" i="5" s="1"/>
  <c r="O178" i="5" s="1"/>
  <c r="M178" i="3"/>
  <c r="N178" i="3" s="1"/>
  <c r="O178" i="3" s="1"/>
  <c r="M182" i="6" l="1"/>
  <c r="N182" i="6" s="1"/>
  <c r="G183" i="6"/>
  <c r="H183" i="6" s="1"/>
  <c r="S178" i="4"/>
  <c r="F179" i="4"/>
  <c r="R178" i="5"/>
  <c r="P178" i="5"/>
  <c r="P179" i="5" s="1"/>
  <c r="P180" i="5" s="1"/>
  <c r="R178" i="3"/>
  <c r="P178" i="3"/>
  <c r="P179" i="3" s="1"/>
  <c r="P180" i="3" s="1"/>
  <c r="R179" i="4" l="1"/>
  <c r="I179" i="4"/>
  <c r="G179" i="4"/>
  <c r="H179" i="4" s="1"/>
  <c r="J179" i="4" s="1"/>
  <c r="S178" i="5"/>
  <c r="F179" i="5"/>
  <c r="S178" i="3"/>
  <c r="F179" i="3"/>
  <c r="J183" i="6"/>
  <c r="I183" i="6"/>
  <c r="F180" i="4" l="1"/>
  <c r="S179" i="4"/>
  <c r="K179" i="4"/>
  <c r="G179" i="5"/>
  <c r="H179" i="5" s="1"/>
  <c r="G179" i="3"/>
  <c r="H179" i="3" s="1"/>
  <c r="J179" i="3" s="1"/>
  <c r="I179" i="3"/>
  <c r="R179" i="3"/>
  <c r="R183" i="6"/>
  <c r="K183" i="6"/>
  <c r="G180" i="4" l="1"/>
  <c r="H180" i="4" s="1"/>
  <c r="M179" i="4"/>
  <c r="N179" i="4" s="1"/>
  <c r="K179" i="3"/>
  <c r="F180" i="3"/>
  <c r="S179" i="3"/>
  <c r="S183" i="6"/>
  <c r="F184" i="6"/>
  <c r="M183" i="6"/>
  <c r="N183" i="6" s="1"/>
  <c r="J179" i="5"/>
  <c r="I179" i="5"/>
  <c r="M179" i="3" l="1"/>
  <c r="N179" i="3" s="1"/>
  <c r="G180" i="3"/>
  <c r="H180" i="3" s="1"/>
  <c r="G184" i="6"/>
  <c r="H184" i="6" s="1"/>
  <c r="J184" i="6" s="1"/>
  <c r="I184" i="6"/>
  <c r="K179" i="5"/>
  <c r="R179" i="5"/>
  <c r="J180" i="4"/>
  <c r="I180" i="4"/>
  <c r="K184" i="6" l="1"/>
  <c r="L184" i="6"/>
  <c r="M179" i="5"/>
  <c r="N179" i="5" s="1"/>
  <c r="F180" i="5"/>
  <c r="S179" i="5"/>
  <c r="K180" i="4"/>
  <c r="R180" i="4"/>
  <c r="J180" i="3"/>
  <c r="I180" i="3"/>
  <c r="M184" i="6" l="1"/>
  <c r="N184" i="6" s="1"/>
  <c r="O184" i="6" s="1"/>
  <c r="P184" i="6" s="1"/>
  <c r="I127" i="2"/>
  <c r="G180" i="5"/>
  <c r="H180" i="5" s="1"/>
  <c r="M180" i="4"/>
  <c r="N180" i="4" s="1"/>
  <c r="S180" i="4"/>
  <c r="F181" i="4"/>
  <c r="K180" i="3"/>
  <c r="R180" i="3"/>
  <c r="G181" i="4" l="1"/>
  <c r="H181" i="4" s="1"/>
  <c r="M180" i="3"/>
  <c r="N180" i="3" s="1"/>
  <c r="F181" i="3"/>
  <c r="S180" i="3"/>
  <c r="Q184" i="6"/>
  <c r="L127" i="2" s="1"/>
  <c r="J127" i="2"/>
  <c r="F9" i="2" s="1"/>
  <c r="J180" i="5"/>
  <c r="I180" i="5"/>
  <c r="G181" i="3" l="1"/>
  <c r="H181" i="3" s="1"/>
  <c r="J181" i="3" s="1"/>
  <c r="I181" i="3"/>
  <c r="R184" i="6"/>
  <c r="K127" i="2"/>
  <c r="G9" i="2" s="1"/>
  <c r="K180" i="5"/>
  <c r="R180" i="5"/>
  <c r="J181" i="4"/>
  <c r="I181" i="4"/>
  <c r="K181" i="3" l="1"/>
  <c r="L181" i="3"/>
  <c r="M127" i="2"/>
  <c r="S184" i="6"/>
  <c r="M180" i="5"/>
  <c r="N180" i="5" s="1"/>
  <c r="F181" i="5"/>
  <c r="S180" i="5"/>
  <c r="L181" i="4"/>
  <c r="K181" i="4"/>
  <c r="M181" i="3" l="1"/>
  <c r="N181" i="3" s="1"/>
  <c r="O181" i="3" s="1"/>
  <c r="H9" i="2"/>
  <c r="C9" i="2"/>
  <c r="F127" i="2"/>
  <c r="H127" i="2"/>
  <c r="G127" i="2"/>
  <c r="G181" i="5"/>
  <c r="H181" i="5" s="1"/>
  <c r="J181" i="5" s="1"/>
  <c r="I181" i="5"/>
  <c r="M181" i="4"/>
  <c r="N181" i="4" s="1"/>
  <c r="O181" i="4" s="1"/>
  <c r="E9" i="2" l="1"/>
  <c r="D9" i="2"/>
  <c r="K181" i="5"/>
  <c r="L181" i="5"/>
  <c r="R181" i="4"/>
  <c r="P181" i="4"/>
  <c r="P182" i="4" s="1"/>
  <c r="P183" i="4" s="1"/>
  <c r="R181" i="3"/>
  <c r="P181" i="3"/>
  <c r="P182" i="3" s="1"/>
  <c r="P183" i="3" s="1"/>
  <c r="M181" i="5" l="1"/>
  <c r="N181" i="5" s="1"/>
  <c r="O181" i="5" s="1"/>
  <c r="F182" i="4"/>
  <c r="S181" i="4"/>
  <c r="S181" i="3"/>
  <c r="F182" i="3"/>
  <c r="G182" i="4" l="1"/>
  <c r="H182" i="4" s="1"/>
  <c r="J182" i="4" s="1"/>
  <c r="R182" i="4" s="1"/>
  <c r="I182" i="4"/>
  <c r="G182" i="3"/>
  <c r="H182" i="3" s="1"/>
  <c r="R181" i="5"/>
  <c r="P181" i="5"/>
  <c r="P182" i="5" s="1"/>
  <c r="P183" i="5" s="1"/>
  <c r="K182" i="4" l="1"/>
  <c r="F183" i="4"/>
  <c r="S182" i="4"/>
  <c r="F182" i="5"/>
  <c r="S181" i="5"/>
  <c r="J182" i="3"/>
  <c r="I182" i="3"/>
  <c r="M182" i="4" l="1"/>
  <c r="N182" i="4" s="1"/>
  <c r="G183" i="4"/>
  <c r="H183" i="4" s="1"/>
  <c r="G182" i="5"/>
  <c r="H182" i="5" s="1"/>
  <c r="K182" i="3"/>
  <c r="R182" i="3"/>
  <c r="M182" i="3" l="1"/>
  <c r="N182" i="3" s="1"/>
  <c r="F183" i="3"/>
  <c r="S182" i="3"/>
  <c r="J183" i="4"/>
  <c r="I183" i="4"/>
  <c r="J182" i="5"/>
  <c r="I182" i="5"/>
  <c r="G183" i="3" l="1"/>
  <c r="H183" i="3" s="1"/>
  <c r="K183" i="4"/>
  <c r="R183" i="4"/>
  <c r="K182" i="5"/>
  <c r="R182" i="5"/>
  <c r="M183" i="4" l="1"/>
  <c r="N183" i="4" s="1"/>
  <c r="F184" i="4"/>
  <c r="S183" i="4"/>
  <c r="M182" i="5"/>
  <c r="N182" i="5" s="1"/>
  <c r="S182" i="5"/>
  <c r="F183" i="5"/>
  <c r="J183" i="3"/>
  <c r="I183" i="3"/>
  <c r="G184" i="4" l="1"/>
  <c r="H184" i="4" s="1"/>
  <c r="G183" i="5"/>
  <c r="H183" i="5" s="1"/>
  <c r="K183" i="3"/>
  <c r="R183" i="3"/>
  <c r="M183" i="3" l="1"/>
  <c r="N183" i="3" s="1"/>
  <c r="F184" i="3"/>
  <c r="S183" i="3"/>
  <c r="J184" i="4"/>
  <c r="I184" i="4"/>
  <c r="J183" i="5"/>
  <c r="I183" i="5"/>
  <c r="G184" i="3" l="1"/>
  <c r="H184" i="3" s="1"/>
  <c r="L184" i="4"/>
  <c r="K184" i="4"/>
  <c r="K183" i="5"/>
  <c r="R183" i="5"/>
  <c r="M184" i="4" l="1"/>
  <c r="N184" i="4" s="1"/>
  <c r="O184" i="4" s="1"/>
  <c r="I61" i="2"/>
  <c r="M183" i="5"/>
  <c r="N183" i="5" s="1"/>
  <c r="F184" i="5"/>
  <c r="S183" i="5"/>
  <c r="J184" i="3"/>
  <c r="I184" i="3"/>
  <c r="P184" i="4" l="1"/>
  <c r="G184" i="5"/>
  <c r="H184" i="5" s="1"/>
  <c r="L184" i="3"/>
  <c r="K184" i="3"/>
  <c r="Q184" i="4" l="1"/>
  <c r="L61" i="2"/>
  <c r="J61" i="2"/>
  <c r="F7" i="2" s="1"/>
  <c r="M184" i="3"/>
  <c r="N184" i="3" s="1"/>
  <c r="O184" i="3" s="1"/>
  <c r="I28" i="2"/>
  <c r="J184" i="5"/>
  <c r="I184" i="5"/>
  <c r="R184" i="4" l="1"/>
  <c r="K61" i="2"/>
  <c r="G7" i="2" s="1"/>
  <c r="P184" i="3"/>
  <c r="L184" i="5"/>
  <c r="K184" i="5"/>
  <c r="M61" i="2" l="1"/>
  <c r="S184" i="4"/>
  <c r="Q184" i="3"/>
  <c r="L28" i="2" s="1"/>
  <c r="J28" i="2"/>
  <c r="F6" i="2" s="1"/>
  <c r="I94" i="2"/>
  <c r="M184" i="5"/>
  <c r="N184" i="5" s="1"/>
  <c r="O184" i="5" s="1"/>
  <c r="H7" i="2" l="1"/>
  <c r="C7" i="2"/>
  <c r="G61" i="2"/>
  <c r="H61" i="2"/>
  <c r="F61" i="2"/>
  <c r="R184" i="3"/>
  <c r="K28" i="2"/>
  <c r="G6" i="2" s="1"/>
  <c r="P184" i="5"/>
  <c r="E7" i="2" l="1"/>
  <c r="D7" i="2"/>
  <c r="M28" i="2"/>
  <c r="S184" i="3"/>
  <c r="Q184" i="5"/>
  <c r="L94" i="2" s="1"/>
  <c r="J94" i="2"/>
  <c r="F8" i="2" s="1"/>
  <c r="H6" i="2" l="1"/>
  <c r="C6" i="2"/>
  <c r="H28" i="2"/>
  <c r="G28" i="2"/>
  <c r="F28" i="2"/>
  <c r="R184" i="5"/>
  <c r="K94" i="2"/>
  <c r="G8" i="2" s="1"/>
  <c r="D6" i="2" l="1"/>
  <c r="E6" i="2"/>
  <c r="S184" i="5"/>
  <c r="M94" i="2"/>
  <c r="F94" i="2" l="1"/>
  <c r="G94" i="2"/>
  <c r="H94" i="2"/>
  <c r="C8" i="2"/>
  <c r="H8" i="2"/>
  <c r="D8" i="2" l="1"/>
  <c r="E8" i="2"/>
</calcChain>
</file>

<file path=xl/sharedStrings.xml><?xml version="1.0" encoding="utf-8"?>
<sst xmlns="http://schemas.openxmlformats.org/spreadsheetml/2006/main" count="245" uniqueCount="134">
  <si>
    <t>Straddle Income — Investment Growth Analysis</t>
  </si>
  <si>
    <t>Yellow cells are inputs. Everything else is a live formula — change any input and the whole workbook recomputes.</t>
  </si>
  <si>
    <t>1 · CAPITAL &amp; TIME</t>
  </si>
  <si>
    <t>Starting month</t>
  </si>
  <si>
    <t>First month of deployment (Mon-YYYY)</t>
  </si>
  <si>
    <t>Initial investment (INR)</t>
  </si>
  <si>
    <t>Corpus at the starting month</t>
  </si>
  <si>
    <t>Value of 1 lot at start (INR)</t>
  </si>
  <si>
    <t>₹5,00,000 / 6 lots ≈ ₹83,333</t>
  </si>
  <si>
    <t>Lot value increase — year on year</t>
  </si>
  <si>
    <t>Margin per lot rises as NIFTY/premium grow</t>
  </si>
  <si>
    <t>Number of years to model</t>
  </si>
  <si>
    <t>1 to 30</t>
  </si>
  <si>
    <t>→ Starting lots (derived):</t>
  </si>
  <si>
    <t>2 · MONTHLY RETURN SCENARIOS  —  enter returns NET of brokerage, STT and slippage</t>
  </si>
  <si>
    <t>Scenario A — monthly return</t>
  </si>
  <si>
    <t>Scenario B — monthly return</t>
  </si>
  <si>
    <t>Scenario C — monthly return</t>
  </si>
  <si>
    <t>Scenario D — monthly return (your own)</t>
  </si>
  <si>
    <t>2-decimal precision, e.g. 4.25%</t>
  </si>
  <si>
    <t>Earned on DEPLOYED capital only (lots × lot value); idle cash earns nothing. These % are assumed ALREADY NET of transaction costs — the only further deductions are govt tax and withdrawals.</t>
  </si>
  <si>
    <t>3 · ANNUAL WITHDRAWAL</t>
  </si>
  <si>
    <t>Withdrawal — % of that year's profit</t>
  </si>
  <si>
    <t>Withdrawal — absolute cap (INR)</t>
  </si>
  <si>
    <t>₹1 crore</t>
  </si>
  <si>
    <t>Withdrawal calculated on</t>
  </si>
  <si>
    <t>Post-tax profit</t>
  </si>
  <si>
    <t>Whichever is LOWER of the % and the cap is withdrawn</t>
  </si>
  <si>
    <t>Withdrawn each year = MIN( % × profit , cap )</t>
  </si>
  <si>
    <t>4 · GOVERNMENT TAX  (New Regime — 30% base slab already included)</t>
  </si>
  <si>
    <t>Tax deducted</t>
  </si>
  <si>
    <t>Quarterly</t>
  </si>
  <si>
    <t>Quarterly = advance tax leaves the corpus 4×/yr, so it compounds less</t>
  </si>
  <si>
    <t>Income range</t>
  </si>
  <si>
    <t>Lower bound (INR)</t>
  </si>
  <si>
    <t>Surcharge</t>
  </si>
  <si>
    <t>Effective rate — NEW  ← USED</t>
  </si>
  <si>
    <t>Effective rate — OLD (reference only)</t>
  </si>
  <si>
    <t>Up to ₹50 Lakh</t>
  </si>
  <si>
    <t>₹50 Lakh – ₹1 Crore</t>
  </si>
  <si>
    <t>₹1 Crore – ₹2 Crore</t>
  </si>
  <si>
    <t>₹2 Crore – ₹5 Crore</t>
  </si>
  <si>
    <t>Above ₹5 Crore</t>
  </si>
  <si>
    <t>Slab is chosen from ANNUALISED profit, so a growing book climbs into higher surcharge bands over time. Only the NEW-regime column drives the maths.</t>
  </si>
  <si>
    <t>Annual Summary — one row per year, per scenario</t>
  </si>
  <si>
    <t>HEADLINE — where each scenario ends up</t>
  </si>
  <si>
    <t>Scenario</t>
  </si>
  <si>
    <t>Monthly return</t>
  </si>
  <si>
    <t>Final corpus</t>
  </si>
  <si>
    <t>Final lots</t>
  </si>
  <si>
    <t>Lots growth ×</t>
  </si>
  <si>
    <t>Total tax paid</t>
  </si>
  <si>
    <t>Total withdrawn</t>
  </si>
  <si>
    <t>Corpus ×</t>
  </si>
  <si>
    <t>Scenario A</t>
  </si>
  <si>
    <t>Scenario B</t>
  </si>
  <si>
    <t>Scenario C</t>
  </si>
  <si>
    <t>Scenario D</t>
  </si>
  <si>
    <t>"Corpus ×" counts money taken out as well as money still invested — otherwise a big withdrawal looks like worse performance. Lots growth is the honest measure of deployed scale.</t>
  </si>
  <si>
    <t>SCENARIO A</t>
  </si>
  <si>
    <t>per month</t>
  </si>
  <si>
    <t>Year</t>
  </si>
  <si>
    <t>Year ending</t>
  </si>
  <si>
    <t>Lot value</t>
  </si>
  <si>
    <t>Opening corpus</t>
  </si>
  <si>
    <t>Lots start</t>
  </si>
  <si>
    <t>Lots end</t>
  </si>
  <si>
    <t>Lots added</t>
  </si>
  <si>
    <t>Deployed capital</t>
  </si>
  <si>
    <t>TRADING PROFIT
(net of charges, pre-tax)</t>
  </si>
  <si>
    <t>Govt tax</t>
  </si>
  <si>
    <t>Withdrawal</t>
  </si>
  <si>
    <t>REAL PROFIT (post tax &amp; withdrawal)</t>
  </si>
  <si>
    <t>Closing corpus</t>
  </si>
  <si>
    <t>SCENARIO B</t>
  </si>
  <si>
    <t>SCENARIO C</t>
  </si>
  <si>
    <t>SCENARIO D</t>
  </si>
  <si>
    <t>Monthly engine — Scenario A</t>
  </si>
  <si>
    <t>Monthly return:</t>
  </si>
  <si>
    <t>One row per month. Returns accrue on DEPLOYED capital only; idle cash earns nothing until it funds a whole lot.</t>
  </si>
  <si>
    <t>Month #</t>
  </si>
  <si>
    <t>Month</t>
  </si>
  <si>
    <t>Yr</t>
  </si>
  <si>
    <t>M-in-yr</t>
  </si>
  <si>
    <t>Lots</t>
  </si>
  <si>
    <t>Idle cash</t>
  </si>
  <si>
    <t>Profit (month)</t>
  </si>
  <si>
    <t>Profit YTD</t>
  </si>
  <si>
    <t>Profit this qtr</t>
  </si>
  <si>
    <t>Slab income</t>
  </si>
  <si>
    <t>Tax rate</t>
  </si>
  <si>
    <t>Tax YTD</t>
  </si>
  <si>
    <t>Lots at close</t>
  </si>
  <si>
    <t>Monthly engine — Scenario B</t>
  </si>
  <si>
    <t>Monthly engine — Scenario C</t>
  </si>
  <si>
    <t>Monthly engine — Scenario D</t>
  </si>
  <si>
    <t>Assumptions &amp; how to read this model</t>
  </si>
  <si>
    <t>THE DEDUCTION WATERFALL — what comes off the return you enter</t>
  </si>
  <si>
    <t>The % you enter is ALREADY net of transaction costs</t>
  </si>
  <si>
    <t>Brokerage, STT, exchange/SEBI charges, stamp duty, GST and slippage are assumed to be inside the number you type. The model does NOT deduct them again. Only two liabilities are taken off it: government tax, and your annual withdrawal.</t>
  </si>
  <si>
    <t>So the chain is</t>
  </si>
  <si>
    <t>deployed capital × monthly return  →  minus govt tax (quarterly)  →  minus annual withdrawal  →  remainder compounds. Nothing else is subtracted anywhere in the workbook.</t>
  </si>
  <si>
    <t>Why the column says "TRADING PROFIT (net of charges, pre-tax)"</t>
  </si>
  <si>
    <t>It is deliberately not called "gross" — that word would suggest charges are still to come. They are not. It is profit after trading costs and before government tax.</t>
  </si>
  <si>
    <t>Reality check on entering a number</t>
  </si>
  <si>
    <t>Live experience at 2 lots has charges running 28–43% of gross trading profit. So if your raw strategy gross is 8% a month, the figure to enter here is nearer 5%. Entering 8% asserts you already cleared costs.</t>
  </si>
  <si>
    <t>WHAT DRIVES THE COMPOUNDING</t>
  </si>
  <si>
    <t>Returns accrue on DEPLOYED capital only</t>
  </si>
  <si>
    <t>Profit = (lots × lot value) × monthly return. Cash that is not enough to fund a whole extra lot sits idle and earns nothing. This is the single most important assumption — it is why the corpus grows in steps rather than smoothly, and why a higher lot value slows growth.</t>
  </si>
  <si>
    <t>Reinvestment is lumpy, by design</t>
  </si>
  <si>
    <t>Lots = INT(corpus / lot value), recomputed every month. One more lot is deployed only when the whole margin for it is available, matching how the straddle actually scales.</t>
  </si>
  <si>
    <t>Lot value rises every year</t>
  </si>
  <si>
    <t>Margin per lot grows with NIFTY and premium levels, so the bar for adding a lot keeps rising. Default 5% a year. Set it to 0% to see how much this drag alone costs you.</t>
  </si>
  <si>
    <t>TAX</t>
  </si>
  <si>
    <t>New regime, 30% base slab already inside the rates</t>
  </si>
  <si>
    <t>The effective rates supplied (31.20% → 39.00%) already contain the 30% base slab plus surcharge and cess. Only the NEW-regime column is used; the OLD-regime column is kept for reference.</t>
  </si>
  <si>
    <t>Slab is picked from ANNUALISED profit</t>
  </si>
  <si>
    <t>With "Quarterly" selected, the slab is chosen from year-to-date profit scaled to a full year — the way advance tax is estimated in practice. A growing book therefore climbs into higher surcharge bands over time. With "Annually", the slab is chosen from the actual full-year profit.</t>
  </si>
  <si>
    <t>Quarterly vs Annually is NOT cosmetic</t>
  </si>
  <si>
    <t>Quarterly deduction removes money from the corpus four times a year instead of once, so it compounds less. Switching to Annually will flatter the result. Quarterly is the realistic default.</t>
  </si>
  <si>
    <t>WITHDRAWAL</t>
  </si>
  <si>
    <t>MIN(% of profit, cap), once a year</t>
  </si>
  <si>
    <t>Default 10% of profit capped at ₹1 crore — whichever is LOWER. In early years the 10% binds; only once annual profit passes ₹10 crore does the cap start binding.</t>
  </si>
  <si>
    <t>Base defaults to "Post-tax profit"</t>
  </si>
  <si>
    <t>You withdraw from what is actually yours after tax. Switch to "Gross profit" on the Inputs sheet if you intend the 10% to be taken before tax — it withdraws more and slows compounding.</t>
  </si>
  <si>
    <t>WHAT THIS MODEL DOES NOT DO</t>
  </si>
  <si>
    <t>No losing months</t>
  </si>
  <si>
    <t>A constant positive monthly return is a planning tool, not a forecast. The live straddle has already had a losing day (13-Aug-2026, −₹686) and its worst backtested day was −₹17,522. Treat every number here as an upper envelope, not an expectation.</t>
  </si>
  <si>
    <t>No margin-availability ceiling</t>
  </si>
  <si>
    <t>The model will happily deploy hundreds of lots. Real NIFTY option liquidity, exchange position limits and slippage all bite well before that — and slippage grows with size.</t>
  </si>
  <si>
    <t>No brokerage or transaction cost</t>
  </si>
  <si>
    <t>The monthly return you enter must therefore be NET of brokerage, STT and slippage. Live experience: charges have been running 28–43% of gross profit at 2 lots, so a gross 8% is nowhere near a net 8%.</t>
  </si>
  <si>
    <t>Returns are on capital, not on a strategy</t>
  </si>
  <si>
    <t>5% a month sustained for 10 years is 1.05^120 ≈ 348× before reinvestment effects. Scenarios that look modest per month become extraordinary over a decade — which is the point of the exercise, but also the reason to be sceptical of the top end.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</si>
</sst>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m\-yyyy"/>
    <numFmt numFmtId="165" formatCode="[&gt;=10000000]\₹##\,##\,##\,##0;[&gt;=100000]\₹##\,##\,##0;\₹##,##0"/>
    <numFmt numFmtId="166" formatCode="0.000%"/>
    <numFmt numFmtId="167" formatCode="0.0&quot;×&quot;"/>
  </numFmts>
  <fonts count="10" x14ac:knownFonts="1">
    <font>
      <sz val="11"/>
      <color theme="1"/>
      <name val="Calibri"/>
      <family val="2"/>
      <scheme val="minor"/>
    </font>
    <font>
      <b/>
      <sz val="14"/>
      <color rgb="FF1F3864"/>
      <name val="Calibri"/>
    </font>
    <font>
      <i/>
      <sz val="9"/>
      <color rgb="FF666666"/>
      <name val="Calibri"/>
    </font>
    <font>
      <b/>
      <sz val="11"/>
      <color rgb="FF1F3864"/>
      <name val="Calibri"/>
    </font>
    <font>
      <b/>
      <sz val="11"/>
      <name val="Calibri"/>
    </font>
    <font>
      <b/>
      <sz val="11"/>
      <color rgb="FFFFFFFF"/>
      <name val="Calibri"/>
    </font>
    <font>
      <b/>
      <sz val="11"/>
      <color rgb="FFC00000"/>
      <name val="Calibri"/>
    </font>
    <font>
      <i/>
      <sz val="11"/>
      <color rgb="FF1F3864"/>
      <name val="Calibri"/>
    </font>
    <font>
      <b/>
      <sz val="12"/>
      <color rgb="FF1F3864"/>
      <name val="Calibri"/>
    </font>
    <font>
      <b/>
      <sz val="11"/>
      <color rgb="FF1F3864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164" fontId="0" fillId="3" borderId="1" xfId="0" applyNumberFormat="1" applyFill="1" applyBorder="1"/>
    <xf numFmtId="165" fontId="0" fillId="3" borderId="1" xfId="0" applyNumberFormat="1" applyFill="1" applyBorder="1"/>
    <xf numFmtId="10" fontId="0" fillId="3" borderId="1" xfId="0" applyNumberFormat="1" applyFill="1" applyBorder="1"/>
    <xf numFmtId="1" fontId="0" fillId="3" borderId="1" xfId="0" applyNumberFormat="1" applyFill="1" applyBorder="1"/>
    <xf numFmtId="0" fontId="3" fillId="0" borderId="0" xfId="0" applyFont="1"/>
    <xf numFmtId="0" fontId="0" fillId="3" borderId="1" xfId="0" applyFill="1" applyBorder="1"/>
    <xf numFmtId="0" fontId="5" fillId="4" borderId="1" xfId="0" applyFont="1" applyFill="1" applyBorder="1" applyAlignment="1">
      <alignment vertical="center" wrapText="1"/>
    </xf>
    <xf numFmtId="0" fontId="0" fillId="0" borderId="1" xfId="0" applyBorder="1"/>
    <xf numFmtId="9" fontId="0" fillId="0" borderId="1" xfId="0" applyNumberFormat="1" applyBorder="1"/>
    <xf numFmtId="166" fontId="0" fillId="3" borderId="1" xfId="0" applyNumberFormat="1" applyFill="1" applyBorder="1"/>
    <xf numFmtId="166" fontId="0" fillId="0" borderId="1" xfId="0" applyNumberFormat="1" applyBorder="1"/>
    <xf numFmtId="0" fontId="7" fillId="0" borderId="0" xfId="0" applyFont="1"/>
    <xf numFmtId="0" fontId="5" fillId="4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0" fontId="0" fillId="0" borderId="1" xfId="0" applyNumberFormat="1" applyBorder="1"/>
    <xf numFmtId="165" fontId="3" fillId="0" borderId="1" xfId="0" applyNumberFormat="1" applyFont="1" applyBorder="1"/>
    <xf numFmtId="1" fontId="3" fillId="0" borderId="1" xfId="0" applyNumberFormat="1" applyFont="1" applyBorder="1"/>
    <xf numFmtId="167" fontId="0" fillId="0" borderId="1" xfId="0" applyNumberFormat="1" applyBorder="1"/>
    <xf numFmtId="165" fontId="0" fillId="0" borderId="1" xfId="0" applyNumberFormat="1" applyBorder="1"/>
    <xf numFmtId="167" fontId="3" fillId="0" borderId="1" xfId="0" applyNumberFormat="1" applyFont="1" applyBorder="1"/>
    <xf numFmtId="0" fontId="8" fillId="2" borderId="0" xfId="0" applyFont="1" applyFill="1"/>
    <xf numFmtId="10" fontId="6" fillId="2" borderId="0" xfId="0" applyNumberFormat="1" applyFont="1" applyFill="1"/>
    <xf numFmtId="0" fontId="2" fillId="2" borderId="0" xfId="0" applyFont="1" applyFill="1"/>
    <xf numFmtId="1" fontId="0" fillId="0" borderId="1" xfId="0" applyNumberFormat="1" applyBorder="1"/>
    <xf numFmtId="164" fontId="0" fillId="0" borderId="1" xfId="0" applyNumberFormat="1" applyBorder="1"/>
    <xf numFmtId="165" fontId="4" fillId="0" borderId="1" xfId="0" applyNumberFormat="1" applyFont="1" applyBorder="1"/>
    <xf numFmtId="10" fontId="6" fillId="0" borderId="0" xfId="0" applyNumberFormat="1" applyFont="1"/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" fontId="0" fillId="5" borderId="0" xfId="0" applyNumberFormat="1" applyFill="1"/>
    <xf numFmtId="164" fontId="0" fillId="5" borderId="0" xfId="0" applyNumberFormat="1" applyFill="1"/>
    <xf numFmtId="165" fontId="0" fillId="5" borderId="0" xfId="0" applyNumberFormat="1" applyFill="1"/>
    <xf numFmtId="166" fontId="0" fillId="5" borderId="0" xfId="0" applyNumberFormat="1" applyFill="1"/>
    <xf numFmtId="0" fontId="9" fillId="0" borderId="0" xfId="0" applyFont="1"/>
    <xf numFmtId="0" fontId="4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4"/>
  <sheetViews>
    <sheetView showGridLines="0" workbookViewId="0">
      <selection activeCell="B6" sqref="B6"/>
    </sheetView>
  </sheetViews>
  <sheetFormatPr defaultRowHeight="14.4" x14ac:dyDescent="0.3"/>
  <cols>
    <col min="1" max="1" width="38" customWidth="1"/>
    <col min="2" max="2" width="20" customWidth="1"/>
    <col min="3" max="5" width="30" customWidth="1"/>
    <col min="6" max="6" width="14" customWidth="1"/>
  </cols>
  <sheetData>
    <row r="1" spans="1:6" ht="18" x14ac:dyDescent="0.35">
      <c r="A1" s="1" t="s">
        <v>0</v>
      </c>
    </row>
    <row r="2" spans="1:6" x14ac:dyDescent="0.3">
      <c r="A2" s="2" t="s">
        <v>1</v>
      </c>
    </row>
    <row r="4" spans="1:6" x14ac:dyDescent="0.3">
      <c r="A4" s="3" t="s">
        <v>2</v>
      </c>
      <c r="B4" s="4"/>
      <c r="C4" s="4"/>
      <c r="D4" s="4"/>
      <c r="E4" s="4"/>
      <c r="F4" s="4"/>
    </row>
    <row r="5" spans="1:6" x14ac:dyDescent="0.3">
      <c r="A5" s="5" t="s">
        <v>3</v>
      </c>
      <c r="B5" s="6">
        <v>46388</v>
      </c>
      <c r="C5" s="2" t="s">
        <v>4</v>
      </c>
    </row>
    <row r="6" spans="1:6" x14ac:dyDescent="0.3">
      <c r="A6" s="5" t="s">
        <v>5</v>
      </c>
      <c r="B6" s="7">
        <v>5000000</v>
      </c>
      <c r="C6" s="2" t="s">
        <v>6</v>
      </c>
    </row>
    <row r="7" spans="1:6" x14ac:dyDescent="0.3">
      <c r="A7" s="5" t="s">
        <v>7</v>
      </c>
      <c r="B7" s="7">
        <v>83333</v>
      </c>
      <c r="C7" s="2" t="s">
        <v>8</v>
      </c>
    </row>
    <row r="8" spans="1:6" x14ac:dyDescent="0.3">
      <c r="A8" s="5" t="s">
        <v>9</v>
      </c>
      <c r="B8" s="8">
        <v>0.05</v>
      </c>
      <c r="C8" s="2" t="s">
        <v>10</v>
      </c>
    </row>
    <row r="9" spans="1:6" x14ac:dyDescent="0.3">
      <c r="A9" s="5" t="s">
        <v>11</v>
      </c>
      <c r="B9" s="9">
        <v>12</v>
      </c>
      <c r="C9" s="2" t="s">
        <v>12</v>
      </c>
    </row>
    <row r="10" spans="1:6" x14ac:dyDescent="0.3">
      <c r="C10" s="5" t="s">
        <v>13</v>
      </c>
      <c r="E10" s="10">
        <f>INT(Inputs!$B$6/Inputs!$B$7)</f>
        <v>60</v>
      </c>
    </row>
    <row r="12" spans="1:6" x14ac:dyDescent="0.3">
      <c r="A12" s="3" t="s">
        <v>14</v>
      </c>
      <c r="B12" s="4"/>
      <c r="C12" s="4"/>
      <c r="D12" s="4"/>
      <c r="E12" s="4"/>
      <c r="F12" s="4"/>
    </row>
    <row r="13" spans="1:6" x14ac:dyDescent="0.3">
      <c r="A13" s="5" t="s">
        <v>15</v>
      </c>
      <c r="B13" s="8">
        <v>0.05</v>
      </c>
    </row>
    <row r="14" spans="1:6" x14ac:dyDescent="0.3">
      <c r="A14" s="5" t="s">
        <v>16</v>
      </c>
      <c r="B14" s="8">
        <v>0.08</v>
      </c>
    </row>
    <row r="15" spans="1:6" x14ac:dyDescent="0.3">
      <c r="A15" s="5" t="s">
        <v>17</v>
      </c>
      <c r="B15" s="8">
        <v>0.1</v>
      </c>
    </row>
    <row r="16" spans="1:6" x14ac:dyDescent="0.3">
      <c r="A16" s="5" t="s">
        <v>18</v>
      </c>
      <c r="B16" s="8">
        <v>0.04</v>
      </c>
      <c r="C16" s="2" t="s">
        <v>19</v>
      </c>
    </row>
    <row r="17" spans="1:6" x14ac:dyDescent="0.3">
      <c r="A17" s="2" t="s">
        <v>20</v>
      </c>
    </row>
    <row r="18" spans="1:6" x14ac:dyDescent="0.3">
      <c r="A18" s="3" t="s">
        <v>21</v>
      </c>
      <c r="B18" s="4"/>
      <c r="C18" s="4"/>
      <c r="D18" s="4"/>
      <c r="E18" s="4"/>
      <c r="F18" s="4"/>
    </row>
    <row r="19" spans="1:6" x14ac:dyDescent="0.3">
      <c r="A19" s="5" t="s">
        <v>22</v>
      </c>
      <c r="B19" s="8">
        <v>0.1</v>
      </c>
    </row>
    <row r="20" spans="1:6" x14ac:dyDescent="0.3">
      <c r="A20" s="5" t="s">
        <v>23</v>
      </c>
      <c r="B20" s="7">
        <v>10000000</v>
      </c>
      <c r="C20" s="2" t="s">
        <v>24</v>
      </c>
    </row>
    <row r="21" spans="1:6" x14ac:dyDescent="0.3">
      <c r="A21" s="5" t="s">
        <v>25</v>
      </c>
      <c r="B21" s="11" t="s">
        <v>26</v>
      </c>
      <c r="C21" s="2" t="s">
        <v>27</v>
      </c>
    </row>
    <row r="22" spans="1:6" x14ac:dyDescent="0.3">
      <c r="A22" s="2" t="s">
        <v>28</v>
      </c>
    </row>
    <row r="24" spans="1:6" x14ac:dyDescent="0.3">
      <c r="A24" s="3" t="s">
        <v>29</v>
      </c>
      <c r="B24" s="4"/>
      <c r="C24" s="4"/>
      <c r="D24" s="4"/>
      <c r="E24" s="4"/>
      <c r="F24" s="4"/>
    </row>
    <row r="25" spans="1:6" x14ac:dyDescent="0.3">
      <c r="A25" s="5" t="s">
        <v>30</v>
      </c>
      <c r="B25" s="11" t="s">
        <v>31</v>
      </c>
      <c r="C25" s="2" t="s">
        <v>32</v>
      </c>
    </row>
    <row r="27" spans="1:6" ht="28.8" x14ac:dyDescent="0.3">
      <c r="A27" s="12" t="s">
        <v>33</v>
      </c>
      <c r="B27" s="12" t="s">
        <v>34</v>
      </c>
      <c r="C27" s="12" t="s">
        <v>35</v>
      </c>
      <c r="D27" s="12" t="s">
        <v>36</v>
      </c>
      <c r="E27" s="12" t="s">
        <v>37</v>
      </c>
    </row>
    <row r="28" spans="1:6" x14ac:dyDescent="0.3">
      <c r="A28" s="13" t="s">
        <v>38</v>
      </c>
      <c r="B28" s="7">
        <v>0</v>
      </c>
      <c r="C28" s="14">
        <v>0</v>
      </c>
      <c r="D28" s="15">
        <v>0.312</v>
      </c>
      <c r="E28" s="16">
        <v>0.312</v>
      </c>
    </row>
    <row r="29" spans="1:6" x14ac:dyDescent="0.3">
      <c r="A29" s="13" t="s">
        <v>39</v>
      </c>
      <c r="B29" s="7">
        <v>5000000</v>
      </c>
      <c r="C29" s="14">
        <v>0.1</v>
      </c>
      <c r="D29" s="15">
        <v>0.34320000000000001</v>
      </c>
      <c r="E29" s="16">
        <v>0.34320000000000001</v>
      </c>
    </row>
    <row r="30" spans="1:6" x14ac:dyDescent="0.3">
      <c r="A30" s="13" t="s">
        <v>40</v>
      </c>
      <c r="B30" s="7">
        <v>10000000</v>
      </c>
      <c r="C30" s="14">
        <v>0.15</v>
      </c>
      <c r="D30" s="15">
        <v>0.35880000000000001</v>
      </c>
      <c r="E30" s="16">
        <v>0.35880000000000001</v>
      </c>
    </row>
    <row r="31" spans="1:6" x14ac:dyDescent="0.3">
      <c r="A31" s="13" t="s">
        <v>41</v>
      </c>
      <c r="B31" s="7">
        <v>20000000</v>
      </c>
      <c r="C31" s="14">
        <v>0.25</v>
      </c>
      <c r="D31" s="15">
        <v>0.39</v>
      </c>
      <c r="E31" s="16">
        <v>0.39</v>
      </c>
    </row>
    <row r="32" spans="1:6" x14ac:dyDescent="0.3">
      <c r="A32" s="13" t="s">
        <v>42</v>
      </c>
      <c r="B32" s="7">
        <v>50000000</v>
      </c>
      <c r="C32" s="14">
        <v>0.25</v>
      </c>
      <c r="D32" s="15">
        <v>0.39</v>
      </c>
      <c r="E32" s="16">
        <v>0.42743999999999999</v>
      </c>
    </row>
    <row r="34" spans="1:1" x14ac:dyDescent="0.3">
      <c r="A34" s="2" t="s">
        <v>43</v>
      </c>
    </row>
  </sheetData>
  <dataValidations count="2">
    <dataValidation type="list" sqref="B21" xr:uid="{00000000-0002-0000-0000-000000000000}">
      <formula1>"Post-tax profit,Gross profit"</formula1>
    </dataValidation>
    <dataValidation type="list" sqref="B25" xr:uid="{00000000-0002-0000-0000-000001000000}">
      <formula1>"Quarterly,Annually"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42"/>
  <sheetViews>
    <sheetView showGridLines="0" tabSelected="1" workbookViewId="0">
      <pane ySplit="5" topLeftCell="A6" activePane="bottomLeft" state="frozen"/>
      <selection pane="bottomLeft" activeCell="M18" sqref="M18"/>
    </sheetView>
  </sheetViews>
  <sheetFormatPr defaultRowHeight="14.4" x14ac:dyDescent="0.3"/>
  <cols>
    <col min="1" max="1" width="13.44140625" customWidth="1"/>
    <col min="2" max="2" width="12" customWidth="1"/>
    <col min="3" max="3" width="14.77734375" bestFit="1" customWidth="1"/>
    <col min="4" max="4" width="15.109375" customWidth="1"/>
    <col min="5" max="5" width="8.6640625" bestFit="1" customWidth="1"/>
    <col min="6" max="6" width="14.44140625" bestFit="1" customWidth="1"/>
    <col min="7" max="7" width="13.21875" customWidth="1"/>
    <col min="8" max="8" width="16" customWidth="1"/>
    <col min="9" max="9" width="20" customWidth="1"/>
    <col min="10" max="11" width="15" customWidth="1"/>
    <col min="12" max="12" width="20" customWidth="1"/>
    <col min="13" max="13" width="17" customWidth="1"/>
  </cols>
  <sheetData>
    <row r="1" spans="1:13" ht="18" x14ac:dyDescent="0.35">
      <c r="A1" s="1" t="s">
        <v>44</v>
      </c>
    </row>
    <row r="2" spans="1:13" x14ac:dyDescent="0.3">
      <c r="A2" s="17" t="str">
        <f>TEXT(StartMonth,"mmm-yyyy")&amp;"  to  "&amp;TEXT(EDATE(StartMonth,NYears*12-1),"mmm-yyyy")&amp;"   ·   "&amp;TEXT(NYears,"0")&amp;" years   ·   initial "&amp;TEXT(InitInvest,"₹##\,##\,##0")&amp;" = "&amp;TEXT(INT(InitInvest/LotValue0),"0")&amp;" lots"</f>
        <v>Jan-2027  to  Dec-2038   ·   12 years   ·   initial ₹50,00,000 = 60 lots</v>
      </c>
    </row>
    <row r="4" spans="1:13" x14ac:dyDescent="0.3">
      <c r="A4" s="3" t="s">
        <v>45</v>
      </c>
      <c r="B4" s="4"/>
      <c r="C4" s="4"/>
      <c r="D4" s="4"/>
      <c r="E4" s="4"/>
      <c r="F4" s="4"/>
      <c r="G4" s="4"/>
      <c r="H4" s="4"/>
    </row>
    <row r="5" spans="1:13" ht="28.8" x14ac:dyDescent="0.3">
      <c r="A5" s="18" t="s">
        <v>46</v>
      </c>
      <c r="B5" s="18" t="s">
        <v>47</v>
      </c>
      <c r="C5" s="18" t="s">
        <v>48</v>
      </c>
      <c r="D5" s="18" t="s">
        <v>49</v>
      </c>
      <c r="E5" s="18" t="s">
        <v>50</v>
      </c>
      <c r="F5" s="18" t="s">
        <v>51</v>
      </c>
      <c r="G5" s="18" t="s">
        <v>52</v>
      </c>
      <c r="H5" s="18" t="s">
        <v>53</v>
      </c>
    </row>
    <row r="6" spans="1:13" x14ac:dyDescent="0.3">
      <c r="A6" s="19" t="s">
        <v>54</v>
      </c>
      <c r="B6" s="20">
        <f>RateA</f>
        <v>0.05</v>
      </c>
      <c r="C6" s="21">
        <f>INDEX($M$14:$M$43,NYears)</f>
        <v>322317382.7514174</v>
      </c>
      <c r="D6" s="22">
        <f>INDEX($F$14:$F$43,NYears)</f>
        <v>2261</v>
      </c>
      <c r="E6" s="23">
        <f>INDEX($F$14:$F$43,NYears)/INT(InitInvest/LotValue0)</f>
        <v>37.68333333333333</v>
      </c>
      <c r="F6" s="24">
        <f>SUM($J$14:$J$43)</f>
        <v>221928170.22558561</v>
      </c>
      <c r="G6" s="24">
        <f>SUM($K$14:$K$43)</f>
        <v>35022679.750441588</v>
      </c>
      <c r="H6" s="25">
        <f>(INDEX($M$14:$M$43,NYears)+SUM($K$14:$K$43))/InitInvest</f>
        <v>71.468012500371799</v>
      </c>
    </row>
    <row r="7" spans="1:13" x14ac:dyDescent="0.3">
      <c r="A7" s="19" t="s">
        <v>55</v>
      </c>
      <c r="B7" s="20">
        <f>RateB</f>
        <v>0.08</v>
      </c>
      <c r="C7" s="21">
        <f>INDEX($M$47:$M$76,NYears)</f>
        <v>4392424704.9587135</v>
      </c>
      <c r="D7" s="22">
        <f>INDEX($F$47:$F$76,NYears)</f>
        <v>30818</v>
      </c>
      <c r="E7" s="23">
        <f>INDEX($F$47:$F$76,NYears)/INT(InitInvest/LotValue0)</f>
        <v>513.63333333333333</v>
      </c>
      <c r="F7" s="24">
        <f>SUM($J$47:$J$76)</f>
        <v>2851115098.6500816</v>
      </c>
      <c r="G7" s="24">
        <f>SUM($K$47:$K$76)</f>
        <v>75106403.012677491</v>
      </c>
      <c r="H7" s="25">
        <f>(INDEX($M$47:$M$76,NYears)+SUM($K$47:$K$76))/InitInvest</f>
        <v>893.50622159427814</v>
      </c>
    </row>
    <row r="8" spans="1:13" x14ac:dyDescent="0.3">
      <c r="A8" s="19" t="s">
        <v>56</v>
      </c>
      <c r="B8" s="20">
        <f>RateC</f>
        <v>0.1</v>
      </c>
      <c r="C8" s="21">
        <f>INDEX($M$80:$M$109,NYears)</f>
        <v>26531086624.90279</v>
      </c>
      <c r="D8" s="22">
        <f>INDEX($F$80:$F$109,NYears)</f>
        <v>186146</v>
      </c>
      <c r="E8" s="23">
        <f>INDEX($F$80:$F$109,NYears)/INT(InitInvest/LotValue0)</f>
        <v>3102.4333333333334</v>
      </c>
      <c r="F8" s="24">
        <f>SUM($J$80:$J$109)</f>
        <v>17013640381.574203</v>
      </c>
      <c r="G8" s="24">
        <f>SUM($K$80:$K$109)</f>
        <v>87572010.315948427</v>
      </c>
      <c r="H8" s="25">
        <f>(INDEX($M$80:$M$109,NYears)+SUM($K$80:$K$109))/InitInvest</f>
        <v>5323.7317270437479</v>
      </c>
    </row>
    <row r="9" spans="1:13" x14ac:dyDescent="0.3">
      <c r="A9" s="19" t="s">
        <v>57</v>
      </c>
      <c r="B9" s="20">
        <f>RateD</f>
        <v>0.04</v>
      </c>
      <c r="C9" s="21">
        <f>INDEX($M$113:$M$142,NYears)</f>
        <v>146116809.51383406</v>
      </c>
      <c r="D9" s="22">
        <f>INDEX($F$113:$F$142,NYears)</f>
        <v>1025</v>
      </c>
      <c r="E9" s="23">
        <f>INDEX($F$113:$F$142,NYears)/INT(InitInvest/LotValue0)</f>
        <v>17.083333333333332</v>
      </c>
      <c r="F9" s="24">
        <f>SUM($J$113:$J$142)</f>
        <v>95631318.15941298</v>
      </c>
      <c r="G9" s="24">
        <f>SUM($K$113:$K$142)</f>
        <v>15679645.501537118</v>
      </c>
      <c r="H9" s="25">
        <f>(INDEX($M$113:$M$142,NYears)+SUM($K$113:$K$142))/InitInvest</f>
        <v>32.359291003074233</v>
      </c>
    </row>
    <row r="10" spans="1:13" x14ac:dyDescent="0.3">
      <c r="A10" s="2" t="s">
        <v>58</v>
      </c>
    </row>
    <row r="12" spans="1:13" ht="15.6" x14ac:dyDescent="0.3">
      <c r="A12" s="26" t="s">
        <v>59</v>
      </c>
      <c r="B12" s="27">
        <f>RateA</f>
        <v>0.05</v>
      </c>
      <c r="C12" s="28" t="s">
        <v>60</v>
      </c>
      <c r="D12" s="4"/>
      <c r="E12" s="4"/>
      <c r="F12" s="4"/>
      <c r="G12" s="4"/>
      <c r="H12" s="4"/>
      <c r="I12" s="4"/>
      <c r="J12" s="4"/>
      <c r="K12" s="4"/>
      <c r="L12" s="4"/>
      <c r="M12" s="4"/>
    </row>
    <row r="13" spans="1:13" ht="43.2" x14ac:dyDescent="0.3">
      <c r="A13" s="18" t="s">
        <v>61</v>
      </c>
      <c r="B13" s="18" t="s">
        <v>62</v>
      </c>
      <c r="C13" s="18" t="s">
        <v>63</v>
      </c>
      <c r="D13" s="18" t="s">
        <v>64</v>
      </c>
      <c r="E13" s="18" t="s">
        <v>65</v>
      </c>
      <c r="F13" s="18" t="s">
        <v>66</v>
      </c>
      <c r="G13" s="18" t="s">
        <v>67</v>
      </c>
      <c r="H13" s="18" t="s">
        <v>68</v>
      </c>
      <c r="I13" s="18" t="s">
        <v>69</v>
      </c>
      <c r="J13" s="18" t="s">
        <v>70</v>
      </c>
      <c r="K13" s="18" t="s">
        <v>71</v>
      </c>
      <c r="L13" s="18" t="s">
        <v>72</v>
      </c>
      <c r="M13" s="18" t="s">
        <v>73</v>
      </c>
    </row>
    <row r="14" spans="1:13" x14ac:dyDescent="0.3">
      <c r="A14" s="29">
        <f>1</f>
        <v>1</v>
      </c>
      <c r="B14" s="30">
        <f t="shared" ref="B14:B43" si="0">IF($A14&gt;NYears,"",EDATE(StartMonth,$A14*12-1))</f>
        <v>46722</v>
      </c>
      <c r="C14" s="24">
        <f>IF($A14&gt;NYears,"",'Engine A'!$E16)</f>
        <v>83333</v>
      </c>
      <c r="D14" s="24">
        <f>IF($A14&gt;NYears,"",'Engine A'!$F5)</f>
        <v>5000000</v>
      </c>
      <c r="E14" s="29">
        <f>IF($A14&gt;NYears,"",'Engine A'!$G5)</f>
        <v>60</v>
      </c>
      <c r="F14" s="29">
        <f>IF($A14&gt;NYears,"",'Engine A'!$S16)</f>
        <v>87</v>
      </c>
      <c r="G14" s="29">
        <f>IF($A14&gt;NYears,"",'Engine A'!$S16-'Engine A'!$G5)</f>
        <v>27</v>
      </c>
      <c r="H14" s="24">
        <f>IF($A14&gt;NYears,"",'Engine A'!$S16*'Engine A'!$E16)</f>
        <v>7249971</v>
      </c>
      <c r="I14" s="31">
        <f>IF($A14&gt;NYears,"",'Engine A'!$K16)</f>
        <v>3679151.9499999997</v>
      </c>
      <c r="J14" s="24">
        <f>IF($A14&gt;NYears,"",'Engine A'!$P16)</f>
        <v>1147895.4084000001</v>
      </c>
      <c r="K14" s="24">
        <f>IF($A14&gt;NYears,"",'Engine A'!$Q16)</f>
        <v>253125.65415999998</v>
      </c>
      <c r="L14" s="31">
        <f>IF($A14&gt;NYears,"",'Engine A'!$K16-'Engine A'!$P16-'Engine A'!$Q16)</f>
        <v>2278130.8874399997</v>
      </c>
      <c r="M14" s="31">
        <f>IF($A14&gt;NYears,"",'Engine A'!$R16)</f>
        <v>7278130.8874400016</v>
      </c>
    </row>
    <row r="15" spans="1:13" x14ac:dyDescent="0.3">
      <c r="A15" s="29">
        <f>2</f>
        <v>2</v>
      </c>
      <c r="B15" s="30">
        <f t="shared" si="0"/>
        <v>47088</v>
      </c>
      <c r="C15" s="24">
        <f>IF($A15&gt;NYears,"",'Engine A'!$E28)</f>
        <v>87499.650000000009</v>
      </c>
      <c r="D15" s="24">
        <f>IF($A15&gt;NYears,"",'Engine A'!$F17)</f>
        <v>7278130.8874400016</v>
      </c>
      <c r="E15" s="29">
        <f>IF($A15&gt;NYears,"",'Engine A'!$G17)</f>
        <v>83</v>
      </c>
      <c r="F15" s="29">
        <f>IF($A15&gt;NYears,"",'Engine A'!$S28)</f>
        <v>120</v>
      </c>
      <c r="G15" s="29">
        <f>IF($A15&gt;NYears,"",'Engine A'!$S28-'Engine A'!$G17)</f>
        <v>37</v>
      </c>
      <c r="H15" s="24">
        <f>IF($A15&gt;NYears,"",'Engine A'!$S28*'Engine A'!$E28)</f>
        <v>10499958.000000002</v>
      </c>
      <c r="I15" s="31">
        <f>IF($A15&gt;NYears,"",'Engine A'!$K28)</f>
        <v>5359353.5625000019</v>
      </c>
      <c r="J15" s="24">
        <f>IF($A15&gt;NYears,"",'Engine A'!$P28)</f>
        <v>1764255.4429500003</v>
      </c>
      <c r="K15" s="24">
        <f>IF($A15&gt;NYears,"",'Engine A'!$Q28)</f>
        <v>359509.81195500022</v>
      </c>
      <c r="L15" s="31">
        <f>IF($A15&gt;NYears,"",'Engine A'!$K28-'Engine A'!$P28-'Engine A'!$Q28)</f>
        <v>3235588.3075950015</v>
      </c>
      <c r="M15" s="31">
        <f>IF($A15&gt;NYears,"",'Engine A'!$R28)</f>
        <v>10513719.195035003</v>
      </c>
    </row>
    <row r="16" spans="1:13" x14ac:dyDescent="0.3">
      <c r="A16" s="29">
        <f>3</f>
        <v>3</v>
      </c>
      <c r="B16" s="30">
        <f t="shared" si="0"/>
        <v>47453</v>
      </c>
      <c r="C16" s="24">
        <f>IF($A16&gt;NYears,"",'Engine A'!$E40)</f>
        <v>91874.632500000007</v>
      </c>
      <c r="D16" s="24">
        <f>IF($A16&gt;NYears,"",'Engine A'!$F29)</f>
        <v>10513719.195035003</v>
      </c>
      <c r="E16" s="29">
        <f>IF($A16&gt;NYears,"",'Engine A'!$G29)</f>
        <v>114</v>
      </c>
      <c r="F16" s="29">
        <f>IF($A16&gt;NYears,"",'Engine A'!$S40)</f>
        <v>164</v>
      </c>
      <c r="G16" s="29">
        <f>IF($A16&gt;NYears,"",'Engine A'!$S40-'Engine A'!$G29)</f>
        <v>50</v>
      </c>
      <c r="H16" s="24">
        <f>IF($A16&gt;NYears,"",'Engine A'!$S40*'Engine A'!$E40)</f>
        <v>15067439.73</v>
      </c>
      <c r="I16" s="31">
        <f>IF($A16&gt;NYears,"",'Engine A'!$K40)</f>
        <v>7708281.6667500027</v>
      </c>
      <c r="J16" s="24">
        <f>IF($A16&gt;NYears,"",'Engine A'!$P40)</f>
        <v>2645482.2680286001</v>
      </c>
      <c r="K16" s="24">
        <f>IF($A16&gt;NYears,"",'Engine A'!$Q40)</f>
        <v>506279.9398721403</v>
      </c>
      <c r="L16" s="31">
        <f>IF($A16&gt;NYears,"",'Engine A'!$K40-'Engine A'!$P40-'Engine A'!$Q40)</f>
        <v>4556519.4588492624</v>
      </c>
      <c r="M16" s="31">
        <f>IF($A16&gt;NYears,"",'Engine A'!$R40)</f>
        <v>15070238.653884266</v>
      </c>
    </row>
    <row r="17" spans="1:13" x14ac:dyDescent="0.3">
      <c r="A17" s="29">
        <f>4</f>
        <v>4</v>
      </c>
      <c r="B17" s="30">
        <f t="shared" si="0"/>
        <v>47818</v>
      </c>
      <c r="C17" s="24">
        <f>IF($A17&gt;NYears,"",'Engine A'!$E52)</f>
        <v>96468.364125000007</v>
      </c>
      <c r="D17" s="24">
        <f>IF($A17&gt;NYears,"",'Engine A'!$F41)</f>
        <v>15070238.653884266</v>
      </c>
      <c r="E17" s="29">
        <f>IF($A17&gt;NYears,"",'Engine A'!$G41)</f>
        <v>156</v>
      </c>
      <c r="F17" s="29">
        <f>IF($A17&gt;NYears,"",'Engine A'!$S52)</f>
        <v>222</v>
      </c>
      <c r="G17" s="29">
        <f>IF($A17&gt;NYears,"",'Engine A'!$S52-'Engine A'!$G41)</f>
        <v>66</v>
      </c>
      <c r="H17" s="24">
        <f>IF($A17&gt;NYears,"",'Engine A'!$S52*'Engine A'!$E52)</f>
        <v>21415976.835750002</v>
      </c>
      <c r="I17" s="31">
        <f>IF($A17&gt;NYears,"",'Engine A'!$K52)</f>
        <v>11040804.274106251</v>
      </c>
      <c r="J17" s="24">
        <f>IF($A17&gt;NYears,"",'Engine A'!$P52)</f>
        <v>3883712.1538392459</v>
      </c>
      <c r="K17" s="24">
        <f>IF($A17&gt;NYears,"",'Engine A'!$Q52)</f>
        <v>715709.21202670061</v>
      </c>
      <c r="L17" s="31">
        <f>IF($A17&gt;NYears,"",'Engine A'!$K52-'Engine A'!$P52-'Engine A'!$Q52)</f>
        <v>6441382.9082403053</v>
      </c>
      <c r="M17" s="31">
        <f>IF($A17&gt;NYears,"",'Engine A'!$R52)</f>
        <v>21511621.562124573</v>
      </c>
    </row>
    <row r="18" spans="1:13" x14ac:dyDescent="0.3">
      <c r="A18" s="29">
        <f>5</f>
        <v>5</v>
      </c>
      <c r="B18" s="30">
        <f t="shared" si="0"/>
        <v>48183</v>
      </c>
      <c r="C18" s="24">
        <f>IF($A18&gt;NYears,"",'Engine A'!$E64)</f>
        <v>101291.78233125</v>
      </c>
      <c r="D18" s="24">
        <f>IF($A18&gt;NYears,"",'Engine A'!$F53)</f>
        <v>21511621.562124573</v>
      </c>
      <c r="E18" s="29">
        <f>IF($A18&gt;NYears,"",'Engine A'!$G53)</f>
        <v>212</v>
      </c>
      <c r="F18" s="29">
        <f>IF($A18&gt;NYears,"",'Engine A'!$S64)</f>
        <v>301</v>
      </c>
      <c r="G18" s="29">
        <f>IF($A18&gt;NYears,"",'Engine A'!$S64-'Engine A'!$G53)</f>
        <v>89</v>
      </c>
      <c r="H18" s="24">
        <f>IF($A18&gt;NYears,"",'Engine A'!$S64*'Engine A'!$E64)</f>
        <v>30488826.48170625</v>
      </c>
      <c r="I18" s="31">
        <f>IF($A18&gt;NYears,"",'Engine A'!$K64)</f>
        <v>15725549.206926564</v>
      </c>
      <c r="J18" s="24">
        <f>IF($A18&gt;NYears,"",'Engine A'!$P64)</f>
        <v>5642327.0554452511</v>
      </c>
      <c r="K18" s="24">
        <f>IF($A18&gt;NYears,"",'Engine A'!$Q64)</f>
        <v>1008322.2151481312</v>
      </c>
      <c r="L18" s="31">
        <f>IF($A18&gt;NYears,"",'Engine A'!$K64-'Engine A'!$P64-'Engine A'!$Q64)</f>
        <v>9074899.9363331813</v>
      </c>
      <c r="M18" s="31">
        <f>IF($A18&gt;NYears,"",'Engine A'!$R64)</f>
        <v>30586521.498457748</v>
      </c>
    </row>
    <row r="19" spans="1:13" x14ac:dyDescent="0.3">
      <c r="A19" s="29">
        <f>6</f>
        <v>6</v>
      </c>
      <c r="B19" s="30">
        <f t="shared" si="0"/>
        <v>48549</v>
      </c>
      <c r="C19" s="24">
        <f>IF($A19&gt;NYears,"",'Engine A'!$E76)</f>
        <v>106356.3714478125</v>
      </c>
      <c r="D19" s="24">
        <f>IF($A19&gt;NYears,"",'Engine A'!$F65)</f>
        <v>30586521.498457748</v>
      </c>
      <c r="E19" s="29">
        <f>IF($A19&gt;NYears,"",'Engine A'!$G65)</f>
        <v>287</v>
      </c>
      <c r="F19" s="29">
        <f>IF($A19&gt;NYears,"",'Engine A'!$S76)</f>
        <v>403</v>
      </c>
      <c r="G19" s="29">
        <f>IF($A19&gt;NYears,"",'Engine A'!$S76-'Engine A'!$G65)</f>
        <v>116</v>
      </c>
      <c r="H19" s="24">
        <f>IF($A19&gt;NYears,"",'Engine A'!$S76*'Engine A'!$E76)</f>
        <v>42861617.693468437</v>
      </c>
      <c r="I19" s="31">
        <f>IF($A19&gt;NYears,"",'Engine A'!$K76)</f>
        <v>22281659.818316724</v>
      </c>
      <c r="J19" s="24">
        <f>IF($A19&gt;NYears,"",'Engine A'!$P76)</f>
        <v>8539859.3198729567</v>
      </c>
      <c r="K19" s="24">
        <f>IF($A19&gt;NYears,"",'Engine A'!$Q76)</f>
        <v>1374180.0498443767</v>
      </c>
      <c r="L19" s="31">
        <f>IF($A19&gt;NYears,"",'Engine A'!$K76-'Engine A'!$P76-'Engine A'!$Q76)</f>
        <v>12367620.448599391</v>
      </c>
      <c r="M19" s="31">
        <f>IF($A19&gt;NYears,"",'Engine A'!$R76)</f>
        <v>42954141.947057143</v>
      </c>
    </row>
    <row r="20" spans="1:13" x14ac:dyDescent="0.3">
      <c r="A20" s="29">
        <f>7</f>
        <v>7</v>
      </c>
      <c r="B20" s="30">
        <f t="shared" si="0"/>
        <v>48914</v>
      </c>
      <c r="C20" s="24">
        <f>IF($A20&gt;NYears,"",'Engine A'!$E88)</f>
        <v>111674.19002020312</v>
      </c>
      <c r="D20" s="24">
        <f>IF($A20&gt;NYears,"",'Engine A'!$F77)</f>
        <v>42954141.947057143</v>
      </c>
      <c r="E20" s="29">
        <f>IF($A20&gt;NYears,"",'Engine A'!$G77)</f>
        <v>384</v>
      </c>
      <c r="F20" s="29">
        <f>IF($A20&gt;NYears,"",'Engine A'!$S88)</f>
        <v>538</v>
      </c>
      <c r="G20" s="29">
        <f>IF($A20&gt;NYears,"",'Engine A'!$S88-'Engine A'!$G77)</f>
        <v>154</v>
      </c>
      <c r="H20" s="24">
        <f>IF($A20&gt;NYears,"",'Engine A'!$S88*'Engine A'!$E88)</f>
        <v>60080714.230869278</v>
      </c>
      <c r="I20" s="31">
        <f>IF($A20&gt;NYears,"",'Engine A'!$K88)</f>
        <v>31201768.691644754</v>
      </c>
      <c r="J20" s="24">
        <f>IF($A20&gt;NYears,"",'Engine A'!$P88)</f>
        <v>12168689.789741453</v>
      </c>
      <c r="K20" s="24">
        <f>IF($A20&gt;NYears,"",'Engine A'!$Q88)</f>
        <v>1903307.8901903303</v>
      </c>
      <c r="L20" s="31">
        <f>IF($A20&gt;NYears,"",'Engine A'!$K88-'Engine A'!$P88-'Engine A'!$Q88)</f>
        <v>17129771.011712972</v>
      </c>
      <c r="M20" s="31">
        <f>IF($A20&gt;NYears,"",'Engine A'!$R88)</f>
        <v>60083912.958770111</v>
      </c>
    </row>
    <row r="21" spans="1:13" x14ac:dyDescent="0.3">
      <c r="A21" s="29">
        <f>8</f>
        <v>8</v>
      </c>
      <c r="B21" s="30">
        <f t="shared" si="0"/>
        <v>49279</v>
      </c>
      <c r="C21" s="24">
        <f>IF($A21&gt;NYears,"",'Engine A'!$E100)</f>
        <v>117257.8995212133</v>
      </c>
      <c r="D21" s="24">
        <f>IF($A21&gt;NYears,"",'Engine A'!$F89)</f>
        <v>60083912.958770111</v>
      </c>
      <c r="E21" s="29">
        <f>IF($A21&gt;NYears,"",'Engine A'!$G89)</f>
        <v>512</v>
      </c>
      <c r="F21" s="29">
        <f>IF($A21&gt;NYears,"",'Engine A'!$S100)</f>
        <v>716</v>
      </c>
      <c r="G21" s="29">
        <f>IF($A21&gt;NYears,"",'Engine A'!$S100-'Engine A'!$G89)</f>
        <v>204</v>
      </c>
      <c r="H21" s="24">
        <f>IF($A21&gt;NYears,"",'Engine A'!$S100*'Engine A'!$E100)</f>
        <v>83956656.05718872</v>
      </c>
      <c r="I21" s="31">
        <f>IF($A21&gt;NYears,"",'Engine A'!$K100)</f>
        <v>43660978.886723779</v>
      </c>
      <c r="J21" s="24">
        <f>IF($A21&gt;NYears,"",'Engine A'!$P100)</f>
        <v>17027781.765822273</v>
      </c>
      <c r="K21" s="24">
        <f>IF($A21&gt;NYears,"",'Engine A'!$Q100)</f>
        <v>2663319.7120901509</v>
      </c>
      <c r="L21" s="31">
        <f>IF($A21&gt;NYears,"",'Engine A'!$K100-'Engine A'!$P100-'Engine A'!$Q100)</f>
        <v>23969877.408811357</v>
      </c>
      <c r="M21" s="31">
        <f>IF($A21&gt;NYears,"",'Engine A'!$R100)</f>
        <v>84053790.367581472</v>
      </c>
    </row>
    <row r="22" spans="1:13" x14ac:dyDescent="0.3">
      <c r="A22" s="29">
        <f>9</f>
        <v>9</v>
      </c>
      <c r="B22" s="30">
        <f t="shared" si="0"/>
        <v>49644</v>
      </c>
      <c r="C22" s="24">
        <f>IF($A22&gt;NYears,"",'Engine A'!$E112)</f>
        <v>123120.79449727395</v>
      </c>
      <c r="D22" s="24">
        <f>IF($A22&gt;NYears,"",'Engine A'!$F101)</f>
        <v>84053790.367581472</v>
      </c>
      <c r="E22" s="29">
        <f>IF($A22&gt;NYears,"",'Engine A'!$G101)</f>
        <v>682</v>
      </c>
      <c r="F22" s="29">
        <f>IF($A22&gt;NYears,"",'Engine A'!$S112)</f>
        <v>955</v>
      </c>
      <c r="G22" s="29">
        <f>IF($A22&gt;NYears,"",'Engine A'!$S112-'Engine A'!$G101)</f>
        <v>273</v>
      </c>
      <c r="H22" s="24">
        <f>IF($A22&gt;NYears,"",'Engine A'!$S112*'Engine A'!$E112)</f>
        <v>117580358.74489662</v>
      </c>
      <c r="I22" s="31">
        <f>IF($A22&gt;NYears,"",'Engine A'!$K112)</f>
        <v>61092538.229547337</v>
      </c>
      <c r="J22" s="24">
        <f>IF($A22&gt;NYears,"",'Engine A'!$P112)</f>
        <v>23826089.909523461</v>
      </c>
      <c r="K22" s="24">
        <f>IF($A22&gt;NYears,"",'Engine A'!$Q112)</f>
        <v>3726644.8320023883</v>
      </c>
      <c r="L22" s="31">
        <f>IF($A22&gt;NYears,"",'Engine A'!$K112-'Engine A'!$P112-'Engine A'!$Q112)</f>
        <v>33539803.488021493</v>
      </c>
      <c r="M22" s="31">
        <f>IF($A22&gt;NYears,"",'Engine A'!$R112)</f>
        <v>117593593.85560296</v>
      </c>
    </row>
    <row r="23" spans="1:13" x14ac:dyDescent="0.3">
      <c r="A23" s="29">
        <f>10</f>
        <v>10</v>
      </c>
      <c r="B23" s="30">
        <f t="shared" si="0"/>
        <v>50010</v>
      </c>
      <c r="C23" s="24">
        <f>IF($A23&gt;NYears,"",'Engine A'!$E124)</f>
        <v>129276.83422213765</v>
      </c>
      <c r="D23" s="24">
        <f>IF($A23&gt;NYears,"",'Engine A'!$F113)</f>
        <v>117593593.85560296</v>
      </c>
      <c r="E23" s="29">
        <f>IF($A23&gt;NYears,"",'Engine A'!$G113)</f>
        <v>909</v>
      </c>
      <c r="F23" s="29">
        <f>IF($A23&gt;NYears,"",'Engine A'!$S124)</f>
        <v>1272</v>
      </c>
      <c r="G23" s="29">
        <f>IF($A23&gt;NYears,"",'Engine A'!$S124-'Engine A'!$G113)</f>
        <v>363</v>
      </c>
      <c r="H23" s="24">
        <f>IF($A23&gt;NYears,"",'Engine A'!$S124*'Engine A'!$E124)</f>
        <v>164440133.13055909</v>
      </c>
      <c r="I23" s="31">
        <f>IF($A23&gt;NYears,"",'Engine A'!$K124)</f>
        <v>85484306.629388526</v>
      </c>
      <c r="J23" s="24">
        <f>IF($A23&gt;NYears,"",'Engine A'!$P124)</f>
        <v>33338879.585461527</v>
      </c>
      <c r="K23" s="24">
        <f>IF($A23&gt;NYears,"",'Engine A'!$Q124)</f>
        <v>5214542.7043927005</v>
      </c>
      <c r="L23" s="31">
        <f>IF($A23&gt;NYears,"",'Engine A'!$K124-'Engine A'!$P124-'Engine A'!$Q124)</f>
        <v>46930884.339534298</v>
      </c>
      <c r="M23" s="31">
        <f>IF($A23&gt;NYears,"",'Engine A'!$R124)</f>
        <v>164524478.19513726</v>
      </c>
    </row>
    <row r="24" spans="1:13" x14ac:dyDescent="0.3">
      <c r="A24" s="29">
        <f>11</f>
        <v>11</v>
      </c>
      <c r="B24" s="30">
        <f t="shared" si="0"/>
        <v>50375</v>
      </c>
      <c r="C24" s="24">
        <f>IF($A24&gt;NYears,"",'Engine A'!$E136)</f>
        <v>135740.67593324455</v>
      </c>
      <c r="D24" s="24">
        <f>IF($A24&gt;NYears,"",'Engine A'!$F125)</f>
        <v>164524478.19513726</v>
      </c>
      <c r="E24" s="29">
        <f>IF($A24&gt;NYears,"",'Engine A'!$G125)</f>
        <v>1212</v>
      </c>
      <c r="F24" s="29">
        <f>IF($A24&gt;NYears,"",'Engine A'!$S136)</f>
        <v>1695</v>
      </c>
      <c r="G24" s="29">
        <f>IF($A24&gt;NYears,"",'Engine A'!$S136-'Engine A'!$G125)</f>
        <v>483</v>
      </c>
      <c r="H24" s="24">
        <f>IF($A24&gt;NYears,"",'Engine A'!$S136*'Engine A'!$E136)</f>
        <v>230080445.70684952</v>
      </c>
      <c r="I24" s="31">
        <f>IF($A24&gt;NYears,"",'Engine A'!$K136)</f>
        <v>119635044.7337651</v>
      </c>
      <c r="J24" s="24">
        <f>IF($A24&gt;NYears,"",'Engine A'!$P136)</f>
        <v>46657667.446168393</v>
      </c>
      <c r="K24" s="24">
        <f>IF($A24&gt;NYears,"",'Engine A'!$Q136)</f>
        <v>7297737.7287596706</v>
      </c>
      <c r="L24" s="31">
        <f>IF($A24&gt;NYears,"",'Engine A'!$K136-'Engine A'!$P136-'Engine A'!$Q136)</f>
        <v>65679639.558837034</v>
      </c>
      <c r="M24" s="31">
        <f>IF($A24&gt;NYears,"",'Engine A'!$R136)</f>
        <v>230204117.75397426</v>
      </c>
    </row>
    <row r="25" spans="1:13" x14ac:dyDescent="0.3">
      <c r="A25" s="29">
        <f>12</f>
        <v>12</v>
      </c>
      <c r="B25" s="30">
        <f t="shared" si="0"/>
        <v>50740</v>
      </c>
      <c r="C25" s="24">
        <f>IF($A25&gt;NYears,"",'Engine A'!$E148)</f>
        <v>142527.70972990678</v>
      </c>
      <c r="D25" s="24">
        <f>IF($A25&gt;NYears,"",'Engine A'!$F137)</f>
        <v>230204117.75397426</v>
      </c>
      <c r="E25" s="29">
        <f>IF($A25&gt;NYears,"",'Engine A'!$G137)</f>
        <v>1615</v>
      </c>
      <c r="F25" s="29">
        <f>IF($A25&gt;NYears,"",'Engine A'!$S148)</f>
        <v>2261</v>
      </c>
      <c r="G25" s="29">
        <f>IF($A25&gt;NYears,"",'Engine A'!$S148-'Engine A'!$G137)</f>
        <v>646</v>
      </c>
      <c r="H25" s="24">
        <f>IF($A25&gt;NYears,"",'Engine A'!$S148*'Engine A'!$E148)</f>
        <v>322255151.69931924</v>
      </c>
      <c r="I25" s="31">
        <f>IF($A25&gt;NYears,"",'Engine A'!$K148)</f>
        <v>167398795.07777554</v>
      </c>
      <c r="J25" s="24">
        <f>IF($A25&gt;NYears,"",'Engine A'!$P148)</f>
        <v>65285530.080332458</v>
      </c>
      <c r="K25" s="24">
        <f>IF($A25&gt;NYears,"",'Engine A'!$Q148)</f>
        <v>10000000</v>
      </c>
      <c r="L25" s="31">
        <f>IF($A25&gt;NYears,"",'Engine A'!$K148-'Engine A'!$P148-'Engine A'!$Q148)</f>
        <v>92113264.99744308</v>
      </c>
      <c r="M25" s="31">
        <f>IF($A25&gt;NYears,"",'Engine A'!$R148)</f>
        <v>322317382.7514174</v>
      </c>
    </row>
    <row r="26" spans="1:13" x14ac:dyDescent="0.3">
      <c r="A26" s="29">
        <f>13</f>
        <v>13</v>
      </c>
      <c r="B26" s="30" t="str">
        <f t="shared" si="0"/>
        <v/>
      </c>
      <c r="C26" s="24" t="str">
        <f>IF($A26&gt;NYears,"",'Engine A'!$E160)</f>
        <v/>
      </c>
      <c r="D26" s="24" t="str">
        <f>IF($A26&gt;NYears,"",'Engine A'!$F149)</f>
        <v/>
      </c>
      <c r="E26" s="29" t="str">
        <f>IF($A26&gt;NYears,"",'Engine A'!$G149)</f>
        <v/>
      </c>
      <c r="F26" s="29" t="str">
        <f>IF($A26&gt;NYears,"",'Engine A'!$S160)</f>
        <v/>
      </c>
      <c r="G26" s="29" t="str">
        <f>IF($A26&gt;NYears,"",'Engine A'!$S160-'Engine A'!$G149)</f>
        <v/>
      </c>
      <c r="H26" s="24" t="str">
        <f>IF($A26&gt;NYears,"",'Engine A'!$S160*'Engine A'!$E160)</f>
        <v/>
      </c>
      <c r="I26" s="31" t="str">
        <f>IF($A26&gt;NYears,"",'Engine A'!$K160)</f>
        <v/>
      </c>
      <c r="J26" s="24" t="str">
        <f>IF($A26&gt;NYears,"",'Engine A'!$P160)</f>
        <v/>
      </c>
      <c r="K26" s="24" t="str">
        <f>IF($A26&gt;NYears,"",'Engine A'!$Q160)</f>
        <v/>
      </c>
      <c r="L26" s="31" t="str">
        <f>IF($A26&gt;NYears,"",'Engine A'!$K160-'Engine A'!$P160-'Engine A'!$Q160)</f>
        <v/>
      </c>
      <c r="M26" s="31" t="str">
        <f>IF($A26&gt;NYears,"",'Engine A'!$R160)</f>
        <v/>
      </c>
    </row>
    <row r="27" spans="1:13" x14ac:dyDescent="0.3">
      <c r="A27" s="29">
        <f>14</f>
        <v>14</v>
      </c>
      <c r="B27" s="30" t="str">
        <f t="shared" si="0"/>
        <v/>
      </c>
      <c r="C27" s="24" t="str">
        <f>IF($A27&gt;NYears,"",'Engine A'!$E172)</f>
        <v/>
      </c>
      <c r="D27" s="24" t="str">
        <f>IF($A27&gt;NYears,"",'Engine A'!$F161)</f>
        <v/>
      </c>
      <c r="E27" s="29" t="str">
        <f>IF($A27&gt;NYears,"",'Engine A'!$G161)</f>
        <v/>
      </c>
      <c r="F27" s="29" t="str">
        <f>IF($A27&gt;NYears,"",'Engine A'!$S172)</f>
        <v/>
      </c>
      <c r="G27" s="29" t="str">
        <f>IF($A27&gt;NYears,"",'Engine A'!$S172-'Engine A'!$G161)</f>
        <v/>
      </c>
      <c r="H27" s="24" t="str">
        <f>IF($A27&gt;NYears,"",'Engine A'!$S172*'Engine A'!$E172)</f>
        <v/>
      </c>
      <c r="I27" s="31" t="str">
        <f>IF($A27&gt;NYears,"",'Engine A'!$K172)</f>
        <v/>
      </c>
      <c r="J27" s="24" t="str">
        <f>IF($A27&gt;NYears,"",'Engine A'!$P172)</f>
        <v/>
      </c>
      <c r="K27" s="24" t="str">
        <f>IF($A27&gt;NYears,"",'Engine A'!$Q172)</f>
        <v/>
      </c>
      <c r="L27" s="31" t="str">
        <f>IF($A27&gt;NYears,"",'Engine A'!$K172-'Engine A'!$P172-'Engine A'!$Q172)</f>
        <v/>
      </c>
      <c r="M27" s="31" t="str">
        <f>IF($A27&gt;NYears,"",'Engine A'!$R172)</f>
        <v/>
      </c>
    </row>
    <row r="28" spans="1:13" x14ac:dyDescent="0.3">
      <c r="A28" s="29">
        <f>15</f>
        <v>15</v>
      </c>
      <c r="B28" s="30" t="str">
        <f t="shared" si="0"/>
        <v/>
      </c>
      <c r="C28" s="24" t="str">
        <f>IF($A28&gt;NYears,"",'Engine A'!$E184)</f>
        <v/>
      </c>
      <c r="D28" s="24" t="str">
        <f>IF($A28&gt;NYears,"",'Engine A'!$F173)</f>
        <v/>
      </c>
      <c r="E28" s="29" t="str">
        <f>IF($A28&gt;NYears,"",'Engine A'!$G173)</f>
        <v/>
      </c>
      <c r="F28" s="29" t="str">
        <f>IF($A28&gt;NYears,"",'Engine A'!$S184)</f>
        <v/>
      </c>
      <c r="G28" s="29" t="str">
        <f>IF($A28&gt;NYears,"",'Engine A'!$S184-'Engine A'!$G173)</f>
        <v/>
      </c>
      <c r="H28" s="24" t="str">
        <f>IF($A28&gt;NYears,"",'Engine A'!$S184*'Engine A'!$E184)</f>
        <v/>
      </c>
      <c r="I28" s="31" t="str">
        <f>IF($A28&gt;NYears,"",'Engine A'!$K184)</f>
        <v/>
      </c>
      <c r="J28" s="24" t="str">
        <f>IF($A28&gt;NYears,"",'Engine A'!$P184)</f>
        <v/>
      </c>
      <c r="K28" s="24" t="str">
        <f>IF($A28&gt;NYears,"",'Engine A'!$Q184)</f>
        <v/>
      </c>
      <c r="L28" s="31" t="str">
        <f>IF($A28&gt;NYears,"",'Engine A'!$K184-'Engine A'!$P184-'Engine A'!$Q184)</f>
        <v/>
      </c>
      <c r="M28" s="31" t="str">
        <f>IF($A28&gt;NYears,"",'Engine A'!$R184)</f>
        <v/>
      </c>
    </row>
    <row r="29" spans="1:13" x14ac:dyDescent="0.3">
      <c r="A29" s="29">
        <f>16</f>
        <v>16</v>
      </c>
      <c r="B29" s="30" t="str">
        <f t="shared" si="0"/>
        <v/>
      </c>
      <c r="C29" s="24" t="str">
        <f>IF($A29&gt;NYears,"",'Engine A'!$E196)</f>
        <v/>
      </c>
      <c r="D29" s="24" t="str">
        <f>IF($A29&gt;NYears,"",'Engine A'!$F185)</f>
        <v/>
      </c>
      <c r="E29" s="29" t="str">
        <f>IF($A29&gt;NYears,"",'Engine A'!$G185)</f>
        <v/>
      </c>
      <c r="F29" s="29" t="str">
        <f>IF($A29&gt;NYears,"",'Engine A'!$S196)</f>
        <v/>
      </c>
      <c r="G29" s="29" t="str">
        <f>IF($A29&gt;NYears,"",'Engine A'!$S196-'Engine A'!$G185)</f>
        <v/>
      </c>
      <c r="H29" s="24" t="str">
        <f>IF($A29&gt;NYears,"",'Engine A'!$S196*'Engine A'!$E196)</f>
        <v/>
      </c>
      <c r="I29" s="31" t="str">
        <f>IF($A29&gt;NYears,"",'Engine A'!$K196)</f>
        <v/>
      </c>
      <c r="J29" s="24" t="str">
        <f>IF($A29&gt;NYears,"",'Engine A'!$P196)</f>
        <v/>
      </c>
      <c r="K29" s="24" t="str">
        <f>IF($A29&gt;NYears,"",'Engine A'!$Q196)</f>
        <v/>
      </c>
      <c r="L29" s="31" t="str">
        <f>IF($A29&gt;NYears,"",'Engine A'!$K196-'Engine A'!$P196-'Engine A'!$Q196)</f>
        <v/>
      </c>
      <c r="M29" s="31" t="str">
        <f>IF($A29&gt;NYears,"",'Engine A'!$R196)</f>
        <v/>
      </c>
    </row>
    <row r="30" spans="1:13" x14ac:dyDescent="0.3">
      <c r="A30" s="29">
        <f>17</f>
        <v>17</v>
      </c>
      <c r="B30" s="30" t="str">
        <f t="shared" si="0"/>
        <v/>
      </c>
      <c r="C30" s="24" t="str">
        <f>IF($A30&gt;NYears,"",'Engine A'!$E208)</f>
        <v/>
      </c>
      <c r="D30" s="24" t="str">
        <f>IF($A30&gt;NYears,"",'Engine A'!$F197)</f>
        <v/>
      </c>
      <c r="E30" s="29" t="str">
        <f>IF($A30&gt;NYears,"",'Engine A'!$G197)</f>
        <v/>
      </c>
      <c r="F30" s="29" t="str">
        <f>IF($A30&gt;NYears,"",'Engine A'!$S208)</f>
        <v/>
      </c>
      <c r="G30" s="29" t="str">
        <f>IF($A30&gt;NYears,"",'Engine A'!$S208-'Engine A'!$G197)</f>
        <v/>
      </c>
      <c r="H30" s="24" t="str">
        <f>IF($A30&gt;NYears,"",'Engine A'!$S208*'Engine A'!$E208)</f>
        <v/>
      </c>
      <c r="I30" s="31" t="str">
        <f>IF($A30&gt;NYears,"",'Engine A'!$K208)</f>
        <v/>
      </c>
      <c r="J30" s="24" t="str">
        <f>IF($A30&gt;NYears,"",'Engine A'!$P208)</f>
        <v/>
      </c>
      <c r="K30" s="24" t="str">
        <f>IF($A30&gt;NYears,"",'Engine A'!$Q208)</f>
        <v/>
      </c>
      <c r="L30" s="31" t="str">
        <f>IF($A30&gt;NYears,"",'Engine A'!$K208-'Engine A'!$P208-'Engine A'!$Q208)</f>
        <v/>
      </c>
      <c r="M30" s="31" t="str">
        <f>IF($A30&gt;NYears,"",'Engine A'!$R208)</f>
        <v/>
      </c>
    </row>
    <row r="31" spans="1:13" x14ac:dyDescent="0.3">
      <c r="A31" s="29">
        <f>18</f>
        <v>18</v>
      </c>
      <c r="B31" s="30" t="str">
        <f t="shared" si="0"/>
        <v/>
      </c>
      <c r="C31" s="24" t="str">
        <f>IF($A31&gt;NYears,"",'Engine A'!$E220)</f>
        <v/>
      </c>
      <c r="D31" s="24" t="str">
        <f>IF($A31&gt;NYears,"",'Engine A'!$F209)</f>
        <v/>
      </c>
      <c r="E31" s="29" t="str">
        <f>IF($A31&gt;NYears,"",'Engine A'!$G209)</f>
        <v/>
      </c>
      <c r="F31" s="29" t="str">
        <f>IF($A31&gt;NYears,"",'Engine A'!$S220)</f>
        <v/>
      </c>
      <c r="G31" s="29" t="str">
        <f>IF($A31&gt;NYears,"",'Engine A'!$S220-'Engine A'!$G209)</f>
        <v/>
      </c>
      <c r="H31" s="24" t="str">
        <f>IF($A31&gt;NYears,"",'Engine A'!$S220*'Engine A'!$E220)</f>
        <v/>
      </c>
      <c r="I31" s="31" t="str">
        <f>IF($A31&gt;NYears,"",'Engine A'!$K220)</f>
        <v/>
      </c>
      <c r="J31" s="24" t="str">
        <f>IF($A31&gt;NYears,"",'Engine A'!$P220)</f>
        <v/>
      </c>
      <c r="K31" s="24" t="str">
        <f>IF($A31&gt;NYears,"",'Engine A'!$Q220)</f>
        <v/>
      </c>
      <c r="L31" s="31" t="str">
        <f>IF($A31&gt;NYears,"",'Engine A'!$K220-'Engine A'!$P220-'Engine A'!$Q220)</f>
        <v/>
      </c>
      <c r="M31" s="31" t="str">
        <f>IF($A31&gt;NYears,"",'Engine A'!$R220)</f>
        <v/>
      </c>
    </row>
    <row r="32" spans="1:13" x14ac:dyDescent="0.3">
      <c r="A32" s="29">
        <f>19</f>
        <v>19</v>
      </c>
      <c r="B32" s="30" t="str">
        <f t="shared" si="0"/>
        <v/>
      </c>
      <c r="C32" s="24" t="str">
        <f>IF($A32&gt;NYears,"",'Engine A'!$E232)</f>
        <v/>
      </c>
      <c r="D32" s="24" t="str">
        <f>IF($A32&gt;NYears,"",'Engine A'!$F221)</f>
        <v/>
      </c>
      <c r="E32" s="29" t="str">
        <f>IF($A32&gt;NYears,"",'Engine A'!$G221)</f>
        <v/>
      </c>
      <c r="F32" s="29" t="str">
        <f>IF($A32&gt;NYears,"",'Engine A'!$S232)</f>
        <v/>
      </c>
      <c r="G32" s="29" t="str">
        <f>IF($A32&gt;NYears,"",'Engine A'!$S232-'Engine A'!$G221)</f>
        <v/>
      </c>
      <c r="H32" s="24" t="str">
        <f>IF($A32&gt;NYears,"",'Engine A'!$S232*'Engine A'!$E232)</f>
        <v/>
      </c>
      <c r="I32" s="31" t="str">
        <f>IF($A32&gt;NYears,"",'Engine A'!$K232)</f>
        <v/>
      </c>
      <c r="J32" s="24" t="str">
        <f>IF($A32&gt;NYears,"",'Engine A'!$P232)</f>
        <v/>
      </c>
      <c r="K32" s="24" t="str">
        <f>IF($A32&gt;NYears,"",'Engine A'!$Q232)</f>
        <v/>
      </c>
      <c r="L32" s="31" t="str">
        <f>IF($A32&gt;NYears,"",'Engine A'!$K232-'Engine A'!$P232-'Engine A'!$Q232)</f>
        <v/>
      </c>
      <c r="M32" s="31" t="str">
        <f>IF($A32&gt;NYears,"",'Engine A'!$R232)</f>
        <v/>
      </c>
    </row>
    <row r="33" spans="1:13" x14ac:dyDescent="0.3">
      <c r="A33" s="29">
        <f>20</f>
        <v>20</v>
      </c>
      <c r="B33" s="30" t="str">
        <f t="shared" si="0"/>
        <v/>
      </c>
      <c r="C33" s="24" t="str">
        <f>IF($A33&gt;NYears,"",'Engine A'!$E244)</f>
        <v/>
      </c>
      <c r="D33" s="24" t="str">
        <f>IF($A33&gt;NYears,"",'Engine A'!$F233)</f>
        <v/>
      </c>
      <c r="E33" s="29" t="str">
        <f>IF($A33&gt;NYears,"",'Engine A'!$G233)</f>
        <v/>
      </c>
      <c r="F33" s="29" t="str">
        <f>IF($A33&gt;NYears,"",'Engine A'!$S244)</f>
        <v/>
      </c>
      <c r="G33" s="29" t="str">
        <f>IF($A33&gt;NYears,"",'Engine A'!$S244-'Engine A'!$G233)</f>
        <v/>
      </c>
      <c r="H33" s="24" t="str">
        <f>IF($A33&gt;NYears,"",'Engine A'!$S244*'Engine A'!$E244)</f>
        <v/>
      </c>
      <c r="I33" s="31" t="str">
        <f>IF($A33&gt;NYears,"",'Engine A'!$K244)</f>
        <v/>
      </c>
      <c r="J33" s="24" t="str">
        <f>IF($A33&gt;NYears,"",'Engine A'!$P244)</f>
        <v/>
      </c>
      <c r="K33" s="24" t="str">
        <f>IF($A33&gt;NYears,"",'Engine A'!$Q244)</f>
        <v/>
      </c>
      <c r="L33" s="31" t="str">
        <f>IF($A33&gt;NYears,"",'Engine A'!$K244-'Engine A'!$P244-'Engine A'!$Q244)</f>
        <v/>
      </c>
      <c r="M33" s="31" t="str">
        <f>IF($A33&gt;NYears,"",'Engine A'!$R244)</f>
        <v/>
      </c>
    </row>
    <row r="34" spans="1:13" x14ac:dyDescent="0.3">
      <c r="A34" s="29">
        <f>21</f>
        <v>21</v>
      </c>
      <c r="B34" s="30" t="str">
        <f t="shared" si="0"/>
        <v/>
      </c>
      <c r="C34" s="24" t="str">
        <f>IF($A34&gt;NYears,"",'Engine A'!$E256)</f>
        <v/>
      </c>
      <c r="D34" s="24" t="str">
        <f>IF($A34&gt;NYears,"",'Engine A'!$F245)</f>
        <v/>
      </c>
      <c r="E34" s="29" t="str">
        <f>IF($A34&gt;NYears,"",'Engine A'!$G245)</f>
        <v/>
      </c>
      <c r="F34" s="29" t="str">
        <f>IF($A34&gt;NYears,"",'Engine A'!$S256)</f>
        <v/>
      </c>
      <c r="G34" s="29" t="str">
        <f>IF($A34&gt;NYears,"",'Engine A'!$S256-'Engine A'!$G245)</f>
        <v/>
      </c>
      <c r="H34" s="24" t="str">
        <f>IF($A34&gt;NYears,"",'Engine A'!$S256*'Engine A'!$E256)</f>
        <v/>
      </c>
      <c r="I34" s="31" t="str">
        <f>IF($A34&gt;NYears,"",'Engine A'!$K256)</f>
        <v/>
      </c>
      <c r="J34" s="24" t="str">
        <f>IF($A34&gt;NYears,"",'Engine A'!$P256)</f>
        <v/>
      </c>
      <c r="K34" s="24" t="str">
        <f>IF($A34&gt;NYears,"",'Engine A'!$Q256)</f>
        <v/>
      </c>
      <c r="L34" s="31" t="str">
        <f>IF($A34&gt;NYears,"",'Engine A'!$K256-'Engine A'!$P256-'Engine A'!$Q256)</f>
        <v/>
      </c>
      <c r="M34" s="31" t="str">
        <f>IF($A34&gt;NYears,"",'Engine A'!$R256)</f>
        <v/>
      </c>
    </row>
    <row r="35" spans="1:13" x14ac:dyDescent="0.3">
      <c r="A35" s="29">
        <f>22</f>
        <v>22</v>
      </c>
      <c r="B35" s="30" t="str">
        <f t="shared" si="0"/>
        <v/>
      </c>
      <c r="C35" s="24" t="str">
        <f>IF($A35&gt;NYears,"",'Engine A'!$E268)</f>
        <v/>
      </c>
      <c r="D35" s="24" t="str">
        <f>IF($A35&gt;NYears,"",'Engine A'!$F257)</f>
        <v/>
      </c>
      <c r="E35" s="29" t="str">
        <f>IF($A35&gt;NYears,"",'Engine A'!$G257)</f>
        <v/>
      </c>
      <c r="F35" s="29" t="str">
        <f>IF($A35&gt;NYears,"",'Engine A'!$S268)</f>
        <v/>
      </c>
      <c r="G35" s="29" t="str">
        <f>IF($A35&gt;NYears,"",'Engine A'!$S268-'Engine A'!$G257)</f>
        <v/>
      </c>
      <c r="H35" s="24" t="str">
        <f>IF($A35&gt;NYears,"",'Engine A'!$S268*'Engine A'!$E268)</f>
        <v/>
      </c>
      <c r="I35" s="31" t="str">
        <f>IF($A35&gt;NYears,"",'Engine A'!$K268)</f>
        <v/>
      </c>
      <c r="J35" s="24" t="str">
        <f>IF($A35&gt;NYears,"",'Engine A'!$P268)</f>
        <v/>
      </c>
      <c r="K35" s="24" t="str">
        <f>IF($A35&gt;NYears,"",'Engine A'!$Q268)</f>
        <v/>
      </c>
      <c r="L35" s="31" t="str">
        <f>IF($A35&gt;NYears,"",'Engine A'!$K268-'Engine A'!$P268-'Engine A'!$Q268)</f>
        <v/>
      </c>
      <c r="M35" s="31" t="str">
        <f>IF($A35&gt;NYears,"",'Engine A'!$R268)</f>
        <v/>
      </c>
    </row>
    <row r="36" spans="1:13" x14ac:dyDescent="0.3">
      <c r="A36" s="29">
        <f>23</f>
        <v>23</v>
      </c>
      <c r="B36" s="30" t="str">
        <f t="shared" si="0"/>
        <v/>
      </c>
      <c r="C36" s="24" t="str">
        <f>IF($A36&gt;NYears,"",'Engine A'!$E280)</f>
        <v/>
      </c>
      <c r="D36" s="24" t="str">
        <f>IF($A36&gt;NYears,"",'Engine A'!$F269)</f>
        <v/>
      </c>
      <c r="E36" s="29" t="str">
        <f>IF($A36&gt;NYears,"",'Engine A'!$G269)</f>
        <v/>
      </c>
      <c r="F36" s="29" t="str">
        <f>IF($A36&gt;NYears,"",'Engine A'!$S280)</f>
        <v/>
      </c>
      <c r="G36" s="29" t="str">
        <f>IF($A36&gt;NYears,"",'Engine A'!$S280-'Engine A'!$G269)</f>
        <v/>
      </c>
      <c r="H36" s="24" t="str">
        <f>IF($A36&gt;NYears,"",'Engine A'!$S280*'Engine A'!$E280)</f>
        <v/>
      </c>
      <c r="I36" s="31" t="str">
        <f>IF($A36&gt;NYears,"",'Engine A'!$K280)</f>
        <v/>
      </c>
      <c r="J36" s="24" t="str">
        <f>IF($A36&gt;NYears,"",'Engine A'!$P280)</f>
        <v/>
      </c>
      <c r="K36" s="24" t="str">
        <f>IF($A36&gt;NYears,"",'Engine A'!$Q280)</f>
        <v/>
      </c>
      <c r="L36" s="31" t="str">
        <f>IF($A36&gt;NYears,"",'Engine A'!$K280-'Engine A'!$P280-'Engine A'!$Q280)</f>
        <v/>
      </c>
      <c r="M36" s="31" t="str">
        <f>IF($A36&gt;NYears,"",'Engine A'!$R280)</f>
        <v/>
      </c>
    </row>
    <row r="37" spans="1:13" x14ac:dyDescent="0.3">
      <c r="A37" s="29">
        <f>24</f>
        <v>24</v>
      </c>
      <c r="B37" s="30" t="str">
        <f t="shared" si="0"/>
        <v/>
      </c>
      <c r="C37" s="24" t="str">
        <f>IF($A37&gt;NYears,"",'Engine A'!$E292)</f>
        <v/>
      </c>
      <c r="D37" s="24" t="str">
        <f>IF($A37&gt;NYears,"",'Engine A'!$F281)</f>
        <v/>
      </c>
      <c r="E37" s="29" t="str">
        <f>IF($A37&gt;NYears,"",'Engine A'!$G281)</f>
        <v/>
      </c>
      <c r="F37" s="29" t="str">
        <f>IF($A37&gt;NYears,"",'Engine A'!$S292)</f>
        <v/>
      </c>
      <c r="G37" s="29" t="str">
        <f>IF($A37&gt;NYears,"",'Engine A'!$S292-'Engine A'!$G281)</f>
        <v/>
      </c>
      <c r="H37" s="24" t="str">
        <f>IF($A37&gt;NYears,"",'Engine A'!$S292*'Engine A'!$E292)</f>
        <v/>
      </c>
      <c r="I37" s="31" t="str">
        <f>IF($A37&gt;NYears,"",'Engine A'!$K292)</f>
        <v/>
      </c>
      <c r="J37" s="24" t="str">
        <f>IF($A37&gt;NYears,"",'Engine A'!$P292)</f>
        <v/>
      </c>
      <c r="K37" s="24" t="str">
        <f>IF($A37&gt;NYears,"",'Engine A'!$Q292)</f>
        <v/>
      </c>
      <c r="L37" s="31" t="str">
        <f>IF($A37&gt;NYears,"",'Engine A'!$K292-'Engine A'!$P292-'Engine A'!$Q292)</f>
        <v/>
      </c>
      <c r="M37" s="31" t="str">
        <f>IF($A37&gt;NYears,"",'Engine A'!$R292)</f>
        <v/>
      </c>
    </row>
    <row r="38" spans="1:13" x14ac:dyDescent="0.3">
      <c r="A38" s="29">
        <f>25</f>
        <v>25</v>
      </c>
      <c r="B38" s="30" t="str">
        <f t="shared" si="0"/>
        <v/>
      </c>
      <c r="C38" s="24" t="str">
        <f>IF($A38&gt;NYears,"",'Engine A'!$E304)</f>
        <v/>
      </c>
      <c r="D38" s="24" t="str">
        <f>IF($A38&gt;NYears,"",'Engine A'!$F293)</f>
        <v/>
      </c>
      <c r="E38" s="29" t="str">
        <f>IF($A38&gt;NYears,"",'Engine A'!$G293)</f>
        <v/>
      </c>
      <c r="F38" s="29" t="str">
        <f>IF($A38&gt;NYears,"",'Engine A'!$S304)</f>
        <v/>
      </c>
      <c r="G38" s="29" t="str">
        <f>IF($A38&gt;NYears,"",'Engine A'!$S304-'Engine A'!$G293)</f>
        <v/>
      </c>
      <c r="H38" s="24" t="str">
        <f>IF($A38&gt;NYears,"",'Engine A'!$S304*'Engine A'!$E304)</f>
        <v/>
      </c>
      <c r="I38" s="31" t="str">
        <f>IF($A38&gt;NYears,"",'Engine A'!$K304)</f>
        <v/>
      </c>
      <c r="J38" s="24" t="str">
        <f>IF($A38&gt;NYears,"",'Engine A'!$P304)</f>
        <v/>
      </c>
      <c r="K38" s="24" t="str">
        <f>IF($A38&gt;NYears,"",'Engine A'!$Q304)</f>
        <v/>
      </c>
      <c r="L38" s="31" t="str">
        <f>IF($A38&gt;NYears,"",'Engine A'!$K304-'Engine A'!$P304-'Engine A'!$Q304)</f>
        <v/>
      </c>
      <c r="M38" s="31" t="str">
        <f>IF($A38&gt;NYears,"",'Engine A'!$R304)</f>
        <v/>
      </c>
    </row>
    <row r="39" spans="1:13" x14ac:dyDescent="0.3">
      <c r="A39" s="29">
        <f>26</f>
        <v>26</v>
      </c>
      <c r="B39" s="30" t="str">
        <f t="shared" si="0"/>
        <v/>
      </c>
      <c r="C39" s="24" t="str">
        <f>IF($A39&gt;NYears,"",'Engine A'!$E316)</f>
        <v/>
      </c>
      <c r="D39" s="24" t="str">
        <f>IF($A39&gt;NYears,"",'Engine A'!$F305)</f>
        <v/>
      </c>
      <c r="E39" s="29" t="str">
        <f>IF($A39&gt;NYears,"",'Engine A'!$G305)</f>
        <v/>
      </c>
      <c r="F39" s="29" t="str">
        <f>IF($A39&gt;NYears,"",'Engine A'!$S316)</f>
        <v/>
      </c>
      <c r="G39" s="29" t="str">
        <f>IF($A39&gt;NYears,"",'Engine A'!$S316-'Engine A'!$G305)</f>
        <v/>
      </c>
      <c r="H39" s="24" t="str">
        <f>IF($A39&gt;NYears,"",'Engine A'!$S316*'Engine A'!$E316)</f>
        <v/>
      </c>
      <c r="I39" s="31" t="str">
        <f>IF($A39&gt;NYears,"",'Engine A'!$K316)</f>
        <v/>
      </c>
      <c r="J39" s="24" t="str">
        <f>IF($A39&gt;NYears,"",'Engine A'!$P316)</f>
        <v/>
      </c>
      <c r="K39" s="24" t="str">
        <f>IF($A39&gt;NYears,"",'Engine A'!$Q316)</f>
        <v/>
      </c>
      <c r="L39" s="31" t="str">
        <f>IF($A39&gt;NYears,"",'Engine A'!$K316-'Engine A'!$P316-'Engine A'!$Q316)</f>
        <v/>
      </c>
      <c r="M39" s="31" t="str">
        <f>IF($A39&gt;NYears,"",'Engine A'!$R316)</f>
        <v/>
      </c>
    </row>
    <row r="40" spans="1:13" x14ac:dyDescent="0.3">
      <c r="A40" s="29">
        <f>27</f>
        <v>27</v>
      </c>
      <c r="B40" s="30" t="str">
        <f t="shared" si="0"/>
        <v/>
      </c>
      <c r="C40" s="24" t="str">
        <f>IF($A40&gt;NYears,"",'Engine A'!$E328)</f>
        <v/>
      </c>
      <c r="D40" s="24" t="str">
        <f>IF($A40&gt;NYears,"",'Engine A'!$F317)</f>
        <v/>
      </c>
      <c r="E40" s="29" t="str">
        <f>IF($A40&gt;NYears,"",'Engine A'!$G317)</f>
        <v/>
      </c>
      <c r="F40" s="29" t="str">
        <f>IF($A40&gt;NYears,"",'Engine A'!$S328)</f>
        <v/>
      </c>
      <c r="G40" s="29" t="str">
        <f>IF($A40&gt;NYears,"",'Engine A'!$S328-'Engine A'!$G317)</f>
        <v/>
      </c>
      <c r="H40" s="24" t="str">
        <f>IF($A40&gt;NYears,"",'Engine A'!$S328*'Engine A'!$E328)</f>
        <v/>
      </c>
      <c r="I40" s="31" t="str">
        <f>IF($A40&gt;NYears,"",'Engine A'!$K328)</f>
        <v/>
      </c>
      <c r="J40" s="24" t="str">
        <f>IF($A40&gt;NYears,"",'Engine A'!$P328)</f>
        <v/>
      </c>
      <c r="K40" s="24" t="str">
        <f>IF($A40&gt;NYears,"",'Engine A'!$Q328)</f>
        <v/>
      </c>
      <c r="L40" s="31" t="str">
        <f>IF($A40&gt;NYears,"",'Engine A'!$K328-'Engine A'!$P328-'Engine A'!$Q328)</f>
        <v/>
      </c>
      <c r="M40" s="31" t="str">
        <f>IF($A40&gt;NYears,"",'Engine A'!$R328)</f>
        <v/>
      </c>
    </row>
    <row r="41" spans="1:13" x14ac:dyDescent="0.3">
      <c r="A41" s="29">
        <f>28</f>
        <v>28</v>
      </c>
      <c r="B41" s="30" t="str">
        <f t="shared" si="0"/>
        <v/>
      </c>
      <c r="C41" s="24" t="str">
        <f>IF($A41&gt;NYears,"",'Engine A'!$E340)</f>
        <v/>
      </c>
      <c r="D41" s="24" t="str">
        <f>IF($A41&gt;NYears,"",'Engine A'!$F329)</f>
        <v/>
      </c>
      <c r="E41" s="29" t="str">
        <f>IF($A41&gt;NYears,"",'Engine A'!$G329)</f>
        <v/>
      </c>
      <c r="F41" s="29" t="str">
        <f>IF($A41&gt;NYears,"",'Engine A'!$S340)</f>
        <v/>
      </c>
      <c r="G41" s="29" t="str">
        <f>IF($A41&gt;NYears,"",'Engine A'!$S340-'Engine A'!$G329)</f>
        <v/>
      </c>
      <c r="H41" s="24" t="str">
        <f>IF($A41&gt;NYears,"",'Engine A'!$S340*'Engine A'!$E340)</f>
        <v/>
      </c>
      <c r="I41" s="31" t="str">
        <f>IF($A41&gt;NYears,"",'Engine A'!$K340)</f>
        <v/>
      </c>
      <c r="J41" s="24" t="str">
        <f>IF($A41&gt;NYears,"",'Engine A'!$P340)</f>
        <v/>
      </c>
      <c r="K41" s="24" t="str">
        <f>IF($A41&gt;NYears,"",'Engine A'!$Q340)</f>
        <v/>
      </c>
      <c r="L41" s="31" t="str">
        <f>IF($A41&gt;NYears,"",'Engine A'!$K340-'Engine A'!$P340-'Engine A'!$Q340)</f>
        <v/>
      </c>
      <c r="M41" s="31" t="str">
        <f>IF($A41&gt;NYears,"",'Engine A'!$R340)</f>
        <v/>
      </c>
    </row>
    <row r="42" spans="1:13" x14ac:dyDescent="0.3">
      <c r="A42" s="29">
        <f>29</f>
        <v>29</v>
      </c>
      <c r="B42" s="30" t="str">
        <f t="shared" si="0"/>
        <v/>
      </c>
      <c r="C42" s="24" t="str">
        <f>IF($A42&gt;NYears,"",'Engine A'!$E352)</f>
        <v/>
      </c>
      <c r="D42" s="24" t="str">
        <f>IF($A42&gt;NYears,"",'Engine A'!$F341)</f>
        <v/>
      </c>
      <c r="E42" s="29" t="str">
        <f>IF($A42&gt;NYears,"",'Engine A'!$G341)</f>
        <v/>
      </c>
      <c r="F42" s="29" t="str">
        <f>IF($A42&gt;NYears,"",'Engine A'!$S352)</f>
        <v/>
      </c>
      <c r="G42" s="29" t="str">
        <f>IF($A42&gt;NYears,"",'Engine A'!$S352-'Engine A'!$G341)</f>
        <v/>
      </c>
      <c r="H42" s="24" t="str">
        <f>IF($A42&gt;NYears,"",'Engine A'!$S352*'Engine A'!$E352)</f>
        <v/>
      </c>
      <c r="I42" s="31" t="str">
        <f>IF($A42&gt;NYears,"",'Engine A'!$K352)</f>
        <v/>
      </c>
      <c r="J42" s="24" t="str">
        <f>IF($A42&gt;NYears,"",'Engine A'!$P352)</f>
        <v/>
      </c>
      <c r="K42" s="24" t="str">
        <f>IF($A42&gt;NYears,"",'Engine A'!$Q352)</f>
        <v/>
      </c>
      <c r="L42" s="31" t="str">
        <f>IF($A42&gt;NYears,"",'Engine A'!$K352-'Engine A'!$P352-'Engine A'!$Q352)</f>
        <v/>
      </c>
      <c r="M42" s="31" t="str">
        <f>IF($A42&gt;NYears,"",'Engine A'!$R352)</f>
        <v/>
      </c>
    </row>
    <row r="43" spans="1:13" x14ac:dyDescent="0.3">
      <c r="A43" s="29">
        <f>30</f>
        <v>30</v>
      </c>
      <c r="B43" s="30" t="str">
        <f t="shared" si="0"/>
        <v/>
      </c>
      <c r="C43" s="24" t="str">
        <f>IF($A43&gt;NYears,"",'Engine A'!$E364)</f>
        <v/>
      </c>
      <c r="D43" s="24" t="str">
        <f>IF($A43&gt;NYears,"",'Engine A'!$F353)</f>
        <v/>
      </c>
      <c r="E43" s="29" t="str">
        <f>IF($A43&gt;NYears,"",'Engine A'!$G353)</f>
        <v/>
      </c>
      <c r="F43" s="29" t="str">
        <f>IF($A43&gt;NYears,"",'Engine A'!$S364)</f>
        <v/>
      </c>
      <c r="G43" s="29" t="str">
        <f>IF($A43&gt;NYears,"",'Engine A'!$S364-'Engine A'!$G353)</f>
        <v/>
      </c>
      <c r="H43" s="24" t="str">
        <f>IF($A43&gt;NYears,"",'Engine A'!$S364*'Engine A'!$E364)</f>
        <v/>
      </c>
      <c r="I43" s="31" t="str">
        <f>IF($A43&gt;NYears,"",'Engine A'!$K364)</f>
        <v/>
      </c>
      <c r="J43" s="24" t="str">
        <f>IF($A43&gt;NYears,"",'Engine A'!$P364)</f>
        <v/>
      </c>
      <c r="K43" s="24" t="str">
        <f>IF($A43&gt;NYears,"",'Engine A'!$Q364)</f>
        <v/>
      </c>
      <c r="L43" s="31" t="str">
        <f>IF($A43&gt;NYears,"",'Engine A'!$K364-'Engine A'!$P364-'Engine A'!$Q364)</f>
        <v/>
      </c>
      <c r="M43" s="31" t="str">
        <f>IF($A43&gt;NYears,"",'Engine A'!$R364)</f>
        <v/>
      </c>
    </row>
    <row r="45" spans="1:13" ht="15.6" x14ac:dyDescent="0.3">
      <c r="A45" s="26" t="s">
        <v>74</v>
      </c>
      <c r="B45" s="27">
        <f>RateB</f>
        <v>0.08</v>
      </c>
      <c r="C45" s="28" t="s">
        <v>60</v>
      </c>
      <c r="D45" s="4"/>
      <c r="E45" s="4"/>
      <c r="F45" s="4"/>
      <c r="G45" s="4"/>
      <c r="H45" s="4"/>
      <c r="I45" s="4"/>
      <c r="J45" s="4"/>
      <c r="K45" s="4"/>
      <c r="L45" s="4"/>
      <c r="M45" s="4"/>
    </row>
    <row r="46" spans="1:13" ht="43.2" x14ac:dyDescent="0.3">
      <c r="A46" s="18" t="s">
        <v>61</v>
      </c>
      <c r="B46" s="18" t="s">
        <v>62</v>
      </c>
      <c r="C46" s="18" t="s">
        <v>63</v>
      </c>
      <c r="D46" s="18" t="s">
        <v>64</v>
      </c>
      <c r="E46" s="18" t="s">
        <v>65</v>
      </c>
      <c r="F46" s="18" t="s">
        <v>66</v>
      </c>
      <c r="G46" s="18" t="s">
        <v>67</v>
      </c>
      <c r="H46" s="18" t="s">
        <v>68</v>
      </c>
      <c r="I46" s="18" t="s">
        <v>69</v>
      </c>
      <c r="J46" s="18" t="s">
        <v>70</v>
      </c>
      <c r="K46" s="18" t="s">
        <v>71</v>
      </c>
      <c r="L46" s="18" t="s">
        <v>72</v>
      </c>
      <c r="M46" s="18" t="s">
        <v>73</v>
      </c>
    </row>
    <row r="47" spans="1:13" x14ac:dyDescent="0.3">
      <c r="A47" s="29">
        <f>1</f>
        <v>1</v>
      </c>
      <c r="B47" s="30">
        <f t="shared" ref="B47:B76" si="1">IF($A47&gt;NYears,"",EDATE(StartMonth,$A47*12-1))</f>
        <v>46722</v>
      </c>
      <c r="C47" s="24">
        <f>IF($A47&gt;NYears,"",'Engine B'!$E16)</f>
        <v>83333</v>
      </c>
      <c r="D47" s="24">
        <f>IF($A47&gt;NYears,"",'Engine B'!$F5)</f>
        <v>5000000</v>
      </c>
      <c r="E47" s="29">
        <f>IF($A47&gt;NYears,"",'Engine B'!$G5)</f>
        <v>60</v>
      </c>
      <c r="F47" s="29">
        <f>IF($A47&gt;NYears,"",'Engine B'!$S16)</f>
        <v>106</v>
      </c>
      <c r="G47" s="29">
        <f>IF($A47&gt;NYears,"",'Engine B'!$S16-'Engine B'!$G5)</f>
        <v>46</v>
      </c>
      <c r="H47" s="24">
        <f>IF($A47&gt;NYears,"",'Engine B'!$S16*'Engine B'!$E16)</f>
        <v>8833298</v>
      </c>
      <c r="I47" s="31">
        <f>IF($A47&gt;NYears,"",'Engine B'!$K16)</f>
        <v>6619973.5199999996</v>
      </c>
      <c r="J47" s="24">
        <f>IF($A47&gt;NYears,"",'Engine B'!$P16)</f>
        <v>2271974.912064</v>
      </c>
      <c r="K47" s="24">
        <f>IF($A47&gt;NYears,"",'Engine B'!$Q16)</f>
        <v>434799.86079359998</v>
      </c>
      <c r="L47" s="31">
        <f>IF($A47&gt;NYears,"",'Engine B'!$K16-'Engine B'!$P16-'Engine B'!$Q16)</f>
        <v>3913198.7471423997</v>
      </c>
      <c r="M47" s="31">
        <f>IF($A47&gt;NYears,"",'Engine B'!$R16)</f>
        <v>8913198.7471424006</v>
      </c>
    </row>
    <row r="48" spans="1:13" x14ac:dyDescent="0.3">
      <c r="A48" s="29">
        <f>2</f>
        <v>2</v>
      </c>
      <c r="B48" s="30">
        <f t="shared" si="1"/>
        <v>47088</v>
      </c>
      <c r="C48" s="24">
        <f>IF($A48&gt;NYears,"",'Engine B'!$E28)</f>
        <v>87499.650000000009</v>
      </c>
      <c r="D48" s="24">
        <f>IF($A48&gt;NYears,"",'Engine B'!$F17)</f>
        <v>8913198.7471424006</v>
      </c>
      <c r="E48" s="29">
        <f>IF($A48&gt;NYears,"",'Engine B'!$G17)</f>
        <v>101</v>
      </c>
      <c r="F48" s="29">
        <f>IF($A48&gt;NYears,"",'Engine B'!$S28)</f>
        <v>180</v>
      </c>
      <c r="G48" s="29">
        <f>IF($A48&gt;NYears,"",'Engine B'!$S28-'Engine B'!$G17)</f>
        <v>79</v>
      </c>
      <c r="H48" s="24">
        <f>IF($A48&gt;NYears,"",'Engine B'!$S28*'Engine B'!$E28)</f>
        <v>15749937.000000002</v>
      </c>
      <c r="I48" s="31">
        <f>IF($A48&gt;NYears,"",'Engine B'!$K28)</f>
        <v>11829952.68</v>
      </c>
      <c r="J48" s="24">
        <f>IF($A48&gt;NYears,"",'Engine B'!$P28)</f>
        <v>4166727.7330224002</v>
      </c>
      <c r="K48" s="24">
        <f>IF($A48&gt;NYears,"",'Engine B'!$Q28)</f>
        <v>766322.49469775998</v>
      </c>
      <c r="L48" s="31">
        <f>IF($A48&gt;NYears,"",'Engine B'!$K28-'Engine B'!$P28-'Engine B'!$Q28)</f>
        <v>6896902.4522798397</v>
      </c>
      <c r="M48" s="31">
        <f>IF($A48&gt;NYears,"",'Engine B'!$R28)</f>
        <v>15810101.19942224</v>
      </c>
    </row>
    <row r="49" spans="1:13" x14ac:dyDescent="0.3">
      <c r="A49" s="29">
        <f>3</f>
        <v>3</v>
      </c>
      <c r="B49" s="30">
        <f t="shared" si="1"/>
        <v>47453</v>
      </c>
      <c r="C49" s="24">
        <f>IF($A49&gt;NYears,"",'Engine B'!$E40)</f>
        <v>91874.632500000007</v>
      </c>
      <c r="D49" s="24">
        <f>IF($A49&gt;NYears,"",'Engine B'!$F29)</f>
        <v>15810101.19942224</v>
      </c>
      <c r="E49" s="29">
        <f>IF($A49&gt;NYears,"",'Engine B'!$G29)</f>
        <v>172</v>
      </c>
      <c r="F49" s="29">
        <f>IF($A49&gt;NYears,"",'Engine B'!$S40)</f>
        <v>301</v>
      </c>
      <c r="G49" s="29">
        <f>IF($A49&gt;NYears,"",'Engine B'!$S40-'Engine B'!$G29)</f>
        <v>129</v>
      </c>
      <c r="H49" s="24">
        <f>IF($A49&gt;NYears,"",'Engine B'!$S40*'Engine B'!$E40)</f>
        <v>27654264.3825</v>
      </c>
      <c r="I49" s="31">
        <f>IF($A49&gt;NYears,"",'Engine B'!$K40)</f>
        <v>20925366.298200004</v>
      </c>
      <c r="J49" s="24">
        <f>IF($A49&gt;NYears,"",'Engine B'!$P40)</f>
        <v>7710739.496918641</v>
      </c>
      <c r="K49" s="24">
        <f>IF($A49&gt;NYears,"",'Engine B'!$Q40)</f>
        <v>1321462.6801281364</v>
      </c>
      <c r="L49" s="31">
        <f>IF($A49&gt;NYears,"",'Engine B'!$K40-'Engine B'!$P40-'Engine B'!$Q40)</f>
        <v>11893164.121153226</v>
      </c>
      <c r="M49" s="31">
        <f>IF($A49&gt;NYears,"",'Engine B'!$R40)</f>
        <v>27703265.320575476</v>
      </c>
    </row>
    <row r="50" spans="1:13" x14ac:dyDescent="0.3">
      <c r="A50" s="29">
        <f>4</f>
        <v>4</v>
      </c>
      <c r="B50" s="30">
        <f t="shared" si="1"/>
        <v>47818</v>
      </c>
      <c r="C50" s="24">
        <f>IF($A50&gt;NYears,"",'Engine B'!$E52)</f>
        <v>96468.364125000007</v>
      </c>
      <c r="D50" s="24">
        <f>IF($A50&gt;NYears,"",'Engine B'!$F41)</f>
        <v>27703265.320575476</v>
      </c>
      <c r="E50" s="29">
        <f>IF($A50&gt;NYears,"",'Engine B'!$G41)</f>
        <v>287</v>
      </c>
      <c r="F50" s="29">
        <f>IF($A50&gt;NYears,"",'Engine B'!$S52)</f>
        <v>493</v>
      </c>
      <c r="G50" s="29">
        <f>IF($A50&gt;NYears,"",'Engine B'!$S52-'Engine B'!$G41)</f>
        <v>206</v>
      </c>
      <c r="H50" s="24">
        <f>IF($A50&gt;NYears,"",'Engine B'!$S52*'Engine B'!$E52)</f>
        <v>47558903.513625003</v>
      </c>
      <c r="I50" s="31">
        <f>IF($A50&gt;NYears,"",'Engine B'!$K52)</f>
        <v>36318409.725780003</v>
      </c>
      <c r="J50" s="24">
        <f>IF($A50&gt;NYears,"",'Engine B'!$P52)</f>
        <v>14164179.793054203</v>
      </c>
      <c r="K50" s="24">
        <f>IF($A50&gt;NYears,"",'Engine B'!$Q52)</f>
        <v>2215422.9932725802</v>
      </c>
      <c r="L50" s="31">
        <f>IF($A50&gt;NYears,"",'Engine B'!$K52-'Engine B'!$P52-'Engine B'!$Q52)</f>
        <v>19938806.939453222</v>
      </c>
      <c r="M50" s="31">
        <f>IF($A50&gt;NYears,"",'Engine B'!$R52)</f>
        <v>47642072.260028712</v>
      </c>
    </row>
    <row r="51" spans="1:13" x14ac:dyDescent="0.3">
      <c r="A51" s="29">
        <f>5</f>
        <v>5</v>
      </c>
      <c r="B51" s="30">
        <f t="shared" si="1"/>
        <v>48183</v>
      </c>
      <c r="C51" s="24">
        <f>IF($A51&gt;NYears,"",'Engine B'!$E64)</f>
        <v>101291.78233125</v>
      </c>
      <c r="D51" s="24">
        <f>IF($A51&gt;NYears,"",'Engine B'!$F53)</f>
        <v>47642072.260028712</v>
      </c>
      <c r="E51" s="29">
        <f>IF($A51&gt;NYears,"",'Engine B'!$G53)</f>
        <v>470</v>
      </c>
      <c r="F51" s="29">
        <f>IF($A51&gt;NYears,"",'Engine B'!$S64)</f>
        <v>808</v>
      </c>
      <c r="G51" s="29">
        <f>IF($A51&gt;NYears,"",'Engine B'!$S64-'Engine B'!$G53)</f>
        <v>338</v>
      </c>
      <c r="H51" s="24">
        <f>IF($A51&gt;NYears,"",'Engine B'!$S64*'Engine B'!$E64)</f>
        <v>81843760.123649999</v>
      </c>
      <c r="I51" s="31">
        <f>IF($A51&gt;NYears,"",'Engine B'!$K64)</f>
        <v>62468667.999328502</v>
      </c>
      <c r="J51" s="24">
        <f>IF($A51&gt;NYears,"",'Engine B'!$P64)</f>
        <v>24362780.519738115</v>
      </c>
      <c r="K51" s="24">
        <f>IF($A51&gt;NYears,"",'Engine B'!$Q64)</f>
        <v>3810588.7479590387</v>
      </c>
      <c r="L51" s="31">
        <f>IF($A51&gt;NYears,"",'Engine B'!$K64-'Engine B'!$P64-'Engine B'!$Q64)</f>
        <v>34295298.731631346</v>
      </c>
      <c r="M51" s="31">
        <f>IF($A51&gt;NYears,"",'Engine B'!$R64)</f>
        <v>81937370.991660073</v>
      </c>
    </row>
    <row r="52" spans="1:13" x14ac:dyDescent="0.3">
      <c r="A52" s="29">
        <f>6</f>
        <v>6</v>
      </c>
      <c r="B52" s="30">
        <f t="shared" si="1"/>
        <v>48549</v>
      </c>
      <c r="C52" s="24">
        <f>IF($A52&gt;NYears,"",'Engine B'!$E76)</f>
        <v>106356.3714478125</v>
      </c>
      <c r="D52" s="24">
        <f>IF($A52&gt;NYears,"",'Engine B'!$F65)</f>
        <v>81937370.991660073</v>
      </c>
      <c r="E52" s="29">
        <f>IF($A52&gt;NYears,"",'Engine B'!$G65)</f>
        <v>770</v>
      </c>
      <c r="F52" s="29">
        <f>IF($A52&gt;NYears,"",'Engine B'!$S76)</f>
        <v>1325</v>
      </c>
      <c r="G52" s="29">
        <f>IF($A52&gt;NYears,"",'Engine B'!$S76-'Engine B'!$G65)</f>
        <v>555</v>
      </c>
      <c r="H52" s="24">
        <f>IF($A52&gt;NYears,"",'Engine B'!$S76*'Engine B'!$E76)</f>
        <v>140922192.16835156</v>
      </c>
      <c r="I52" s="31">
        <f>IF($A52&gt;NYears,"",'Engine B'!$K76)</f>
        <v>107505020.25944887</v>
      </c>
      <c r="J52" s="24">
        <f>IF($A52&gt;NYears,"",'Engine B'!$P76)</f>
        <v>41926957.901185066</v>
      </c>
      <c r="K52" s="24">
        <f>IF($A52&gt;NYears,"",'Engine B'!$Q76)</f>
        <v>6557806.2358263806</v>
      </c>
      <c r="L52" s="31">
        <f>IF($A52&gt;NYears,"",'Engine B'!$K76-'Engine B'!$P76-'Engine B'!$Q76)</f>
        <v>59020256.122437425</v>
      </c>
      <c r="M52" s="31">
        <f>IF($A52&gt;NYears,"",'Engine B'!$R76)</f>
        <v>140957627.11409748</v>
      </c>
    </row>
    <row r="53" spans="1:13" x14ac:dyDescent="0.3">
      <c r="A53" s="29">
        <f>7</f>
        <v>7</v>
      </c>
      <c r="B53" s="30">
        <f t="shared" si="1"/>
        <v>48914</v>
      </c>
      <c r="C53" s="24">
        <f>IF($A53&gt;NYears,"",'Engine B'!$E88)</f>
        <v>111674.19002020312</v>
      </c>
      <c r="D53" s="24">
        <f>IF($A53&gt;NYears,"",'Engine B'!$F77)</f>
        <v>140957627.11409748</v>
      </c>
      <c r="E53" s="29">
        <f>IF($A53&gt;NYears,"",'Engine B'!$G77)</f>
        <v>1262</v>
      </c>
      <c r="F53" s="29">
        <f>IF($A53&gt;NYears,"",'Engine B'!$S88)</f>
        <v>2183</v>
      </c>
      <c r="G53" s="29">
        <f>IF($A53&gt;NYears,"",'Engine B'!$S88-'Engine B'!$G77)</f>
        <v>921</v>
      </c>
      <c r="H53" s="24">
        <f>IF($A53&gt;NYears,"",'Engine B'!$S88*'Engine B'!$E88)</f>
        <v>243784756.81410342</v>
      </c>
      <c r="I53" s="31">
        <f>IF($A53&gt;NYears,"",'Engine B'!$K88)</f>
        <v>185003930.15506932</v>
      </c>
      <c r="J53" s="24">
        <f>IF($A53&gt;NYears,"",'Engine B'!$P88)</f>
        <v>72151532.760477036</v>
      </c>
      <c r="K53" s="24">
        <f>IF($A53&gt;NYears,"",'Engine B'!$Q88)</f>
        <v>10000000</v>
      </c>
      <c r="L53" s="31">
        <f>IF($A53&gt;NYears,"",'Engine B'!$K88-'Engine B'!$P88-'Engine B'!$Q88)</f>
        <v>102852397.39459229</v>
      </c>
      <c r="M53" s="31">
        <f>IF($A53&gt;NYears,"",'Engine B'!$R88)</f>
        <v>243810024.50868979</v>
      </c>
    </row>
    <row r="54" spans="1:13" x14ac:dyDescent="0.3">
      <c r="A54" s="29">
        <f>8</f>
        <v>8</v>
      </c>
      <c r="B54" s="30">
        <f t="shared" si="1"/>
        <v>49279</v>
      </c>
      <c r="C54" s="24">
        <f>IF($A54&gt;NYears,"",'Engine B'!$E100)</f>
        <v>117257.8995212133</v>
      </c>
      <c r="D54" s="24">
        <f>IF($A54&gt;NYears,"",'Engine B'!$F89)</f>
        <v>243810024.50868979</v>
      </c>
      <c r="E54" s="29">
        <f>IF($A54&gt;NYears,"",'Engine B'!$G89)</f>
        <v>2079</v>
      </c>
      <c r="F54" s="29">
        <f>IF($A54&gt;NYears,"",'Engine B'!$S100)</f>
        <v>3658</v>
      </c>
      <c r="G54" s="29">
        <f>IF($A54&gt;NYears,"",'Engine B'!$S100-'Engine B'!$G89)</f>
        <v>1579</v>
      </c>
      <c r="H54" s="24">
        <f>IF($A54&gt;NYears,"",'Engine B'!$S100*'Engine B'!$E100)</f>
        <v>428929396.44859827</v>
      </c>
      <c r="I54" s="31">
        <f>IF($A54&gt;NYears,"",'Engine B'!$K100)</f>
        <v>320020259.37329537</v>
      </c>
      <c r="J54" s="24">
        <f>IF($A54&gt;NYears,"",'Engine B'!$P100)</f>
        <v>124807901.15558517</v>
      </c>
      <c r="K54" s="24">
        <f>IF($A54&gt;NYears,"",'Engine B'!$Q100)</f>
        <v>10000000</v>
      </c>
      <c r="L54" s="31">
        <f>IF($A54&gt;NYears,"",'Engine B'!$K100-'Engine B'!$P100-'Engine B'!$Q100)</f>
        <v>185212358.2177102</v>
      </c>
      <c r="M54" s="31">
        <f>IF($A54&gt;NYears,"",'Engine B'!$R100)</f>
        <v>429022382.72639996</v>
      </c>
    </row>
    <row r="55" spans="1:13" x14ac:dyDescent="0.3">
      <c r="A55" s="29">
        <f>9</f>
        <v>9</v>
      </c>
      <c r="B55" s="30">
        <f t="shared" si="1"/>
        <v>49644</v>
      </c>
      <c r="C55" s="24">
        <f>IF($A55&gt;NYears,"",'Engine B'!$E112)</f>
        <v>123120.79449727395</v>
      </c>
      <c r="D55" s="24">
        <f>IF($A55&gt;NYears,"",'Engine B'!$F101)</f>
        <v>429022382.72639996</v>
      </c>
      <c r="E55" s="29">
        <f>IF($A55&gt;NYears,"",'Engine B'!$G101)</f>
        <v>3484</v>
      </c>
      <c r="F55" s="29">
        <f>IF($A55&gt;NYears,"",'Engine B'!$S112)</f>
        <v>6193</v>
      </c>
      <c r="G55" s="29">
        <f>IF($A55&gt;NYears,"",'Engine B'!$S112-'Engine B'!$G101)</f>
        <v>2709</v>
      </c>
      <c r="H55" s="24">
        <f>IF($A55&gt;NYears,"",'Engine B'!$S112*'Engine B'!$E112)</f>
        <v>762487080.3216176</v>
      </c>
      <c r="I55" s="31">
        <f>IF($A55&gt;NYears,"",'Engine B'!$K112)</f>
        <v>563134814.70341146</v>
      </c>
      <c r="J55" s="24">
        <f>IF($A55&gt;NYears,"",'Engine B'!$P112)</f>
        <v>219622577.73433048</v>
      </c>
      <c r="K55" s="24">
        <f>IF($A55&gt;NYears,"",'Engine B'!$Q112)</f>
        <v>10000000</v>
      </c>
      <c r="L55" s="31">
        <f>IF($A55&gt;NYears,"",'Engine B'!$K112-'Engine B'!$P112-'Engine B'!$Q112)</f>
        <v>333512236.96908098</v>
      </c>
      <c r="M55" s="31">
        <f>IF($A55&gt;NYears,"",'Engine B'!$R112)</f>
        <v>762534619.69548082</v>
      </c>
    </row>
    <row r="56" spans="1:13" x14ac:dyDescent="0.3">
      <c r="A56" s="29">
        <f>10</f>
        <v>10</v>
      </c>
      <c r="B56" s="30">
        <f t="shared" si="1"/>
        <v>50010</v>
      </c>
      <c r="C56" s="24">
        <f>IF($A56&gt;NYears,"",'Engine B'!$E124)</f>
        <v>129276.83422213765</v>
      </c>
      <c r="D56" s="24">
        <f>IF($A56&gt;NYears,"",'Engine B'!$F113)</f>
        <v>762534619.69548082</v>
      </c>
      <c r="E56" s="29">
        <f>IF($A56&gt;NYears,"",'Engine B'!$G113)</f>
        <v>5898</v>
      </c>
      <c r="F56" s="29">
        <f>IF($A56&gt;NYears,"",'Engine B'!$S124)</f>
        <v>10544</v>
      </c>
      <c r="G56" s="29">
        <f>IF($A56&gt;NYears,"",'Engine B'!$S124-'Engine B'!$G113)</f>
        <v>4646</v>
      </c>
      <c r="H56" s="24">
        <f>IF($A56&gt;NYears,"",'Engine B'!$S124*'Engine B'!$E124)</f>
        <v>1363094940.0382195</v>
      </c>
      <c r="I56" s="31">
        <f>IF($A56&gt;NYears,"",'Engine B'!$K124)</f>
        <v>1000985356.3086431</v>
      </c>
      <c r="J56" s="24">
        <f>IF($A56&gt;NYears,"",'Engine B'!$P124)</f>
        <v>390384288.96037078</v>
      </c>
      <c r="K56" s="24">
        <f>IF($A56&gt;NYears,"",'Engine B'!$Q124)</f>
        <v>10000000</v>
      </c>
      <c r="L56" s="31">
        <f>IF($A56&gt;NYears,"",'Engine B'!$K124-'Engine B'!$P124-'Engine B'!$Q124)</f>
        <v>600601067.34827232</v>
      </c>
      <c r="M56" s="31">
        <f>IF($A56&gt;NYears,"",'Engine B'!$R124)</f>
        <v>1363135687.0437531</v>
      </c>
    </row>
    <row r="57" spans="1:13" x14ac:dyDescent="0.3">
      <c r="A57" s="29">
        <f>11</f>
        <v>11</v>
      </c>
      <c r="B57" s="30">
        <f t="shared" si="1"/>
        <v>50375</v>
      </c>
      <c r="C57" s="24">
        <f>IF($A57&gt;NYears,"",'Engine B'!$E136)</f>
        <v>135740.67593324455</v>
      </c>
      <c r="D57" s="24">
        <f>IF($A57&gt;NYears,"",'Engine B'!$F125)</f>
        <v>1363135687.0437531</v>
      </c>
      <c r="E57" s="29">
        <f>IF($A57&gt;NYears,"",'Engine B'!$G125)</f>
        <v>10042</v>
      </c>
      <c r="F57" s="29">
        <f>IF($A57&gt;NYears,"",'Engine B'!$S136)</f>
        <v>18010</v>
      </c>
      <c r="G57" s="29">
        <f>IF($A57&gt;NYears,"",'Engine B'!$S136-'Engine B'!$G125)</f>
        <v>7968</v>
      </c>
      <c r="H57" s="24">
        <f>IF($A57&gt;NYears,"",'Engine B'!$S136*'Engine B'!$E136)</f>
        <v>2444689573.5577345</v>
      </c>
      <c r="I57" s="31">
        <f>IF($A57&gt;NYears,"",'Engine B'!$K136)</f>
        <v>1789463901.2009256</v>
      </c>
      <c r="J57" s="24">
        <f>IF($A57&gt;NYears,"",'Engine B'!$P136)</f>
        <v>697890921.46836114</v>
      </c>
      <c r="K57" s="24">
        <f>IF($A57&gt;NYears,"",'Engine B'!$Q136)</f>
        <v>10000000</v>
      </c>
      <c r="L57" s="31">
        <f>IF($A57&gt;NYears,"",'Engine B'!$K136-'Engine B'!$P136-'Engine B'!$Q136)</f>
        <v>1081572979.7325644</v>
      </c>
      <c r="M57" s="31">
        <f>IF($A57&gt;NYears,"",'Engine B'!$R136)</f>
        <v>2444708666.7763171</v>
      </c>
    </row>
    <row r="58" spans="1:13" x14ac:dyDescent="0.3">
      <c r="A58" s="29">
        <f>12</f>
        <v>12</v>
      </c>
      <c r="B58" s="30">
        <f t="shared" si="1"/>
        <v>50740</v>
      </c>
      <c r="C58" s="24">
        <f>IF($A58&gt;NYears,"",'Engine B'!$E148)</f>
        <v>142527.70972990678</v>
      </c>
      <c r="D58" s="24">
        <f>IF($A58&gt;NYears,"",'Engine B'!$F137)</f>
        <v>2444708666.7763171</v>
      </c>
      <c r="E58" s="29">
        <f>IF($A58&gt;NYears,"",'Engine B'!$G137)</f>
        <v>17152</v>
      </c>
      <c r="F58" s="29">
        <f>IF($A58&gt;NYears,"",'Engine B'!$S148)</f>
        <v>30818</v>
      </c>
      <c r="G58" s="29">
        <f>IF($A58&gt;NYears,"",'Engine B'!$S148-'Engine B'!$G137)</f>
        <v>13666</v>
      </c>
      <c r="H58" s="24">
        <f>IF($A58&gt;NYears,"",'Engine B'!$S148*'Engine B'!$E148)</f>
        <v>4392418958.4562674</v>
      </c>
      <c r="I58" s="31">
        <f>IF($A58&gt;NYears,"",'Engine B'!$K148)</f>
        <v>3209370554.3973708</v>
      </c>
      <c r="J58" s="24">
        <f>IF($A58&gt;NYears,"",'Engine B'!$P148)</f>
        <v>1251654516.2149746</v>
      </c>
      <c r="K58" s="24">
        <f>IF($A58&gt;NYears,"",'Engine B'!$Q148)</f>
        <v>10000000</v>
      </c>
      <c r="L58" s="31">
        <f>IF($A58&gt;NYears,"",'Engine B'!$K148-'Engine B'!$P148-'Engine B'!$Q148)</f>
        <v>1947716038.1823962</v>
      </c>
      <c r="M58" s="31">
        <f>IF($A58&gt;NYears,"",'Engine B'!$R148)</f>
        <v>4392424704.9587135</v>
      </c>
    </row>
    <row r="59" spans="1:13" x14ac:dyDescent="0.3">
      <c r="A59" s="29">
        <f>13</f>
        <v>13</v>
      </c>
      <c r="B59" s="30" t="str">
        <f t="shared" si="1"/>
        <v/>
      </c>
      <c r="C59" s="24" t="str">
        <f>IF($A59&gt;NYears,"",'Engine B'!$E160)</f>
        <v/>
      </c>
      <c r="D59" s="24" t="str">
        <f>IF($A59&gt;NYears,"",'Engine B'!$F149)</f>
        <v/>
      </c>
      <c r="E59" s="29" t="str">
        <f>IF($A59&gt;NYears,"",'Engine B'!$G149)</f>
        <v/>
      </c>
      <c r="F59" s="29" t="str">
        <f>IF($A59&gt;NYears,"",'Engine B'!$S160)</f>
        <v/>
      </c>
      <c r="G59" s="29" t="str">
        <f>IF($A59&gt;NYears,"",'Engine B'!$S160-'Engine B'!$G149)</f>
        <v/>
      </c>
      <c r="H59" s="24" t="str">
        <f>IF($A59&gt;NYears,"",'Engine B'!$S160*'Engine B'!$E160)</f>
        <v/>
      </c>
      <c r="I59" s="31" t="str">
        <f>IF($A59&gt;NYears,"",'Engine B'!$K160)</f>
        <v/>
      </c>
      <c r="J59" s="24" t="str">
        <f>IF($A59&gt;NYears,"",'Engine B'!$P160)</f>
        <v/>
      </c>
      <c r="K59" s="24" t="str">
        <f>IF($A59&gt;NYears,"",'Engine B'!$Q160)</f>
        <v/>
      </c>
      <c r="L59" s="31" t="str">
        <f>IF($A59&gt;NYears,"",'Engine B'!$K160-'Engine B'!$P160-'Engine B'!$Q160)</f>
        <v/>
      </c>
      <c r="M59" s="31" t="str">
        <f>IF($A59&gt;NYears,"",'Engine B'!$R160)</f>
        <v/>
      </c>
    </row>
    <row r="60" spans="1:13" x14ac:dyDescent="0.3">
      <c r="A60" s="29">
        <f>14</f>
        <v>14</v>
      </c>
      <c r="B60" s="30" t="str">
        <f t="shared" si="1"/>
        <v/>
      </c>
      <c r="C60" s="24" t="str">
        <f>IF($A60&gt;NYears,"",'Engine B'!$E172)</f>
        <v/>
      </c>
      <c r="D60" s="24" t="str">
        <f>IF($A60&gt;NYears,"",'Engine B'!$F161)</f>
        <v/>
      </c>
      <c r="E60" s="29" t="str">
        <f>IF($A60&gt;NYears,"",'Engine B'!$G161)</f>
        <v/>
      </c>
      <c r="F60" s="29" t="str">
        <f>IF($A60&gt;NYears,"",'Engine B'!$S172)</f>
        <v/>
      </c>
      <c r="G60" s="29" t="str">
        <f>IF($A60&gt;NYears,"",'Engine B'!$S172-'Engine B'!$G161)</f>
        <v/>
      </c>
      <c r="H60" s="24" t="str">
        <f>IF($A60&gt;NYears,"",'Engine B'!$S172*'Engine B'!$E172)</f>
        <v/>
      </c>
      <c r="I60" s="31" t="str">
        <f>IF($A60&gt;NYears,"",'Engine B'!$K172)</f>
        <v/>
      </c>
      <c r="J60" s="24" t="str">
        <f>IF($A60&gt;NYears,"",'Engine B'!$P172)</f>
        <v/>
      </c>
      <c r="K60" s="24" t="str">
        <f>IF($A60&gt;NYears,"",'Engine B'!$Q172)</f>
        <v/>
      </c>
      <c r="L60" s="31" t="str">
        <f>IF($A60&gt;NYears,"",'Engine B'!$K172-'Engine B'!$P172-'Engine B'!$Q172)</f>
        <v/>
      </c>
      <c r="M60" s="31" t="str">
        <f>IF($A60&gt;NYears,"",'Engine B'!$R172)</f>
        <v/>
      </c>
    </row>
    <row r="61" spans="1:13" x14ac:dyDescent="0.3">
      <c r="A61" s="29">
        <f>15</f>
        <v>15</v>
      </c>
      <c r="B61" s="30" t="str">
        <f t="shared" si="1"/>
        <v/>
      </c>
      <c r="C61" s="24" t="str">
        <f>IF($A61&gt;NYears,"",'Engine B'!$E184)</f>
        <v/>
      </c>
      <c r="D61" s="24" t="str">
        <f>IF($A61&gt;NYears,"",'Engine B'!$F173)</f>
        <v/>
      </c>
      <c r="E61" s="29" t="str">
        <f>IF($A61&gt;NYears,"",'Engine B'!$G173)</f>
        <v/>
      </c>
      <c r="F61" s="29" t="str">
        <f>IF($A61&gt;NYears,"",'Engine B'!$S184)</f>
        <v/>
      </c>
      <c r="G61" s="29" t="str">
        <f>IF($A61&gt;NYears,"",'Engine B'!$S184-'Engine B'!$G173)</f>
        <v/>
      </c>
      <c r="H61" s="24" t="str">
        <f>IF($A61&gt;NYears,"",'Engine B'!$S184*'Engine B'!$E184)</f>
        <v/>
      </c>
      <c r="I61" s="31" t="str">
        <f>IF($A61&gt;NYears,"",'Engine B'!$K184)</f>
        <v/>
      </c>
      <c r="J61" s="24" t="str">
        <f>IF($A61&gt;NYears,"",'Engine B'!$P184)</f>
        <v/>
      </c>
      <c r="K61" s="24" t="str">
        <f>IF($A61&gt;NYears,"",'Engine B'!$Q184)</f>
        <v/>
      </c>
      <c r="L61" s="31" t="str">
        <f>IF($A61&gt;NYears,"",'Engine B'!$K184-'Engine B'!$P184-'Engine B'!$Q184)</f>
        <v/>
      </c>
      <c r="M61" s="31" t="str">
        <f>IF($A61&gt;NYears,"",'Engine B'!$R184)</f>
        <v/>
      </c>
    </row>
    <row r="62" spans="1:13" x14ac:dyDescent="0.3">
      <c r="A62" s="29">
        <f>16</f>
        <v>16</v>
      </c>
      <c r="B62" s="30" t="str">
        <f t="shared" si="1"/>
        <v/>
      </c>
      <c r="C62" s="24" t="str">
        <f>IF($A62&gt;NYears,"",'Engine B'!$E196)</f>
        <v/>
      </c>
      <c r="D62" s="24" t="str">
        <f>IF($A62&gt;NYears,"",'Engine B'!$F185)</f>
        <v/>
      </c>
      <c r="E62" s="29" t="str">
        <f>IF($A62&gt;NYears,"",'Engine B'!$G185)</f>
        <v/>
      </c>
      <c r="F62" s="29" t="str">
        <f>IF($A62&gt;NYears,"",'Engine B'!$S196)</f>
        <v/>
      </c>
      <c r="G62" s="29" t="str">
        <f>IF($A62&gt;NYears,"",'Engine B'!$S196-'Engine B'!$G185)</f>
        <v/>
      </c>
      <c r="H62" s="24" t="str">
        <f>IF($A62&gt;NYears,"",'Engine B'!$S196*'Engine B'!$E196)</f>
        <v/>
      </c>
      <c r="I62" s="31" t="str">
        <f>IF($A62&gt;NYears,"",'Engine B'!$K196)</f>
        <v/>
      </c>
      <c r="J62" s="24" t="str">
        <f>IF($A62&gt;NYears,"",'Engine B'!$P196)</f>
        <v/>
      </c>
      <c r="K62" s="24" t="str">
        <f>IF($A62&gt;NYears,"",'Engine B'!$Q196)</f>
        <v/>
      </c>
      <c r="L62" s="31" t="str">
        <f>IF($A62&gt;NYears,"",'Engine B'!$K196-'Engine B'!$P196-'Engine B'!$Q196)</f>
        <v/>
      </c>
      <c r="M62" s="31" t="str">
        <f>IF($A62&gt;NYears,"",'Engine B'!$R196)</f>
        <v/>
      </c>
    </row>
    <row r="63" spans="1:13" x14ac:dyDescent="0.3">
      <c r="A63" s="29">
        <f>17</f>
        <v>17</v>
      </c>
      <c r="B63" s="30" t="str">
        <f t="shared" si="1"/>
        <v/>
      </c>
      <c r="C63" s="24" t="str">
        <f>IF($A63&gt;NYears,"",'Engine B'!$E208)</f>
        <v/>
      </c>
      <c r="D63" s="24" t="str">
        <f>IF($A63&gt;NYears,"",'Engine B'!$F197)</f>
        <v/>
      </c>
      <c r="E63" s="29" t="str">
        <f>IF($A63&gt;NYears,"",'Engine B'!$G197)</f>
        <v/>
      </c>
      <c r="F63" s="29" t="str">
        <f>IF($A63&gt;NYears,"",'Engine B'!$S208)</f>
        <v/>
      </c>
      <c r="G63" s="29" t="str">
        <f>IF($A63&gt;NYears,"",'Engine B'!$S208-'Engine B'!$G197)</f>
        <v/>
      </c>
      <c r="H63" s="24" t="str">
        <f>IF($A63&gt;NYears,"",'Engine B'!$S208*'Engine B'!$E208)</f>
        <v/>
      </c>
      <c r="I63" s="31" t="str">
        <f>IF($A63&gt;NYears,"",'Engine B'!$K208)</f>
        <v/>
      </c>
      <c r="J63" s="24" t="str">
        <f>IF($A63&gt;NYears,"",'Engine B'!$P208)</f>
        <v/>
      </c>
      <c r="K63" s="24" t="str">
        <f>IF($A63&gt;NYears,"",'Engine B'!$Q208)</f>
        <v/>
      </c>
      <c r="L63" s="31" t="str">
        <f>IF($A63&gt;NYears,"",'Engine B'!$K208-'Engine B'!$P208-'Engine B'!$Q208)</f>
        <v/>
      </c>
      <c r="M63" s="31" t="str">
        <f>IF($A63&gt;NYears,"",'Engine B'!$R208)</f>
        <v/>
      </c>
    </row>
    <row r="64" spans="1:13" x14ac:dyDescent="0.3">
      <c r="A64" s="29">
        <f>18</f>
        <v>18</v>
      </c>
      <c r="B64" s="30" t="str">
        <f t="shared" si="1"/>
        <v/>
      </c>
      <c r="C64" s="24" t="str">
        <f>IF($A64&gt;NYears,"",'Engine B'!$E220)</f>
        <v/>
      </c>
      <c r="D64" s="24" t="str">
        <f>IF($A64&gt;NYears,"",'Engine B'!$F209)</f>
        <v/>
      </c>
      <c r="E64" s="29" t="str">
        <f>IF($A64&gt;NYears,"",'Engine B'!$G209)</f>
        <v/>
      </c>
      <c r="F64" s="29" t="str">
        <f>IF($A64&gt;NYears,"",'Engine B'!$S220)</f>
        <v/>
      </c>
      <c r="G64" s="29" t="str">
        <f>IF($A64&gt;NYears,"",'Engine B'!$S220-'Engine B'!$G209)</f>
        <v/>
      </c>
      <c r="H64" s="24" t="str">
        <f>IF($A64&gt;NYears,"",'Engine B'!$S220*'Engine B'!$E220)</f>
        <v/>
      </c>
      <c r="I64" s="31" t="str">
        <f>IF($A64&gt;NYears,"",'Engine B'!$K220)</f>
        <v/>
      </c>
      <c r="J64" s="24" t="str">
        <f>IF($A64&gt;NYears,"",'Engine B'!$P220)</f>
        <v/>
      </c>
      <c r="K64" s="24" t="str">
        <f>IF($A64&gt;NYears,"",'Engine B'!$Q220)</f>
        <v/>
      </c>
      <c r="L64" s="31" t="str">
        <f>IF($A64&gt;NYears,"",'Engine B'!$K220-'Engine B'!$P220-'Engine B'!$Q220)</f>
        <v/>
      </c>
      <c r="M64" s="31" t="str">
        <f>IF($A64&gt;NYears,"",'Engine B'!$R220)</f>
        <v/>
      </c>
    </row>
    <row r="65" spans="1:13" x14ac:dyDescent="0.3">
      <c r="A65" s="29">
        <f>19</f>
        <v>19</v>
      </c>
      <c r="B65" s="30" t="str">
        <f t="shared" si="1"/>
        <v/>
      </c>
      <c r="C65" s="24" t="str">
        <f>IF($A65&gt;NYears,"",'Engine B'!$E232)</f>
        <v/>
      </c>
      <c r="D65" s="24" t="str">
        <f>IF($A65&gt;NYears,"",'Engine B'!$F221)</f>
        <v/>
      </c>
      <c r="E65" s="29" t="str">
        <f>IF($A65&gt;NYears,"",'Engine B'!$G221)</f>
        <v/>
      </c>
      <c r="F65" s="29" t="str">
        <f>IF($A65&gt;NYears,"",'Engine B'!$S232)</f>
        <v/>
      </c>
      <c r="G65" s="29" t="str">
        <f>IF($A65&gt;NYears,"",'Engine B'!$S232-'Engine B'!$G221)</f>
        <v/>
      </c>
      <c r="H65" s="24" t="str">
        <f>IF($A65&gt;NYears,"",'Engine B'!$S232*'Engine B'!$E232)</f>
        <v/>
      </c>
      <c r="I65" s="31" t="str">
        <f>IF($A65&gt;NYears,"",'Engine B'!$K232)</f>
        <v/>
      </c>
      <c r="J65" s="24" t="str">
        <f>IF($A65&gt;NYears,"",'Engine B'!$P232)</f>
        <v/>
      </c>
      <c r="K65" s="24" t="str">
        <f>IF($A65&gt;NYears,"",'Engine B'!$Q232)</f>
        <v/>
      </c>
      <c r="L65" s="31" t="str">
        <f>IF($A65&gt;NYears,"",'Engine B'!$K232-'Engine B'!$P232-'Engine B'!$Q232)</f>
        <v/>
      </c>
      <c r="M65" s="31" t="str">
        <f>IF($A65&gt;NYears,"",'Engine B'!$R232)</f>
        <v/>
      </c>
    </row>
    <row r="66" spans="1:13" x14ac:dyDescent="0.3">
      <c r="A66" s="29">
        <f>20</f>
        <v>20</v>
      </c>
      <c r="B66" s="30" t="str">
        <f t="shared" si="1"/>
        <v/>
      </c>
      <c r="C66" s="24" t="str">
        <f>IF($A66&gt;NYears,"",'Engine B'!$E244)</f>
        <v/>
      </c>
      <c r="D66" s="24" t="str">
        <f>IF($A66&gt;NYears,"",'Engine B'!$F233)</f>
        <v/>
      </c>
      <c r="E66" s="29" t="str">
        <f>IF($A66&gt;NYears,"",'Engine B'!$G233)</f>
        <v/>
      </c>
      <c r="F66" s="29" t="str">
        <f>IF($A66&gt;NYears,"",'Engine B'!$S244)</f>
        <v/>
      </c>
      <c r="G66" s="29" t="str">
        <f>IF($A66&gt;NYears,"",'Engine B'!$S244-'Engine B'!$G233)</f>
        <v/>
      </c>
      <c r="H66" s="24" t="str">
        <f>IF($A66&gt;NYears,"",'Engine B'!$S244*'Engine B'!$E244)</f>
        <v/>
      </c>
      <c r="I66" s="31" t="str">
        <f>IF($A66&gt;NYears,"",'Engine B'!$K244)</f>
        <v/>
      </c>
      <c r="J66" s="24" t="str">
        <f>IF($A66&gt;NYears,"",'Engine B'!$P244)</f>
        <v/>
      </c>
      <c r="K66" s="24" t="str">
        <f>IF($A66&gt;NYears,"",'Engine B'!$Q244)</f>
        <v/>
      </c>
      <c r="L66" s="31" t="str">
        <f>IF($A66&gt;NYears,"",'Engine B'!$K244-'Engine B'!$P244-'Engine B'!$Q244)</f>
        <v/>
      </c>
      <c r="M66" s="31" t="str">
        <f>IF($A66&gt;NYears,"",'Engine B'!$R244)</f>
        <v/>
      </c>
    </row>
    <row r="67" spans="1:13" x14ac:dyDescent="0.3">
      <c r="A67" s="29">
        <f>21</f>
        <v>21</v>
      </c>
      <c r="B67" s="30" t="str">
        <f t="shared" si="1"/>
        <v/>
      </c>
      <c r="C67" s="24" t="str">
        <f>IF($A67&gt;NYears,"",'Engine B'!$E256)</f>
        <v/>
      </c>
      <c r="D67" s="24" t="str">
        <f>IF($A67&gt;NYears,"",'Engine B'!$F245)</f>
        <v/>
      </c>
      <c r="E67" s="29" t="str">
        <f>IF($A67&gt;NYears,"",'Engine B'!$G245)</f>
        <v/>
      </c>
      <c r="F67" s="29" t="str">
        <f>IF($A67&gt;NYears,"",'Engine B'!$S256)</f>
        <v/>
      </c>
      <c r="G67" s="29" t="str">
        <f>IF($A67&gt;NYears,"",'Engine B'!$S256-'Engine B'!$G245)</f>
        <v/>
      </c>
      <c r="H67" s="24" t="str">
        <f>IF($A67&gt;NYears,"",'Engine B'!$S256*'Engine B'!$E256)</f>
        <v/>
      </c>
      <c r="I67" s="31" t="str">
        <f>IF($A67&gt;NYears,"",'Engine B'!$K256)</f>
        <v/>
      </c>
      <c r="J67" s="24" t="str">
        <f>IF($A67&gt;NYears,"",'Engine B'!$P256)</f>
        <v/>
      </c>
      <c r="K67" s="24" t="str">
        <f>IF($A67&gt;NYears,"",'Engine B'!$Q256)</f>
        <v/>
      </c>
      <c r="L67" s="31" t="str">
        <f>IF($A67&gt;NYears,"",'Engine B'!$K256-'Engine B'!$P256-'Engine B'!$Q256)</f>
        <v/>
      </c>
      <c r="M67" s="31" t="str">
        <f>IF($A67&gt;NYears,"",'Engine B'!$R256)</f>
        <v/>
      </c>
    </row>
    <row r="68" spans="1:13" x14ac:dyDescent="0.3">
      <c r="A68" s="29">
        <f>22</f>
        <v>22</v>
      </c>
      <c r="B68" s="30" t="str">
        <f t="shared" si="1"/>
        <v/>
      </c>
      <c r="C68" s="24" t="str">
        <f>IF($A68&gt;NYears,"",'Engine B'!$E268)</f>
        <v/>
      </c>
      <c r="D68" s="24" t="str">
        <f>IF($A68&gt;NYears,"",'Engine B'!$F257)</f>
        <v/>
      </c>
      <c r="E68" s="29" t="str">
        <f>IF($A68&gt;NYears,"",'Engine B'!$G257)</f>
        <v/>
      </c>
      <c r="F68" s="29" t="str">
        <f>IF($A68&gt;NYears,"",'Engine B'!$S268)</f>
        <v/>
      </c>
      <c r="G68" s="29" t="str">
        <f>IF($A68&gt;NYears,"",'Engine B'!$S268-'Engine B'!$G257)</f>
        <v/>
      </c>
      <c r="H68" s="24" t="str">
        <f>IF($A68&gt;NYears,"",'Engine B'!$S268*'Engine B'!$E268)</f>
        <v/>
      </c>
      <c r="I68" s="31" t="str">
        <f>IF($A68&gt;NYears,"",'Engine B'!$K268)</f>
        <v/>
      </c>
      <c r="J68" s="24" t="str">
        <f>IF($A68&gt;NYears,"",'Engine B'!$P268)</f>
        <v/>
      </c>
      <c r="K68" s="24" t="str">
        <f>IF($A68&gt;NYears,"",'Engine B'!$Q268)</f>
        <v/>
      </c>
      <c r="L68" s="31" t="str">
        <f>IF($A68&gt;NYears,"",'Engine B'!$K268-'Engine B'!$P268-'Engine B'!$Q268)</f>
        <v/>
      </c>
      <c r="M68" s="31" t="str">
        <f>IF($A68&gt;NYears,"",'Engine B'!$R268)</f>
        <v/>
      </c>
    </row>
    <row r="69" spans="1:13" x14ac:dyDescent="0.3">
      <c r="A69" s="29">
        <f>23</f>
        <v>23</v>
      </c>
      <c r="B69" s="30" t="str">
        <f t="shared" si="1"/>
        <v/>
      </c>
      <c r="C69" s="24" t="str">
        <f>IF($A69&gt;NYears,"",'Engine B'!$E280)</f>
        <v/>
      </c>
      <c r="D69" s="24" t="str">
        <f>IF($A69&gt;NYears,"",'Engine B'!$F269)</f>
        <v/>
      </c>
      <c r="E69" s="29" t="str">
        <f>IF($A69&gt;NYears,"",'Engine B'!$G269)</f>
        <v/>
      </c>
      <c r="F69" s="29" t="str">
        <f>IF($A69&gt;NYears,"",'Engine B'!$S280)</f>
        <v/>
      </c>
      <c r="G69" s="29" t="str">
        <f>IF($A69&gt;NYears,"",'Engine B'!$S280-'Engine B'!$G269)</f>
        <v/>
      </c>
      <c r="H69" s="24" t="str">
        <f>IF($A69&gt;NYears,"",'Engine B'!$S280*'Engine B'!$E280)</f>
        <v/>
      </c>
      <c r="I69" s="31" t="str">
        <f>IF($A69&gt;NYears,"",'Engine B'!$K280)</f>
        <v/>
      </c>
      <c r="J69" s="24" t="str">
        <f>IF($A69&gt;NYears,"",'Engine B'!$P280)</f>
        <v/>
      </c>
      <c r="K69" s="24" t="str">
        <f>IF($A69&gt;NYears,"",'Engine B'!$Q280)</f>
        <v/>
      </c>
      <c r="L69" s="31" t="str">
        <f>IF($A69&gt;NYears,"",'Engine B'!$K280-'Engine B'!$P280-'Engine B'!$Q280)</f>
        <v/>
      </c>
      <c r="M69" s="31" t="str">
        <f>IF($A69&gt;NYears,"",'Engine B'!$R280)</f>
        <v/>
      </c>
    </row>
    <row r="70" spans="1:13" x14ac:dyDescent="0.3">
      <c r="A70" s="29">
        <f>24</f>
        <v>24</v>
      </c>
      <c r="B70" s="30" t="str">
        <f t="shared" si="1"/>
        <v/>
      </c>
      <c r="C70" s="24" t="str">
        <f>IF($A70&gt;NYears,"",'Engine B'!$E292)</f>
        <v/>
      </c>
      <c r="D70" s="24" t="str">
        <f>IF($A70&gt;NYears,"",'Engine B'!$F281)</f>
        <v/>
      </c>
      <c r="E70" s="29" t="str">
        <f>IF($A70&gt;NYears,"",'Engine B'!$G281)</f>
        <v/>
      </c>
      <c r="F70" s="29" t="str">
        <f>IF($A70&gt;NYears,"",'Engine B'!$S292)</f>
        <v/>
      </c>
      <c r="G70" s="29" t="str">
        <f>IF($A70&gt;NYears,"",'Engine B'!$S292-'Engine B'!$G281)</f>
        <v/>
      </c>
      <c r="H70" s="24" t="str">
        <f>IF($A70&gt;NYears,"",'Engine B'!$S292*'Engine B'!$E292)</f>
        <v/>
      </c>
      <c r="I70" s="31" t="str">
        <f>IF($A70&gt;NYears,"",'Engine B'!$K292)</f>
        <v/>
      </c>
      <c r="J70" s="24" t="str">
        <f>IF($A70&gt;NYears,"",'Engine B'!$P292)</f>
        <v/>
      </c>
      <c r="K70" s="24" t="str">
        <f>IF($A70&gt;NYears,"",'Engine B'!$Q292)</f>
        <v/>
      </c>
      <c r="L70" s="31" t="str">
        <f>IF($A70&gt;NYears,"",'Engine B'!$K292-'Engine B'!$P292-'Engine B'!$Q292)</f>
        <v/>
      </c>
      <c r="M70" s="31" t="str">
        <f>IF($A70&gt;NYears,"",'Engine B'!$R292)</f>
        <v/>
      </c>
    </row>
    <row r="71" spans="1:13" x14ac:dyDescent="0.3">
      <c r="A71" s="29">
        <f>25</f>
        <v>25</v>
      </c>
      <c r="B71" s="30" t="str">
        <f t="shared" si="1"/>
        <v/>
      </c>
      <c r="C71" s="24" t="str">
        <f>IF($A71&gt;NYears,"",'Engine B'!$E304)</f>
        <v/>
      </c>
      <c r="D71" s="24" t="str">
        <f>IF($A71&gt;NYears,"",'Engine B'!$F293)</f>
        <v/>
      </c>
      <c r="E71" s="29" t="str">
        <f>IF($A71&gt;NYears,"",'Engine B'!$G293)</f>
        <v/>
      </c>
      <c r="F71" s="29" t="str">
        <f>IF($A71&gt;NYears,"",'Engine B'!$S304)</f>
        <v/>
      </c>
      <c r="G71" s="29" t="str">
        <f>IF($A71&gt;NYears,"",'Engine B'!$S304-'Engine B'!$G293)</f>
        <v/>
      </c>
      <c r="H71" s="24" t="str">
        <f>IF($A71&gt;NYears,"",'Engine B'!$S304*'Engine B'!$E304)</f>
        <v/>
      </c>
      <c r="I71" s="31" t="str">
        <f>IF($A71&gt;NYears,"",'Engine B'!$K304)</f>
        <v/>
      </c>
      <c r="J71" s="24" t="str">
        <f>IF($A71&gt;NYears,"",'Engine B'!$P304)</f>
        <v/>
      </c>
      <c r="K71" s="24" t="str">
        <f>IF($A71&gt;NYears,"",'Engine B'!$Q304)</f>
        <v/>
      </c>
      <c r="L71" s="31" t="str">
        <f>IF($A71&gt;NYears,"",'Engine B'!$K304-'Engine B'!$P304-'Engine B'!$Q304)</f>
        <v/>
      </c>
      <c r="M71" s="31" t="str">
        <f>IF($A71&gt;NYears,"",'Engine B'!$R304)</f>
        <v/>
      </c>
    </row>
    <row r="72" spans="1:13" x14ac:dyDescent="0.3">
      <c r="A72" s="29">
        <f>26</f>
        <v>26</v>
      </c>
      <c r="B72" s="30" t="str">
        <f t="shared" si="1"/>
        <v/>
      </c>
      <c r="C72" s="24" t="str">
        <f>IF($A72&gt;NYears,"",'Engine B'!$E316)</f>
        <v/>
      </c>
      <c r="D72" s="24" t="str">
        <f>IF($A72&gt;NYears,"",'Engine B'!$F305)</f>
        <v/>
      </c>
      <c r="E72" s="29" t="str">
        <f>IF($A72&gt;NYears,"",'Engine B'!$G305)</f>
        <v/>
      </c>
      <c r="F72" s="29" t="str">
        <f>IF($A72&gt;NYears,"",'Engine B'!$S316)</f>
        <v/>
      </c>
      <c r="G72" s="29" t="str">
        <f>IF($A72&gt;NYears,"",'Engine B'!$S316-'Engine B'!$G305)</f>
        <v/>
      </c>
      <c r="H72" s="24" t="str">
        <f>IF($A72&gt;NYears,"",'Engine B'!$S316*'Engine B'!$E316)</f>
        <v/>
      </c>
      <c r="I72" s="31" t="str">
        <f>IF($A72&gt;NYears,"",'Engine B'!$K316)</f>
        <v/>
      </c>
      <c r="J72" s="24" t="str">
        <f>IF($A72&gt;NYears,"",'Engine B'!$P316)</f>
        <v/>
      </c>
      <c r="K72" s="24" t="str">
        <f>IF($A72&gt;NYears,"",'Engine B'!$Q316)</f>
        <v/>
      </c>
      <c r="L72" s="31" t="str">
        <f>IF($A72&gt;NYears,"",'Engine B'!$K316-'Engine B'!$P316-'Engine B'!$Q316)</f>
        <v/>
      </c>
      <c r="M72" s="31" t="str">
        <f>IF($A72&gt;NYears,"",'Engine B'!$R316)</f>
        <v/>
      </c>
    </row>
    <row r="73" spans="1:13" x14ac:dyDescent="0.3">
      <c r="A73" s="29">
        <f>27</f>
        <v>27</v>
      </c>
      <c r="B73" s="30" t="str">
        <f t="shared" si="1"/>
        <v/>
      </c>
      <c r="C73" s="24" t="str">
        <f>IF($A73&gt;NYears,"",'Engine B'!$E328)</f>
        <v/>
      </c>
      <c r="D73" s="24" t="str">
        <f>IF($A73&gt;NYears,"",'Engine B'!$F317)</f>
        <v/>
      </c>
      <c r="E73" s="29" t="str">
        <f>IF($A73&gt;NYears,"",'Engine B'!$G317)</f>
        <v/>
      </c>
      <c r="F73" s="29" t="str">
        <f>IF($A73&gt;NYears,"",'Engine B'!$S328)</f>
        <v/>
      </c>
      <c r="G73" s="29" t="str">
        <f>IF($A73&gt;NYears,"",'Engine B'!$S328-'Engine B'!$G317)</f>
        <v/>
      </c>
      <c r="H73" s="24" t="str">
        <f>IF($A73&gt;NYears,"",'Engine B'!$S328*'Engine B'!$E328)</f>
        <v/>
      </c>
      <c r="I73" s="31" t="str">
        <f>IF($A73&gt;NYears,"",'Engine B'!$K328)</f>
        <v/>
      </c>
      <c r="J73" s="24" t="str">
        <f>IF($A73&gt;NYears,"",'Engine B'!$P328)</f>
        <v/>
      </c>
      <c r="K73" s="24" t="str">
        <f>IF($A73&gt;NYears,"",'Engine B'!$Q328)</f>
        <v/>
      </c>
      <c r="L73" s="31" t="str">
        <f>IF($A73&gt;NYears,"",'Engine B'!$K328-'Engine B'!$P328-'Engine B'!$Q328)</f>
        <v/>
      </c>
      <c r="M73" s="31" t="str">
        <f>IF($A73&gt;NYears,"",'Engine B'!$R328)</f>
        <v/>
      </c>
    </row>
    <row r="74" spans="1:13" x14ac:dyDescent="0.3">
      <c r="A74" s="29">
        <f>28</f>
        <v>28</v>
      </c>
      <c r="B74" s="30" t="str">
        <f t="shared" si="1"/>
        <v/>
      </c>
      <c r="C74" s="24" t="str">
        <f>IF($A74&gt;NYears,"",'Engine B'!$E340)</f>
        <v/>
      </c>
      <c r="D74" s="24" t="str">
        <f>IF($A74&gt;NYears,"",'Engine B'!$F329)</f>
        <v/>
      </c>
      <c r="E74" s="29" t="str">
        <f>IF($A74&gt;NYears,"",'Engine B'!$G329)</f>
        <v/>
      </c>
      <c r="F74" s="29" t="str">
        <f>IF($A74&gt;NYears,"",'Engine B'!$S340)</f>
        <v/>
      </c>
      <c r="G74" s="29" t="str">
        <f>IF($A74&gt;NYears,"",'Engine B'!$S340-'Engine B'!$G329)</f>
        <v/>
      </c>
      <c r="H74" s="24" t="str">
        <f>IF($A74&gt;NYears,"",'Engine B'!$S340*'Engine B'!$E340)</f>
        <v/>
      </c>
      <c r="I74" s="31" t="str">
        <f>IF($A74&gt;NYears,"",'Engine B'!$K340)</f>
        <v/>
      </c>
      <c r="J74" s="24" t="str">
        <f>IF($A74&gt;NYears,"",'Engine B'!$P340)</f>
        <v/>
      </c>
      <c r="K74" s="24" t="str">
        <f>IF($A74&gt;NYears,"",'Engine B'!$Q340)</f>
        <v/>
      </c>
      <c r="L74" s="31" t="str">
        <f>IF($A74&gt;NYears,"",'Engine B'!$K340-'Engine B'!$P340-'Engine B'!$Q340)</f>
        <v/>
      </c>
      <c r="M74" s="31" t="str">
        <f>IF($A74&gt;NYears,"",'Engine B'!$R340)</f>
        <v/>
      </c>
    </row>
    <row r="75" spans="1:13" x14ac:dyDescent="0.3">
      <c r="A75" s="29">
        <f>29</f>
        <v>29</v>
      </c>
      <c r="B75" s="30" t="str">
        <f t="shared" si="1"/>
        <v/>
      </c>
      <c r="C75" s="24" t="str">
        <f>IF($A75&gt;NYears,"",'Engine B'!$E352)</f>
        <v/>
      </c>
      <c r="D75" s="24" t="str">
        <f>IF($A75&gt;NYears,"",'Engine B'!$F341)</f>
        <v/>
      </c>
      <c r="E75" s="29" t="str">
        <f>IF($A75&gt;NYears,"",'Engine B'!$G341)</f>
        <v/>
      </c>
      <c r="F75" s="29" t="str">
        <f>IF($A75&gt;NYears,"",'Engine B'!$S352)</f>
        <v/>
      </c>
      <c r="G75" s="29" t="str">
        <f>IF($A75&gt;NYears,"",'Engine B'!$S352-'Engine B'!$G341)</f>
        <v/>
      </c>
      <c r="H75" s="24" t="str">
        <f>IF($A75&gt;NYears,"",'Engine B'!$S352*'Engine B'!$E352)</f>
        <v/>
      </c>
      <c r="I75" s="31" t="str">
        <f>IF($A75&gt;NYears,"",'Engine B'!$K352)</f>
        <v/>
      </c>
      <c r="J75" s="24" t="str">
        <f>IF($A75&gt;NYears,"",'Engine B'!$P352)</f>
        <v/>
      </c>
      <c r="K75" s="24" t="str">
        <f>IF($A75&gt;NYears,"",'Engine B'!$Q352)</f>
        <v/>
      </c>
      <c r="L75" s="31" t="str">
        <f>IF($A75&gt;NYears,"",'Engine B'!$K352-'Engine B'!$P352-'Engine B'!$Q352)</f>
        <v/>
      </c>
      <c r="M75" s="31" t="str">
        <f>IF($A75&gt;NYears,"",'Engine B'!$R352)</f>
        <v/>
      </c>
    </row>
    <row r="76" spans="1:13" x14ac:dyDescent="0.3">
      <c r="A76" s="29">
        <f>30</f>
        <v>30</v>
      </c>
      <c r="B76" s="30" t="str">
        <f t="shared" si="1"/>
        <v/>
      </c>
      <c r="C76" s="24" t="str">
        <f>IF($A76&gt;NYears,"",'Engine B'!$E364)</f>
        <v/>
      </c>
      <c r="D76" s="24" t="str">
        <f>IF($A76&gt;NYears,"",'Engine B'!$F353)</f>
        <v/>
      </c>
      <c r="E76" s="29" t="str">
        <f>IF($A76&gt;NYears,"",'Engine B'!$G353)</f>
        <v/>
      </c>
      <c r="F76" s="29" t="str">
        <f>IF($A76&gt;NYears,"",'Engine B'!$S364)</f>
        <v/>
      </c>
      <c r="G76" s="29" t="str">
        <f>IF($A76&gt;NYears,"",'Engine B'!$S364-'Engine B'!$G353)</f>
        <v/>
      </c>
      <c r="H76" s="24" t="str">
        <f>IF($A76&gt;NYears,"",'Engine B'!$S364*'Engine B'!$E364)</f>
        <v/>
      </c>
      <c r="I76" s="31" t="str">
        <f>IF($A76&gt;NYears,"",'Engine B'!$K364)</f>
        <v/>
      </c>
      <c r="J76" s="24" t="str">
        <f>IF($A76&gt;NYears,"",'Engine B'!$P364)</f>
        <v/>
      </c>
      <c r="K76" s="24" t="str">
        <f>IF($A76&gt;NYears,"",'Engine B'!$Q364)</f>
        <v/>
      </c>
      <c r="L76" s="31" t="str">
        <f>IF($A76&gt;NYears,"",'Engine B'!$K364-'Engine B'!$P364-'Engine B'!$Q364)</f>
        <v/>
      </c>
      <c r="M76" s="31" t="str">
        <f>IF($A76&gt;NYears,"",'Engine B'!$R364)</f>
        <v/>
      </c>
    </row>
    <row r="78" spans="1:13" ht="15.6" x14ac:dyDescent="0.3">
      <c r="A78" s="26" t="s">
        <v>75</v>
      </c>
      <c r="B78" s="27">
        <f>RateC</f>
        <v>0.1</v>
      </c>
      <c r="C78" s="28" t="s">
        <v>60</v>
      </c>
      <c r="D78" s="4"/>
      <c r="E78" s="4"/>
      <c r="F78" s="4"/>
      <c r="G78" s="4"/>
      <c r="H78" s="4"/>
      <c r="I78" s="4"/>
      <c r="J78" s="4"/>
      <c r="K78" s="4"/>
      <c r="L78" s="4"/>
      <c r="M78" s="4"/>
    </row>
    <row r="79" spans="1:13" ht="43.2" x14ac:dyDescent="0.3">
      <c r="A79" s="18" t="s">
        <v>61</v>
      </c>
      <c r="B79" s="18" t="s">
        <v>62</v>
      </c>
      <c r="C79" s="18" t="s">
        <v>63</v>
      </c>
      <c r="D79" s="18" t="s">
        <v>64</v>
      </c>
      <c r="E79" s="18" t="s">
        <v>65</v>
      </c>
      <c r="F79" s="18" t="s">
        <v>66</v>
      </c>
      <c r="G79" s="18" t="s">
        <v>67</v>
      </c>
      <c r="H79" s="18" t="s">
        <v>68</v>
      </c>
      <c r="I79" s="18" t="s">
        <v>69</v>
      </c>
      <c r="J79" s="18" t="s">
        <v>70</v>
      </c>
      <c r="K79" s="18" t="s">
        <v>71</v>
      </c>
      <c r="L79" s="18" t="s">
        <v>72</v>
      </c>
      <c r="M79" s="18" t="s">
        <v>73</v>
      </c>
    </row>
    <row r="80" spans="1:13" x14ac:dyDescent="0.3">
      <c r="A80" s="29">
        <f>1</f>
        <v>1</v>
      </c>
      <c r="B80" s="30">
        <f t="shared" ref="B80:B109" si="2">IF($A80&gt;NYears,"",EDATE(StartMonth,$A80*12-1))</f>
        <v>46722</v>
      </c>
      <c r="C80" s="24">
        <f>IF($A80&gt;NYears,"",'Engine C'!$E16)</f>
        <v>83333</v>
      </c>
      <c r="D80" s="24">
        <f>IF($A80&gt;NYears,"",'Engine C'!$F5)</f>
        <v>5000000</v>
      </c>
      <c r="E80" s="29">
        <f>IF($A80&gt;NYears,"",'Engine C'!$G5)</f>
        <v>60</v>
      </c>
      <c r="F80" s="29">
        <f>IF($A80&gt;NYears,"",'Engine C'!$S16)</f>
        <v>124</v>
      </c>
      <c r="G80" s="29">
        <f>IF($A80&gt;NYears,"",'Engine C'!$S16-'Engine C'!$G5)</f>
        <v>64</v>
      </c>
      <c r="H80" s="24">
        <f>IF($A80&gt;NYears,"",'Engine C'!$S16*'Engine C'!$E16)</f>
        <v>10333292</v>
      </c>
      <c r="I80" s="31">
        <f>IF($A80&gt;NYears,"",'Engine C'!$K16)</f>
        <v>9058297.0999999996</v>
      </c>
      <c r="J80" s="24">
        <f>IF($A80&gt;NYears,"",'Engine C'!$P16)</f>
        <v>3108807.5647199997</v>
      </c>
      <c r="K80" s="24">
        <f>IF($A80&gt;NYears,"",'Engine C'!$Q16)</f>
        <v>594948.95352800004</v>
      </c>
      <c r="L80" s="31">
        <f>IF($A80&gt;NYears,"",'Engine C'!$K16-'Engine C'!$P16-'Engine C'!$Q16)</f>
        <v>5354540.5817520004</v>
      </c>
      <c r="M80" s="31">
        <f>IF($A80&gt;NYears,"",'Engine C'!$R16)</f>
        <v>10354540.581752</v>
      </c>
    </row>
    <row r="81" spans="1:13" x14ac:dyDescent="0.3">
      <c r="A81" s="29">
        <f>2</f>
        <v>2</v>
      </c>
      <c r="B81" s="30">
        <f t="shared" si="2"/>
        <v>47088</v>
      </c>
      <c r="C81" s="24">
        <f>IF($A81&gt;NYears,"",'Engine C'!$E28)</f>
        <v>87499.650000000009</v>
      </c>
      <c r="D81" s="24">
        <f>IF($A81&gt;NYears,"",'Engine C'!$F17)</f>
        <v>10354540.581752</v>
      </c>
      <c r="E81" s="29">
        <f>IF($A81&gt;NYears,"",'Engine C'!$G17)</f>
        <v>118</v>
      </c>
      <c r="F81" s="29">
        <f>IF($A81&gt;NYears,"",'Engine C'!$S28)</f>
        <v>241</v>
      </c>
      <c r="G81" s="29">
        <f>IF($A81&gt;NYears,"",'Engine C'!$S28-'Engine C'!$G17)</f>
        <v>123</v>
      </c>
      <c r="H81" s="24">
        <f>IF($A81&gt;NYears,"",'Engine C'!$S28*'Engine C'!$E28)</f>
        <v>21087415.650000002</v>
      </c>
      <c r="I81" s="31">
        <f>IF($A81&gt;NYears,"",'Engine C'!$K28)</f>
        <v>18663675.345000006</v>
      </c>
      <c r="J81" s="24">
        <f>IF($A81&gt;NYears,"",'Engine C'!$P28)</f>
        <v>6696526.7137860022</v>
      </c>
      <c r="K81" s="24">
        <f>IF($A81&gt;NYears,"",'Engine C'!$Q28)</f>
        <v>1196714.8631214004</v>
      </c>
      <c r="L81" s="31">
        <f>IF($A81&gt;NYears,"",'Engine C'!$K28-'Engine C'!$P28-'Engine C'!$Q28)</f>
        <v>10770433.768092604</v>
      </c>
      <c r="M81" s="31">
        <f>IF($A81&gt;NYears,"",'Engine C'!$R28)</f>
        <v>21124974.349844594</v>
      </c>
    </row>
    <row r="82" spans="1:13" x14ac:dyDescent="0.3">
      <c r="A82" s="29">
        <f>3</f>
        <v>3</v>
      </c>
      <c r="B82" s="30">
        <f t="shared" si="2"/>
        <v>47453</v>
      </c>
      <c r="C82" s="24">
        <f>IF($A82&gt;NYears,"",'Engine C'!$E40)</f>
        <v>91874.632500000007</v>
      </c>
      <c r="D82" s="24">
        <f>IF($A82&gt;NYears,"",'Engine C'!$F29)</f>
        <v>21124974.349844594</v>
      </c>
      <c r="E82" s="29">
        <f>IF($A82&gt;NYears,"",'Engine C'!$G29)</f>
        <v>229</v>
      </c>
      <c r="F82" s="29">
        <f>IF($A82&gt;NYears,"",'Engine C'!$S40)</f>
        <v>454</v>
      </c>
      <c r="G82" s="29">
        <f>IF($A82&gt;NYears,"",'Engine C'!$S40-'Engine C'!$G29)</f>
        <v>225</v>
      </c>
      <c r="H82" s="24">
        <f>IF($A82&gt;NYears,"",'Engine C'!$S40*'Engine C'!$E40)</f>
        <v>41711083.155000001</v>
      </c>
      <c r="I82" s="31">
        <f>IF($A82&gt;NYears,"",'Engine C'!$K40)</f>
        <v>37549162.302750006</v>
      </c>
      <c r="J82" s="24">
        <f>IF($A82&gt;NYears,"",'Engine C'!$P40)</f>
        <v>14644173.298072502</v>
      </c>
      <c r="K82" s="24">
        <f>IF($A82&gt;NYears,"",'Engine C'!$Q40)</f>
        <v>2290498.9004677506</v>
      </c>
      <c r="L82" s="31">
        <f>IF($A82&gt;NYears,"",'Engine C'!$K40-'Engine C'!$P40-'Engine C'!$Q40)</f>
        <v>20614490.104209755</v>
      </c>
      <c r="M82" s="31">
        <f>IF($A82&gt;NYears,"",'Engine C'!$R40)</f>
        <v>41739464.454054333</v>
      </c>
    </row>
    <row r="83" spans="1:13" x14ac:dyDescent="0.3">
      <c r="A83" s="29">
        <f>4</f>
        <v>4</v>
      </c>
      <c r="B83" s="30">
        <f t="shared" si="2"/>
        <v>47818</v>
      </c>
      <c r="C83" s="24">
        <f>IF($A83&gt;NYears,"",'Engine C'!$E52)</f>
        <v>96468.364125000007</v>
      </c>
      <c r="D83" s="24">
        <f>IF($A83&gt;NYears,"",'Engine C'!$F41)</f>
        <v>41739464.454054333</v>
      </c>
      <c r="E83" s="29">
        <f>IF($A83&gt;NYears,"",'Engine C'!$G41)</f>
        <v>432</v>
      </c>
      <c r="F83" s="29">
        <f>IF($A83&gt;NYears,"",'Engine C'!$S52)</f>
        <v>855</v>
      </c>
      <c r="G83" s="29">
        <f>IF($A83&gt;NYears,"",'Engine C'!$S52-'Engine C'!$G41)</f>
        <v>423</v>
      </c>
      <c r="H83" s="24">
        <f>IF($A83&gt;NYears,"",'Engine C'!$S52*'Engine C'!$E52)</f>
        <v>82480451.326875001</v>
      </c>
      <c r="I83" s="31">
        <f>IF($A83&gt;NYears,"",'Engine C'!$K52)</f>
        <v>74251699.867012516</v>
      </c>
      <c r="J83" s="24">
        <f>IF($A83&gt;NYears,"",'Engine C'!$P52)</f>
        <v>28958162.948134881</v>
      </c>
      <c r="K83" s="24">
        <f>IF($A83&gt;NYears,"",'Engine C'!$Q52)</f>
        <v>4529353.6918877633</v>
      </c>
      <c r="L83" s="31">
        <f>IF($A83&gt;NYears,"",'Engine C'!$K52-'Engine C'!$P52-'Engine C'!$Q52)</f>
        <v>40764183.226989865</v>
      </c>
      <c r="M83" s="31">
        <f>IF($A83&gt;NYears,"",'Engine C'!$R52)</f>
        <v>82503647.681044191</v>
      </c>
    </row>
    <row r="84" spans="1:13" x14ac:dyDescent="0.3">
      <c r="A84" s="29">
        <f>5</f>
        <v>5</v>
      </c>
      <c r="B84" s="30">
        <f t="shared" si="2"/>
        <v>48183</v>
      </c>
      <c r="C84" s="24">
        <f>IF($A84&gt;NYears,"",'Engine C'!$E64)</f>
        <v>101291.78233125</v>
      </c>
      <c r="D84" s="24">
        <f>IF($A84&gt;NYears,"",'Engine C'!$F53)</f>
        <v>82503647.681044191</v>
      </c>
      <c r="E84" s="29">
        <f>IF($A84&gt;NYears,"",'Engine C'!$G53)</f>
        <v>814</v>
      </c>
      <c r="F84" s="29">
        <f>IF($A84&gt;NYears,"",'Engine C'!$S64)</f>
        <v>1610</v>
      </c>
      <c r="G84" s="29">
        <f>IF($A84&gt;NYears,"",'Engine C'!$S64-'Engine C'!$G53)</f>
        <v>796</v>
      </c>
      <c r="H84" s="24">
        <f>IF($A84&gt;NYears,"",'Engine C'!$S64*'Engine C'!$E64)</f>
        <v>163079769.55331248</v>
      </c>
      <c r="I84" s="31">
        <f>IF($A84&gt;NYears,"",'Engine C'!$K64)</f>
        <v>146893342.73677874</v>
      </c>
      <c r="J84" s="24">
        <f>IF($A84&gt;NYears,"",'Engine C'!$P64)</f>
        <v>57288403.667343721</v>
      </c>
      <c r="K84" s="24">
        <f>IF($A84&gt;NYears,"",'Engine C'!$Q64)</f>
        <v>8960493.9069435019</v>
      </c>
      <c r="L84" s="31">
        <f>IF($A84&gt;NYears,"",'Engine C'!$K64-'Engine C'!$P64-'Engine C'!$Q64)</f>
        <v>80644445.162491515</v>
      </c>
      <c r="M84" s="31">
        <f>IF($A84&gt;NYears,"",'Engine C'!$R64)</f>
        <v>163148092.84353572</v>
      </c>
    </row>
    <row r="85" spans="1:13" x14ac:dyDescent="0.3">
      <c r="A85" s="29">
        <f>6</f>
        <v>6</v>
      </c>
      <c r="B85" s="30">
        <f t="shared" si="2"/>
        <v>48549</v>
      </c>
      <c r="C85" s="24">
        <f>IF($A85&gt;NYears,"",'Engine C'!$E76)</f>
        <v>106356.3714478125</v>
      </c>
      <c r="D85" s="24">
        <f>IF($A85&gt;NYears,"",'Engine C'!$F65)</f>
        <v>163148092.84353572</v>
      </c>
      <c r="E85" s="29">
        <f>IF($A85&gt;NYears,"",'Engine C'!$G65)</f>
        <v>1533</v>
      </c>
      <c r="F85" s="29">
        <f>IF($A85&gt;NYears,"",'Engine C'!$S76)</f>
        <v>3106</v>
      </c>
      <c r="G85" s="29">
        <f>IF($A85&gt;NYears,"",'Engine C'!$S76-'Engine C'!$G65)</f>
        <v>1573</v>
      </c>
      <c r="H85" s="24">
        <f>IF($A85&gt;NYears,"",'Engine C'!$S76*'Engine C'!$E76)</f>
        <v>330342889.71690565</v>
      </c>
      <c r="I85" s="31">
        <f>IF($A85&gt;NYears,"",'Engine C'!$K76)</f>
        <v>290565606.79542375</v>
      </c>
      <c r="J85" s="24">
        <f>IF($A85&gt;NYears,"",'Engine C'!$P76)</f>
        <v>113320586.65021527</v>
      </c>
      <c r="K85" s="24">
        <f>IF($A85&gt;NYears,"",'Engine C'!$Q76)</f>
        <v>10000000</v>
      </c>
      <c r="L85" s="31">
        <f>IF($A85&gt;NYears,"",'Engine C'!$K76-'Engine C'!$P76-'Engine C'!$Q76)</f>
        <v>167245020.14520848</v>
      </c>
      <c r="M85" s="31">
        <f>IF($A85&gt;NYears,"",'Engine C'!$R76)</f>
        <v>330393112.98874426</v>
      </c>
    </row>
    <row r="86" spans="1:13" x14ac:dyDescent="0.3">
      <c r="A86" s="29">
        <f>7</f>
        <v>7</v>
      </c>
      <c r="B86" s="30">
        <f t="shared" si="2"/>
        <v>48914</v>
      </c>
      <c r="C86" s="24">
        <f>IF($A86&gt;NYears,"",'Engine C'!$E88)</f>
        <v>111674.19002020312</v>
      </c>
      <c r="D86" s="24">
        <f>IF($A86&gt;NYears,"",'Engine C'!$F77)</f>
        <v>330393112.98874426</v>
      </c>
      <c r="E86" s="29">
        <f>IF($A86&gt;NYears,"",'Engine C'!$G77)</f>
        <v>2958</v>
      </c>
      <c r="F86" s="29">
        <f>IF($A86&gt;NYears,"",'Engine C'!$S88)</f>
        <v>6083</v>
      </c>
      <c r="G86" s="29">
        <f>IF($A86&gt;NYears,"",'Engine C'!$S88-'Engine C'!$G77)</f>
        <v>3125</v>
      </c>
      <c r="H86" s="24">
        <f>IF($A86&gt;NYears,"",'Engine C'!$S88*'Engine C'!$E88)</f>
        <v>679314097.89289558</v>
      </c>
      <c r="I86" s="31">
        <f>IF($A86&gt;NYears,"",'Engine C'!$K88)</f>
        <v>588534148.82547247</v>
      </c>
      <c r="J86" s="24">
        <f>IF($A86&gt;NYears,"",'Engine C'!$P88)</f>
        <v>229528318.04193431</v>
      </c>
      <c r="K86" s="24">
        <f>IF($A86&gt;NYears,"",'Engine C'!$Q88)</f>
        <v>10000000</v>
      </c>
      <c r="L86" s="31">
        <f>IF($A86&gt;NYears,"",'Engine C'!$K88-'Engine C'!$P88-'Engine C'!$Q88)</f>
        <v>349005830.78353816</v>
      </c>
      <c r="M86" s="31">
        <f>IF($A86&gt;NYears,"",'Engine C'!$R88)</f>
        <v>679398943.77228248</v>
      </c>
    </row>
    <row r="87" spans="1:13" x14ac:dyDescent="0.3">
      <c r="A87" s="29">
        <f>8</f>
        <v>8</v>
      </c>
      <c r="B87" s="30">
        <f t="shared" si="2"/>
        <v>49279</v>
      </c>
      <c r="C87" s="24">
        <f>IF($A87&gt;NYears,"",'Engine C'!$E100)</f>
        <v>117257.8995212133</v>
      </c>
      <c r="D87" s="24">
        <f>IF($A87&gt;NYears,"",'Engine C'!$F89)</f>
        <v>679398943.77228248</v>
      </c>
      <c r="E87" s="29">
        <f>IF($A87&gt;NYears,"",'Engine C'!$G89)</f>
        <v>5794</v>
      </c>
      <c r="F87" s="29">
        <f>IF($A87&gt;NYears,"",'Engine C'!$S100)</f>
        <v>12005</v>
      </c>
      <c r="G87" s="29">
        <f>IF($A87&gt;NYears,"",'Engine C'!$S100-'Engine C'!$G89)</f>
        <v>6211</v>
      </c>
      <c r="H87" s="24">
        <f>IF($A87&gt;NYears,"",'Engine C'!$S100*'Engine C'!$E100)</f>
        <v>1407681083.7521658</v>
      </c>
      <c r="I87" s="31">
        <f>IF($A87&gt;NYears,"",'Engine C'!$K100)</f>
        <v>1210382942.0177722</v>
      </c>
      <c r="J87" s="24">
        <f>IF($A87&gt;NYears,"",'Engine C'!$P100)</f>
        <v>472049347.38693118</v>
      </c>
      <c r="K87" s="24">
        <f>IF($A87&gt;NYears,"",'Engine C'!$Q100)</f>
        <v>10000000</v>
      </c>
      <c r="L87" s="31">
        <f>IF($A87&gt;NYears,"",'Engine C'!$K100-'Engine C'!$P100-'Engine C'!$Q100)</f>
        <v>728333594.63084102</v>
      </c>
      <c r="M87" s="31">
        <f>IF($A87&gt;NYears,"",'Engine C'!$R100)</f>
        <v>1407732538.4031239</v>
      </c>
    </row>
    <row r="88" spans="1:13" x14ac:dyDescent="0.3">
      <c r="A88" s="29">
        <f>9</f>
        <v>9</v>
      </c>
      <c r="B88" s="30">
        <f t="shared" si="2"/>
        <v>49644</v>
      </c>
      <c r="C88" s="24">
        <f>IF($A88&gt;NYears,"",'Engine C'!$E112)</f>
        <v>123120.79449727395</v>
      </c>
      <c r="D88" s="24">
        <f>IF($A88&gt;NYears,"",'Engine C'!$F101)</f>
        <v>1407732538.4031239</v>
      </c>
      <c r="E88" s="29">
        <f>IF($A88&gt;NYears,"",'Engine C'!$G101)</f>
        <v>11433</v>
      </c>
      <c r="F88" s="29">
        <f>IF($A88&gt;NYears,"",'Engine C'!$S112)</f>
        <v>23778</v>
      </c>
      <c r="G88" s="29">
        <f>IF($A88&gt;NYears,"",'Engine C'!$S112-'Engine C'!$G101)</f>
        <v>12345</v>
      </c>
      <c r="H88" s="24">
        <f>IF($A88&gt;NYears,"",'Engine C'!$S112*'Engine C'!$E112)</f>
        <v>2927566251.55618</v>
      </c>
      <c r="I88" s="31">
        <f>IF($A88&gt;NYears,"",'Engine C'!$K112)</f>
        <v>2508044456.386169</v>
      </c>
      <c r="J88" s="24">
        <f>IF($A88&gt;NYears,"",'Engine C'!$P112)</f>
        <v>978137337.99060595</v>
      </c>
      <c r="K88" s="24">
        <f>IF($A88&gt;NYears,"",'Engine C'!$Q112)</f>
        <v>10000000</v>
      </c>
      <c r="L88" s="31">
        <f>IF($A88&gt;NYears,"",'Engine C'!$K112-'Engine C'!$P112-'Engine C'!$Q112)</f>
        <v>1519907118.3955631</v>
      </c>
      <c r="M88" s="31">
        <f>IF($A88&gt;NYears,"",'Engine C'!$R112)</f>
        <v>2927639656.798687</v>
      </c>
    </row>
    <row r="89" spans="1:13" x14ac:dyDescent="0.3">
      <c r="A89" s="29">
        <f>10</f>
        <v>10</v>
      </c>
      <c r="B89" s="30">
        <f t="shared" si="2"/>
        <v>50010</v>
      </c>
      <c r="C89" s="24">
        <f>IF($A89&gt;NYears,"",'Engine C'!$E124)</f>
        <v>129276.83422213765</v>
      </c>
      <c r="D89" s="24">
        <f>IF($A89&gt;NYears,"",'Engine C'!$F113)</f>
        <v>2927639656.798687</v>
      </c>
      <c r="E89" s="29">
        <f>IF($A89&gt;NYears,"",'Engine C'!$G113)</f>
        <v>22646</v>
      </c>
      <c r="F89" s="29">
        <f>IF($A89&gt;NYears,"",'Engine C'!$S124)</f>
        <v>47181</v>
      </c>
      <c r="G89" s="29">
        <f>IF($A89&gt;NYears,"",'Engine C'!$S124-'Engine C'!$G113)</f>
        <v>24535</v>
      </c>
      <c r="H89" s="24">
        <f>IF($A89&gt;NYears,"",'Engine C'!$S124*'Engine C'!$E124)</f>
        <v>6099410315.4346762</v>
      </c>
      <c r="I89" s="31">
        <f>IF($A89&gt;NYears,"",'Engine C'!$K124)</f>
        <v>5216035851.8279657</v>
      </c>
      <c r="J89" s="24">
        <f>IF($A89&gt;NYears,"",'Engine C'!$P124)</f>
        <v>2034253982.2129068</v>
      </c>
      <c r="K89" s="24">
        <f>IF($A89&gt;NYears,"",'Engine C'!$Q124)</f>
        <v>10000000</v>
      </c>
      <c r="L89" s="31">
        <f>IF($A89&gt;NYears,"",'Engine C'!$K124-'Engine C'!$P124-'Engine C'!$Q124)</f>
        <v>3171781869.6150589</v>
      </c>
      <c r="M89" s="31">
        <f>IF($A89&gt;NYears,"",'Engine C'!$R124)</f>
        <v>6099421526.4137459</v>
      </c>
    </row>
    <row r="90" spans="1:13" x14ac:dyDescent="0.3">
      <c r="A90" s="29">
        <f>11</f>
        <v>11</v>
      </c>
      <c r="B90" s="30">
        <f t="shared" si="2"/>
        <v>50375</v>
      </c>
      <c r="C90" s="24">
        <f>IF($A90&gt;NYears,"",'Engine C'!$E136)</f>
        <v>135740.67593324455</v>
      </c>
      <c r="D90" s="24">
        <f>IF($A90&gt;NYears,"",'Engine C'!$F125)</f>
        <v>6099421526.4137459</v>
      </c>
      <c r="E90" s="29">
        <f>IF($A90&gt;NYears,"",'Engine C'!$G125)</f>
        <v>44934</v>
      </c>
      <c r="F90" s="29">
        <f>IF($A90&gt;NYears,"",'Engine C'!$S136)</f>
        <v>93696</v>
      </c>
      <c r="G90" s="29">
        <f>IF($A90&gt;NYears,"",'Engine C'!$S136-'Engine C'!$G125)</f>
        <v>48762</v>
      </c>
      <c r="H90" s="24">
        <f>IF($A90&gt;NYears,"",'Engine C'!$S136*'Engine C'!$E136)</f>
        <v>12718358372.241282</v>
      </c>
      <c r="I90" s="31">
        <f>IF($A90&gt;NYears,"",'Engine C'!$K136)</f>
        <v>10867181330.134066</v>
      </c>
      <c r="J90" s="24">
        <f>IF($A90&gt;NYears,"",'Engine C'!$P136)</f>
        <v>4238200718.752286</v>
      </c>
      <c r="K90" s="24">
        <f>IF($A90&gt;NYears,"",'Engine C'!$Q136)</f>
        <v>10000000</v>
      </c>
      <c r="L90" s="31">
        <f>IF($A90&gt;NYears,"",'Engine C'!$K136-'Engine C'!$P136-'Engine C'!$Q136)</f>
        <v>6618980611.3817797</v>
      </c>
      <c r="M90" s="31">
        <f>IF($A90&gt;NYears,"",'Engine C'!$R136)</f>
        <v>12718402137.795528</v>
      </c>
    </row>
    <row r="91" spans="1:13" x14ac:dyDescent="0.3">
      <c r="A91" s="29">
        <f>12</f>
        <v>12</v>
      </c>
      <c r="B91" s="30">
        <f t="shared" si="2"/>
        <v>50740</v>
      </c>
      <c r="C91" s="24">
        <f>IF($A91&gt;NYears,"",'Engine C'!$E148)</f>
        <v>142527.70972990678</v>
      </c>
      <c r="D91" s="24">
        <f>IF($A91&gt;NYears,"",'Engine C'!$F137)</f>
        <v>12718402137.795528</v>
      </c>
      <c r="E91" s="29">
        <f>IF($A91&gt;NYears,"",'Engine C'!$G137)</f>
        <v>89234</v>
      </c>
      <c r="F91" s="29">
        <f>IF($A91&gt;NYears,"",'Engine C'!$S148)</f>
        <v>186146</v>
      </c>
      <c r="G91" s="29">
        <f>IF($A91&gt;NYears,"",'Engine C'!$S148-'Engine C'!$G137)</f>
        <v>96912</v>
      </c>
      <c r="H91" s="24">
        <f>IF($A91&gt;NYears,"",'Engine C'!$S148*'Engine C'!$E148)</f>
        <v>26530963055.383228</v>
      </c>
      <c r="I91" s="31">
        <f>IF($A91&gt;NYears,"",'Engine C'!$K148)</f>
        <v>22660138503.454529</v>
      </c>
      <c r="J91" s="24">
        <f>IF($A91&gt;NYears,"",'Engine C'!$P148)</f>
        <v>8837454016.3472672</v>
      </c>
      <c r="K91" s="24">
        <f>IF($A91&gt;NYears,"",'Engine C'!$Q148)</f>
        <v>10000000</v>
      </c>
      <c r="L91" s="31">
        <f>IF($A91&gt;NYears,"",'Engine C'!$K148-'Engine C'!$P148-'Engine C'!$Q148)</f>
        <v>13812684487.107262</v>
      </c>
      <c r="M91" s="31">
        <f>IF($A91&gt;NYears,"",'Engine C'!$R148)</f>
        <v>26531086624.90279</v>
      </c>
    </row>
    <row r="92" spans="1:13" x14ac:dyDescent="0.3">
      <c r="A92" s="29">
        <f>13</f>
        <v>13</v>
      </c>
      <c r="B92" s="30" t="str">
        <f t="shared" si="2"/>
        <v/>
      </c>
      <c r="C92" s="24" t="str">
        <f>IF($A92&gt;NYears,"",'Engine C'!$E160)</f>
        <v/>
      </c>
      <c r="D92" s="24" t="str">
        <f>IF($A92&gt;NYears,"",'Engine C'!$F149)</f>
        <v/>
      </c>
      <c r="E92" s="29" t="str">
        <f>IF($A92&gt;NYears,"",'Engine C'!$G149)</f>
        <v/>
      </c>
      <c r="F92" s="29" t="str">
        <f>IF($A92&gt;NYears,"",'Engine C'!$S160)</f>
        <v/>
      </c>
      <c r="G92" s="29" t="str">
        <f>IF($A92&gt;NYears,"",'Engine C'!$S160-'Engine C'!$G149)</f>
        <v/>
      </c>
      <c r="H92" s="24" t="str">
        <f>IF($A92&gt;NYears,"",'Engine C'!$S160*'Engine C'!$E160)</f>
        <v/>
      </c>
      <c r="I92" s="31" t="str">
        <f>IF($A92&gt;NYears,"",'Engine C'!$K160)</f>
        <v/>
      </c>
      <c r="J92" s="24" t="str">
        <f>IF($A92&gt;NYears,"",'Engine C'!$P160)</f>
        <v/>
      </c>
      <c r="K92" s="24" t="str">
        <f>IF($A92&gt;NYears,"",'Engine C'!$Q160)</f>
        <v/>
      </c>
      <c r="L92" s="31" t="str">
        <f>IF($A92&gt;NYears,"",'Engine C'!$K160-'Engine C'!$P160-'Engine C'!$Q160)</f>
        <v/>
      </c>
      <c r="M92" s="31" t="str">
        <f>IF($A92&gt;NYears,"",'Engine C'!$R160)</f>
        <v/>
      </c>
    </row>
    <row r="93" spans="1:13" x14ac:dyDescent="0.3">
      <c r="A93" s="29">
        <f>14</f>
        <v>14</v>
      </c>
      <c r="B93" s="30" t="str">
        <f t="shared" si="2"/>
        <v/>
      </c>
      <c r="C93" s="24" t="str">
        <f>IF($A93&gt;NYears,"",'Engine C'!$E172)</f>
        <v/>
      </c>
      <c r="D93" s="24" t="str">
        <f>IF($A93&gt;NYears,"",'Engine C'!$F161)</f>
        <v/>
      </c>
      <c r="E93" s="29" t="str">
        <f>IF($A93&gt;NYears,"",'Engine C'!$G161)</f>
        <v/>
      </c>
      <c r="F93" s="29" t="str">
        <f>IF($A93&gt;NYears,"",'Engine C'!$S172)</f>
        <v/>
      </c>
      <c r="G93" s="29" t="str">
        <f>IF($A93&gt;NYears,"",'Engine C'!$S172-'Engine C'!$G161)</f>
        <v/>
      </c>
      <c r="H93" s="24" t="str">
        <f>IF($A93&gt;NYears,"",'Engine C'!$S172*'Engine C'!$E172)</f>
        <v/>
      </c>
      <c r="I93" s="31" t="str">
        <f>IF($A93&gt;NYears,"",'Engine C'!$K172)</f>
        <v/>
      </c>
      <c r="J93" s="24" t="str">
        <f>IF($A93&gt;NYears,"",'Engine C'!$P172)</f>
        <v/>
      </c>
      <c r="K93" s="24" t="str">
        <f>IF($A93&gt;NYears,"",'Engine C'!$Q172)</f>
        <v/>
      </c>
      <c r="L93" s="31" t="str">
        <f>IF($A93&gt;NYears,"",'Engine C'!$K172-'Engine C'!$P172-'Engine C'!$Q172)</f>
        <v/>
      </c>
      <c r="M93" s="31" t="str">
        <f>IF($A93&gt;NYears,"",'Engine C'!$R172)</f>
        <v/>
      </c>
    </row>
    <row r="94" spans="1:13" x14ac:dyDescent="0.3">
      <c r="A94" s="29">
        <f>15</f>
        <v>15</v>
      </c>
      <c r="B94" s="30" t="str">
        <f t="shared" si="2"/>
        <v/>
      </c>
      <c r="C94" s="24" t="str">
        <f>IF($A94&gt;NYears,"",'Engine C'!$E184)</f>
        <v/>
      </c>
      <c r="D94" s="24" t="str">
        <f>IF($A94&gt;NYears,"",'Engine C'!$F173)</f>
        <v/>
      </c>
      <c r="E94" s="29" t="str">
        <f>IF($A94&gt;NYears,"",'Engine C'!$G173)</f>
        <v/>
      </c>
      <c r="F94" s="29" t="str">
        <f>IF($A94&gt;NYears,"",'Engine C'!$S184)</f>
        <v/>
      </c>
      <c r="G94" s="29" t="str">
        <f>IF($A94&gt;NYears,"",'Engine C'!$S184-'Engine C'!$G173)</f>
        <v/>
      </c>
      <c r="H94" s="24" t="str">
        <f>IF($A94&gt;NYears,"",'Engine C'!$S184*'Engine C'!$E184)</f>
        <v/>
      </c>
      <c r="I94" s="31" t="str">
        <f>IF($A94&gt;NYears,"",'Engine C'!$K184)</f>
        <v/>
      </c>
      <c r="J94" s="24" t="str">
        <f>IF($A94&gt;NYears,"",'Engine C'!$P184)</f>
        <v/>
      </c>
      <c r="K94" s="24" t="str">
        <f>IF($A94&gt;NYears,"",'Engine C'!$Q184)</f>
        <v/>
      </c>
      <c r="L94" s="31" t="str">
        <f>IF($A94&gt;NYears,"",'Engine C'!$K184-'Engine C'!$P184-'Engine C'!$Q184)</f>
        <v/>
      </c>
      <c r="M94" s="31" t="str">
        <f>IF($A94&gt;NYears,"",'Engine C'!$R184)</f>
        <v/>
      </c>
    </row>
    <row r="95" spans="1:13" x14ac:dyDescent="0.3">
      <c r="A95" s="29">
        <f>16</f>
        <v>16</v>
      </c>
      <c r="B95" s="30" t="str">
        <f t="shared" si="2"/>
        <v/>
      </c>
      <c r="C95" s="24" t="str">
        <f>IF($A95&gt;NYears,"",'Engine C'!$E196)</f>
        <v/>
      </c>
      <c r="D95" s="24" t="str">
        <f>IF($A95&gt;NYears,"",'Engine C'!$F185)</f>
        <v/>
      </c>
      <c r="E95" s="29" t="str">
        <f>IF($A95&gt;NYears,"",'Engine C'!$G185)</f>
        <v/>
      </c>
      <c r="F95" s="29" t="str">
        <f>IF($A95&gt;NYears,"",'Engine C'!$S196)</f>
        <v/>
      </c>
      <c r="G95" s="29" t="str">
        <f>IF($A95&gt;NYears,"",'Engine C'!$S196-'Engine C'!$G185)</f>
        <v/>
      </c>
      <c r="H95" s="24" t="str">
        <f>IF($A95&gt;NYears,"",'Engine C'!$S196*'Engine C'!$E196)</f>
        <v/>
      </c>
      <c r="I95" s="31" t="str">
        <f>IF($A95&gt;NYears,"",'Engine C'!$K196)</f>
        <v/>
      </c>
      <c r="J95" s="24" t="str">
        <f>IF($A95&gt;NYears,"",'Engine C'!$P196)</f>
        <v/>
      </c>
      <c r="K95" s="24" t="str">
        <f>IF($A95&gt;NYears,"",'Engine C'!$Q196)</f>
        <v/>
      </c>
      <c r="L95" s="31" t="str">
        <f>IF($A95&gt;NYears,"",'Engine C'!$K196-'Engine C'!$P196-'Engine C'!$Q196)</f>
        <v/>
      </c>
      <c r="M95" s="31" t="str">
        <f>IF($A95&gt;NYears,"",'Engine C'!$R196)</f>
        <v/>
      </c>
    </row>
    <row r="96" spans="1:13" x14ac:dyDescent="0.3">
      <c r="A96" s="29">
        <f>17</f>
        <v>17</v>
      </c>
      <c r="B96" s="30" t="str">
        <f t="shared" si="2"/>
        <v/>
      </c>
      <c r="C96" s="24" t="str">
        <f>IF($A96&gt;NYears,"",'Engine C'!$E208)</f>
        <v/>
      </c>
      <c r="D96" s="24" t="str">
        <f>IF($A96&gt;NYears,"",'Engine C'!$F197)</f>
        <v/>
      </c>
      <c r="E96" s="29" t="str">
        <f>IF($A96&gt;NYears,"",'Engine C'!$G197)</f>
        <v/>
      </c>
      <c r="F96" s="29" t="str">
        <f>IF($A96&gt;NYears,"",'Engine C'!$S208)</f>
        <v/>
      </c>
      <c r="G96" s="29" t="str">
        <f>IF($A96&gt;NYears,"",'Engine C'!$S208-'Engine C'!$G197)</f>
        <v/>
      </c>
      <c r="H96" s="24" t="str">
        <f>IF($A96&gt;NYears,"",'Engine C'!$S208*'Engine C'!$E208)</f>
        <v/>
      </c>
      <c r="I96" s="31" t="str">
        <f>IF($A96&gt;NYears,"",'Engine C'!$K208)</f>
        <v/>
      </c>
      <c r="J96" s="24" t="str">
        <f>IF($A96&gt;NYears,"",'Engine C'!$P208)</f>
        <v/>
      </c>
      <c r="K96" s="24" t="str">
        <f>IF($A96&gt;NYears,"",'Engine C'!$Q208)</f>
        <v/>
      </c>
      <c r="L96" s="31" t="str">
        <f>IF($A96&gt;NYears,"",'Engine C'!$K208-'Engine C'!$P208-'Engine C'!$Q208)</f>
        <v/>
      </c>
      <c r="M96" s="31" t="str">
        <f>IF($A96&gt;NYears,"",'Engine C'!$R208)</f>
        <v/>
      </c>
    </row>
    <row r="97" spans="1:13" x14ac:dyDescent="0.3">
      <c r="A97" s="29">
        <f>18</f>
        <v>18</v>
      </c>
      <c r="B97" s="30" t="str">
        <f t="shared" si="2"/>
        <v/>
      </c>
      <c r="C97" s="24" t="str">
        <f>IF($A97&gt;NYears,"",'Engine C'!$E220)</f>
        <v/>
      </c>
      <c r="D97" s="24" t="str">
        <f>IF($A97&gt;NYears,"",'Engine C'!$F209)</f>
        <v/>
      </c>
      <c r="E97" s="29" t="str">
        <f>IF($A97&gt;NYears,"",'Engine C'!$G209)</f>
        <v/>
      </c>
      <c r="F97" s="29" t="str">
        <f>IF($A97&gt;NYears,"",'Engine C'!$S220)</f>
        <v/>
      </c>
      <c r="G97" s="29" t="str">
        <f>IF($A97&gt;NYears,"",'Engine C'!$S220-'Engine C'!$G209)</f>
        <v/>
      </c>
      <c r="H97" s="24" t="str">
        <f>IF($A97&gt;NYears,"",'Engine C'!$S220*'Engine C'!$E220)</f>
        <v/>
      </c>
      <c r="I97" s="31" t="str">
        <f>IF($A97&gt;NYears,"",'Engine C'!$K220)</f>
        <v/>
      </c>
      <c r="J97" s="24" t="str">
        <f>IF($A97&gt;NYears,"",'Engine C'!$P220)</f>
        <v/>
      </c>
      <c r="K97" s="24" t="str">
        <f>IF($A97&gt;NYears,"",'Engine C'!$Q220)</f>
        <v/>
      </c>
      <c r="L97" s="31" t="str">
        <f>IF($A97&gt;NYears,"",'Engine C'!$K220-'Engine C'!$P220-'Engine C'!$Q220)</f>
        <v/>
      </c>
      <c r="M97" s="31" t="str">
        <f>IF($A97&gt;NYears,"",'Engine C'!$R220)</f>
        <v/>
      </c>
    </row>
    <row r="98" spans="1:13" x14ac:dyDescent="0.3">
      <c r="A98" s="29">
        <f>19</f>
        <v>19</v>
      </c>
      <c r="B98" s="30" t="str">
        <f t="shared" si="2"/>
        <v/>
      </c>
      <c r="C98" s="24" t="str">
        <f>IF($A98&gt;NYears,"",'Engine C'!$E232)</f>
        <v/>
      </c>
      <c r="D98" s="24" t="str">
        <f>IF($A98&gt;NYears,"",'Engine C'!$F221)</f>
        <v/>
      </c>
      <c r="E98" s="29" t="str">
        <f>IF($A98&gt;NYears,"",'Engine C'!$G221)</f>
        <v/>
      </c>
      <c r="F98" s="29" t="str">
        <f>IF($A98&gt;NYears,"",'Engine C'!$S232)</f>
        <v/>
      </c>
      <c r="G98" s="29" t="str">
        <f>IF($A98&gt;NYears,"",'Engine C'!$S232-'Engine C'!$G221)</f>
        <v/>
      </c>
      <c r="H98" s="24" t="str">
        <f>IF($A98&gt;NYears,"",'Engine C'!$S232*'Engine C'!$E232)</f>
        <v/>
      </c>
      <c r="I98" s="31" t="str">
        <f>IF($A98&gt;NYears,"",'Engine C'!$K232)</f>
        <v/>
      </c>
      <c r="J98" s="24" t="str">
        <f>IF($A98&gt;NYears,"",'Engine C'!$P232)</f>
        <v/>
      </c>
      <c r="K98" s="24" t="str">
        <f>IF($A98&gt;NYears,"",'Engine C'!$Q232)</f>
        <v/>
      </c>
      <c r="L98" s="31" t="str">
        <f>IF($A98&gt;NYears,"",'Engine C'!$K232-'Engine C'!$P232-'Engine C'!$Q232)</f>
        <v/>
      </c>
      <c r="M98" s="31" t="str">
        <f>IF($A98&gt;NYears,"",'Engine C'!$R232)</f>
        <v/>
      </c>
    </row>
    <row r="99" spans="1:13" x14ac:dyDescent="0.3">
      <c r="A99" s="29">
        <f>20</f>
        <v>20</v>
      </c>
      <c r="B99" s="30" t="str">
        <f t="shared" si="2"/>
        <v/>
      </c>
      <c r="C99" s="24" t="str">
        <f>IF($A99&gt;NYears,"",'Engine C'!$E244)</f>
        <v/>
      </c>
      <c r="D99" s="24" t="str">
        <f>IF($A99&gt;NYears,"",'Engine C'!$F233)</f>
        <v/>
      </c>
      <c r="E99" s="29" t="str">
        <f>IF($A99&gt;NYears,"",'Engine C'!$G233)</f>
        <v/>
      </c>
      <c r="F99" s="29" t="str">
        <f>IF($A99&gt;NYears,"",'Engine C'!$S244)</f>
        <v/>
      </c>
      <c r="G99" s="29" t="str">
        <f>IF($A99&gt;NYears,"",'Engine C'!$S244-'Engine C'!$G233)</f>
        <v/>
      </c>
      <c r="H99" s="24" t="str">
        <f>IF($A99&gt;NYears,"",'Engine C'!$S244*'Engine C'!$E244)</f>
        <v/>
      </c>
      <c r="I99" s="31" t="str">
        <f>IF($A99&gt;NYears,"",'Engine C'!$K244)</f>
        <v/>
      </c>
      <c r="J99" s="24" t="str">
        <f>IF($A99&gt;NYears,"",'Engine C'!$P244)</f>
        <v/>
      </c>
      <c r="K99" s="24" t="str">
        <f>IF($A99&gt;NYears,"",'Engine C'!$Q244)</f>
        <v/>
      </c>
      <c r="L99" s="31" t="str">
        <f>IF($A99&gt;NYears,"",'Engine C'!$K244-'Engine C'!$P244-'Engine C'!$Q244)</f>
        <v/>
      </c>
      <c r="M99" s="31" t="str">
        <f>IF($A99&gt;NYears,"",'Engine C'!$R244)</f>
        <v/>
      </c>
    </row>
    <row r="100" spans="1:13" x14ac:dyDescent="0.3">
      <c r="A100" s="29">
        <f>21</f>
        <v>21</v>
      </c>
      <c r="B100" s="30" t="str">
        <f t="shared" si="2"/>
        <v/>
      </c>
      <c r="C100" s="24" t="str">
        <f>IF($A100&gt;NYears,"",'Engine C'!$E256)</f>
        <v/>
      </c>
      <c r="D100" s="24" t="str">
        <f>IF($A100&gt;NYears,"",'Engine C'!$F245)</f>
        <v/>
      </c>
      <c r="E100" s="29" t="str">
        <f>IF($A100&gt;NYears,"",'Engine C'!$G245)</f>
        <v/>
      </c>
      <c r="F100" s="29" t="str">
        <f>IF($A100&gt;NYears,"",'Engine C'!$S256)</f>
        <v/>
      </c>
      <c r="G100" s="29" t="str">
        <f>IF($A100&gt;NYears,"",'Engine C'!$S256-'Engine C'!$G245)</f>
        <v/>
      </c>
      <c r="H100" s="24" t="str">
        <f>IF($A100&gt;NYears,"",'Engine C'!$S256*'Engine C'!$E256)</f>
        <v/>
      </c>
      <c r="I100" s="31" t="str">
        <f>IF($A100&gt;NYears,"",'Engine C'!$K256)</f>
        <v/>
      </c>
      <c r="J100" s="24" t="str">
        <f>IF($A100&gt;NYears,"",'Engine C'!$P256)</f>
        <v/>
      </c>
      <c r="K100" s="24" t="str">
        <f>IF($A100&gt;NYears,"",'Engine C'!$Q256)</f>
        <v/>
      </c>
      <c r="L100" s="31" t="str">
        <f>IF($A100&gt;NYears,"",'Engine C'!$K256-'Engine C'!$P256-'Engine C'!$Q256)</f>
        <v/>
      </c>
      <c r="M100" s="31" t="str">
        <f>IF($A100&gt;NYears,"",'Engine C'!$R256)</f>
        <v/>
      </c>
    </row>
    <row r="101" spans="1:13" x14ac:dyDescent="0.3">
      <c r="A101" s="29">
        <f>22</f>
        <v>22</v>
      </c>
      <c r="B101" s="30" t="str">
        <f t="shared" si="2"/>
        <v/>
      </c>
      <c r="C101" s="24" t="str">
        <f>IF($A101&gt;NYears,"",'Engine C'!$E268)</f>
        <v/>
      </c>
      <c r="D101" s="24" t="str">
        <f>IF($A101&gt;NYears,"",'Engine C'!$F257)</f>
        <v/>
      </c>
      <c r="E101" s="29" t="str">
        <f>IF($A101&gt;NYears,"",'Engine C'!$G257)</f>
        <v/>
      </c>
      <c r="F101" s="29" t="str">
        <f>IF($A101&gt;NYears,"",'Engine C'!$S268)</f>
        <v/>
      </c>
      <c r="G101" s="29" t="str">
        <f>IF($A101&gt;NYears,"",'Engine C'!$S268-'Engine C'!$G257)</f>
        <v/>
      </c>
      <c r="H101" s="24" t="str">
        <f>IF($A101&gt;NYears,"",'Engine C'!$S268*'Engine C'!$E268)</f>
        <v/>
      </c>
      <c r="I101" s="31" t="str">
        <f>IF($A101&gt;NYears,"",'Engine C'!$K268)</f>
        <v/>
      </c>
      <c r="J101" s="24" t="str">
        <f>IF($A101&gt;NYears,"",'Engine C'!$P268)</f>
        <v/>
      </c>
      <c r="K101" s="24" t="str">
        <f>IF($A101&gt;NYears,"",'Engine C'!$Q268)</f>
        <v/>
      </c>
      <c r="L101" s="31" t="str">
        <f>IF($A101&gt;NYears,"",'Engine C'!$K268-'Engine C'!$P268-'Engine C'!$Q268)</f>
        <v/>
      </c>
      <c r="M101" s="31" t="str">
        <f>IF($A101&gt;NYears,"",'Engine C'!$R268)</f>
        <v/>
      </c>
    </row>
    <row r="102" spans="1:13" x14ac:dyDescent="0.3">
      <c r="A102" s="29">
        <f>23</f>
        <v>23</v>
      </c>
      <c r="B102" s="30" t="str">
        <f t="shared" si="2"/>
        <v/>
      </c>
      <c r="C102" s="24" t="str">
        <f>IF($A102&gt;NYears,"",'Engine C'!$E280)</f>
        <v/>
      </c>
      <c r="D102" s="24" t="str">
        <f>IF($A102&gt;NYears,"",'Engine C'!$F269)</f>
        <v/>
      </c>
      <c r="E102" s="29" t="str">
        <f>IF($A102&gt;NYears,"",'Engine C'!$G269)</f>
        <v/>
      </c>
      <c r="F102" s="29" t="str">
        <f>IF($A102&gt;NYears,"",'Engine C'!$S280)</f>
        <v/>
      </c>
      <c r="G102" s="29" t="str">
        <f>IF($A102&gt;NYears,"",'Engine C'!$S280-'Engine C'!$G269)</f>
        <v/>
      </c>
      <c r="H102" s="24" t="str">
        <f>IF($A102&gt;NYears,"",'Engine C'!$S280*'Engine C'!$E280)</f>
        <v/>
      </c>
      <c r="I102" s="31" t="str">
        <f>IF($A102&gt;NYears,"",'Engine C'!$K280)</f>
        <v/>
      </c>
      <c r="J102" s="24" t="str">
        <f>IF($A102&gt;NYears,"",'Engine C'!$P280)</f>
        <v/>
      </c>
      <c r="K102" s="24" t="str">
        <f>IF($A102&gt;NYears,"",'Engine C'!$Q280)</f>
        <v/>
      </c>
      <c r="L102" s="31" t="str">
        <f>IF($A102&gt;NYears,"",'Engine C'!$K280-'Engine C'!$P280-'Engine C'!$Q280)</f>
        <v/>
      </c>
      <c r="M102" s="31" t="str">
        <f>IF($A102&gt;NYears,"",'Engine C'!$R280)</f>
        <v/>
      </c>
    </row>
    <row r="103" spans="1:13" x14ac:dyDescent="0.3">
      <c r="A103" s="29">
        <f>24</f>
        <v>24</v>
      </c>
      <c r="B103" s="30" t="str">
        <f t="shared" si="2"/>
        <v/>
      </c>
      <c r="C103" s="24" t="str">
        <f>IF($A103&gt;NYears,"",'Engine C'!$E292)</f>
        <v/>
      </c>
      <c r="D103" s="24" t="str">
        <f>IF($A103&gt;NYears,"",'Engine C'!$F281)</f>
        <v/>
      </c>
      <c r="E103" s="29" t="str">
        <f>IF($A103&gt;NYears,"",'Engine C'!$G281)</f>
        <v/>
      </c>
      <c r="F103" s="29" t="str">
        <f>IF($A103&gt;NYears,"",'Engine C'!$S292)</f>
        <v/>
      </c>
      <c r="G103" s="29" t="str">
        <f>IF($A103&gt;NYears,"",'Engine C'!$S292-'Engine C'!$G281)</f>
        <v/>
      </c>
      <c r="H103" s="24" t="str">
        <f>IF($A103&gt;NYears,"",'Engine C'!$S292*'Engine C'!$E292)</f>
        <v/>
      </c>
      <c r="I103" s="31" t="str">
        <f>IF($A103&gt;NYears,"",'Engine C'!$K292)</f>
        <v/>
      </c>
      <c r="J103" s="24" t="str">
        <f>IF($A103&gt;NYears,"",'Engine C'!$P292)</f>
        <v/>
      </c>
      <c r="K103" s="24" t="str">
        <f>IF($A103&gt;NYears,"",'Engine C'!$Q292)</f>
        <v/>
      </c>
      <c r="L103" s="31" t="str">
        <f>IF($A103&gt;NYears,"",'Engine C'!$K292-'Engine C'!$P292-'Engine C'!$Q292)</f>
        <v/>
      </c>
      <c r="M103" s="31" t="str">
        <f>IF($A103&gt;NYears,"",'Engine C'!$R292)</f>
        <v/>
      </c>
    </row>
    <row r="104" spans="1:13" x14ac:dyDescent="0.3">
      <c r="A104" s="29">
        <f>25</f>
        <v>25</v>
      </c>
      <c r="B104" s="30" t="str">
        <f t="shared" si="2"/>
        <v/>
      </c>
      <c r="C104" s="24" t="str">
        <f>IF($A104&gt;NYears,"",'Engine C'!$E304)</f>
        <v/>
      </c>
      <c r="D104" s="24" t="str">
        <f>IF($A104&gt;NYears,"",'Engine C'!$F293)</f>
        <v/>
      </c>
      <c r="E104" s="29" t="str">
        <f>IF($A104&gt;NYears,"",'Engine C'!$G293)</f>
        <v/>
      </c>
      <c r="F104" s="29" t="str">
        <f>IF($A104&gt;NYears,"",'Engine C'!$S304)</f>
        <v/>
      </c>
      <c r="G104" s="29" t="str">
        <f>IF($A104&gt;NYears,"",'Engine C'!$S304-'Engine C'!$G293)</f>
        <v/>
      </c>
      <c r="H104" s="24" t="str">
        <f>IF($A104&gt;NYears,"",'Engine C'!$S304*'Engine C'!$E304)</f>
        <v/>
      </c>
      <c r="I104" s="31" t="str">
        <f>IF($A104&gt;NYears,"",'Engine C'!$K304)</f>
        <v/>
      </c>
      <c r="J104" s="24" t="str">
        <f>IF($A104&gt;NYears,"",'Engine C'!$P304)</f>
        <v/>
      </c>
      <c r="K104" s="24" t="str">
        <f>IF($A104&gt;NYears,"",'Engine C'!$Q304)</f>
        <v/>
      </c>
      <c r="L104" s="31" t="str">
        <f>IF($A104&gt;NYears,"",'Engine C'!$K304-'Engine C'!$P304-'Engine C'!$Q304)</f>
        <v/>
      </c>
      <c r="M104" s="31" t="str">
        <f>IF($A104&gt;NYears,"",'Engine C'!$R304)</f>
        <v/>
      </c>
    </row>
    <row r="105" spans="1:13" x14ac:dyDescent="0.3">
      <c r="A105" s="29">
        <f>26</f>
        <v>26</v>
      </c>
      <c r="B105" s="30" t="str">
        <f t="shared" si="2"/>
        <v/>
      </c>
      <c r="C105" s="24" t="str">
        <f>IF($A105&gt;NYears,"",'Engine C'!$E316)</f>
        <v/>
      </c>
      <c r="D105" s="24" t="str">
        <f>IF($A105&gt;NYears,"",'Engine C'!$F305)</f>
        <v/>
      </c>
      <c r="E105" s="29" t="str">
        <f>IF($A105&gt;NYears,"",'Engine C'!$G305)</f>
        <v/>
      </c>
      <c r="F105" s="29" t="str">
        <f>IF($A105&gt;NYears,"",'Engine C'!$S316)</f>
        <v/>
      </c>
      <c r="G105" s="29" t="str">
        <f>IF($A105&gt;NYears,"",'Engine C'!$S316-'Engine C'!$G305)</f>
        <v/>
      </c>
      <c r="H105" s="24" t="str">
        <f>IF($A105&gt;NYears,"",'Engine C'!$S316*'Engine C'!$E316)</f>
        <v/>
      </c>
      <c r="I105" s="31" t="str">
        <f>IF($A105&gt;NYears,"",'Engine C'!$K316)</f>
        <v/>
      </c>
      <c r="J105" s="24" t="str">
        <f>IF($A105&gt;NYears,"",'Engine C'!$P316)</f>
        <v/>
      </c>
      <c r="K105" s="24" t="str">
        <f>IF($A105&gt;NYears,"",'Engine C'!$Q316)</f>
        <v/>
      </c>
      <c r="L105" s="31" t="str">
        <f>IF($A105&gt;NYears,"",'Engine C'!$K316-'Engine C'!$P316-'Engine C'!$Q316)</f>
        <v/>
      </c>
      <c r="M105" s="31" t="str">
        <f>IF($A105&gt;NYears,"",'Engine C'!$R316)</f>
        <v/>
      </c>
    </row>
    <row r="106" spans="1:13" x14ac:dyDescent="0.3">
      <c r="A106" s="29">
        <f>27</f>
        <v>27</v>
      </c>
      <c r="B106" s="30" t="str">
        <f t="shared" si="2"/>
        <v/>
      </c>
      <c r="C106" s="24" t="str">
        <f>IF($A106&gt;NYears,"",'Engine C'!$E328)</f>
        <v/>
      </c>
      <c r="D106" s="24" t="str">
        <f>IF($A106&gt;NYears,"",'Engine C'!$F317)</f>
        <v/>
      </c>
      <c r="E106" s="29" t="str">
        <f>IF($A106&gt;NYears,"",'Engine C'!$G317)</f>
        <v/>
      </c>
      <c r="F106" s="29" t="str">
        <f>IF($A106&gt;NYears,"",'Engine C'!$S328)</f>
        <v/>
      </c>
      <c r="G106" s="29" t="str">
        <f>IF($A106&gt;NYears,"",'Engine C'!$S328-'Engine C'!$G317)</f>
        <v/>
      </c>
      <c r="H106" s="24" t="str">
        <f>IF($A106&gt;NYears,"",'Engine C'!$S328*'Engine C'!$E328)</f>
        <v/>
      </c>
      <c r="I106" s="31" t="str">
        <f>IF($A106&gt;NYears,"",'Engine C'!$K328)</f>
        <v/>
      </c>
      <c r="J106" s="24" t="str">
        <f>IF($A106&gt;NYears,"",'Engine C'!$P328)</f>
        <v/>
      </c>
      <c r="K106" s="24" t="str">
        <f>IF($A106&gt;NYears,"",'Engine C'!$Q328)</f>
        <v/>
      </c>
      <c r="L106" s="31" t="str">
        <f>IF($A106&gt;NYears,"",'Engine C'!$K328-'Engine C'!$P328-'Engine C'!$Q328)</f>
        <v/>
      </c>
      <c r="M106" s="31" t="str">
        <f>IF($A106&gt;NYears,"",'Engine C'!$R328)</f>
        <v/>
      </c>
    </row>
    <row r="107" spans="1:13" x14ac:dyDescent="0.3">
      <c r="A107" s="29">
        <f>28</f>
        <v>28</v>
      </c>
      <c r="B107" s="30" t="str">
        <f t="shared" si="2"/>
        <v/>
      </c>
      <c r="C107" s="24" t="str">
        <f>IF($A107&gt;NYears,"",'Engine C'!$E340)</f>
        <v/>
      </c>
      <c r="D107" s="24" t="str">
        <f>IF($A107&gt;NYears,"",'Engine C'!$F329)</f>
        <v/>
      </c>
      <c r="E107" s="29" t="str">
        <f>IF($A107&gt;NYears,"",'Engine C'!$G329)</f>
        <v/>
      </c>
      <c r="F107" s="29" t="str">
        <f>IF($A107&gt;NYears,"",'Engine C'!$S340)</f>
        <v/>
      </c>
      <c r="G107" s="29" t="str">
        <f>IF($A107&gt;NYears,"",'Engine C'!$S340-'Engine C'!$G329)</f>
        <v/>
      </c>
      <c r="H107" s="24" t="str">
        <f>IF($A107&gt;NYears,"",'Engine C'!$S340*'Engine C'!$E340)</f>
        <v/>
      </c>
      <c r="I107" s="31" t="str">
        <f>IF($A107&gt;NYears,"",'Engine C'!$K340)</f>
        <v/>
      </c>
      <c r="J107" s="24" t="str">
        <f>IF($A107&gt;NYears,"",'Engine C'!$P340)</f>
        <v/>
      </c>
      <c r="K107" s="24" t="str">
        <f>IF($A107&gt;NYears,"",'Engine C'!$Q340)</f>
        <v/>
      </c>
      <c r="L107" s="31" t="str">
        <f>IF($A107&gt;NYears,"",'Engine C'!$K340-'Engine C'!$P340-'Engine C'!$Q340)</f>
        <v/>
      </c>
      <c r="M107" s="31" t="str">
        <f>IF($A107&gt;NYears,"",'Engine C'!$R340)</f>
        <v/>
      </c>
    </row>
    <row r="108" spans="1:13" x14ac:dyDescent="0.3">
      <c r="A108" s="29">
        <f>29</f>
        <v>29</v>
      </c>
      <c r="B108" s="30" t="str">
        <f t="shared" si="2"/>
        <v/>
      </c>
      <c r="C108" s="24" t="str">
        <f>IF($A108&gt;NYears,"",'Engine C'!$E352)</f>
        <v/>
      </c>
      <c r="D108" s="24" t="str">
        <f>IF($A108&gt;NYears,"",'Engine C'!$F341)</f>
        <v/>
      </c>
      <c r="E108" s="29" t="str">
        <f>IF($A108&gt;NYears,"",'Engine C'!$G341)</f>
        <v/>
      </c>
      <c r="F108" s="29" t="str">
        <f>IF($A108&gt;NYears,"",'Engine C'!$S352)</f>
        <v/>
      </c>
      <c r="G108" s="29" t="str">
        <f>IF($A108&gt;NYears,"",'Engine C'!$S352-'Engine C'!$G341)</f>
        <v/>
      </c>
      <c r="H108" s="24" t="str">
        <f>IF($A108&gt;NYears,"",'Engine C'!$S352*'Engine C'!$E352)</f>
        <v/>
      </c>
      <c r="I108" s="31" t="str">
        <f>IF($A108&gt;NYears,"",'Engine C'!$K352)</f>
        <v/>
      </c>
      <c r="J108" s="24" t="str">
        <f>IF($A108&gt;NYears,"",'Engine C'!$P352)</f>
        <v/>
      </c>
      <c r="K108" s="24" t="str">
        <f>IF($A108&gt;NYears,"",'Engine C'!$Q352)</f>
        <v/>
      </c>
      <c r="L108" s="31" t="str">
        <f>IF($A108&gt;NYears,"",'Engine C'!$K352-'Engine C'!$P352-'Engine C'!$Q352)</f>
        <v/>
      </c>
      <c r="M108" s="31" t="str">
        <f>IF($A108&gt;NYears,"",'Engine C'!$R352)</f>
        <v/>
      </c>
    </row>
    <row r="109" spans="1:13" x14ac:dyDescent="0.3">
      <c r="A109" s="29">
        <f>30</f>
        <v>30</v>
      </c>
      <c r="B109" s="30" t="str">
        <f t="shared" si="2"/>
        <v/>
      </c>
      <c r="C109" s="24" t="str">
        <f>IF($A109&gt;NYears,"",'Engine C'!$E364)</f>
        <v/>
      </c>
      <c r="D109" s="24" t="str">
        <f>IF($A109&gt;NYears,"",'Engine C'!$F353)</f>
        <v/>
      </c>
      <c r="E109" s="29" t="str">
        <f>IF($A109&gt;NYears,"",'Engine C'!$G353)</f>
        <v/>
      </c>
      <c r="F109" s="29" t="str">
        <f>IF($A109&gt;NYears,"",'Engine C'!$S364)</f>
        <v/>
      </c>
      <c r="G109" s="29" t="str">
        <f>IF($A109&gt;NYears,"",'Engine C'!$S364-'Engine C'!$G353)</f>
        <v/>
      </c>
      <c r="H109" s="24" t="str">
        <f>IF($A109&gt;NYears,"",'Engine C'!$S364*'Engine C'!$E364)</f>
        <v/>
      </c>
      <c r="I109" s="31" t="str">
        <f>IF($A109&gt;NYears,"",'Engine C'!$K364)</f>
        <v/>
      </c>
      <c r="J109" s="24" t="str">
        <f>IF($A109&gt;NYears,"",'Engine C'!$P364)</f>
        <v/>
      </c>
      <c r="K109" s="24" t="str">
        <f>IF($A109&gt;NYears,"",'Engine C'!$Q364)</f>
        <v/>
      </c>
      <c r="L109" s="31" t="str">
        <f>IF($A109&gt;NYears,"",'Engine C'!$K364-'Engine C'!$P364-'Engine C'!$Q364)</f>
        <v/>
      </c>
      <c r="M109" s="31" t="str">
        <f>IF($A109&gt;NYears,"",'Engine C'!$R364)</f>
        <v/>
      </c>
    </row>
    <row r="111" spans="1:13" ht="15.6" x14ac:dyDescent="0.3">
      <c r="A111" s="26" t="s">
        <v>76</v>
      </c>
      <c r="B111" s="27">
        <f>RateD</f>
        <v>0.04</v>
      </c>
      <c r="C111" s="28" t="s">
        <v>60</v>
      </c>
      <c r="D111" s="4"/>
      <c r="E111" s="4"/>
      <c r="F111" s="4"/>
      <c r="G111" s="4"/>
      <c r="H111" s="4"/>
      <c r="I111" s="4"/>
      <c r="J111" s="4"/>
      <c r="K111" s="4"/>
      <c r="L111" s="4"/>
      <c r="M111" s="4"/>
    </row>
    <row r="112" spans="1:13" ht="43.2" x14ac:dyDescent="0.3">
      <c r="A112" s="18" t="s">
        <v>61</v>
      </c>
      <c r="B112" s="18" t="s">
        <v>62</v>
      </c>
      <c r="C112" s="18" t="s">
        <v>63</v>
      </c>
      <c r="D112" s="18" t="s">
        <v>64</v>
      </c>
      <c r="E112" s="18" t="s">
        <v>65</v>
      </c>
      <c r="F112" s="18" t="s">
        <v>66</v>
      </c>
      <c r="G112" s="18" t="s">
        <v>67</v>
      </c>
      <c r="H112" s="18" t="s">
        <v>68</v>
      </c>
      <c r="I112" s="18" t="s">
        <v>69</v>
      </c>
      <c r="J112" s="18" t="s">
        <v>70</v>
      </c>
      <c r="K112" s="18" t="s">
        <v>71</v>
      </c>
      <c r="L112" s="18" t="s">
        <v>72</v>
      </c>
      <c r="M112" s="18" t="s">
        <v>73</v>
      </c>
    </row>
    <row r="113" spans="1:13" x14ac:dyDescent="0.3">
      <c r="A113" s="29">
        <f>1</f>
        <v>1</v>
      </c>
      <c r="B113" s="30">
        <f t="shared" ref="B113:B142" si="3">IF($A113&gt;NYears,"",EDATE(StartMonth,$A113*12-1))</f>
        <v>46722</v>
      </c>
      <c r="C113" s="24">
        <f>IF($A113&gt;NYears,"",'Engine D'!$E16)</f>
        <v>83333</v>
      </c>
      <c r="D113" s="24">
        <f>IF($A113&gt;NYears,"",'Engine D'!$F5)</f>
        <v>5000000</v>
      </c>
      <c r="E113" s="29">
        <f>IF($A113&gt;NYears,"",'Engine D'!$G5)</f>
        <v>60</v>
      </c>
      <c r="F113" s="29">
        <f>IF($A113&gt;NYears,"",'Engine D'!$S16)</f>
        <v>80</v>
      </c>
      <c r="G113" s="29">
        <f>IF($A113&gt;NYears,"",'Engine D'!$S16-'Engine D'!$G5)</f>
        <v>20</v>
      </c>
      <c r="H113" s="24">
        <f>IF($A113&gt;NYears,"",'Engine D'!$S16*'Engine D'!$E16)</f>
        <v>6666640</v>
      </c>
      <c r="I113" s="31">
        <f>IF($A113&gt;NYears,"",'Engine D'!$K16)</f>
        <v>2813322.08</v>
      </c>
      <c r="J113" s="24">
        <f>IF($A113&gt;NYears,"",'Engine D'!$P16)</f>
        <v>877756.4889600001</v>
      </c>
      <c r="K113" s="24">
        <f>IF($A113&gt;NYears,"",'Engine D'!$Q16)</f>
        <v>193556.55910399999</v>
      </c>
      <c r="L113" s="31">
        <f>IF($A113&gt;NYears,"",'Engine D'!$K16-'Engine D'!$P16-'Engine D'!$Q16)</f>
        <v>1742009.0319359999</v>
      </c>
      <c r="M113" s="31">
        <f>IF($A113&gt;NYears,"",'Engine D'!$R16)</f>
        <v>6742009.0319360029</v>
      </c>
    </row>
    <row r="114" spans="1:13" x14ac:dyDescent="0.3">
      <c r="A114" s="29">
        <f>2</f>
        <v>2</v>
      </c>
      <c r="B114" s="30">
        <f t="shared" si="3"/>
        <v>47088</v>
      </c>
      <c r="C114" s="24">
        <f>IF($A114&gt;NYears,"",'Engine D'!$E28)</f>
        <v>87499.650000000009</v>
      </c>
      <c r="D114" s="24">
        <f>IF($A114&gt;NYears,"",'Engine D'!$F17)</f>
        <v>6742009.0319360029</v>
      </c>
      <c r="E114" s="29">
        <f>IF($A114&gt;NYears,"",'Engine D'!$G17)</f>
        <v>77</v>
      </c>
      <c r="F114" s="29">
        <f>IF($A114&gt;NYears,"",'Engine D'!$S28)</f>
        <v>103</v>
      </c>
      <c r="G114" s="29">
        <f>IF($A114&gt;NYears,"",'Engine D'!$S28-'Engine D'!$G17)</f>
        <v>26</v>
      </c>
      <c r="H114" s="24">
        <f>IF($A114&gt;NYears,"",'Engine D'!$S28*'Engine D'!$E28)</f>
        <v>9012463.9500000011</v>
      </c>
      <c r="I114" s="31">
        <f>IF($A114&gt;NYears,"",'Engine D'!$K28)</f>
        <v>3804484.7820000001</v>
      </c>
      <c r="J114" s="24">
        <f>IF($A114&gt;NYears,"",'Engine D'!$P28)</f>
        <v>1186999.2519840002</v>
      </c>
      <c r="K114" s="24">
        <f>IF($A114&gt;NYears,"",'Engine D'!$Q28)</f>
        <v>261748.5530016</v>
      </c>
      <c r="L114" s="31">
        <f>IF($A114&gt;NYears,"",'Engine D'!$K28-'Engine D'!$P28-'Engine D'!$Q28)</f>
        <v>2355736.9770144001</v>
      </c>
      <c r="M114" s="31">
        <f>IF($A114&gt;NYears,"",'Engine D'!$R28)</f>
        <v>9097746.0089504067</v>
      </c>
    </row>
    <row r="115" spans="1:13" x14ac:dyDescent="0.3">
      <c r="A115" s="29">
        <f>3</f>
        <v>3</v>
      </c>
      <c r="B115" s="30">
        <f t="shared" si="3"/>
        <v>47453</v>
      </c>
      <c r="C115" s="24">
        <f>IF($A115&gt;NYears,"",'Engine D'!$E40)</f>
        <v>91874.632500000007</v>
      </c>
      <c r="D115" s="24">
        <f>IF($A115&gt;NYears,"",'Engine D'!$F29)</f>
        <v>9097746.0089504067</v>
      </c>
      <c r="E115" s="29">
        <f>IF($A115&gt;NYears,"",'Engine D'!$G29)</f>
        <v>99</v>
      </c>
      <c r="F115" s="29">
        <f>IF($A115&gt;NYears,"",'Engine D'!$S40)</f>
        <v>133</v>
      </c>
      <c r="G115" s="29">
        <f>IF($A115&gt;NYears,"",'Engine D'!$S40-'Engine D'!$G29)</f>
        <v>34</v>
      </c>
      <c r="H115" s="24">
        <f>IF($A115&gt;NYears,"",'Engine D'!$S40*'Engine D'!$E40)</f>
        <v>12219326.122500001</v>
      </c>
      <c r="I115" s="31">
        <f>IF($A115&gt;NYears,"",'Engine D'!$K40)</f>
        <v>5137629.4494000003</v>
      </c>
      <c r="J115" s="24">
        <f>IF($A115&gt;NYears,"",'Engine D'!$P40)</f>
        <v>1648001.5879672803</v>
      </c>
      <c r="K115" s="24">
        <f>IF($A115&gt;NYears,"",'Engine D'!$Q40)</f>
        <v>348962.78614327201</v>
      </c>
      <c r="L115" s="31">
        <f>IF($A115&gt;NYears,"",'Engine D'!$K40-'Engine D'!$P40-'Engine D'!$Q40)</f>
        <v>3140665.0752894478</v>
      </c>
      <c r="M115" s="31">
        <f>IF($A115&gt;NYears,"",'Engine D'!$R40)</f>
        <v>12238411.084239863</v>
      </c>
    </row>
    <row r="116" spans="1:13" x14ac:dyDescent="0.3">
      <c r="A116" s="29">
        <f>4</f>
        <v>4</v>
      </c>
      <c r="B116" s="30">
        <f t="shared" si="3"/>
        <v>47818</v>
      </c>
      <c r="C116" s="24">
        <f>IF($A116&gt;NYears,"",'Engine D'!$E52)</f>
        <v>96468.364125000007</v>
      </c>
      <c r="D116" s="24">
        <f>IF($A116&gt;NYears,"",'Engine D'!$F41)</f>
        <v>12238411.084239863</v>
      </c>
      <c r="E116" s="29">
        <f>IF($A116&gt;NYears,"",'Engine D'!$G41)</f>
        <v>126</v>
      </c>
      <c r="F116" s="29">
        <f>IF($A116&gt;NYears,"",'Engine D'!$S52)</f>
        <v>168</v>
      </c>
      <c r="G116" s="29">
        <f>IF($A116&gt;NYears,"",'Engine D'!$S52-'Engine D'!$G41)</f>
        <v>42</v>
      </c>
      <c r="H116" s="24">
        <f>IF($A116&gt;NYears,"",'Engine D'!$S52*'Engine D'!$E52)</f>
        <v>16206685.173</v>
      </c>
      <c r="I116" s="31">
        <f>IF($A116&gt;NYears,"",'Engine D'!$K52)</f>
        <v>6876264.9948300002</v>
      </c>
      <c r="J116" s="24">
        <f>IF($A116&gt;NYears,"",'Engine D'!$P52)</f>
        <v>2359934.1462256564</v>
      </c>
      <c r="K116" s="24">
        <f>IF($A116&gt;NYears,"",'Engine D'!$Q52)</f>
        <v>451633.08486043441</v>
      </c>
      <c r="L116" s="31">
        <f>IF($A116&gt;NYears,"",'Engine D'!$K52-'Engine D'!$P52-'Engine D'!$Q52)</f>
        <v>4064697.7637439095</v>
      </c>
      <c r="M116" s="31">
        <f>IF($A116&gt;NYears,"",'Engine D'!$R52)</f>
        <v>16303108.847983772</v>
      </c>
    </row>
    <row r="117" spans="1:13" x14ac:dyDescent="0.3">
      <c r="A117" s="29">
        <f>5</f>
        <v>5</v>
      </c>
      <c r="B117" s="30">
        <f t="shared" si="3"/>
        <v>48183</v>
      </c>
      <c r="C117" s="24">
        <f>IF($A117&gt;NYears,"",'Engine D'!$E64)</f>
        <v>101291.78233125</v>
      </c>
      <c r="D117" s="24">
        <f>IF($A117&gt;NYears,"",'Engine D'!$F53)</f>
        <v>16303108.847983772</v>
      </c>
      <c r="E117" s="29">
        <f>IF($A117&gt;NYears,"",'Engine D'!$G53)</f>
        <v>160</v>
      </c>
      <c r="F117" s="29">
        <f>IF($A117&gt;NYears,"",'Engine D'!$S64)</f>
        <v>214</v>
      </c>
      <c r="G117" s="29">
        <f>IF($A117&gt;NYears,"",'Engine D'!$S64-'Engine D'!$G53)</f>
        <v>54</v>
      </c>
      <c r="H117" s="24">
        <f>IF($A117&gt;NYears,"",'Engine D'!$S64*'Engine D'!$E64)</f>
        <v>21676441.4188875</v>
      </c>
      <c r="I117" s="31">
        <f>IF($A117&gt;NYears,"",'Engine D'!$K64)</f>
        <v>9172983.8079179991</v>
      </c>
      <c r="J117" s="24">
        <f>IF($A117&gt;NYears,"",'Engine D'!$P64)</f>
        <v>3148168.0428774576</v>
      </c>
      <c r="K117" s="24">
        <f>IF($A117&gt;NYears,"",'Engine D'!$Q64)</f>
        <v>602481.57650405413</v>
      </c>
      <c r="L117" s="31">
        <f>IF($A117&gt;NYears,"",'Engine D'!$K64-'Engine D'!$P64-'Engine D'!$Q64)</f>
        <v>5422334.1885364866</v>
      </c>
      <c r="M117" s="31">
        <f>IF($A117&gt;NYears,"",'Engine D'!$R64)</f>
        <v>21725443.036520254</v>
      </c>
    </row>
    <row r="118" spans="1:13" x14ac:dyDescent="0.3">
      <c r="A118" s="29">
        <f>6</f>
        <v>6</v>
      </c>
      <c r="B118" s="30">
        <f t="shared" si="3"/>
        <v>48549</v>
      </c>
      <c r="C118" s="24">
        <f>IF($A118&gt;NYears,"",'Engine D'!$E76)</f>
        <v>106356.3714478125</v>
      </c>
      <c r="D118" s="24">
        <f>IF($A118&gt;NYears,"",'Engine D'!$F65)</f>
        <v>21725443.036520254</v>
      </c>
      <c r="E118" s="29">
        <f>IF($A118&gt;NYears,"",'Engine D'!$G65)</f>
        <v>204</v>
      </c>
      <c r="F118" s="29">
        <f>IF($A118&gt;NYears,"",'Engine D'!$S76)</f>
        <v>270</v>
      </c>
      <c r="G118" s="29">
        <f>IF($A118&gt;NYears,"",'Engine D'!$S76-'Engine D'!$G65)</f>
        <v>66</v>
      </c>
      <c r="H118" s="24">
        <f>IF($A118&gt;NYears,"",'Engine D'!$S76*'Engine D'!$E76)</f>
        <v>28716220.290909376</v>
      </c>
      <c r="I118" s="31">
        <f>IF($A118&gt;NYears,"",'Engine D'!$K76)</f>
        <v>12196948.677635139</v>
      </c>
      <c r="J118" s="24">
        <f>IF($A118&gt;NYears,"",'Engine D'!$P76)</f>
        <v>4376265.1855354877</v>
      </c>
      <c r="K118" s="24">
        <f>IF($A118&gt;NYears,"",'Engine D'!$Q76)</f>
        <v>782068.34920996521</v>
      </c>
      <c r="L118" s="31">
        <f>IF($A118&gt;NYears,"",'Engine D'!$K76-'Engine D'!$P76-'Engine D'!$Q76)</f>
        <v>7038615.1428896859</v>
      </c>
      <c r="M118" s="31">
        <f>IF($A118&gt;NYears,"",'Engine D'!$R76)</f>
        <v>28764058.179409947</v>
      </c>
    </row>
    <row r="119" spans="1:13" x14ac:dyDescent="0.3">
      <c r="A119" s="29">
        <f>7</f>
        <v>7</v>
      </c>
      <c r="B119" s="30">
        <f t="shared" si="3"/>
        <v>48914</v>
      </c>
      <c r="C119" s="24">
        <f>IF($A119&gt;NYears,"",'Engine D'!$E88)</f>
        <v>111674.19002020312</v>
      </c>
      <c r="D119" s="24">
        <f>IF($A119&gt;NYears,"",'Engine D'!$F77)</f>
        <v>28764058.179409947</v>
      </c>
      <c r="E119" s="29">
        <f>IF($A119&gt;NYears,"",'Engine D'!$G77)</f>
        <v>257</v>
      </c>
      <c r="F119" s="29">
        <f>IF($A119&gt;NYears,"",'Engine D'!$S88)</f>
        <v>341</v>
      </c>
      <c r="G119" s="29">
        <f>IF($A119&gt;NYears,"",'Engine D'!$S88-'Engine D'!$G77)</f>
        <v>84</v>
      </c>
      <c r="H119" s="24">
        <f>IF($A119&gt;NYears,"",'Engine D'!$S88*'Engine D'!$E88)</f>
        <v>38080898.796889268</v>
      </c>
      <c r="I119" s="31">
        <f>IF($A119&gt;NYears,"",'Engine D'!$K88)</f>
        <v>16152554.844522178</v>
      </c>
      <c r="J119" s="24">
        <f>IF($A119&gt;NYears,"",'Engine D'!$P88)</f>
        <v>5795536.6782145575</v>
      </c>
      <c r="K119" s="24">
        <f>IF($A119&gt;NYears,"",'Engine D'!$Q88)</f>
        <v>1035701.8166307621</v>
      </c>
      <c r="L119" s="31">
        <f>IF($A119&gt;NYears,"",'Engine D'!$K88-'Engine D'!$P88-'Engine D'!$Q88)</f>
        <v>9321316.3496768586</v>
      </c>
      <c r="M119" s="31">
        <f>IF($A119&gt;NYears,"",'Engine D'!$R88)</f>
        <v>38085374.529086798</v>
      </c>
    </row>
    <row r="120" spans="1:13" x14ac:dyDescent="0.3">
      <c r="A120" s="29">
        <f>8</f>
        <v>8</v>
      </c>
      <c r="B120" s="30">
        <f t="shared" si="3"/>
        <v>49279</v>
      </c>
      <c r="C120" s="24">
        <f>IF($A120&gt;NYears,"",'Engine D'!$E100)</f>
        <v>117257.8995212133</v>
      </c>
      <c r="D120" s="24">
        <f>IF($A120&gt;NYears,"",'Engine D'!$F89)</f>
        <v>38085374.529086798</v>
      </c>
      <c r="E120" s="29">
        <f>IF($A120&gt;NYears,"",'Engine D'!$G89)</f>
        <v>324</v>
      </c>
      <c r="F120" s="29">
        <f>IF($A120&gt;NYears,"",'Engine D'!$S100)</f>
        <v>427</v>
      </c>
      <c r="G120" s="29">
        <f>IF($A120&gt;NYears,"",'Engine D'!$S100-'Engine D'!$G89)</f>
        <v>103</v>
      </c>
      <c r="H120" s="24">
        <f>IF($A120&gt;NYears,"",'Engine D'!$S100*'Engine D'!$E100)</f>
        <v>50069123.095558077</v>
      </c>
      <c r="I120" s="31">
        <f>IF($A120&gt;NYears,"",'Engine D'!$K100)</f>
        <v>21364389.292765066</v>
      </c>
      <c r="J120" s="24">
        <f>IF($A120&gt;NYears,"",'Engine D'!$P100)</f>
        <v>8024070.6318201683</v>
      </c>
      <c r="K120" s="24">
        <f>IF($A120&gt;NYears,"",'Engine D'!$Q100)</f>
        <v>1334031.8660944898</v>
      </c>
      <c r="L120" s="31">
        <f>IF($A120&gt;NYears,"",'Engine D'!$K100-'Engine D'!$P100-'Engine D'!$Q100)</f>
        <v>12006286.794850407</v>
      </c>
      <c r="M120" s="31">
        <f>IF($A120&gt;NYears,"",'Engine D'!$R100)</f>
        <v>50091661.323937215</v>
      </c>
    </row>
    <row r="121" spans="1:13" x14ac:dyDescent="0.3">
      <c r="A121" s="29">
        <f>9</f>
        <v>9</v>
      </c>
      <c r="B121" s="30">
        <f t="shared" si="3"/>
        <v>49644</v>
      </c>
      <c r="C121" s="24">
        <f>IF($A121&gt;NYears,"",'Engine D'!$E112)</f>
        <v>123120.79449727395</v>
      </c>
      <c r="D121" s="24">
        <f>IF($A121&gt;NYears,"",'Engine D'!$F101)</f>
        <v>50091661.323937215</v>
      </c>
      <c r="E121" s="29">
        <f>IF($A121&gt;NYears,"",'Engine D'!$G101)</f>
        <v>406</v>
      </c>
      <c r="F121" s="29">
        <f>IF($A121&gt;NYears,"",'Engine D'!$S112)</f>
        <v>531</v>
      </c>
      <c r="G121" s="29">
        <f>IF($A121&gt;NYears,"",'Engine D'!$S112-'Engine D'!$G101)</f>
        <v>125</v>
      </c>
      <c r="H121" s="24">
        <f>IF($A121&gt;NYears,"",'Engine D'!$S112*'Engine D'!$E112)</f>
        <v>65377141.878052466</v>
      </c>
      <c r="I121" s="31">
        <f>IF($A121&gt;NYears,"",'Engine D'!$K112)</f>
        <v>27992743.836900204</v>
      </c>
      <c r="J121" s="24">
        <f>IF($A121&gt;NYears,"",'Engine D'!$P112)</f>
        <v>10917170.09639108</v>
      </c>
      <c r="K121" s="24">
        <f>IF($A121&gt;NYears,"",'Engine D'!$Q112)</f>
        <v>1707557.3740509124</v>
      </c>
      <c r="L121" s="31">
        <f>IF($A121&gt;NYears,"",'Engine D'!$K112-'Engine D'!$P112-'Engine D'!$Q112)</f>
        <v>15368016.366458211</v>
      </c>
      <c r="M121" s="31">
        <f>IF($A121&gt;NYears,"",'Engine D'!$R112)</f>
        <v>65459677.69039543</v>
      </c>
    </row>
    <row r="122" spans="1:13" x14ac:dyDescent="0.3">
      <c r="A122" s="29">
        <f>10</f>
        <v>10</v>
      </c>
      <c r="B122" s="30">
        <f t="shared" si="3"/>
        <v>50010</v>
      </c>
      <c r="C122" s="24">
        <f>IF($A122&gt;NYears,"",'Engine D'!$E124)</f>
        <v>129276.83422213765</v>
      </c>
      <c r="D122" s="24">
        <f>IF($A122&gt;NYears,"",'Engine D'!$F113)</f>
        <v>65459677.69039543</v>
      </c>
      <c r="E122" s="29">
        <f>IF($A122&gt;NYears,"",'Engine D'!$G113)</f>
        <v>506</v>
      </c>
      <c r="F122" s="29">
        <f>IF($A122&gt;NYears,"",'Engine D'!$S124)</f>
        <v>661</v>
      </c>
      <c r="G122" s="29">
        <f>IF($A122&gt;NYears,"",'Engine D'!$S124-'Engine D'!$G113)</f>
        <v>155</v>
      </c>
      <c r="H122" s="24">
        <f>IF($A122&gt;NYears,"",'Engine D'!$S124*'Engine D'!$E124)</f>
        <v>85451987.420832992</v>
      </c>
      <c r="I122" s="31">
        <f>IF($A122&gt;NYears,"",'Engine D'!$K124)</f>
        <v>36585344.084864952</v>
      </c>
      <c r="J122" s="24">
        <f>IF($A122&gt;NYears,"",'Engine D'!$P124)</f>
        <v>14268284.193097334</v>
      </c>
      <c r="K122" s="24">
        <f>IF($A122&gt;NYears,"",'Engine D'!$Q124)</f>
        <v>2231705.9891767618</v>
      </c>
      <c r="L122" s="31">
        <f>IF($A122&gt;NYears,"",'Engine D'!$K124-'Engine D'!$P124-'Engine D'!$Q124)</f>
        <v>20085353.902590856</v>
      </c>
      <c r="M122" s="31">
        <f>IF($A122&gt;NYears,"",'Engine D'!$R124)</f>
        <v>85545031.592986286</v>
      </c>
    </row>
    <row r="123" spans="1:13" x14ac:dyDescent="0.3">
      <c r="A123" s="29">
        <f>11</f>
        <v>11</v>
      </c>
      <c r="B123" s="30">
        <f t="shared" si="3"/>
        <v>50375</v>
      </c>
      <c r="C123" s="24">
        <f>IF($A123&gt;NYears,"",'Engine D'!$E136)</f>
        <v>135740.67593324455</v>
      </c>
      <c r="D123" s="24">
        <f>IF($A123&gt;NYears,"",'Engine D'!$F125)</f>
        <v>85545031.592986286</v>
      </c>
      <c r="E123" s="29">
        <f>IF($A123&gt;NYears,"",'Engine D'!$G125)</f>
        <v>630</v>
      </c>
      <c r="F123" s="29">
        <f>IF($A123&gt;NYears,"",'Engine D'!$S136)</f>
        <v>823</v>
      </c>
      <c r="G123" s="29">
        <f>IF($A123&gt;NYears,"",'Engine D'!$S136-'Engine D'!$G125)</f>
        <v>193</v>
      </c>
      <c r="H123" s="24">
        <f>IF($A123&gt;NYears,"",'Engine D'!$S136*'Engine D'!$E136)</f>
        <v>111714576.29306026</v>
      </c>
      <c r="I123" s="31">
        <f>IF($A123&gt;NYears,"",'Engine D'!$K136)</f>
        <v>47824154.944800727</v>
      </c>
      <c r="J123" s="24">
        <f>IF($A123&gt;NYears,"",'Engine D'!$P136)</f>
        <v>18651420.428472281</v>
      </c>
      <c r="K123" s="24">
        <f>IF($A123&gt;NYears,"",'Engine D'!$Q136)</f>
        <v>2917273.4516328447</v>
      </c>
      <c r="L123" s="31">
        <f>IF($A123&gt;NYears,"",'Engine D'!$K136-'Engine D'!$P136-'Engine D'!$Q136)</f>
        <v>26255461.0646956</v>
      </c>
      <c r="M123" s="31">
        <f>IF($A123&gt;NYears,"",'Engine D'!$R136)</f>
        <v>111800492.65768187</v>
      </c>
    </row>
    <row r="124" spans="1:13" x14ac:dyDescent="0.3">
      <c r="A124" s="29">
        <f>12</f>
        <v>12</v>
      </c>
      <c r="B124" s="30">
        <f t="shared" si="3"/>
        <v>50740</v>
      </c>
      <c r="C124" s="24">
        <f>IF($A124&gt;NYears,"",'Engine D'!$E148)</f>
        <v>142527.70972990678</v>
      </c>
      <c r="D124" s="24">
        <f>IF($A124&gt;NYears,"",'Engine D'!$F137)</f>
        <v>111800492.65768187</v>
      </c>
      <c r="E124" s="29">
        <f>IF($A124&gt;NYears,"",'Engine D'!$G137)</f>
        <v>784</v>
      </c>
      <c r="F124" s="29">
        <f>IF($A124&gt;NYears,"",'Engine D'!$S148)</f>
        <v>1025</v>
      </c>
      <c r="G124" s="29">
        <f>IF($A124&gt;NYears,"",'Engine D'!$S148-'Engine D'!$G137)</f>
        <v>241</v>
      </c>
      <c r="H124" s="24">
        <f>IF($A124&gt;NYears,"",'Engine D'!$S148*'Engine D'!$E148)</f>
        <v>146090902.47315446</v>
      </c>
      <c r="I124" s="31">
        <f>IF($A124&gt;NYears,"",'Engine D'!$K148)</f>
        <v>62506952.379147917</v>
      </c>
      <c r="J124" s="24">
        <f>IF($A124&gt;NYears,"",'Engine D'!$P148)</f>
        <v>24377711.427867688</v>
      </c>
      <c r="K124" s="24">
        <f>IF($A124&gt;NYears,"",'Engine D'!$Q148)</f>
        <v>3812924.0951280231</v>
      </c>
      <c r="L124" s="31">
        <f>IF($A124&gt;NYears,"",'Engine D'!$K148-'Engine D'!$P148-'Engine D'!$Q148)</f>
        <v>34316316.856152207</v>
      </c>
      <c r="M124" s="31">
        <f>IF($A124&gt;NYears,"",'Engine D'!$R148)</f>
        <v>146116809.51383406</v>
      </c>
    </row>
    <row r="125" spans="1:13" x14ac:dyDescent="0.3">
      <c r="A125" s="29">
        <f>13</f>
        <v>13</v>
      </c>
      <c r="B125" s="30" t="str">
        <f t="shared" si="3"/>
        <v/>
      </c>
      <c r="C125" s="24" t="str">
        <f>IF($A125&gt;NYears,"",'Engine D'!$E160)</f>
        <v/>
      </c>
      <c r="D125" s="24" t="str">
        <f>IF($A125&gt;NYears,"",'Engine D'!$F149)</f>
        <v/>
      </c>
      <c r="E125" s="29" t="str">
        <f>IF($A125&gt;NYears,"",'Engine D'!$G149)</f>
        <v/>
      </c>
      <c r="F125" s="29" t="str">
        <f>IF($A125&gt;NYears,"",'Engine D'!$S160)</f>
        <v/>
      </c>
      <c r="G125" s="29" t="str">
        <f>IF($A125&gt;NYears,"",'Engine D'!$S160-'Engine D'!$G149)</f>
        <v/>
      </c>
      <c r="H125" s="24" t="str">
        <f>IF($A125&gt;NYears,"",'Engine D'!$S160*'Engine D'!$E160)</f>
        <v/>
      </c>
      <c r="I125" s="31" t="str">
        <f>IF($A125&gt;NYears,"",'Engine D'!$K160)</f>
        <v/>
      </c>
      <c r="J125" s="24" t="str">
        <f>IF($A125&gt;NYears,"",'Engine D'!$P160)</f>
        <v/>
      </c>
      <c r="K125" s="24" t="str">
        <f>IF($A125&gt;NYears,"",'Engine D'!$Q160)</f>
        <v/>
      </c>
      <c r="L125" s="31" t="str">
        <f>IF($A125&gt;NYears,"",'Engine D'!$K160-'Engine D'!$P160-'Engine D'!$Q160)</f>
        <v/>
      </c>
      <c r="M125" s="31" t="str">
        <f>IF($A125&gt;NYears,"",'Engine D'!$R160)</f>
        <v/>
      </c>
    </row>
    <row r="126" spans="1:13" x14ac:dyDescent="0.3">
      <c r="A126" s="29">
        <f>14</f>
        <v>14</v>
      </c>
      <c r="B126" s="30" t="str">
        <f t="shared" si="3"/>
        <v/>
      </c>
      <c r="C126" s="24" t="str">
        <f>IF($A126&gt;NYears,"",'Engine D'!$E172)</f>
        <v/>
      </c>
      <c r="D126" s="24" t="str">
        <f>IF($A126&gt;NYears,"",'Engine D'!$F161)</f>
        <v/>
      </c>
      <c r="E126" s="29" t="str">
        <f>IF($A126&gt;NYears,"",'Engine D'!$G161)</f>
        <v/>
      </c>
      <c r="F126" s="29" t="str">
        <f>IF($A126&gt;NYears,"",'Engine D'!$S172)</f>
        <v/>
      </c>
      <c r="G126" s="29" t="str">
        <f>IF($A126&gt;NYears,"",'Engine D'!$S172-'Engine D'!$G161)</f>
        <v/>
      </c>
      <c r="H126" s="24" t="str">
        <f>IF($A126&gt;NYears,"",'Engine D'!$S172*'Engine D'!$E172)</f>
        <v/>
      </c>
      <c r="I126" s="31" t="str">
        <f>IF($A126&gt;NYears,"",'Engine D'!$K172)</f>
        <v/>
      </c>
      <c r="J126" s="24" t="str">
        <f>IF($A126&gt;NYears,"",'Engine D'!$P172)</f>
        <v/>
      </c>
      <c r="K126" s="24" t="str">
        <f>IF($A126&gt;NYears,"",'Engine D'!$Q172)</f>
        <v/>
      </c>
      <c r="L126" s="31" t="str">
        <f>IF($A126&gt;NYears,"",'Engine D'!$K172-'Engine D'!$P172-'Engine D'!$Q172)</f>
        <v/>
      </c>
      <c r="M126" s="31" t="str">
        <f>IF($A126&gt;NYears,"",'Engine D'!$R172)</f>
        <v/>
      </c>
    </row>
    <row r="127" spans="1:13" x14ac:dyDescent="0.3">
      <c r="A127" s="29">
        <f>15</f>
        <v>15</v>
      </c>
      <c r="B127" s="30" t="str">
        <f t="shared" si="3"/>
        <v/>
      </c>
      <c r="C127" s="24" t="str">
        <f>IF($A127&gt;NYears,"",'Engine D'!$E184)</f>
        <v/>
      </c>
      <c r="D127" s="24" t="str">
        <f>IF($A127&gt;NYears,"",'Engine D'!$F173)</f>
        <v/>
      </c>
      <c r="E127" s="29" t="str">
        <f>IF($A127&gt;NYears,"",'Engine D'!$G173)</f>
        <v/>
      </c>
      <c r="F127" s="29" t="str">
        <f>IF($A127&gt;NYears,"",'Engine D'!$S184)</f>
        <v/>
      </c>
      <c r="G127" s="29" t="str">
        <f>IF($A127&gt;NYears,"",'Engine D'!$S184-'Engine D'!$G173)</f>
        <v/>
      </c>
      <c r="H127" s="24" t="str">
        <f>IF($A127&gt;NYears,"",'Engine D'!$S184*'Engine D'!$E184)</f>
        <v/>
      </c>
      <c r="I127" s="31" t="str">
        <f>IF($A127&gt;NYears,"",'Engine D'!$K184)</f>
        <v/>
      </c>
      <c r="J127" s="24" t="str">
        <f>IF($A127&gt;NYears,"",'Engine D'!$P184)</f>
        <v/>
      </c>
      <c r="K127" s="24" t="str">
        <f>IF($A127&gt;NYears,"",'Engine D'!$Q184)</f>
        <v/>
      </c>
      <c r="L127" s="31" t="str">
        <f>IF($A127&gt;NYears,"",'Engine D'!$K184-'Engine D'!$P184-'Engine D'!$Q184)</f>
        <v/>
      </c>
      <c r="M127" s="31" t="str">
        <f>IF($A127&gt;NYears,"",'Engine D'!$R184)</f>
        <v/>
      </c>
    </row>
    <row r="128" spans="1:13" x14ac:dyDescent="0.3">
      <c r="A128" s="29">
        <f>16</f>
        <v>16</v>
      </c>
      <c r="B128" s="30" t="str">
        <f t="shared" si="3"/>
        <v/>
      </c>
      <c r="C128" s="24" t="str">
        <f>IF($A128&gt;NYears,"",'Engine D'!$E196)</f>
        <v/>
      </c>
      <c r="D128" s="24" t="str">
        <f>IF($A128&gt;NYears,"",'Engine D'!$F185)</f>
        <v/>
      </c>
      <c r="E128" s="29" t="str">
        <f>IF($A128&gt;NYears,"",'Engine D'!$G185)</f>
        <v/>
      </c>
      <c r="F128" s="29" t="str">
        <f>IF($A128&gt;NYears,"",'Engine D'!$S196)</f>
        <v/>
      </c>
      <c r="G128" s="29" t="str">
        <f>IF($A128&gt;NYears,"",'Engine D'!$S196-'Engine D'!$G185)</f>
        <v/>
      </c>
      <c r="H128" s="24" t="str">
        <f>IF($A128&gt;NYears,"",'Engine D'!$S196*'Engine D'!$E196)</f>
        <v/>
      </c>
      <c r="I128" s="31" t="str">
        <f>IF($A128&gt;NYears,"",'Engine D'!$K196)</f>
        <v/>
      </c>
      <c r="J128" s="24" t="str">
        <f>IF($A128&gt;NYears,"",'Engine D'!$P196)</f>
        <v/>
      </c>
      <c r="K128" s="24" t="str">
        <f>IF($A128&gt;NYears,"",'Engine D'!$Q196)</f>
        <v/>
      </c>
      <c r="L128" s="31" t="str">
        <f>IF($A128&gt;NYears,"",'Engine D'!$K196-'Engine D'!$P196-'Engine D'!$Q196)</f>
        <v/>
      </c>
      <c r="M128" s="31" t="str">
        <f>IF($A128&gt;NYears,"",'Engine D'!$R196)</f>
        <v/>
      </c>
    </row>
    <row r="129" spans="1:13" x14ac:dyDescent="0.3">
      <c r="A129" s="29">
        <f>17</f>
        <v>17</v>
      </c>
      <c r="B129" s="30" t="str">
        <f t="shared" si="3"/>
        <v/>
      </c>
      <c r="C129" s="24" t="str">
        <f>IF($A129&gt;NYears,"",'Engine D'!$E208)</f>
        <v/>
      </c>
      <c r="D129" s="24" t="str">
        <f>IF($A129&gt;NYears,"",'Engine D'!$F197)</f>
        <v/>
      </c>
      <c r="E129" s="29" t="str">
        <f>IF($A129&gt;NYears,"",'Engine D'!$G197)</f>
        <v/>
      </c>
      <c r="F129" s="29" t="str">
        <f>IF($A129&gt;NYears,"",'Engine D'!$S208)</f>
        <v/>
      </c>
      <c r="G129" s="29" t="str">
        <f>IF($A129&gt;NYears,"",'Engine D'!$S208-'Engine D'!$G197)</f>
        <v/>
      </c>
      <c r="H129" s="24" t="str">
        <f>IF($A129&gt;NYears,"",'Engine D'!$S208*'Engine D'!$E208)</f>
        <v/>
      </c>
      <c r="I129" s="31" t="str">
        <f>IF($A129&gt;NYears,"",'Engine D'!$K208)</f>
        <v/>
      </c>
      <c r="J129" s="24" t="str">
        <f>IF($A129&gt;NYears,"",'Engine D'!$P208)</f>
        <v/>
      </c>
      <c r="K129" s="24" t="str">
        <f>IF($A129&gt;NYears,"",'Engine D'!$Q208)</f>
        <v/>
      </c>
      <c r="L129" s="31" t="str">
        <f>IF($A129&gt;NYears,"",'Engine D'!$K208-'Engine D'!$P208-'Engine D'!$Q208)</f>
        <v/>
      </c>
      <c r="M129" s="31" t="str">
        <f>IF($A129&gt;NYears,"",'Engine D'!$R208)</f>
        <v/>
      </c>
    </row>
    <row r="130" spans="1:13" x14ac:dyDescent="0.3">
      <c r="A130" s="29">
        <f>18</f>
        <v>18</v>
      </c>
      <c r="B130" s="30" t="str">
        <f t="shared" si="3"/>
        <v/>
      </c>
      <c r="C130" s="24" t="str">
        <f>IF($A130&gt;NYears,"",'Engine D'!$E220)</f>
        <v/>
      </c>
      <c r="D130" s="24" t="str">
        <f>IF($A130&gt;NYears,"",'Engine D'!$F209)</f>
        <v/>
      </c>
      <c r="E130" s="29" t="str">
        <f>IF($A130&gt;NYears,"",'Engine D'!$G209)</f>
        <v/>
      </c>
      <c r="F130" s="29" t="str">
        <f>IF($A130&gt;NYears,"",'Engine D'!$S220)</f>
        <v/>
      </c>
      <c r="G130" s="29" t="str">
        <f>IF($A130&gt;NYears,"",'Engine D'!$S220-'Engine D'!$G209)</f>
        <v/>
      </c>
      <c r="H130" s="24" t="str">
        <f>IF($A130&gt;NYears,"",'Engine D'!$S220*'Engine D'!$E220)</f>
        <v/>
      </c>
      <c r="I130" s="31" t="str">
        <f>IF($A130&gt;NYears,"",'Engine D'!$K220)</f>
        <v/>
      </c>
      <c r="J130" s="24" t="str">
        <f>IF($A130&gt;NYears,"",'Engine D'!$P220)</f>
        <v/>
      </c>
      <c r="K130" s="24" t="str">
        <f>IF($A130&gt;NYears,"",'Engine D'!$Q220)</f>
        <v/>
      </c>
      <c r="L130" s="31" t="str">
        <f>IF($A130&gt;NYears,"",'Engine D'!$K220-'Engine D'!$P220-'Engine D'!$Q220)</f>
        <v/>
      </c>
      <c r="M130" s="31" t="str">
        <f>IF($A130&gt;NYears,"",'Engine D'!$R220)</f>
        <v/>
      </c>
    </row>
    <row r="131" spans="1:13" x14ac:dyDescent="0.3">
      <c r="A131" s="29">
        <f>19</f>
        <v>19</v>
      </c>
      <c r="B131" s="30" t="str">
        <f t="shared" si="3"/>
        <v/>
      </c>
      <c r="C131" s="24" t="str">
        <f>IF($A131&gt;NYears,"",'Engine D'!$E232)</f>
        <v/>
      </c>
      <c r="D131" s="24" t="str">
        <f>IF($A131&gt;NYears,"",'Engine D'!$F221)</f>
        <v/>
      </c>
      <c r="E131" s="29" t="str">
        <f>IF($A131&gt;NYears,"",'Engine D'!$G221)</f>
        <v/>
      </c>
      <c r="F131" s="29" t="str">
        <f>IF($A131&gt;NYears,"",'Engine D'!$S232)</f>
        <v/>
      </c>
      <c r="G131" s="29" t="str">
        <f>IF($A131&gt;NYears,"",'Engine D'!$S232-'Engine D'!$G221)</f>
        <v/>
      </c>
      <c r="H131" s="24" t="str">
        <f>IF($A131&gt;NYears,"",'Engine D'!$S232*'Engine D'!$E232)</f>
        <v/>
      </c>
      <c r="I131" s="31" t="str">
        <f>IF($A131&gt;NYears,"",'Engine D'!$K232)</f>
        <v/>
      </c>
      <c r="J131" s="24" t="str">
        <f>IF($A131&gt;NYears,"",'Engine D'!$P232)</f>
        <v/>
      </c>
      <c r="K131" s="24" t="str">
        <f>IF($A131&gt;NYears,"",'Engine D'!$Q232)</f>
        <v/>
      </c>
      <c r="L131" s="31" t="str">
        <f>IF($A131&gt;NYears,"",'Engine D'!$K232-'Engine D'!$P232-'Engine D'!$Q232)</f>
        <v/>
      </c>
      <c r="M131" s="31" t="str">
        <f>IF($A131&gt;NYears,"",'Engine D'!$R232)</f>
        <v/>
      </c>
    </row>
    <row r="132" spans="1:13" x14ac:dyDescent="0.3">
      <c r="A132" s="29">
        <f>20</f>
        <v>20</v>
      </c>
      <c r="B132" s="30" t="str">
        <f t="shared" si="3"/>
        <v/>
      </c>
      <c r="C132" s="24" t="str">
        <f>IF($A132&gt;NYears,"",'Engine D'!$E244)</f>
        <v/>
      </c>
      <c r="D132" s="24" t="str">
        <f>IF($A132&gt;NYears,"",'Engine D'!$F233)</f>
        <v/>
      </c>
      <c r="E132" s="29" t="str">
        <f>IF($A132&gt;NYears,"",'Engine D'!$G233)</f>
        <v/>
      </c>
      <c r="F132" s="29" t="str">
        <f>IF($A132&gt;NYears,"",'Engine D'!$S244)</f>
        <v/>
      </c>
      <c r="G132" s="29" t="str">
        <f>IF($A132&gt;NYears,"",'Engine D'!$S244-'Engine D'!$G233)</f>
        <v/>
      </c>
      <c r="H132" s="24" t="str">
        <f>IF($A132&gt;NYears,"",'Engine D'!$S244*'Engine D'!$E244)</f>
        <v/>
      </c>
      <c r="I132" s="31" t="str">
        <f>IF($A132&gt;NYears,"",'Engine D'!$K244)</f>
        <v/>
      </c>
      <c r="J132" s="24" t="str">
        <f>IF($A132&gt;NYears,"",'Engine D'!$P244)</f>
        <v/>
      </c>
      <c r="K132" s="24" t="str">
        <f>IF($A132&gt;NYears,"",'Engine D'!$Q244)</f>
        <v/>
      </c>
      <c r="L132" s="31" t="str">
        <f>IF($A132&gt;NYears,"",'Engine D'!$K244-'Engine D'!$P244-'Engine D'!$Q244)</f>
        <v/>
      </c>
      <c r="M132" s="31" t="str">
        <f>IF($A132&gt;NYears,"",'Engine D'!$R244)</f>
        <v/>
      </c>
    </row>
    <row r="133" spans="1:13" x14ac:dyDescent="0.3">
      <c r="A133" s="29">
        <f>21</f>
        <v>21</v>
      </c>
      <c r="B133" s="30" t="str">
        <f t="shared" si="3"/>
        <v/>
      </c>
      <c r="C133" s="24" t="str">
        <f>IF($A133&gt;NYears,"",'Engine D'!$E256)</f>
        <v/>
      </c>
      <c r="D133" s="24" t="str">
        <f>IF($A133&gt;NYears,"",'Engine D'!$F245)</f>
        <v/>
      </c>
      <c r="E133" s="29" t="str">
        <f>IF($A133&gt;NYears,"",'Engine D'!$G245)</f>
        <v/>
      </c>
      <c r="F133" s="29" t="str">
        <f>IF($A133&gt;NYears,"",'Engine D'!$S256)</f>
        <v/>
      </c>
      <c r="G133" s="29" t="str">
        <f>IF($A133&gt;NYears,"",'Engine D'!$S256-'Engine D'!$G245)</f>
        <v/>
      </c>
      <c r="H133" s="24" t="str">
        <f>IF($A133&gt;NYears,"",'Engine D'!$S256*'Engine D'!$E256)</f>
        <v/>
      </c>
      <c r="I133" s="31" t="str">
        <f>IF($A133&gt;NYears,"",'Engine D'!$K256)</f>
        <v/>
      </c>
      <c r="J133" s="24" t="str">
        <f>IF($A133&gt;NYears,"",'Engine D'!$P256)</f>
        <v/>
      </c>
      <c r="K133" s="24" t="str">
        <f>IF($A133&gt;NYears,"",'Engine D'!$Q256)</f>
        <v/>
      </c>
      <c r="L133" s="31" t="str">
        <f>IF($A133&gt;NYears,"",'Engine D'!$K256-'Engine D'!$P256-'Engine D'!$Q256)</f>
        <v/>
      </c>
      <c r="M133" s="31" t="str">
        <f>IF($A133&gt;NYears,"",'Engine D'!$R256)</f>
        <v/>
      </c>
    </row>
    <row r="134" spans="1:13" x14ac:dyDescent="0.3">
      <c r="A134" s="29">
        <f>22</f>
        <v>22</v>
      </c>
      <c r="B134" s="30" t="str">
        <f t="shared" si="3"/>
        <v/>
      </c>
      <c r="C134" s="24" t="str">
        <f>IF($A134&gt;NYears,"",'Engine D'!$E268)</f>
        <v/>
      </c>
      <c r="D134" s="24" t="str">
        <f>IF($A134&gt;NYears,"",'Engine D'!$F257)</f>
        <v/>
      </c>
      <c r="E134" s="29" t="str">
        <f>IF($A134&gt;NYears,"",'Engine D'!$G257)</f>
        <v/>
      </c>
      <c r="F134" s="29" t="str">
        <f>IF($A134&gt;NYears,"",'Engine D'!$S268)</f>
        <v/>
      </c>
      <c r="G134" s="29" t="str">
        <f>IF($A134&gt;NYears,"",'Engine D'!$S268-'Engine D'!$G257)</f>
        <v/>
      </c>
      <c r="H134" s="24" t="str">
        <f>IF($A134&gt;NYears,"",'Engine D'!$S268*'Engine D'!$E268)</f>
        <v/>
      </c>
      <c r="I134" s="31" t="str">
        <f>IF($A134&gt;NYears,"",'Engine D'!$K268)</f>
        <v/>
      </c>
      <c r="J134" s="24" t="str">
        <f>IF($A134&gt;NYears,"",'Engine D'!$P268)</f>
        <v/>
      </c>
      <c r="K134" s="24" t="str">
        <f>IF($A134&gt;NYears,"",'Engine D'!$Q268)</f>
        <v/>
      </c>
      <c r="L134" s="31" t="str">
        <f>IF($A134&gt;NYears,"",'Engine D'!$K268-'Engine D'!$P268-'Engine D'!$Q268)</f>
        <v/>
      </c>
      <c r="M134" s="31" t="str">
        <f>IF($A134&gt;NYears,"",'Engine D'!$R268)</f>
        <v/>
      </c>
    </row>
    <row r="135" spans="1:13" x14ac:dyDescent="0.3">
      <c r="A135" s="29">
        <f>23</f>
        <v>23</v>
      </c>
      <c r="B135" s="30" t="str">
        <f t="shared" si="3"/>
        <v/>
      </c>
      <c r="C135" s="24" t="str">
        <f>IF($A135&gt;NYears,"",'Engine D'!$E280)</f>
        <v/>
      </c>
      <c r="D135" s="24" t="str">
        <f>IF($A135&gt;NYears,"",'Engine D'!$F269)</f>
        <v/>
      </c>
      <c r="E135" s="29" t="str">
        <f>IF($A135&gt;NYears,"",'Engine D'!$G269)</f>
        <v/>
      </c>
      <c r="F135" s="29" t="str">
        <f>IF($A135&gt;NYears,"",'Engine D'!$S280)</f>
        <v/>
      </c>
      <c r="G135" s="29" t="str">
        <f>IF($A135&gt;NYears,"",'Engine D'!$S280-'Engine D'!$G269)</f>
        <v/>
      </c>
      <c r="H135" s="24" t="str">
        <f>IF($A135&gt;NYears,"",'Engine D'!$S280*'Engine D'!$E280)</f>
        <v/>
      </c>
      <c r="I135" s="31" t="str">
        <f>IF($A135&gt;NYears,"",'Engine D'!$K280)</f>
        <v/>
      </c>
      <c r="J135" s="24" t="str">
        <f>IF($A135&gt;NYears,"",'Engine D'!$P280)</f>
        <v/>
      </c>
      <c r="K135" s="24" t="str">
        <f>IF($A135&gt;NYears,"",'Engine D'!$Q280)</f>
        <v/>
      </c>
      <c r="L135" s="31" t="str">
        <f>IF($A135&gt;NYears,"",'Engine D'!$K280-'Engine D'!$P280-'Engine D'!$Q280)</f>
        <v/>
      </c>
      <c r="M135" s="31" t="str">
        <f>IF($A135&gt;NYears,"",'Engine D'!$R280)</f>
        <v/>
      </c>
    </row>
    <row r="136" spans="1:13" x14ac:dyDescent="0.3">
      <c r="A136" s="29">
        <f>24</f>
        <v>24</v>
      </c>
      <c r="B136" s="30" t="str">
        <f t="shared" si="3"/>
        <v/>
      </c>
      <c r="C136" s="24" t="str">
        <f>IF($A136&gt;NYears,"",'Engine D'!$E292)</f>
        <v/>
      </c>
      <c r="D136" s="24" t="str">
        <f>IF($A136&gt;NYears,"",'Engine D'!$F281)</f>
        <v/>
      </c>
      <c r="E136" s="29" t="str">
        <f>IF($A136&gt;NYears,"",'Engine D'!$G281)</f>
        <v/>
      </c>
      <c r="F136" s="29" t="str">
        <f>IF($A136&gt;NYears,"",'Engine D'!$S292)</f>
        <v/>
      </c>
      <c r="G136" s="29" t="str">
        <f>IF($A136&gt;NYears,"",'Engine D'!$S292-'Engine D'!$G281)</f>
        <v/>
      </c>
      <c r="H136" s="24" t="str">
        <f>IF($A136&gt;NYears,"",'Engine D'!$S292*'Engine D'!$E292)</f>
        <v/>
      </c>
      <c r="I136" s="31" t="str">
        <f>IF($A136&gt;NYears,"",'Engine D'!$K292)</f>
        <v/>
      </c>
      <c r="J136" s="24" t="str">
        <f>IF($A136&gt;NYears,"",'Engine D'!$P292)</f>
        <v/>
      </c>
      <c r="K136" s="24" t="str">
        <f>IF($A136&gt;NYears,"",'Engine D'!$Q292)</f>
        <v/>
      </c>
      <c r="L136" s="31" t="str">
        <f>IF($A136&gt;NYears,"",'Engine D'!$K292-'Engine D'!$P292-'Engine D'!$Q292)</f>
        <v/>
      </c>
      <c r="M136" s="31" t="str">
        <f>IF($A136&gt;NYears,"",'Engine D'!$R292)</f>
        <v/>
      </c>
    </row>
    <row r="137" spans="1:13" x14ac:dyDescent="0.3">
      <c r="A137" s="29">
        <f>25</f>
        <v>25</v>
      </c>
      <c r="B137" s="30" t="str">
        <f t="shared" si="3"/>
        <v/>
      </c>
      <c r="C137" s="24" t="str">
        <f>IF($A137&gt;NYears,"",'Engine D'!$E304)</f>
        <v/>
      </c>
      <c r="D137" s="24" t="str">
        <f>IF($A137&gt;NYears,"",'Engine D'!$F293)</f>
        <v/>
      </c>
      <c r="E137" s="29" t="str">
        <f>IF($A137&gt;NYears,"",'Engine D'!$G293)</f>
        <v/>
      </c>
      <c r="F137" s="29" t="str">
        <f>IF($A137&gt;NYears,"",'Engine D'!$S304)</f>
        <v/>
      </c>
      <c r="G137" s="29" t="str">
        <f>IF($A137&gt;NYears,"",'Engine D'!$S304-'Engine D'!$G293)</f>
        <v/>
      </c>
      <c r="H137" s="24" t="str">
        <f>IF($A137&gt;NYears,"",'Engine D'!$S304*'Engine D'!$E304)</f>
        <v/>
      </c>
      <c r="I137" s="31" t="str">
        <f>IF($A137&gt;NYears,"",'Engine D'!$K304)</f>
        <v/>
      </c>
      <c r="J137" s="24" t="str">
        <f>IF($A137&gt;NYears,"",'Engine D'!$P304)</f>
        <v/>
      </c>
      <c r="K137" s="24" t="str">
        <f>IF($A137&gt;NYears,"",'Engine D'!$Q304)</f>
        <v/>
      </c>
      <c r="L137" s="31" t="str">
        <f>IF($A137&gt;NYears,"",'Engine D'!$K304-'Engine D'!$P304-'Engine D'!$Q304)</f>
        <v/>
      </c>
      <c r="M137" s="31" t="str">
        <f>IF($A137&gt;NYears,"",'Engine D'!$R304)</f>
        <v/>
      </c>
    </row>
    <row r="138" spans="1:13" x14ac:dyDescent="0.3">
      <c r="A138" s="29">
        <f>26</f>
        <v>26</v>
      </c>
      <c r="B138" s="30" t="str">
        <f t="shared" si="3"/>
        <v/>
      </c>
      <c r="C138" s="24" t="str">
        <f>IF($A138&gt;NYears,"",'Engine D'!$E316)</f>
        <v/>
      </c>
      <c r="D138" s="24" t="str">
        <f>IF($A138&gt;NYears,"",'Engine D'!$F305)</f>
        <v/>
      </c>
      <c r="E138" s="29" t="str">
        <f>IF($A138&gt;NYears,"",'Engine D'!$G305)</f>
        <v/>
      </c>
      <c r="F138" s="29" t="str">
        <f>IF($A138&gt;NYears,"",'Engine D'!$S316)</f>
        <v/>
      </c>
      <c r="G138" s="29" t="str">
        <f>IF($A138&gt;NYears,"",'Engine D'!$S316-'Engine D'!$G305)</f>
        <v/>
      </c>
      <c r="H138" s="24" t="str">
        <f>IF($A138&gt;NYears,"",'Engine D'!$S316*'Engine D'!$E316)</f>
        <v/>
      </c>
      <c r="I138" s="31" t="str">
        <f>IF($A138&gt;NYears,"",'Engine D'!$K316)</f>
        <v/>
      </c>
      <c r="J138" s="24" t="str">
        <f>IF($A138&gt;NYears,"",'Engine D'!$P316)</f>
        <v/>
      </c>
      <c r="K138" s="24" t="str">
        <f>IF($A138&gt;NYears,"",'Engine D'!$Q316)</f>
        <v/>
      </c>
      <c r="L138" s="31" t="str">
        <f>IF($A138&gt;NYears,"",'Engine D'!$K316-'Engine D'!$P316-'Engine D'!$Q316)</f>
        <v/>
      </c>
      <c r="M138" s="31" t="str">
        <f>IF($A138&gt;NYears,"",'Engine D'!$R316)</f>
        <v/>
      </c>
    </row>
    <row r="139" spans="1:13" x14ac:dyDescent="0.3">
      <c r="A139" s="29">
        <f>27</f>
        <v>27</v>
      </c>
      <c r="B139" s="30" t="str">
        <f t="shared" si="3"/>
        <v/>
      </c>
      <c r="C139" s="24" t="str">
        <f>IF($A139&gt;NYears,"",'Engine D'!$E328)</f>
        <v/>
      </c>
      <c r="D139" s="24" t="str">
        <f>IF($A139&gt;NYears,"",'Engine D'!$F317)</f>
        <v/>
      </c>
      <c r="E139" s="29" t="str">
        <f>IF($A139&gt;NYears,"",'Engine D'!$G317)</f>
        <v/>
      </c>
      <c r="F139" s="29" t="str">
        <f>IF($A139&gt;NYears,"",'Engine D'!$S328)</f>
        <v/>
      </c>
      <c r="G139" s="29" t="str">
        <f>IF($A139&gt;NYears,"",'Engine D'!$S328-'Engine D'!$G317)</f>
        <v/>
      </c>
      <c r="H139" s="24" t="str">
        <f>IF($A139&gt;NYears,"",'Engine D'!$S328*'Engine D'!$E328)</f>
        <v/>
      </c>
      <c r="I139" s="31" t="str">
        <f>IF($A139&gt;NYears,"",'Engine D'!$K328)</f>
        <v/>
      </c>
      <c r="J139" s="24" t="str">
        <f>IF($A139&gt;NYears,"",'Engine D'!$P328)</f>
        <v/>
      </c>
      <c r="K139" s="24" t="str">
        <f>IF($A139&gt;NYears,"",'Engine D'!$Q328)</f>
        <v/>
      </c>
      <c r="L139" s="31" t="str">
        <f>IF($A139&gt;NYears,"",'Engine D'!$K328-'Engine D'!$P328-'Engine D'!$Q328)</f>
        <v/>
      </c>
      <c r="M139" s="31" t="str">
        <f>IF($A139&gt;NYears,"",'Engine D'!$R328)</f>
        <v/>
      </c>
    </row>
    <row r="140" spans="1:13" x14ac:dyDescent="0.3">
      <c r="A140" s="29">
        <f>28</f>
        <v>28</v>
      </c>
      <c r="B140" s="30" t="str">
        <f t="shared" si="3"/>
        <v/>
      </c>
      <c r="C140" s="24" t="str">
        <f>IF($A140&gt;NYears,"",'Engine D'!$E340)</f>
        <v/>
      </c>
      <c r="D140" s="24" t="str">
        <f>IF($A140&gt;NYears,"",'Engine D'!$F329)</f>
        <v/>
      </c>
      <c r="E140" s="29" t="str">
        <f>IF($A140&gt;NYears,"",'Engine D'!$G329)</f>
        <v/>
      </c>
      <c r="F140" s="29" t="str">
        <f>IF($A140&gt;NYears,"",'Engine D'!$S340)</f>
        <v/>
      </c>
      <c r="G140" s="29" t="str">
        <f>IF($A140&gt;NYears,"",'Engine D'!$S340-'Engine D'!$G329)</f>
        <v/>
      </c>
      <c r="H140" s="24" t="str">
        <f>IF($A140&gt;NYears,"",'Engine D'!$S340*'Engine D'!$E340)</f>
        <v/>
      </c>
      <c r="I140" s="31" t="str">
        <f>IF($A140&gt;NYears,"",'Engine D'!$K340)</f>
        <v/>
      </c>
      <c r="J140" s="24" t="str">
        <f>IF($A140&gt;NYears,"",'Engine D'!$P340)</f>
        <v/>
      </c>
      <c r="K140" s="24" t="str">
        <f>IF($A140&gt;NYears,"",'Engine D'!$Q340)</f>
        <v/>
      </c>
      <c r="L140" s="31" t="str">
        <f>IF($A140&gt;NYears,"",'Engine D'!$K340-'Engine D'!$P340-'Engine D'!$Q340)</f>
        <v/>
      </c>
      <c r="M140" s="31" t="str">
        <f>IF($A140&gt;NYears,"",'Engine D'!$R340)</f>
        <v/>
      </c>
    </row>
    <row r="141" spans="1:13" x14ac:dyDescent="0.3">
      <c r="A141" s="29">
        <f>29</f>
        <v>29</v>
      </c>
      <c r="B141" s="30" t="str">
        <f t="shared" si="3"/>
        <v/>
      </c>
      <c r="C141" s="24" t="str">
        <f>IF($A141&gt;NYears,"",'Engine D'!$E352)</f>
        <v/>
      </c>
      <c r="D141" s="24" t="str">
        <f>IF($A141&gt;NYears,"",'Engine D'!$F341)</f>
        <v/>
      </c>
      <c r="E141" s="29" t="str">
        <f>IF($A141&gt;NYears,"",'Engine D'!$G341)</f>
        <v/>
      </c>
      <c r="F141" s="29" t="str">
        <f>IF($A141&gt;NYears,"",'Engine D'!$S352)</f>
        <v/>
      </c>
      <c r="G141" s="29" t="str">
        <f>IF($A141&gt;NYears,"",'Engine D'!$S352-'Engine D'!$G341)</f>
        <v/>
      </c>
      <c r="H141" s="24" t="str">
        <f>IF($A141&gt;NYears,"",'Engine D'!$S352*'Engine D'!$E352)</f>
        <v/>
      </c>
      <c r="I141" s="31" t="str">
        <f>IF($A141&gt;NYears,"",'Engine D'!$K352)</f>
        <v/>
      </c>
      <c r="J141" s="24" t="str">
        <f>IF($A141&gt;NYears,"",'Engine D'!$P352)</f>
        <v/>
      </c>
      <c r="K141" s="24" t="str">
        <f>IF($A141&gt;NYears,"",'Engine D'!$Q352)</f>
        <v/>
      </c>
      <c r="L141" s="31" t="str">
        <f>IF($A141&gt;NYears,"",'Engine D'!$K352-'Engine D'!$P352-'Engine D'!$Q352)</f>
        <v/>
      </c>
      <c r="M141" s="31" t="str">
        <f>IF($A141&gt;NYears,"",'Engine D'!$R352)</f>
        <v/>
      </c>
    </row>
    <row r="142" spans="1:13" x14ac:dyDescent="0.3">
      <c r="A142" s="29">
        <f>30</f>
        <v>30</v>
      </c>
      <c r="B142" s="30" t="str">
        <f t="shared" si="3"/>
        <v/>
      </c>
      <c r="C142" s="24" t="str">
        <f>IF($A142&gt;NYears,"",'Engine D'!$E364)</f>
        <v/>
      </c>
      <c r="D142" s="24" t="str">
        <f>IF($A142&gt;NYears,"",'Engine D'!$F353)</f>
        <v/>
      </c>
      <c r="E142" s="29" t="str">
        <f>IF($A142&gt;NYears,"",'Engine D'!$G353)</f>
        <v/>
      </c>
      <c r="F142" s="29" t="str">
        <f>IF($A142&gt;NYears,"",'Engine D'!$S364)</f>
        <v/>
      </c>
      <c r="G142" s="29" t="str">
        <f>IF($A142&gt;NYears,"",'Engine D'!$S364-'Engine D'!$G353)</f>
        <v/>
      </c>
      <c r="H142" s="24" t="str">
        <f>IF($A142&gt;NYears,"",'Engine D'!$S364*'Engine D'!$E364)</f>
        <v/>
      </c>
      <c r="I142" s="31" t="str">
        <f>IF($A142&gt;NYears,"",'Engine D'!$K364)</f>
        <v/>
      </c>
      <c r="J142" s="24" t="str">
        <f>IF($A142&gt;NYears,"",'Engine D'!$P364)</f>
        <v/>
      </c>
      <c r="K142" s="24" t="str">
        <f>IF($A142&gt;NYears,"",'Engine D'!$Q364)</f>
        <v/>
      </c>
      <c r="L142" s="31" t="str">
        <f>IF($A142&gt;NYears,"",'Engine D'!$K364-'Engine D'!$P364-'Engine D'!$Q364)</f>
        <v/>
      </c>
      <c r="M142" s="31" t="str">
        <f>IF($A142&gt;NYears,"",'Engine D'!$R364)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364"/>
  <sheetViews>
    <sheetView showGridLines="0" workbookViewId="0">
      <pane ySplit="4" topLeftCell="A5" activePane="bottomLeft" state="frozen"/>
      <selection pane="bottomLeft"/>
    </sheetView>
  </sheetViews>
  <sheetFormatPr defaultRowHeight="14.4" x14ac:dyDescent="0.3"/>
  <cols>
    <col min="1" max="1" width="8" customWidth="1"/>
    <col min="2" max="2" width="11" customWidth="1"/>
    <col min="3" max="3" width="5" customWidth="1"/>
    <col min="4" max="4" width="8" customWidth="1"/>
    <col min="5" max="5" width="14" customWidth="1"/>
    <col min="6" max="6" width="16" customWidth="1"/>
    <col min="7" max="7" width="7" customWidth="1"/>
    <col min="8" max="8" width="16" customWidth="1"/>
    <col min="9" max="9" width="13" customWidth="1"/>
    <col min="10" max="13" width="15" customWidth="1"/>
    <col min="14" max="14" width="10" customWidth="1"/>
    <col min="15" max="17" width="14" customWidth="1"/>
    <col min="18" max="18" width="17" customWidth="1"/>
    <col min="19" max="19" width="12" customWidth="1"/>
  </cols>
  <sheetData>
    <row r="1" spans="1:19" ht="18" x14ac:dyDescent="0.35">
      <c r="A1" s="1" t="s">
        <v>77</v>
      </c>
    </row>
    <row r="2" spans="1:19" x14ac:dyDescent="0.3">
      <c r="A2" s="5" t="s">
        <v>78</v>
      </c>
      <c r="B2" s="32">
        <f>RateA</f>
        <v>0.05</v>
      </c>
      <c r="D2" s="2" t="s">
        <v>79</v>
      </c>
    </row>
    <row r="4" spans="1:19" ht="28.8" x14ac:dyDescent="0.3">
      <c r="A4" s="18" t="s">
        <v>80</v>
      </c>
      <c r="B4" s="18" t="s">
        <v>81</v>
      </c>
      <c r="C4" s="18" t="s">
        <v>82</v>
      </c>
      <c r="D4" s="18" t="s">
        <v>83</v>
      </c>
      <c r="E4" s="18" t="s">
        <v>63</v>
      </c>
      <c r="F4" s="18" t="s">
        <v>64</v>
      </c>
      <c r="G4" s="18" t="s">
        <v>84</v>
      </c>
      <c r="H4" s="18" t="s">
        <v>68</v>
      </c>
      <c r="I4" s="18" t="s">
        <v>85</v>
      </c>
      <c r="J4" s="18" t="s">
        <v>86</v>
      </c>
      <c r="K4" s="18" t="s">
        <v>87</v>
      </c>
      <c r="L4" s="18" t="s">
        <v>88</v>
      </c>
      <c r="M4" s="18" t="s">
        <v>89</v>
      </c>
      <c r="N4" s="18" t="s">
        <v>90</v>
      </c>
      <c r="O4" s="18" t="s">
        <v>30</v>
      </c>
      <c r="P4" s="18" t="s">
        <v>91</v>
      </c>
      <c r="Q4" s="18" t="s">
        <v>71</v>
      </c>
      <c r="R4" s="18" t="s">
        <v>73</v>
      </c>
      <c r="S4" s="18" t="s">
        <v>92</v>
      </c>
    </row>
    <row r="5" spans="1:19" x14ac:dyDescent="0.3">
      <c r="A5" s="33">
        <f>1</f>
        <v>1</v>
      </c>
      <c r="B5" s="34">
        <f t="shared" ref="B5:B68" si="0">IF($A5&gt;NYears*12,"",EDATE(StartMonth,$A5-1))</f>
        <v>46388</v>
      </c>
      <c r="C5" s="33">
        <f t="shared" ref="C5:C68" si="1">IF($A5&gt;NYears*12,"",INT(($A5-1)/12)+1)</f>
        <v>1</v>
      </c>
      <c r="D5" s="33">
        <f t="shared" ref="D5:D68" si="2">IF($A5&gt;NYears*12,"",MOD($A5-1,12)+1)</f>
        <v>1</v>
      </c>
      <c r="E5" s="35">
        <f t="shared" ref="E5:E68" si="3">IF($A5&gt;NYears*12,"",LotValue0*(1+LotGrowth)^($C5-1))</f>
        <v>83333</v>
      </c>
      <c r="F5" s="35">
        <f t="shared" ref="F5:F68" si="4">IF($A5&gt;NYears*12,"",IF($A5=1,InitInvest,$R4))</f>
        <v>5000000</v>
      </c>
      <c r="G5" s="33">
        <f t="shared" ref="G5:G68" si="5">IF($A5&gt;NYears*12,"",INT($F5/$E5))</f>
        <v>60</v>
      </c>
      <c r="H5" s="35">
        <f t="shared" ref="H5:H68" si="6">IF($A5&gt;NYears*12,"",$G5*$E5)</f>
        <v>4999980</v>
      </c>
      <c r="I5" s="35">
        <f t="shared" ref="I5:I68" si="7">IF($A5&gt;NYears*12,"",$F5-$H5)</f>
        <v>20</v>
      </c>
      <c r="J5" s="35">
        <f t="shared" ref="J5:J68" si="8">IF($A5&gt;NYears*12,"",$H5*RateA)</f>
        <v>249999</v>
      </c>
      <c r="K5" s="35">
        <f t="shared" ref="K5:K68" si="9">IF($A5&gt;NYears*12,"",IF($D5=1,$J5,$K4+$J5))</f>
        <v>249999</v>
      </c>
      <c r="L5" s="35">
        <f t="shared" ref="L5:L68" si="10">IF($A5&gt;NYears*12,"",IF(MOD($D5,3)=0,SUM($J3:$J5),0))</f>
        <v>0</v>
      </c>
      <c r="M5" s="35">
        <f t="shared" ref="M5:M68" si="11">IF($A5&gt;NYears*12,"",IF(TaxFreq="Quarterly",$K5*12/$D5,$K5))</f>
        <v>2999988</v>
      </c>
      <c r="N5" s="36">
        <f t="shared" ref="N5:N68" si="12">IF($A5&gt;NYears*12,"",LOOKUP($M5,TaxLower,TaxRate))</f>
        <v>0.312</v>
      </c>
      <c r="O5" s="35">
        <f t="shared" ref="O5:O68" si="13">IF($A5&gt;NYears*12,"",IF(TaxFreq="Quarterly",IF(MOD($D5,3)=0,$L5*$N5,0),IF($D5=12,$K5*$N5,0)))</f>
        <v>0</v>
      </c>
      <c r="P5" s="35">
        <f t="shared" ref="P5:P68" si="14">IF($A5&gt;NYears*12,"",IF($D5=1,$O5,$P4+$O5))</f>
        <v>0</v>
      </c>
      <c r="Q5" s="35">
        <f t="shared" ref="Q5:Q68" si="15">IF($A5&gt;NYears*12,"",IF($D5=12,MIN(WdrPct*IF(WdrBase="Post-tax profit",$K5-$P5,$K5),WdrCap),0))</f>
        <v>0</v>
      </c>
      <c r="R5" s="35">
        <f t="shared" ref="R5:R68" si="16">IF($A5&gt;NYears*12,"",$F5+$J5-$O5-$Q5)</f>
        <v>5249999</v>
      </c>
      <c r="S5" s="33">
        <f t="shared" ref="S5:S68" si="17">IF($A5&gt;NYears*12,"",INT($R5/$E5))</f>
        <v>63</v>
      </c>
    </row>
    <row r="6" spans="1:19" x14ac:dyDescent="0.3">
      <c r="A6" s="33">
        <f>2</f>
        <v>2</v>
      </c>
      <c r="B6" s="34">
        <f t="shared" si="0"/>
        <v>46419</v>
      </c>
      <c r="C6" s="33">
        <f t="shared" si="1"/>
        <v>1</v>
      </c>
      <c r="D6" s="33">
        <f t="shared" si="2"/>
        <v>2</v>
      </c>
      <c r="E6" s="35">
        <f t="shared" si="3"/>
        <v>83333</v>
      </c>
      <c r="F6" s="35">
        <f t="shared" si="4"/>
        <v>5249999</v>
      </c>
      <c r="G6" s="33">
        <f t="shared" si="5"/>
        <v>63</v>
      </c>
      <c r="H6" s="35">
        <f t="shared" si="6"/>
        <v>5249979</v>
      </c>
      <c r="I6" s="35">
        <f t="shared" si="7"/>
        <v>20</v>
      </c>
      <c r="J6" s="35">
        <f t="shared" si="8"/>
        <v>262498.95</v>
      </c>
      <c r="K6" s="35">
        <f t="shared" si="9"/>
        <v>512497.95</v>
      </c>
      <c r="L6" s="35">
        <f t="shared" si="10"/>
        <v>0</v>
      </c>
      <c r="M6" s="35">
        <f t="shared" si="11"/>
        <v>3074987.7</v>
      </c>
      <c r="N6" s="36">
        <f t="shared" si="12"/>
        <v>0.312</v>
      </c>
      <c r="O6" s="35">
        <f t="shared" si="13"/>
        <v>0</v>
      </c>
      <c r="P6" s="35">
        <f t="shared" si="14"/>
        <v>0</v>
      </c>
      <c r="Q6" s="35">
        <f t="shared" si="15"/>
        <v>0</v>
      </c>
      <c r="R6" s="35">
        <f t="shared" si="16"/>
        <v>5512497.9500000002</v>
      </c>
      <c r="S6" s="33">
        <f t="shared" si="17"/>
        <v>66</v>
      </c>
    </row>
    <row r="7" spans="1:19" x14ac:dyDescent="0.3">
      <c r="A7" s="33">
        <f>3</f>
        <v>3</v>
      </c>
      <c r="B7" s="34">
        <f t="shared" si="0"/>
        <v>46447</v>
      </c>
      <c r="C7" s="33">
        <f t="shared" si="1"/>
        <v>1</v>
      </c>
      <c r="D7" s="33">
        <f t="shared" si="2"/>
        <v>3</v>
      </c>
      <c r="E7" s="35">
        <f t="shared" si="3"/>
        <v>83333</v>
      </c>
      <c r="F7" s="35">
        <f t="shared" si="4"/>
        <v>5512497.9500000002</v>
      </c>
      <c r="G7" s="33">
        <f t="shared" si="5"/>
        <v>66</v>
      </c>
      <c r="H7" s="35">
        <f t="shared" si="6"/>
        <v>5499978</v>
      </c>
      <c r="I7" s="35">
        <f t="shared" si="7"/>
        <v>12519.950000000186</v>
      </c>
      <c r="J7" s="35">
        <f t="shared" si="8"/>
        <v>274998.90000000002</v>
      </c>
      <c r="K7" s="35">
        <f t="shared" si="9"/>
        <v>787496.85000000009</v>
      </c>
      <c r="L7" s="35">
        <f t="shared" si="10"/>
        <v>787496.85000000009</v>
      </c>
      <c r="M7" s="35">
        <f t="shared" si="11"/>
        <v>3149987.4000000004</v>
      </c>
      <c r="N7" s="36">
        <f t="shared" si="12"/>
        <v>0.312</v>
      </c>
      <c r="O7" s="35">
        <f t="shared" si="13"/>
        <v>245699.01720000003</v>
      </c>
      <c r="P7" s="35">
        <f t="shared" si="14"/>
        <v>245699.01720000003</v>
      </c>
      <c r="Q7" s="35">
        <f t="shared" si="15"/>
        <v>0</v>
      </c>
      <c r="R7" s="35">
        <f t="shared" si="16"/>
        <v>5541797.8328000009</v>
      </c>
      <c r="S7" s="33">
        <f t="shared" si="17"/>
        <v>66</v>
      </c>
    </row>
    <row r="8" spans="1:19" x14ac:dyDescent="0.3">
      <c r="A8" s="33">
        <f>4</f>
        <v>4</v>
      </c>
      <c r="B8" s="34">
        <f t="shared" si="0"/>
        <v>46478</v>
      </c>
      <c r="C8" s="33">
        <f t="shared" si="1"/>
        <v>1</v>
      </c>
      <c r="D8" s="33">
        <f t="shared" si="2"/>
        <v>4</v>
      </c>
      <c r="E8" s="35">
        <f t="shared" si="3"/>
        <v>83333</v>
      </c>
      <c r="F8" s="35">
        <f t="shared" si="4"/>
        <v>5541797.8328000009</v>
      </c>
      <c r="G8" s="33">
        <f t="shared" si="5"/>
        <v>66</v>
      </c>
      <c r="H8" s="35">
        <f t="shared" si="6"/>
        <v>5499978</v>
      </c>
      <c r="I8" s="35">
        <f t="shared" si="7"/>
        <v>41819.832800000906</v>
      </c>
      <c r="J8" s="35">
        <f t="shared" si="8"/>
        <v>274998.90000000002</v>
      </c>
      <c r="K8" s="35">
        <f t="shared" si="9"/>
        <v>1062495.75</v>
      </c>
      <c r="L8" s="35">
        <f t="shared" si="10"/>
        <v>0</v>
      </c>
      <c r="M8" s="35">
        <f t="shared" si="11"/>
        <v>3187487.25</v>
      </c>
      <c r="N8" s="36">
        <f t="shared" si="12"/>
        <v>0.312</v>
      </c>
      <c r="O8" s="35">
        <f t="shared" si="13"/>
        <v>0</v>
      </c>
      <c r="P8" s="35">
        <f t="shared" si="14"/>
        <v>245699.01720000003</v>
      </c>
      <c r="Q8" s="35">
        <f t="shared" si="15"/>
        <v>0</v>
      </c>
      <c r="R8" s="35">
        <f t="shared" si="16"/>
        <v>5816796.7328000013</v>
      </c>
      <c r="S8" s="33">
        <f t="shared" si="17"/>
        <v>69</v>
      </c>
    </row>
    <row r="9" spans="1:19" x14ac:dyDescent="0.3">
      <c r="A9" s="33">
        <f>5</f>
        <v>5</v>
      </c>
      <c r="B9" s="34">
        <f t="shared" si="0"/>
        <v>46508</v>
      </c>
      <c r="C9" s="33">
        <f t="shared" si="1"/>
        <v>1</v>
      </c>
      <c r="D9" s="33">
        <f t="shared" si="2"/>
        <v>5</v>
      </c>
      <c r="E9" s="35">
        <f t="shared" si="3"/>
        <v>83333</v>
      </c>
      <c r="F9" s="35">
        <f t="shared" si="4"/>
        <v>5816796.7328000013</v>
      </c>
      <c r="G9" s="33">
        <f t="shared" si="5"/>
        <v>69</v>
      </c>
      <c r="H9" s="35">
        <f t="shared" si="6"/>
        <v>5749977</v>
      </c>
      <c r="I9" s="35">
        <f t="shared" si="7"/>
        <v>66819.732800001279</v>
      </c>
      <c r="J9" s="35">
        <f t="shared" si="8"/>
        <v>287498.85000000003</v>
      </c>
      <c r="K9" s="35">
        <f t="shared" si="9"/>
        <v>1349994.6</v>
      </c>
      <c r="L9" s="35">
        <f t="shared" si="10"/>
        <v>0</v>
      </c>
      <c r="M9" s="35">
        <f t="shared" si="11"/>
        <v>3239987.04</v>
      </c>
      <c r="N9" s="36">
        <f t="shared" si="12"/>
        <v>0.312</v>
      </c>
      <c r="O9" s="35">
        <f t="shared" si="13"/>
        <v>0</v>
      </c>
      <c r="P9" s="35">
        <f t="shared" si="14"/>
        <v>245699.01720000003</v>
      </c>
      <c r="Q9" s="35">
        <f t="shared" si="15"/>
        <v>0</v>
      </c>
      <c r="R9" s="35">
        <f t="shared" si="16"/>
        <v>6104295.5828000009</v>
      </c>
      <c r="S9" s="33">
        <f t="shared" si="17"/>
        <v>73</v>
      </c>
    </row>
    <row r="10" spans="1:19" x14ac:dyDescent="0.3">
      <c r="A10" s="33">
        <f>6</f>
        <v>6</v>
      </c>
      <c r="B10" s="34">
        <f t="shared" si="0"/>
        <v>46539</v>
      </c>
      <c r="C10" s="33">
        <f t="shared" si="1"/>
        <v>1</v>
      </c>
      <c r="D10" s="33">
        <f t="shared" si="2"/>
        <v>6</v>
      </c>
      <c r="E10" s="35">
        <f t="shared" si="3"/>
        <v>83333</v>
      </c>
      <c r="F10" s="35">
        <f t="shared" si="4"/>
        <v>6104295.5828000009</v>
      </c>
      <c r="G10" s="33">
        <f t="shared" si="5"/>
        <v>73</v>
      </c>
      <c r="H10" s="35">
        <f t="shared" si="6"/>
        <v>6083309</v>
      </c>
      <c r="I10" s="35">
        <f t="shared" si="7"/>
        <v>20986.582800000906</v>
      </c>
      <c r="J10" s="35">
        <f t="shared" si="8"/>
        <v>304165.45</v>
      </c>
      <c r="K10" s="35">
        <f t="shared" si="9"/>
        <v>1654160.05</v>
      </c>
      <c r="L10" s="35">
        <f t="shared" si="10"/>
        <v>866663.2</v>
      </c>
      <c r="M10" s="35">
        <f t="shared" si="11"/>
        <v>3308320.1</v>
      </c>
      <c r="N10" s="36">
        <f t="shared" si="12"/>
        <v>0.312</v>
      </c>
      <c r="O10" s="35">
        <f t="shared" si="13"/>
        <v>270398.91839999997</v>
      </c>
      <c r="P10" s="35">
        <f t="shared" si="14"/>
        <v>516097.93559999997</v>
      </c>
      <c r="Q10" s="35">
        <f t="shared" si="15"/>
        <v>0</v>
      </c>
      <c r="R10" s="35">
        <f t="shared" si="16"/>
        <v>6138062.1144000012</v>
      </c>
      <c r="S10" s="33">
        <f t="shared" si="17"/>
        <v>73</v>
      </c>
    </row>
    <row r="11" spans="1:19" x14ac:dyDescent="0.3">
      <c r="A11" s="33">
        <f>7</f>
        <v>7</v>
      </c>
      <c r="B11" s="34">
        <f t="shared" si="0"/>
        <v>46569</v>
      </c>
      <c r="C11" s="33">
        <f t="shared" si="1"/>
        <v>1</v>
      </c>
      <c r="D11" s="33">
        <f t="shared" si="2"/>
        <v>7</v>
      </c>
      <c r="E11" s="35">
        <f t="shared" si="3"/>
        <v>83333</v>
      </c>
      <c r="F11" s="35">
        <f t="shared" si="4"/>
        <v>6138062.1144000012</v>
      </c>
      <c r="G11" s="33">
        <f t="shared" si="5"/>
        <v>73</v>
      </c>
      <c r="H11" s="35">
        <f t="shared" si="6"/>
        <v>6083309</v>
      </c>
      <c r="I11" s="35">
        <f t="shared" si="7"/>
        <v>54753.114400001243</v>
      </c>
      <c r="J11" s="35">
        <f t="shared" si="8"/>
        <v>304165.45</v>
      </c>
      <c r="K11" s="35">
        <f t="shared" si="9"/>
        <v>1958325.5</v>
      </c>
      <c r="L11" s="35">
        <f t="shared" si="10"/>
        <v>0</v>
      </c>
      <c r="M11" s="35">
        <f t="shared" si="11"/>
        <v>3357129.4285714286</v>
      </c>
      <c r="N11" s="36">
        <f t="shared" si="12"/>
        <v>0.312</v>
      </c>
      <c r="O11" s="35">
        <f t="shared" si="13"/>
        <v>0</v>
      </c>
      <c r="P11" s="35">
        <f t="shared" si="14"/>
        <v>516097.93559999997</v>
      </c>
      <c r="Q11" s="35">
        <f t="shared" si="15"/>
        <v>0</v>
      </c>
      <c r="R11" s="35">
        <f t="shared" si="16"/>
        <v>6442227.5644000014</v>
      </c>
      <c r="S11" s="33">
        <f t="shared" si="17"/>
        <v>77</v>
      </c>
    </row>
    <row r="12" spans="1:19" x14ac:dyDescent="0.3">
      <c r="A12" s="33">
        <f>8</f>
        <v>8</v>
      </c>
      <c r="B12" s="34">
        <f t="shared" si="0"/>
        <v>46600</v>
      </c>
      <c r="C12" s="33">
        <f t="shared" si="1"/>
        <v>1</v>
      </c>
      <c r="D12" s="33">
        <f t="shared" si="2"/>
        <v>8</v>
      </c>
      <c r="E12" s="35">
        <f t="shared" si="3"/>
        <v>83333</v>
      </c>
      <c r="F12" s="35">
        <f t="shared" si="4"/>
        <v>6442227.5644000014</v>
      </c>
      <c r="G12" s="33">
        <f t="shared" si="5"/>
        <v>77</v>
      </c>
      <c r="H12" s="35">
        <f t="shared" si="6"/>
        <v>6416641</v>
      </c>
      <c r="I12" s="35">
        <f t="shared" si="7"/>
        <v>25586.564400001429</v>
      </c>
      <c r="J12" s="35">
        <f t="shared" si="8"/>
        <v>320832.05000000005</v>
      </c>
      <c r="K12" s="35">
        <f t="shared" si="9"/>
        <v>2279157.5499999998</v>
      </c>
      <c r="L12" s="35">
        <f t="shared" si="10"/>
        <v>0</v>
      </c>
      <c r="M12" s="35">
        <f t="shared" si="11"/>
        <v>3418736.3249999997</v>
      </c>
      <c r="N12" s="36">
        <f t="shared" si="12"/>
        <v>0.312</v>
      </c>
      <c r="O12" s="35">
        <f t="shared" si="13"/>
        <v>0</v>
      </c>
      <c r="P12" s="35">
        <f t="shared" si="14"/>
        <v>516097.93559999997</v>
      </c>
      <c r="Q12" s="35">
        <f t="shared" si="15"/>
        <v>0</v>
      </c>
      <c r="R12" s="35">
        <f t="shared" si="16"/>
        <v>6763059.6144000012</v>
      </c>
      <c r="S12" s="33">
        <f t="shared" si="17"/>
        <v>81</v>
      </c>
    </row>
    <row r="13" spans="1:19" x14ac:dyDescent="0.3">
      <c r="A13" s="33">
        <f>9</f>
        <v>9</v>
      </c>
      <c r="B13" s="34">
        <f t="shared" si="0"/>
        <v>46631</v>
      </c>
      <c r="C13" s="33">
        <f t="shared" si="1"/>
        <v>1</v>
      </c>
      <c r="D13" s="33">
        <f t="shared" si="2"/>
        <v>9</v>
      </c>
      <c r="E13" s="35">
        <f t="shared" si="3"/>
        <v>83333</v>
      </c>
      <c r="F13" s="35">
        <f t="shared" si="4"/>
        <v>6763059.6144000012</v>
      </c>
      <c r="G13" s="33">
        <f t="shared" si="5"/>
        <v>81</v>
      </c>
      <c r="H13" s="35">
        <f t="shared" si="6"/>
        <v>6749973</v>
      </c>
      <c r="I13" s="35">
        <f t="shared" si="7"/>
        <v>13086.614400001243</v>
      </c>
      <c r="J13" s="35">
        <f t="shared" si="8"/>
        <v>337498.65</v>
      </c>
      <c r="K13" s="35">
        <f t="shared" si="9"/>
        <v>2616656.1999999997</v>
      </c>
      <c r="L13" s="35">
        <f t="shared" si="10"/>
        <v>962496.15</v>
      </c>
      <c r="M13" s="35">
        <f t="shared" si="11"/>
        <v>3488874.9333333331</v>
      </c>
      <c r="N13" s="36">
        <f t="shared" si="12"/>
        <v>0.312</v>
      </c>
      <c r="O13" s="35">
        <f t="shared" si="13"/>
        <v>300298.79879999999</v>
      </c>
      <c r="P13" s="35">
        <f t="shared" si="14"/>
        <v>816396.73439999996</v>
      </c>
      <c r="Q13" s="35">
        <f t="shared" si="15"/>
        <v>0</v>
      </c>
      <c r="R13" s="35">
        <f t="shared" si="16"/>
        <v>6800259.4656000016</v>
      </c>
      <c r="S13" s="33">
        <f t="shared" si="17"/>
        <v>81</v>
      </c>
    </row>
    <row r="14" spans="1:19" x14ac:dyDescent="0.3">
      <c r="A14" s="33">
        <f>10</f>
        <v>10</v>
      </c>
      <c r="B14" s="34">
        <f t="shared" si="0"/>
        <v>46661</v>
      </c>
      <c r="C14" s="33">
        <f t="shared" si="1"/>
        <v>1</v>
      </c>
      <c r="D14" s="33">
        <f t="shared" si="2"/>
        <v>10</v>
      </c>
      <c r="E14" s="35">
        <f t="shared" si="3"/>
        <v>83333</v>
      </c>
      <c r="F14" s="35">
        <f t="shared" si="4"/>
        <v>6800259.4656000016</v>
      </c>
      <c r="G14" s="33">
        <f t="shared" si="5"/>
        <v>81</v>
      </c>
      <c r="H14" s="35">
        <f t="shared" si="6"/>
        <v>6749973</v>
      </c>
      <c r="I14" s="35">
        <f t="shared" si="7"/>
        <v>50286.465600001626</v>
      </c>
      <c r="J14" s="35">
        <f t="shared" si="8"/>
        <v>337498.65</v>
      </c>
      <c r="K14" s="35">
        <f t="shared" si="9"/>
        <v>2954154.8499999996</v>
      </c>
      <c r="L14" s="35">
        <f t="shared" si="10"/>
        <v>0</v>
      </c>
      <c r="M14" s="35">
        <f t="shared" si="11"/>
        <v>3544985.8199999994</v>
      </c>
      <c r="N14" s="36">
        <f t="shared" si="12"/>
        <v>0.312</v>
      </c>
      <c r="O14" s="35">
        <f t="shared" si="13"/>
        <v>0</v>
      </c>
      <c r="P14" s="35">
        <f t="shared" si="14"/>
        <v>816396.73439999996</v>
      </c>
      <c r="Q14" s="35">
        <f t="shared" si="15"/>
        <v>0</v>
      </c>
      <c r="R14" s="35">
        <f t="shared" si="16"/>
        <v>7137758.115600002</v>
      </c>
      <c r="S14" s="33">
        <f t="shared" si="17"/>
        <v>85</v>
      </c>
    </row>
    <row r="15" spans="1:19" x14ac:dyDescent="0.3">
      <c r="A15" s="33">
        <f>11</f>
        <v>11</v>
      </c>
      <c r="B15" s="34">
        <f t="shared" si="0"/>
        <v>46692</v>
      </c>
      <c r="C15" s="33">
        <f t="shared" si="1"/>
        <v>1</v>
      </c>
      <c r="D15" s="33">
        <f t="shared" si="2"/>
        <v>11</v>
      </c>
      <c r="E15" s="35">
        <f t="shared" si="3"/>
        <v>83333</v>
      </c>
      <c r="F15" s="35">
        <f t="shared" si="4"/>
        <v>7137758.115600002</v>
      </c>
      <c r="G15" s="33">
        <f t="shared" si="5"/>
        <v>85</v>
      </c>
      <c r="H15" s="35">
        <f t="shared" si="6"/>
        <v>7083305</v>
      </c>
      <c r="I15" s="35">
        <f t="shared" si="7"/>
        <v>54453.115600001998</v>
      </c>
      <c r="J15" s="35">
        <f t="shared" si="8"/>
        <v>354165.25</v>
      </c>
      <c r="K15" s="35">
        <f t="shared" si="9"/>
        <v>3308320.0999999996</v>
      </c>
      <c r="L15" s="35">
        <f t="shared" si="10"/>
        <v>0</v>
      </c>
      <c r="M15" s="35">
        <f t="shared" si="11"/>
        <v>3609076.4727272722</v>
      </c>
      <c r="N15" s="36">
        <f t="shared" si="12"/>
        <v>0.312</v>
      </c>
      <c r="O15" s="35">
        <f t="shared" si="13"/>
        <v>0</v>
      </c>
      <c r="P15" s="35">
        <f t="shared" si="14"/>
        <v>816396.73439999996</v>
      </c>
      <c r="Q15" s="35">
        <f t="shared" si="15"/>
        <v>0</v>
      </c>
      <c r="R15" s="35">
        <f t="shared" si="16"/>
        <v>7491923.365600002</v>
      </c>
      <c r="S15" s="33">
        <f t="shared" si="17"/>
        <v>89</v>
      </c>
    </row>
    <row r="16" spans="1:19" x14ac:dyDescent="0.3">
      <c r="A16" s="37">
        <f>12</f>
        <v>12</v>
      </c>
      <c r="B16" s="38">
        <f t="shared" si="0"/>
        <v>46722</v>
      </c>
      <c r="C16" s="37">
        <f t="shared" si="1"/>
        <v>1</v>
      </c>
      <c r="D16" s="37">
        <f t="shared" si="2"/>
        <v>12</v>
      </c>
      <c r="E16" s="39">
        <f t="shared" si="3"/>
        <v>83333</v>
      </c>
      <c r="F16" s="39">
        <f t="shared" si="4"/>
        <v>7491923.365600002</v>
      </c>
      <c r="G16" s="37">
        <f t="shared" si="5"/>
        <v>89</v>
      </c>
      <c r="H16" s="39">
        <f t="shared" si="6"/>
        <v>7416637</v>
      </c>
      <c r="I16" s="39">
        <f t="shared" si="7"/>
        <v>75286.365600001998</v>
      </c>
      <c r="J16" s="39">
        <f t="shared" si="8"/>
        <v>370831.85000000003</v>
      </c>
      <c r="K16" s="39">
        <f t="shared" si="9"/>
        <v>3679151.9499999997</v>
      </c>
      <c r="L16" s="39">
        <f t="shared" si="10"/>
        <v>1062495.75</v>
      </c>
      <c r="M16" s="39">
        <f t="shared" si="11"/>
        <v>3679151.9499999997</v>
      </c>
      <c r="N16" s="40">
        <f t="shared" si="12"/>
        <v>0.312</v>
      </c>
      <c r="O16" s="39">
        <f t="shared" si="13"/>
        <v>331498.674</v>
      </c>
      <c r="P16" s="39">
        <f t="shared" si="14"/>
        <v>1147895.4084000001</v>
      </c>
      <c r="Q16" s="39">
        <f t="shared" si="15"/>
        <v>253125.65415999998</v>
      </c>
      <c r="R16" s="39">
        <f t="shared" si="16"/>
        <v>7278130.8874400016</v>
      </c>
      <c r="S16" s="37">
        <f t="shared" si="17"/>
        <v>87</v>
      </c>
    </row>
    <row r="17" spans="1:19" x14ac:dyDescent="0.3">
      <c r="A17" s="33">
        <f>13</f>
        <v>13</v>
      </c>
      <c r="B17" s="34">
        <f t="shared" si="0"/>
        <v>46753</v>
      </c>
      <c r="C17" s="33">
        <f t="shared" si="1"/>
        <v>2</v>
      </c>
      <c r="D17" s="33">
        <f t="shared" si="2"/>
        <v>1</v>
      </c>
      <c r="E17" s="35">
        <f t="shared" si="3"/>
        <v>87499.650000000009</v>
      </c>
      <c r="F17" s="35">
        <f t="shared" si="4"/>
        <v>7278130.8874400016</v>
      </c>
      <c r="G17" s="33">
        <f t="shared" si="5"/>
        <v>83</v>
      </c>
      <c r="H17" s="35">
        <f t="shared" si="6"/>
        <v>7262470.9500000011</v>
      </c>
      <c r="I17" s="35">
        <f t="shared" si="7"/>
        <v>15659.937440000474</v>
      </c>
      <c r="J17" s="35">
        <f t="shared" si="8"/>
        <v>363123.5475000001</v>
      </c>
      <c r="K17" s="35">
        <f t="shared" si="9"/>
        <v>363123.5475000001</v>
      </c>
      <c r="L17" s="35">
        <f t="shared" si="10"/>
        <v>0</v>
      </c>
      <c r="M17" s="35">
        <f t="shared" si="11"/>
        <v>4357482.5700000012</v>
      </c>
      <c r="N17" s="36">
        <f t="shared" si="12"/>
        <v>0.312</v>
      </c>
      <c r="O17" s="35">
        <f t="shared" si="13"/>
        <v>0</v>
      </c>
      <c r="P17" s="35">
        <f t="shared" si="14"/>
        <v>0</v>
      </c>
      <c r="Q17" s="35">
        <f t="shared" si="15"/>
        <v>0</v>
      </c>
      <c r="R17" s="35">
        <f t="shared" si="16"/>
        <v>7641254.4349400019</v>
      </c>
      <c r="S17" s="33">
        <f t="shared" si="17"/>
        <v>87</v>
      </c>
    </row>
    <row r="18" spans="1:19" x14ac:dyDescent="0.3">
      <c r="A18" s="33">
        <f>14</f>
        <v>14</v>
      </c>
      <c r="B18" s="34">
        <f t="shared" si="0"/>
        <v>46784</v>
      </c>
      <c r="C18" s="33">
        <f t="shared" si="1"/>
        <v>2</v>
      </c>
      <c r="D18" s="33">
        <f t="shared" si="2"/>
        <v>2</v>
      </c>
      <c r="E18" s="35">
        <f t="shared" si="3"/>
        <v>87499.650000000009</v>
      </c>
      <c r="F18" s="35">
        <f t="shared" si="4"/>
        <v>7641254.4349400019</v>
      </c>
      <c r="G18" s="33">
        <f t="shared" si="5"/>
        <v>87</v>
      </c>
      <c r="H18" s="35">
        <f t="shared" si="6"/>
        <v>7612469.5500000007</v>
      </c>
      <c r="I18" s="35">
        <f t="shared" si="7"/>
        <v>28784.884940001182</v>
      </c>
      <c r="J18" s="35">
        <f t="shared" si="8"/>
        <v>380623.47750000004</v>
      </c>
      <c r="K18" s="35">
        <f t="shared" si="9"/>
        <v>743747.02500000014</v>
      </c>
      <c r="L18" s="35">
        <f t="shared" si="10"/>
        <v>0</v>
      </c>
      <c r="M18" s="35">
        <f t="shared" si="11"/>
        <v>4462482.1500000004</v>
      </c>
      <c r="N18" s="36">
        <f t="shared" si="12"/>
        <v>0.312</v>
      </c>
      <c r="O18" s="35">
        <f t="shared" si="13"/>
        <v>0</v>
      </c>
      <c r="P18" s="35">
        <f t="shared" si="14"/>
        <v>0</v>
      </c>
      <c r="Q18" s="35">
        <f t="shared" si="15"/>
        <v>0</v>
      </c>
      <c r="R18" s="35">
        <f t="shared" si="16"/>
        <v>8021877.912440002</v>
      </c>
      <c r="S18" s="33">
        <f t="shared" si="17"/>
        <v>91</v>
      </c>
    </row>
    <row r="19" spans="1:19" x14ac:dyDescent="0.3">
      <c r="A19" s="33">
        <f>15</f>
        <v>15</v>
      </c>
      <c r="B19" s="34">
        <f t="shared" si="0"/>
        <v>46813</v>
      </c>
      <c r="C19" s="33">
        <f t="shared" si="1"/>
        <v>2</v>
      </c>
      <c r="D19" s="33">
        <f t="shared" si="2"/>
        <v>3</v>
      </c>
      <c r="E19" s="35">
        <f t="shared" si="3"/>
        <v>87499.650000000009</v>
      </c>
      <c r="F19" s="35">
        <f t="shared" si="4"/>
        <v>8021877.912440002</v>
      </c>
      <c r="G19" s="33">
        <f t="shared" si="5"/>
        <v>91</v>
      </c>
      <c r="H19" s="35">
        <f t="shared" si="6"/>
        <v>7962468.1500000004</v>
      </c>
      <c r="I19" s="35">
        <f t="shared" si="7"/>
        <v>59409.762440001592</v>
      </c>
      <c r="J19" s="35">
        <f t="shared" si="8"/>
        <v>398123.40750000003</v>
      </c>
      <c r="K19" s="35">
        <f t="shared" si="9"/>
        <v>1141870.4325000001</v>
      </c>
      <c r="L19" s="35">
        <f t="shared" si="10"/>
        <v>1141870.4325000001</v>
      </c>
      <c r="M19" s="35">
        <f t="shared" si="11"/>
        <v>4567481.7300000004</v>
      </c>
      <c r="N19" s="36">
        <f t="shared" si="12"/>
        <v>0.312</v>
      </c>
      <c r="O19" s="35">
        <f t="shared" si="13"/>
        <v>356263.57494000002</v>
      </c>
      <c r="P19" s="35">
        <f t="shared" si="14"/>
        <v>356263.57494000002</v>
      </c>
      <c r="Q19" s="35">
        <f t="shared" si="15"/>
        <v>0</v>
      </c>
      <c r="R19" s="35">
        <f t="shared" si="16"/>
        <v>8063737.7450000029</v>
      </c>
      <c r="S19" s="33">
        <f t="shared" si="17"/>
        <v>92</v>
      </c>
    </row>
    <row r="20" spans="1:19" x14ac:dyDescent="0.3">
      <c r="A20" s="33">
        <f>16</f>
        <v>16</v>
      </c>
      <c r="B20" s="34">
        <f t="shared" si="0"/>
        <v>46844</v>
      </c>
      <c r="C20" s="33">
        <f t="shared" si="1"/>
        <v>2</v>
      </c>
      <c r="D20" s="33">
        <f t="shared" si="2"/>
        <v>4</v>
      </c>
      <c r="E20" s="35">
        <f t="shared" si="3"/>
        <v>87499.650000000009</v>
      </c>
      <c r="F20" s="35">
        <f t="shared" si="4"/>
        <v>8063737.7450000029</v>
      </c>
      <c r="G20" s="33">
        <f t="shared" si="5"/>
        <v>92</v>
      </c>
      <c r="H20" s="35">
        <f t="shared" si="6"/>
        <v>8049967.8000000007</v>
      </c>
      <c r="I20" s="35">
        <f t="shared" si="7"/>
        <v>13769.945000002161</v>
      </c>
      <c r="J20" s="35">
        <f t="shared" si="8"/>
        <v>402498.39000000007</v>
      </c>
      <c r="K20" s="35">
        <f t="shared" si="9"/>
        <v>1544368.8225000002</v>
      </c>
      <c r="L20" s="35">
        <f t="shared" si="10"/>
        <v>0</v>
      </c>
      <c r="M20" s="35">
        <f t="shared" si="11"/>
        <v>4633106.4675000012</v>
      </c>
      <c r="N20" s="36">
        <f t="shared" si="12"/>
        <v>0.312</v>
      </c>
      <c r="O20" s="35">
        <f t="shared" si="13"/>
        <v>0</v>
      </c>
      <c r="P20" s="35">
        <f t="shared" si="14"/>
        <v>356263.57494000002</v>
      </c>
      <c r="Q20" s="35">
        <f t="shared" si="15"/>
        <v>0</v>
      </c>
      <c r="R20" s="35">
        <f t="shared" si="16"/>
        <v>8466236.1350000035</v>
      </c>
      <c r="S20" s="33">
        <f t="shared" si="17"/>
        <v>96</v>
      </c>
    </row>
    <row r="21" spans="1:19" x14ac:dyDescent="0.3">
      <c r="A21" s="33">
        <f>17</f>
        <v>17</v>
      </c>
      <c r="B21" s="34">
        <f t="shared" si="0"/>
        <v>46874</v>
      </c>
      <c r="C21" s="33">
        <f t="shared" si="1"/>
        <v>2</v>
      </c>
      <c r="D21" s="33">
        <f t="shared" si="2"/>
        <v>5</v>
      </c>
      <c r="E21" s="35">
        <f t="shared" si="3"/>
        <v>87499.650000000009</v>
      </c>
      <c r="F21" s="35">
        <f t="shared" si="4"/>
        <v>8466236.1350000035</v>
      </c>
      <c r="G21" s="33">
        <f t="shared" si="5"/>
        <v>96</v>
      </c>
      <c r="H21" s="35">
        <f t="shared" si="6"/>
        <v>8399966.4000000004</v>
      </c>
      <c r="I21" s="35">
        <f t="shared" si="7"/>
        <v>66269.735000003129</v>
      </c>
      <c r="J21" s="35">
        <f t="shared" si="8"/>
        <v>419998.32000000007</v>
      </c>
      <c r="K21" s="35">
        <f t="shared" si="9"/>
        <v>1964367.1425000003</v>
      </c>
      <c r="L21" s="35">
        <f t="shared" si="10"/>
        <v>0</v>
      </c>
      <c r="M21" s="35">
        <f t="shared" si="11"/>
        <v>4714481.1420000009</v>
      </c>
      <c r="N21" s="36">
        <f t="shared" si="12"/>
        <v>0.312</v>
      </c>
      <c r="O21" s="35">
        <f t="shared" si="13"/>
        <v>0</v>
      </c>
      <c r="P21" s="35">
        <f t="shared" si="14"/>
        <v>356263.57494000002</v>
      </c>
      <c r="Q21" s="35">
        <f t="shared" si="15"/>
        <v>0</v>
      </c>
      <c r="R21" s="35">
        <f t="shared" si="16"/>
        <v>8886234.4550000038</v>
      </c>
      <c r="S21" s="33">
        <f t="shared" si="17"/>
        <v>101</v>
      </c>
    </row>
    <row r="22" spans="1:19" x14ac:dyDescent="0.3">
      <c r="A22" s="33">
        <f>18</f>
        <v>18</v>
      </c>
      <c r="B22" s="34">
        <f t="shared" si="0"/>
        <v>46905</v>
      </c>
      <c r="C22" s="33">
        <f t="shared" si="1"/>
        <v>2</v>
      </c>
      <c r="D22" s="33">
        <f t="shared" si="2"/>
        <v>6</v>
      </c>
      <c r="E22" s="35">
        <f t="shared" si="3"/>
        <v>87499.650000000009</v>
      </c>
      <c r="F22" s="35">
        <f t="shared" si="4"/>
        <v>8886234.4550000038</v>
      </c>
      <c r="G22" s="33">
        <f t="shared" si="5"/>
        <v>101</v>
      </c>
      <c r="H22" s="35">
        <f t="shared" si="6"/>
        <v>8837464.6500000004</v>
      </c>
      <c r="I22" s="35">
        <f t="shared" si="7"/>
        <v>48769.805000003427</v>
      </c>
      <c r="J22" s="35">
        <f t="shared" si="8"/>
        <v>441873.23250000004</v>
      </c>
      <c r="K22" s="35">
        <f t="shared" si="9"/>
        <v>2406240.3750000005</v>
      </c>
      <c r="L22" s="35">
        <f t="shared" si="10"/>
        <v>1264369.9425000004</v>
      </c>
      <c r="M22" s="35">
        <f t="shared" si="11"/>
        <v>4812480.7500000009</v>
      </c>
      <c r="N22" s="36">
        <f t="shared" si="12"/>
        <v>0.312</v>
      </c>
      <c r="O22" s="35">
        <f t="shared" si="13"/>
        <v>394483.42206000013</v>
      </c>
      <c r="P22" s="35">
        <f t="shared" si="14"/>
        <v>750746.99700000021</v>
      </c>
      <c r="Q22" s="35">
        <f t="shared" si="15"/>
        <v>0</v>
      </c>
      <c r="R22" s="35">
        <f t="shared" si="16"/>
        <v>8933624.2654400039</v>
      </c>
      <c r="S22" s="33">
        <f t="shared" si="17"/>
        <v>102</v>
      </c>
    </row>
    <row r="23" spans="1:19" x14ac:dyDescent="0.3">
      <c r="A23" s="33">
        <f>19</f>
        <v>19</v>
      </c>
      <c r="B23" s="34">
        <f t="shared" si="0"/>
        <v>46935</v>
      </c>
      <c r="C23" s="33">
        <f t="shared" si="1"/>
        <v>2</v>
      </c>
      <c r="D23" s="33">
        <f t="shared" si="2"/>
        <v>7</v>
      </c>
      <c r="E23" s="35">
        <f t="shared" si="3"/>
        <v>87499.650000000009</v>
      </c>
      <c r="F23" s="35">
        <f t="shared" si="4"/>
        <v>8933624.2654400039</v>
      </c>
      <c r="G23" s="33">
        <f t="shared" si="5"/>
        <v>102</v>
      </c>
      <c r="H23" s="35">
        <f t="shared" si="6"/>
        <v>8924964.3000000007</v>
      </c>
      <c r="I23" s="35">
        <f t="shared" si="7"/>
        <v>8659.9654400032014</v>
      </c>
      <c r="J23" s="35">
        <f t="shared" si="8"/>
        <v>446248.21500000008</v>
      </c>
      <c r="K23" s="35">
        <f t="shared" si="9"/>
        <v>2852488.5900000008</v>
      </c>
      <c r="L23" s="35">
        <f t="shared" si="10"/>
        <v>0</v>
      </c>
      <c r="M23" s="35">
        <f t="shared" si="11"/>
        <v>4889980.4400000023</v>
      </c>
      <c r="N23" s="36">
        <f t="shared" si="12"/>
        <v>0.312</v>
      </c>
      <c r="O23" s="35">
        <f t="shared" si="13"/>
        <v>0</v>
      </c>
      <c r="P23" s="35">
        <f t="shared" si="14"/>
        <v>750746.99700000021</v>
      </c>
      <c r="Q23" s="35">
        <f t="shared" si="15"/>
        <v>0</v>
      </c>
      <c r="R23" s="35">
        <f t="shared" si="16"/>
        <v>9379872.4804400038</v>
      </c>
      <c r="S23" s="33">
        <f t="shared" si="17"/>
        <v>107</v>
      </c>
    </row>
    <row r="24" spans="1:19" x14ac:dyDescent="0.3">
      <c r="A24" s="33">
        <f>20</f>
        <v>20</v>
      </c>
      <c r="B24" s="34">
        <f t="shared" si="0"/>
        <v>46966</v>
      </c>
      <c r="C24" s="33">
        <f t="shared" si="1"/>
        <v>2</v>
      </c>
      <c r="D24" s="33">
        <f t="shared" si="2"/>
        <v>8</v>
      </c>
      <c r="E24" s="35">
        <f t="shared" si="3"/>
        <v>87499.650000000009</v>
      </c>
      <c r="F24" s="35">
        <f t="shared" si="4"/>
        <v>9379872.4804400038</v>
      </c>
      <c r="G24" s="33">
        <f t="shared" si="5"/>
        <v>107</v>
      </c>
      <c r="H24" s="35">
        <f t="shared" si="6"/>
        <v>9362462.5500000007</v>
      </c>
      <c r="I24" s="35">
        <f t="shared" si="7"/>
        <v>17409.930440003052</v>
      </c>
      <c r="J24" s="35">
        <f t="shared" si="8"/>
        <v>468123.12750000006</v>
      </c>
      <c r="K24" s="35">
        <f t="shared" si="9"/>
        <v>3320611.7175000007</v>
      </c>
      <c r="L24" s="35">
        <f t="shared" si="10"/>
        <v>0</v>
      </c>
      <c r="M24" s="35">
        <f t="shared" si="11"/>
        <v>4980917.5762500009</v>
      </c>
      <c r="N24" s="36">
        <f t="shared" si="12"/>
        <v>0.312</v>
      </c>
      <c r="O24" s="35">
        <f t="shared" si="13"/>
        <v>0</v>
      </c>
      <c r="P24" s="35">
        <f t="shared" si="14"/>
        <v>750746.99700000021</v>
      </c>
      <c r="Q24" s="35">
        <f t="shared" si="15"/>
        <v>0</v>
      </c>
      <c r="R24" s="35">
        <f t="shared" si="16"/>
        <v>9847995.6079400033</v>
      </c>
      <c r="S24" s="33">
        <f t="shared" si="17"/>
        <v>112</v>
      </c>
    </row>
    <row r="25" spans="1:19" x14ac:dyDescent="0.3">
      <c r="A25" s="33">
        <f>21</f>
        <v>21</v>
      </c>
      <c r="B25" s="34">
        <f t="shared" si="0"/>
        <v>46997</v>
      </c>
      <c r="C25" s="33">
        <f t="shared" si="1"/>
        <v>2</v>
      </c>
      <c r="D25" s="33">
        <f t="shared" si="2"/>
        <v>9</v>
      </c>
      <c r="E25" s="35">
        <f t="shared" si="3"/>
        <v>87499.650000000009</v>
      </c>
      <c r="F25" s="35">
        <f t="shared" si="4"/>
        <v>9847995.6079400033</v>
      </c>
      <c r="G25" s="33">
        <f t="shared" si="5"/>
        <v>112</v>
      </c>
      <c r="H25" s="35">
        <f t="shared" si="6"/>
        <v>9799960.8000000007</v>
      </c>
      <c r="I25" s="35">
        <f t="shared" si="7"/>
        <v>48034.807940002531</v>
      </c>
      <c r="J25" s="35">
        <f t="shared" si="8"/>
        <v>489998.04000000004</v>
      </c>
      <c r="K25" s="35">
        <f t="shared" si="9"/>
        <v>3810609.7575000008</v>
      </c>
      <c r="L25" s="35">
        <f t="shared" si="10"/>
        <v>1404369.3825000003</v>
      </c>
      <c r="M25" s="35">
        <f t="shared" si="11"/>
        <v>5080813.0100000016</v>
      </c>
      <c r="N25" s="36">
        <f t="shared" si="12"/>
        <v>0.34320000000000001</v>
      </c>
      <c r="O25" s="35">
        <f t="shared" si="13"/>
        <v>481979.57207400008</v>
      </c>
      <c r="P25" s="35">
        <f t="shared" si="14"/>
        <v>1232726.5690740002</v>
      </c>
      <c r="Q25" s="35">
        <f t="shared" si="15"/>
        <v>0</v>
      </c>
      <c r="R25" s="35">
        <f t="shared" si="16"/>
        <v>9856014.0758660026</v>
      </c>
      <c r="S25" s="33">
        <f t="shared" si="17"/>
        <v>112</v>
      </c>
    </row>
    <row r="26" spans="1:19" x14ac:dyDescent="0.3">
      <c r="A26" s="33">
        <f>22</f>
        <v>22</v>
      </c>
      <c r="B26" s="34">
        <f t="shared" si="0"/>
        <v>47027</v>
      </c>
      <c r="C26" s="33">
        <f t="shared" si="1"/>
        <v>2</v>
      </c>
      <c r="D26" s="33">
        <f t="shared" si="2"/>
        <v>10</v>
      </c>
      <c r="E26" s="35">
        <f t="shared" si="3"/>
        <v>87499.650000000009</v>
      </c>
      <c r="F26" s="35">
        <f t="shared" si="4"/>
        <v>9856014.0758660026</v>
      </c>
      <c r="G26" s="33">
        <f t="shared" si="5"/>
        <v>112</v>
      </c>
      <c r="H26" s="35">
        <f t="shared" si="6"/>
        <v>9799960.8000000007</v>
      </c>
      <c r="I26" s="35">
        <f t="shared" si="7"/>
        <v>56053.275866001844</v>
      </c>
      <c r="J26" s="35">
        <f t="shared" si="8"/>
        <v>489998.04000000004</v>
      </c>
      <c r="K26" s="35">
        <f t="shared" si="9"/>
        <v>4300607.7975000013</v>
      </c>
      <c r="L26" s="35">
        <f t="shared" si="10"/>
        <v>0</v>
      </c>
      <c r="M26" s="35">
        <f t="shared" si="11"/>
        <v>5160729.3570000017</v>
      </c>
      <c r="N26" s="36">
        <f t="shared" si="12"/>
        <v>0.34320000000000001</v>
      </c>
      <c r="O26" s="35">
        <f t="shared" si="13"/>
        <v>0</v>
      </c>
      <c r="P26" s="35">
        <f t="shared" si="14"/>
        <v>1232726.5690740002</v>
      </c>
      <c r="Q26" s="35">
        <f t="shared" si="15"/>
        <v>0</v>
      </c>
      <c r="R26" s="35">
        <f t="shared" si="16"/>
        <v>10346012.115866002</v>
      </c>
      <c r="S26" s="33">
        <f t="shared" si="17"/>
        <v>118</v>
      </c>
    </row>
    <row r="27" spans="1:19" x14ac:dyDescent="0.3">
      <c r="A27" s="33">
        <f>23</f>
        <v>23</v>
      </c>
      <c r="B27" s="34">
        <f t="shared" si="0"/>
        <v>47058</v>
      </c>
      <c r="C27" s="33">
        <f t="shared" si="1"/>
        <v>2</v>
      </c>
      <c r="D27" s="33">
        <f t="shared" si="2"/>
        <v>11</v>
      </c>
      <c r="E27" s="35">
        <f t="shared" si="3"/>
        <v>87499.650000000009</v>
      </c>
      <c r="F27" s="35">
        <f t="shared" si="4"/>
        <v>10346012.115866002</v>
      </c>
      <c r="G27" s="33">
        <f t="shared" si="5"/>
        <v>118</v>
      </c>
      <c r="H27" s="35">
        <f t="shared" si="6"/>
        <v>10324958.700000001</v>
      </c>
      <c r="I27" s="35">
        <f t="shared" si="7"/>
        <v>21053.415866000578</v>
      </c>
      <c r="J27" s="35">
        <f t="shared" si="8"/>
        <v>516247.93500000006</v>
      </c>
      <c r="K27" s="35">
        <f t="shared" si="9"/>
        <v>4816855.7325000018</v>
      </c>
      <c r="L27" s="35">
        <f t="shared" si="10"/>
        <v>0</v>
      </c>
      <c r="M27" s="35">
        <f t="shared" si="11"/>
        <v>5254751.7081818199</v>
      </c>
      <c r="N27" s="36">
        <f t="shared" si="12"/>
        <v>0.34320000000000001</v>
      </c>
      <c r="O27" s="35">
        <f t="shared" si="13"/>
        <v>0</v>
      </c>
      <c r="P27" s="35">
        <f t="shared" si="14"/>
        <v>1232726.5690740002</v>
      </c>
      <c r="Q27" s="35">
        <f t="shared" si="15"/>
        <v>0</v>
      </c>
      <c r="R27" s="35">
        <f t="shared" si="16"/>
        <v>10862260.050866002</v>
      </c>
      <c r="S27" s="33">
        <f t="shared" si="17"/>
        <v>124</v>
      </c>
    </row>
    <row r="28" spans="1:19" x14ac:dyDescent="0.3">
      <c r="A28" s="37">
        <f>24</f>
        <v>24</v>
      </c>
      <c r="B28" s="38">
        <f t="shared" si="0"/>
        <v>47088</v>
      </c>
      <c r="C28" s="37">
        <f t="shared" si="1"/>
        <v>2</v>
      </c>
      <c r="D28" s="37">
        <f t="shared" si="2"/>
        <v>12</v>
      </c>
      <c r="E28" s="39">
        <f t="shared" si="3"/>
        <v>87499.650000000009</v>
      </c>
      <c r="F28" s="39">
        <f t="shared" si="4"/>
        <v>10862260.050866002</v>
      </c>
      <c r="G28" s="37">
        <f t="shared" si="5"/>
        <v>124</v>
      </c>
      <c r="H28" s="39">
        <f t="shared" si="6"/>
        <v>10849956.600000001</v>
      </c>
      <c r="I28" s="39">
        <f t="shared" si="7"/>
        <v>12303.450866000727</v>
      </c>
      <c r="J28" s="39">
        <f t="shared" si="8"/>
        <v>542497.83000000007</v>
      </c>
      <c r="K28" s="39">
        <f t="shared" si="9"/>
        <v>5359353.5625000019</v>
      </c>
      <c r="L28" s="39">
        <f t="shared" si="10"/>
        <v>1548743.8050000002</v>
      </c>
      <c r="M28" s="39">
        <f t="shared" si="11"/>
        <v>5359353.5625000019</v>
      </c>
      <c r="N28" s="40">
        <f t="shared" si="12"/>
        <v>0.34320000000000001</v>
      </c>
      <c r="O28" s="39">
        <f t="shared" si="13"/>
        <v>531528.87387600006</v>
      </c>
      <c r="P28" s="39">
        <f t="shared" si="14"/>
        <v>1764255.4429500003</v>
      </c>
      <c r="Q28" s="39">
        <f t="shared" si="15"/>
        <v>359509.81195500022</v>
      </c>
      <c r="R28" s="39">
        <f t="shared" si="16"/>
        <v>10513719.195035003</v>
      </c>
      <c r="S28" s="37">
        <f t="shared" si="17"/>
        <v>120</v>
      </c>
    </row>
    <row r="29" spans="1:19" x14ac:dyDescent="0.3">
      <c r="A29" s="33">
        <f>25</f>
        <v>25</v>
      </c>
      <c r="B29" s="34">
        <f t="shared" si="0"/>
        <v>47119</v>
      </c>
      <c r="C29" s="33">
        <f t="shared" si="1"/>
        <v>3</v>
      </c>
      <c r="D29" s="33">
        <f t="shared" si="2"/>
        <v>1</v>
      </c>
      <c r="E29" s="35">
        <f t="shared" si="3"/>
        <v>91874.632500000007</v>
      </c>
      <c r="F29" s="35">
        <f t="shared" si="4"/>
        <v>10513719.195035003</v>
      </c>
      <c r="G29" s="33">
        <f t="shared" si="5"/>
        <v>114</v>
      </c>
      <c r="H29" s="35">
        <f t="shared" si="6"/>
        <v>10473708.105</v>
      </c>
      <c r="I29" s="35">
        <f t="shared" si="7"/>
        <v>40011.090035002679</v>
      </c>
      <c r="J29" s="35">
        <f t="shared" si="8"/>
        <v>523685.40525000007</v>
      </c>
      <c r="K29" s="35">
        <f t="shared" si="9"/>
        <v>523685.40525000007</v>
      </c>
      <c r="L29" s="35">
        <f t="shared" si="10"/>
        <v>0</v>
      </c>
      <c r="M29" s="35">
        <f t="shared" si="11"/>
        <v>6284224.8630000008</v>
      </c>
      <c r="N29" s="36">
        <f t="shared" si="12"/>
        <v>0.34320000000000001</v>
      </c>
      <c r="O29" s="35">
        <f t="shared" si="13"/>
        <v>0</v>
      </c>
      <c r="P29" s="35">
        <f t="shared" si="14"/>
        <v>0</v>
      </c>
      <c r="Q29" s="35">
        <f t="shared" si="15"/>
        <v>0</v>
      </c>
      <c r="R29" s="35">
        <f t="shared" si="16"/>
        <v>11037404.600285003</v>
      </c>
      <c r="S29" s="33">
        <f t="shared" si="17"/>
        <v>120</v>
      </c>
    </row>
    <row r="30" spans="1:19" x14ac:dyDescent="0.3">
      <c r="A30" s="33">
        <f>26</f>
        <v>26</v>
      </c>
      <c r="B30" s="34">
        <f t="shared" si="0"/>
        <v>47150</v>
      </c>
      <c r="C30" s="33">
        <f t="shared" si="1"/>
        <v>3</v>
      </c>
      <c r="D30" s="33">
        <f t="shared" si="2"/>
        <v>2</v>
      </c>
      <c r="E30" s="35">
        <f t="shared" si="3"/>
        <v>91874.632500000007</v>
      </c>
      <c r="F30" s="35">
        <f t="shared" si="4"/>
        <v>11037404.600285003</v>
      </c>
      <c r="G30" s="33">
        <f t="shared" si="5"/>
        <v>120</v>
      </c>
      <c r="H30" s="35">
        <f t="shared" si="6"/>
        <v>11024955.9</v>
      </c>
      <c r="I30" s="35">
        <f t="shared" si="7"/>
        <v>12448.700285002589</v>
      </c>
      <c r="J30" s="35">
        <f t="shared" si="8"/>
        <v>551247.79500000004</v>
      </c>
      <c r="K30" s="35">
        <f t="shared" si="9"/>
        <v>1074933.2002500002</v>
      </c>
      <c r="L30" s="35">
        <f t="shared" si="10"/>
        <v>0</v>
      </c>
      <c r="M30" s="35">
        <f t="shared" si="11"/>
        <v>6449599.2015000014</v>
      </c>
      <c r="N30" s="36">
        <f t="shared" si="12"/>
        <v>0.34320000000000001</v>
      </c>
      <c r="O30" s="35">
        <f t="shared" si="13"/>
        <v>0</v>
      </c>
      <c r="P30" s="35">
        <f t="shared" si="14"/>
        <v>0</v>
      </c>
      <c r="Q30" s="35">
        <f t="shared" si="15"/>
        <v>0</v>
      </c>
      <c r="R30" s="35">
        <f t="shared" si="16"/>
        <v>11588652.395285003</v>
      </c>
      <c r="S30" s="33">
        <f t="shared" si="17"/>
        <v>126</v>
      </c>
    </row>
    <row r="31" spans="1:19" x14ac:dyDescent="0.3">
      <c r="A31" s="33">
        <f>27</f>
        <v>27</v>
      </c>
      <c r="B31" s="34">
        <f t="shared" si="0"/>
        <v>47178</v>
      </c>
      <c r="C31" s="33">
        <f t="shared" si="1"/>
        <v>3</v>
      </c>
      <c r="D31" s="33">
        <f t="shared" si="2"/>
        <v>3</v>
      </c>
      <c r="E31" s="35">
        <f t="shared" si="3"/>
        <v>91874.632500000007</v>
      </c>
      <c r="F31" s="35">
        <f t="shared" si="4"/>
        <v>11588652.395285003</v>
      </c>
      <c r="G31" s="33">
        <f t="shared" si="5"/>
        <v>126</v>
      </c>
      <c r="H31" s="35">
        <f t="shared" si="6"/>
        <v>11576203.695</v>
      </c>
      <c r="I31" s="35">
        <f t="shared" si="7"/>
        <v>12448.700285002589</v>
      </c>
      <c r="J31" s="35">
        <f t="shared" si="8"/>
        <v>578810.18475000001</v>
      </c>
      <c r="K31" s="35">
        <f t="shared" si="9"/>
        <v>1653743.3850000002</v>
      </c>
      <c r="L31" s="35">
        <f t="shared" si="10"/>
        <v>1653743.3850000002</v>
      </c>
      <c r="M31" s="35">
        <f t="shared" si="11"/>
        <v>6614973.5400000019</v>
      </c>
      <c r="N31" s="36">
        <f t="shared" si="12"/>
        <v>0.34320000000000001</v>
      </c>
      <c r="O31" s="35">
        <f t="shared" si="13"/>
        <v>567564.72973200004</v>
      </c>
      <c r="P31" s="35">
        <f t="shared" si="14"/>
        <v>567564.72973200004</v>
      </c>
      <c r="Q31" s="35">
        <f t="shared" si="15"/>
        <v>0</v>
      </c>
      <c r="R31" s="35">
        <f t="shared" si="16"/>
        <v>11599897.850303004</v>
      </c>
      <c r="S31" s="33">
        <f t="shared" si="17"/>
        <v>126</v>
      </c>
    </row>
    <row r="32" spans="1:19" x14ac:dyDescent="0.3">
      <c r="A32" s="33">
        <f>28</f>
        <v>28</v>
      </c>
      <c r="B32" s="34">
        <f t="shared" si="0"/>
        <v>47209</v>
      </c>
      <c r="C32" s="33">
        <f t="shared" si="1"/>
        <v>3</v>
      </c>
      <c r="D32" s="33">
        <f t="shared" si="2"/>
        <v>4</v>
      </c>
      <c r="E32" s="35">
        <f t="shared" si="3"/>
        <v>91874.632500000007</v>
      </c>
      <c r="F32" s="35">
        <f t="shared" si="4"/>
        <v>11599897.850303004</v>
      </c>
      <c r="G32" s="33">
        <f t="shared" si="5"/>
        <v>126</v>
      </c>
      <c r="H32" s="35">
        <f t="shared" si="6"/>
        <v>11576203.695</v>
      </c>
      <c r="I32" s="35">
        <f t="shared" si="7"/>
        <v>23694.155303003266</v>
      </c>
      <c r="J32" s="35">
        <f t="shared" si="8"/>
        <v>578810.18475000001</v>
      </c>
      <c r="K32" s="35">
        <f t="shared" si="9"/>
        <v>2232553.5697500003</v>
      </c>
      <c r="L32" s="35">
        <f t="shared" si="10"/>
        <v>0</v>
      </c>
      <c r="M32" s="35">
        <f t="shared" si="11"/>
        <v>6697660.7092500012</v>
      </c>
      <c r="N32" s="36">
        <f t="shared" si="12"/>
        <v>0.34320000000000001</v>
      </c>
      <c r="O32" s="35">
        <f t="shared" si="13"/>
        <v>0</v>
      </c>
      <c r="P32" s="35">
        <f t="shared" si="14"/>
        <v>567564.72973200004</v>
      </c>
      <c r="Q32" s="35">
        <f t="shared" si="15"/>
        <v>0</v>
      </c>
      <c r="R32" s="35">
        <f t="shared" si="16"/>
        <v>12178708.035053004</v>
      </c>
      <c r="S32" s="33">
        <f t="shared" si="17"/>
        <v>132</v>
      </c>
    </row>
    <row r="33" spans="1:19" x14ac:dyDescent="0.3">
      <c r="A33" s="33">
        <f>29</f>
        <v>29</v>
      </c>
      <c r="B33" s="34">
        <f t="shared" si="0"/>
        <v>47239</v>
      </c>
      <c r="C33" s="33">
        <f t="shared" si="1"/>
        <v>3</v>
      </c>
      <c r="D33" s="33">
        <f t="shared" si="2"/>
        <v>5</v>
      </c>
      <c r="E33" s="35">
        <f t="shared" si="3"/>
        <v>91874.632500000007</v>
      </c>
      <c r="F33" s="35">
        <f t="shared" si="4"/>
        <v>12178708.035053004</v>
      </c>
      <c r="G33" s="33">
        <f t="shared" si="5"/>
        <v>132</v>
      </c>
      <c r="H33" s="35">
        <f t="shared" si="6"/>
        <v>12127451.49</v>
      </c>
      <c r="I33" s="35">
        <f t="shared" si="7"/>
        <v>51256.545053003356</v>
      </c>
      <c r="J33" s="35">
        <f t="shared" si="8"/>
        <v>606372.57449999999</v>
      </c>
      <c r="K33" s="35">
        <f t="shared" si="9"/>
        <v>2838926.1442500004</v>
      </c>
      <c r="L33" s="35">
        <f t="shared" si="10"/>
        <v>0</v>
      </c>
      <c r="M33" s="35">
        <f t="shared" si="11"/>
        <v>6813422.7462000009</v>
      </c>
      <c r="N33" s="36">
        <f t="shared" si="12"/>
        <v>0.34320000000000001</v>
      </c>
      <c r="O33" s="35">
        <f t="shared" si="13"/>
        <v>0</v>
      </c>
      <c r="P33" s="35">
        <f t="shared" si="14"/>
        <v>567564.72973200004</v>
      </c>
      <c r="Q33" s="35">
        <f t="shared" si="15"/>
        <v>0</v>
      </c>
      <c r="R33" s="35">
        <f t="shared" si="16"/>
        <v>12785080.609553004</v>
      </c>
      <c r="S33" s="33">
        <f t="shared" si="17"/>
        <v>139</v>
      </c>
    </row>
    <row r="34" spans="1:19" x14ac:dyDescent="0.3">
      <c r="A34" s="33">
        <f>30</f>
        <v>30</v>
      </c>
      <c r="B34" s="34">
        <f t="shared" si="0"/>
        <v>47270</v>
      </c>
      <c r="C34" s="33">
        <f t="shared" si="1"/>
        <v>3</v>
      </c>
      <c r="D34" s="33">
        <f t="shared" si="2"/>
        <v>6</v>
      </c>
      <c r="E34" s="35">
        <f t="shared" si="3"/>
        <v>91874.632500000007</v>
      </c>
      <c r="F34" s="35">
        <f t="shared" si="4"/>
        <v>12785080.609553004</v>
      </c>
      <c r="G34" s="33">
        <f t="shared" si="5"/>
        <v>139</v>
      </c>
      <c r="H34" s="35">
        <f t="shared" si="6"/>
        <v>12770573.9175</v>
      </c>
      <c r="I34" s="35">
        <f t="shared" si="7"/>
        <v>14506.692053003237</v>
      </c>
      <c r="J34" s="35">
        <f t="shared" si="8"/>
        <v>638528.69587500009</v>
      </c>
      <c r="K34" s="35">
        <f t="shared" si="9"/>
        <v>3477454.8401250006</v>
      </c>
      <c r="L34" s="35">
        <f t="shared" si="10"/>
        <v>1823711.4551250003</v>
      </c>
      <c r="M34" s="35">
        <f t="shared" si="11"/>
        <v>6954909.6802500011</v>
      </c>
      <c r="N34" s="36">
        <f t="shared" si="12"/>
        <v>0.34320000000000001</v>
      </c>
      <c r="O34" s="35">
        <f t="shared" si="13"/>
        <v>625897.77139890008</v>
      </c>
      <c r="P34" s="35">
        <f t="shared" si="14"/>
        <v>1193462.5011309001</v>
      </c>
      <c r="Q34" s="35">
        <f t="shared" si="15"/>
        <v>0</v>
      </c>
      <c r="R34" s="35">
        <f t="shared" si="16"/>
        <v>12797711.534029104</v>
      </c>
      <c r="S34" s="33">
        <f t="shared" si="17"/>
        <v>139</v>
      </c>
    </row>
    <row r="35" spans="1:19" x14ac:dyDescent="0.3">
      <c r="A35" s="33">
        <f>31</f>
        <v>31</v>
      </c>
      <c r="B35" s="34">
        <f t="shared" si="0"/>
        <v>47300</v>
      </c>
      <c r="C35" s="33">
        <f t="shared" si="1"/>
        <v>3</v>
      </c>
      <c r="D35" s="33">
        <f t="shared" si="2"/>
        <v>7</v>
      </c>
      <c r="E35" s="35">
        <f t="shared" si="3"/>
        <v>91874.632500000007</v>
      </c>
      <c r="F35" s="35">
        <f t="shared" si="4"/>
        <v>12797711.534029104</v>
      </c>
      <c r="G35" s="33">
        <f t="shared" si="5"/>
        <v>139</v>
      </c>
      <c r="H35" s="35">
        <f t="shared" si="6"/>
        <v>12770573.9175</v>
      </c>
      <c r="I35" s="35">
        <f t="shared" si="7"/>
        <v>27137.616529103369</v>
      </c>
      <c r="J35" s="35">
        <f t="shared" si="8"/>
        <v>638528.69587500009</v>
      </c>
      <c r="K35" s="35">
        <f t="shared" si="9"/>
        <v>4115983.5360000008</v>
      </c>
      <c r="L35" s="35">
        <f t="shared" si="10"/>
        <v>0</v>
      </c>
      <c r="M35" s="35">
        <f t="shared" si="11"/>
        <v>7055971.7760000015</v>
      </c>
      <c r="N35" s="36">
        <f t="shared" si="12"/>
        <v>0.34320000000000001</v>
      </c>
      <c r="O35" s="35">
        <f t="shared" si="13"/>
        <v>0</v>
      </c>
      <c r="P35" s="35">
        <f t="shared" si="14"/>
        <v>1193462.5011309001</v>
      </c>
      <c r="Q35" s="35">
        <f t="shared" si="15"/>
        <v>0</v>
      </c>
      <c r="R35" s="35">
        <f t="shared" si="16"/>
        <v>13436240.229904104</v>
      </c>
      <c r="S35" s="33">
        <f t="shared" si="17"/>
        <v>146</v>
      </c>
    </row>
    <row r="36" spans="1:19" x14ac:dyDescent="0.3">
      <c r="A36" s="33">
        <f>32</f>
        <v>32</v>
      </c>
      <c r="B36" s="34">
        <f t="shared" si="0"/>
        <v>47331</v>
      </c>
      <c r="C36" s="33">
        <f t="shared" si="1"/>
        <v>3</v>
      </c>
      <c r="D36" s="33">
        <f t="shared" si="2"/>
        <v>8</v>
      </c>
      <c r="E36" s="35">
        <f t="shared" si="3"/>
        <v>91874.632500000007</v>
      </c>
      <c r="F36" s="35">
        <f t="shared" si="4"/>
        <v>13436240.229904104</v>
      </c>
      <c r="G36" s="33">
        <f t="shared" si="5"/>
        <v>146</v>
      </c>
      <c r="H36" s="35">
        <f t="shared" si="6"/>
        <v>13413696.345000001</v>
      </c>
      <c r="I36" s="35">
        <f t="shared" si="7"/>
        <v>22543.884904103354</v>
      </c>
      <c r="J36" s="35">
        <f t="shared" si="8"/>
        <v>670684.81725000008</v>
      </c>
      <c r="K36" s="35">
        <f t="shared" si="9"/>
        <v>4786668.3532500006</v>
      </c>
      <c r="L36" s="35">
        <f t="shared" si="10"/>
        <v>0</v>
      </c>
      <c r="M36" s="35">
        <f t="shared" si="11"/>
        <v>7180002.5298750009</v>
      </c>
      <c r="N36" s="36">
        <f t="shared" si="12"/>
        <v>0.34320000000000001</v>
      </c>
      <c r="O36" s="35">
        <f t="shared" si="13"/>
        <v>0</v>
      </c>
      <c r="P36" s="35">
        <f t="shared" si="14"/>
        <v>1193462.5011309001</v>
      </c>
      <c r="Q36" s="35">
        <f t="shared" si="15"/>
        <v>0</v>
      </c>
      <c r="R36" s="35">
        <f t="shared" si="16"/>
        <v>14106925.047154104</v>
      </c>
      <c r="S36" s="33">
        <f t="shared" si="17"/>
        <v>153</v>
      </c>
    </row>
    <row r="37" spans="1:19" x14ac:dyDescent="0.3">
      <c r="A37" s="33">
        <f>33</f>
        <v>33</v>
      </c>
      <c r="B37" s="34">
        <f t="shared" si="0"/>
        <v>47362</v>
      </c>
      <c r="C37" s="33">
        <f t="shared" si="1"/>
        <v>3</v>
      </c>
      <c r="D37" s="33">
        <f t="shared" si="2"/>
        <v>9</v>
      </c>
      <c r="E37" s="35">
        <f t="shared" si="3"/>
        <v>91874.632500000007</v>
      </c>
      <c r="F37" s="35">
        <f t="shared" si="4"/>
        <v>14106925.047154104</v>
      </c>
      <c r="G37" s="33">
        <f t="shared" si="5"/>
        <v>153</v>
      </c>
      <c r="H37" s="35">
        <f t="shared" si="6"/>
        <v>14056818.772500001</v>
      </c>
      <c r="I37" s="35">
        <f t="shared" si="7"/>
        <v>50106.274654103443</v>
      </c>
      <c r="J37" s="35">
        <f t="shared" si="8"/>
        <v>702840.93862500007</v>
      </c>
      <c r="K37" s="35">
        <f t="shared" si="9"/>
        <v>5489509.291875001</v>
      </c>
      <c r="L37" s="35">
        <f t="shared" si="10"/>
        <v>2012054.45175</v>
      </c>
      <c r="M37" s="35">
        <f t="shared" si="11"/>
        <v>7319345.7225000011</v>
      </c>
      <c r="N37" s="36">
        <f t="shared" si="12"/>
        <v>0.34320000000000001</v>
      </c>
      <c r="O37" s="35">
        <f t="shared" si="13"/>
        <v>690537.08784060006</v>
      </c>
      <c r="P37" s="35">
        <f t="shared" si="14"/>
        <v>1883999.5889715003</v>
      </c>
      <c r="Q37" s="35">
        <f t="shared" si="15"/>
        <v>0</v>
      </c>
      <c r="R37" s="35">
        <f t="shared" si="16"/>
        <v>14119228.897938505</v>
      </c>
      <c r="S37" s="33">
        <f t="shared" si="17"/>
        <v>153</v>
      </c>
    </row>
    <row r="38" spans="1:19" x14ac:dyDescent="0.3">
      <c r="A38" s="33">
        <f>34</f>
        <v>34</v>
      </c>
      <c r="B38" s="34">
        <f t="shared" si="0"/>
        <v>47392</v>
      </c>
      <c r="C38" s="33">
        <f t="shared" si="1"/>
        <v>3</v>
      </c>
      <c r="D38" s="33">
        <f t="shared" si="2"/>
        <v>10</v>
      </c>
      <c r="E38" s="35">
        <f t="shared" si="3"/>
        <v>91874.632500000007</v>
      </c>
      <c r="F38" s="35">
        <f t="shared" si="4"/>
        <v>14119228.897938505</v>
      </c>
      <c r="G38" s="33">
        <f t="shared" si="5"/>
        <v>153</v>
      </c>
      <c r="H38" s="35">
        <f t="shared" si="6"/>
        <v>14056818.772500001</v>
      </c>
      <c r="I38" s="35">
        <f t="shared" si="7"/>
        <v>62410.125438503921</v>
      </c>
      <c r="J38" s="35">
        <f t="shared" si="8"/>
        <v>702840.93862500007</v>
      </c>
      <c r="K38" s="35">
        <f t="shared" si="9"/>
        <v>6192350.2305000015</v>
      </c>
      <c r="L38" s="35">
        <f t="shared" si="10"/>
        <v>0</v>
      </c>
      <c r="M38" s="35">
        <f t="shared" si="11"/>
        <v>7430820.2766000014</v>
      </c>
      <c r="N38" s="36">
        <f t="shared" si="12"/>
        <v>0.34320000000000001</v>
      </c>
      <c r="O38" s="35">
        <f t="shared" si="13"/>
        <v>0</v>
      </c>
      <c r="P38" s="35">
        <f t="shared" si="14"/>
        <v>1883999.5889715003</v>
      </c>
      <c r="Q38" s="35">
        <f t="shared" si="15"/>
        <v>0</v>
      </c>
      <c r="R38" s="35">
        <f t="shared" si="16"/>
        <v>14822069.836563505</v>
      </c>
      <c r="S38" s="33">
        <f t="shared" si="17"/>
        <v>161</v>
      </c>
    </row>
    <row r="39" spans="1:19" x14ac:dyDescent="0.3">
      <c r="A39" s="33">
        <f>35</f>
        <v>35</v>
      </c>
      <c r="B39" s="34">
        <f t="shared" si="0"/>
        <v>47423</v>
      </c>
      <c r="C39" s="33">
        <f t="shared" si="1"/>
        <v>3</v>
      </c>
      <c r="D39" s="33">
        <f t="shared" si="2"/>
        <v>11</v>
      </c>
      <c r="E39" s="35">
        <f t="shared" si="3"/>
        <v>91874.632500000007</v>
      </c>
      <c r="F39" s="35">
        <f t="shared" si="4"/>
        <v>14822069.836563505</v>
      </c>
      <c r="G39" s="33">
        <f t="shared" si="5"/>
        <v>161</v>
      </c>
      <c r="H39" s="35">
        <f t="shared" si="6"/>
        <v>14791815.832500001</v>
      </c>
      <c r="I39" s="35">
        <f t="shared" si="7"/>
        <v>30254.004063503817</v>
      </c>
      <c r="J39" s="35">
        <f t="shared" si="8"/>
        <v>739590.79162500007</v>
      </c>
      <c r="K39" s="35">
        <f t="shared" si="9"/>
        <v>6931941.022125002</v>
      </c>
      <c r="L39" s="35">
        <f t="shared" si="10"/>
        <v>0</v>
      </c>
      <c r="M39" s="35">
        <f t="shared" si="11"/>
        <v>7562117.4786818204</v>
      </c>
      <c r="N39" s="36">
        <f t="shared" si="12"/>
        <v>0.34320000000000001</v>
      </c>
      <c r="O39" s="35">
        <f t="shared" si="13"/>
        <v>0</v>
      </c>
      <c r="P39" s="35">
        <f t="shared" si="14"/>
        <v>1883999.5889715003</v>
      </c>
      <c r="Q39" s="35">
        <f t="shared" si="15"/>
        <v>0</v>
      </c>
      <c r="R39" s="35">
        <f t="shared" si="16"/>
        <v>15561660.628188506</v>
      </c>
      <c r="S39" s="33">
        <f t="shared" si="17"/>
        <v>169</v>
      </c>
    </row>
    <row r="40" spans="1:19" x14ac:dyDescent="0.3">
      <c r="A40" s="37">
        <f>36</f>
        <v>36</v>
      </c>
      <c r="B40" s="38">
        <f t="shared" si="0"/>
        <v>47453</v>
      </c>
      <c r="C40" s="37">
        <f t="shared" si="1"/>
        <v>3</v>
      </c>
      <c r="D40" s="37">
        <f t="shared" si="2"/>
        <v>12</v>
      </c>
      <c r="E40" s="39">
        <f t="shared" si="3"/>
        <v>91874.632500000007</v>
      </c>
      <c r="F40" s="39">
        <f t="shared" si="4"/>
        <v>15561660.628188506</v>
      </c>
      <c r="G40" s="37">
        <f t="shared" si="5"/>
        <v>169</v>
      </c>
      <c r="H40" s="39">
        <f t="shared" si="6"/>
        <v>15526812.892500002</v>
      </c>
      <c r="I40" s="39">
        <f t="shared" si="7"/>
        <v>34847.735688503832</v>
      </c>
      <c r="J40" s="39">
        <f t="shared" si="8"/>
        <v>776340.64462500019</v>
      </c>
      <c r="K40" s="39">
        <f t="shared" si="9"/>
        <v>7708281.6667500027</v>
      </c>
      <c r="L40" s="39">
        <f t="shared" si="10"/>
        <v>2218772.3748750002</v>
      </c>
      <c r="M40" s="39">
        <f t="shared" si="11"/>
        <v>7708281.6667500027</v>
      </c>
      <c r="N40" s="40">
        <f t="shared" si="12"/>
        <v>0.34320000000000001</v>
      </c>
      <c r="O40" s="39">
        <f t="shared" si="13"/>
        <v>761482.67905710009</v>
      </c>
      <c r="P40" s="39">
        <f t="shared" si="14"/>
        <v>2645482.2680286001</v>
      </c>
      <c r="Q40" s="39">
        <f t="shared" si="15"/>
        <v>506279.9398721403</v>
      </c>
      <c r="R40" s="39">
        <f t="shared" si="16"/>
        <v>15070238.653884266</v>
      </c>
      <c r="S40" s="37">
        <f t="shared" si="17"/>
        <v>164</v>
      </c>
    </row>
    <row r="41" spans="1:19" x14ac:dyDescent="0.3">
      <c r="A41" s="33">
        <f>37</f>
        <v>37</v>
      </c>
      <c r="B41" s="34">
        <f t="shared" si="0"/>
        <v>47484</v>
      </c>
      <c r="C41" s="33">
        <f t="shared" si="1"/>
        <v>4</v>
      </c>
      <c r="D41" s="33">
        <f t="shared" si="2"/>
        <v>1</v>
      </c>
      <c r="E41" s="35">
        <f t="shared" si="3"/>
        <v>96468.364125000007</v>
      </c>
      <c r="F41" s="35">
        <f t="shared" si="4"/>
        <v>15070238.653884266</v>
      </c>
      <c r="G41" s="33">
        <f t="shared" si="5"/>
        <v>156</v>
      </c>
      <c r="H41" s="35">
        <f t="shared" si="6"/>
        <v>15049064.8035</v>
      </c>
      <c r="I41" s="35">
        <f t="shared" si="7"/>
        <v>21173.850384265184</v>
      </c>
      <c r="J41" s="35">
        <f t="shared" si="8"/>
        <v>752453.24017500004</v>
      </c>
      <c r="K41" s="35">
        <f t="shared" si="9"/>
        <v>752453.24017500004</v>
      </c>
      <c r="L41" s="35">
        <f t="shared" si="10"/>
        <v>0</v>
      </c>
      <c r="M41" s="35">
        <f t="shared" si="11"/>
        <v>9029438.882100001</v>
      </c>
      <c r="N41" s="36">
        <f t="shared" si="12"/>
        <v>0.34320000000000001</v>
      </c>
      <c r="O41" s="35">
        <f t="shared" si="13"/>
        <v>0</v>
      </c>
      <c r="P41" s="35">
        <f t="shared" si="14"/>
        <v>0</v>
      </c>
      <c r="Q41" s="35">
        <f t="shared" si="15"/>
        <v>0</v>
      </c>
      <c r="R41" s="35">
        <f t="shared" si="16"/>
        <v>15822691.894059265</v>
      </c>
      <c r="S41" s="33">
        <f t="shared" si="17"/>
        <v>164</v>
      </c>
    </row>
    <row r="42" spans="1:19" x14ac:dyDescent="0.3">
      <c r="A42" s="33">
        <f>38</f>
        <v>38</v>
      </c>
      <c r="B42" s="34">
        <f t="shared" si="0"/>
        <v>47515</v>
      </c>
      <c r="C42" s="33">
        <f t="shared" si="1"/>
        <v>4</v>
      </c>
      <c r="D42" s="33">
        <f t="shared" si="2"/>
        <v>2</v>
      </c>
      <c r="E42" s="35">
        <f t="shared" si="3"/>
        <v>96468.364125000007</v>
      </c>
      <c r="F42" s="35">
        <f t="shared" si="4"/>
        <v>15822691.894059265</v>
      </c>
      <c r="G42" s="33">
        <f t="shared" si="5"/>
        <v>164</v>
      </c>
      <c r="H42" s="35">
        <f t="shared" si="6"/>
        <v>15820811.716500001</v>
      </c>
      <c r="I42" s="35">
        <f t="shared" si="7"/>
        <v>1880.1775592640042</v>
      </c>
      <c r="J42" s="35">
        <f t="shared" si="8"/>
        <v>791040.58582500007</v>
      </c>
      <c r="K42" s="35">
        <f t="shared" si="9"/>
        <v>1543493.8260000001</v>
      </c>
      <c r="L42" s="35">
        <f t="shared" si="10"/>
        <v>0</v>
      </c>
      <c r="M42" s="35">
        <f t="shared" si="11"/>
        <v>9260962.9560000002</v>
      </c>
      <c r="N42" s="36">
        <f t="shared" si="12"/>
        <v>0.34320000000000001</v>
      </c>
      <c r="O42" s="35">
        <f t="shared" si="13"/>
        <v>0</v>
      </c>
      <c r="P42" s="35">
        <f t="shared" si="14"/>
        <v>0</v>
      </c>
      <c r="Q42" s="35">
        <f t="shared" si="15"/>
        <v>0</v>
      </c>
      <c r="R42" s="35">
        <f t="shared" si="16"/>
        <v>16613732.479884265</v>
      </c>
      <c r="S42" s="33">
        <f t="shared" si="17"/>
        <v>172</v>
      </c>
    </row>
    <row r="43" spans="1:19" x14ac:dyDescent="0.3">
      <c r="A43" s="33">
        <f>39</f>
        <v>39</v>
      </c>
      <c r="B43" s="34">
        <f t="shared" si="0"/>
        <v>47543</v>
      </c>
      <c r="C43" s="33">
        <f t="shared" si="1"/>
        <v>4</v>
      </c>
      <c r="D43" s="33">
        <f t="shared" si="2"/>
        <v>3</v>
      </c>
      <c r="E43" s="35">
        <f t="shared" si="3"/>
        <v>96468.364125000007</v>
      </c>
      <c r="F43" s="35">
        <f t="shared" si="4"/>
        <v>16613732.479884265</v>
      </c>
      <c r="G43" s="33">
        <f t="shared" si="5"/>
        <v>172</v>
      </c>
      <c r="H43" s="35">
        <f t="shared" si="6"/>
        <v>16592558.629500002</v>
      </c>
      <c r="I43" s="35">
        <f t="shared" si="7"/>
        <v>21173.850384263322</v>
      </c>
      <c r="J43" s="35">
        <f t="shared" si="8"/>
        <v>829627.93147500011</v>
      </c>
      <c r="K43" s="35">
        <f t="shared" si="9"/>
        <v>2373121.7574750003</v>
      </c>
      <c r="L43" s="35">
        <f t="shared" si="10"/>
        <v>2373121.7574750003</v>
      </c>
      <c r="M43" s="35">
        <f t="shared" si="11"/>
        <v>9492487.0299000014</v>
      </c>
      <c r="N43" s="36">
        <f t="shared" si="12"/>
        <v>0.34320000000000001</v>
      </c>
      <c r="O43" s="35">
        <f t="shared" si="13"/>
        <v>814455.38716542011</v>
      </c>
      <c r="P43" s="35">
        <f t="shared" si="14"/>
        <v>814455.38716542011</v>
      </c>
      <c r="Q43" s="35">
        <f t="shared" si="15"/>
        <v>0</v>
      </c>
      <c r="R43" s="35">
        <f t="shared" si="16"/>
        <v>16628905.024193846</v>
      </c>
      <c r="S43" s="33">
        <f t="shared" si="17"/>
        <v>172</v>
      </c>
    </row>
    <row r="44" spans="1:19" x14ac:dyDescent="0.3">
      <c r="A44" s="33">
        <f>40</f>
        <v>40</v>
      </c>
      <c r="B44" s="34">
        <f t="shared" si="0"/>
        <v>47574</v>
      </c>
      <c r="C44" s="33">
        <f t="shared" si="1"/>
        <v>4</v>
      </c>
      <c r="D44" s="33">
        <f t="shared" si="2"/>
        <v>4</v>
      </c>
      <c r="E44" s="35">
        <f t="shared" si="3"/>
        <v>96468.364125000007</v>
      </c>
      <c r="F44" s="35">
        <f t="shared" si="4"/>
        <v>16628905.024193846</v>
      </c>
      <c r="G44" s="33">
        <f t="shared" si="5"/>
        <v>172</v>
      </c>
      <c r="H44" s="35">
        <f t="shared" si="6"/>
        <v>16592558.629500002</v>
      </c>
      <c r="I44" s="35">
        <f t="shared" si="7"/>
        <v>36346.39469384402</v>
      </c>
      <c r="J44" s="35">
        <f t="shared" si="8"/>
        <v>829627.93147500011</v>
      </c>
      <c r="K44" s="35">
        <f t="shared" si="9"/>
        <v>3202749.6889500003</v>
      </c>
      <c r="L44" s="35">
        <f t="shared" si="10"/>
        <v>0</v>
      </c>
      <c r="M44" s="35">
        <f t="shared" si="11"/>
        <v>9608249.066850001</v>
      </c>
      <c r="N44" s="36">
        <f t="shared" si="12"/>
        <v>0.34320000000000001</v>
      </c>
      <c r="O44" s="35">
        <f t="shared" si="13"/>
        <v>0</v>
      </c>
      <c r="P44" s="35">
        <f t="shared" si="14"/>
        <v>814455.38716542011</v>
      </c>
      <c r="Q44" s="35">
        <f t="shared" si="15"/>
        <v>0</v>
      </c>
      <c r="R44" s="35">
        <f t="shared" si="16"/>
        <v>17458532.955668844</v>
      </c>
      <c r="S44" s="33">
        <f t="shared" si="17"/>
        <v>180</v>
      </c>
    </row>
    <row r="45" spans="1:19" x14ac:dyDescent="0.3">
      <c r="A45" s="33">
        <f>41</f>
        <v>41</v>
      </c>
      <c r="B45" s="34">
        <f t="shared" si="0"/>
        <v>47604</v>
      </c>
      <c r="C45" s="33">
        <f t="shared" si="1"/>
        <v>4</v>
      </c>
      <c r="D45" s="33">
        <f t="shared" si="2"/>
        <v>5</v>
      </c>
      <c r="E45" s="35">
        <f t="shared" si="3"/>
        <v>96468.364125000007</v>
      </c>
      <c r="F45" s="35">
        <f t="shared" si="4"/>
        <v>17458532.955668844</v>
      </c>
      <c r="G45" s="33">
        <f t="shared" si="5"/>
        <v>180</v>
      </c>
      <c r="H45" s="35">
        <f t="shared" si="6"/>
        <v>17364305.5425</v>
      </c>
      <c r="I45" s="35">
        <f t="shared" si="7"/>
        <v>94227.413168843836</v>
      </c>
      <c r="J45" s="35">
        <f t="shared" si="8"/>
        <v>868215.27712500002</v>
      </c>
      <c r="K45" s="35">
        <f t="shared" si="9"/>
        <v>4070964.9660750004</v>
      </c>
      <c r="L45" s="35">
        <f t="shared" si="10"/>
        <v>0</v>
      </c>
      <c r="M45" s="35">
        <f t="shared" si="11"/>
        <v>9770315.9185800012</v>
      </c>
      <c r="N45" s="36">
        <f t="shared" si="12"/>
        <v>0.34320000000000001</v>
      </c>
      <c r="O45" s="35">
        <f t="shared" si="13"/>
        <v>0</v>
      </c>
      <c r="P45" s="35">
        <f t="shared" si="14"/>
        <v>814455.38716542011</v>
      </c>
      <c r="Q45" s="35">
        <f t="shared" si="15"/>
        <v>0</v>
      </c>
      <c r="R45" s="35">
        <f t="shared" si="16"/>
        <v>18326748.232793845</v>
      </c>
      <c r="S45" s="33">
        <f t="shared" si="17"/>
        <v>189</v>
      </c>
    </row>
    <row r="46" spans="1:19" x14ac:dyDescent="0.3">
      <c r="A46" s="33">
        <f>42</f>
        <v>42</v>
      </c>
      <c r="B46" s="34">
        <f t="shared" si="0"/>
        <v>47635</v>
      </c>
      <c r="C46" s="33">
        <f t="shared" si="1"/>
        <v>4</v>
      </c>
      <c r="D46" s="33">
        <f t="shared" si="2"/>
        <v>6</v>
      </c>
      <c r="E46" s="35">
        <f t="shared" si="3"/>
        <v>96468.364125000007</v>
      </c>
      <c r="F46" s="35">
        <f t="shared" si="4"/>
        <v>18326748.232793845</v>
      </c>
      <c r="G46" s="33">
        <f t="shared" si="5"/>
        <v>189</v>
      </c>
      <c r="H46" s="35">
        <f t="shared" si="6"/>
        <v>18232520.819625001</v>
      </c>
      <c r="I46" s="35">
        <f t="shared" si="7"/>
        <v>94227.413168843836</v>
      </c>
      <c r="J46" s="35">
        <f t="shared" si="8"/>
        <v>911626.04098125012</v>
      </c>
      <c r="K46" s="35">
        <f t="shared" si="9"/>
        <v>4982591.0070562502</v>
      </c>
      <c r="L46" s="35">
        <f t="shared" si="10"/>
        <v>2609469.2495812504</v>
      </c>
      <c r="M46" s="35">
        <f t="shared" si="11"/>
        <v>9965182.0141125005</v>
      </c>
      <c r="N46" s="36">
        <f t="shared" si="12"/>
        <v>0.34320000000000001</v>
      </c>
      <c r="O46" s="35">
        <f t="shared" si="13"/>
        <v>895569.8464562851</v>
      </c>
      <c r="P46" s="35">
        <f t="shared" si="14"/>
        <v>1710025.2336217053</v>
      </c>
      <c r="Q46" s="35">
        <f t="shared" si="15"/>
        <v>0</v>
      </c>
      <c r="R46" s="35">
        <f t="shared" si="16"/>
        <v>18342804.427318811</v>
      </c>
      <c r="S46" s="33">
        <f t="shared" si="17"/>
        <v>190</v>
      </c>
    </row>
    <row r="47" spans="1:19" x14ac:dyDescent="0.3">
      <c r="A47" s="33">
        <f>43</f>
        <v>43</v>
      </c>
      <c r="B47" s="34">
        <f t="shared" si="0"/>
        <v>47665</v>
      </c>
      <c r="C47" s="33">
        <f t="shared" si="1"/>
        <v>4</v>
      </c>
      <c r="D47" s="33">
        <f t="shared" si="2"/>
        <v>7</v>
      </c>
      <c r="E47" s="35">
        <f t="shared" si="3"/>
        <v>96468.364125000007</v>
      </c>
      <c r="F47" s="35">
        <f t="shared" si="4"/>
        <v>18342804.427318811</v>
      </c>
      <c r="G47" s="33">
        <f t="shared" si="5"/>
        <v>190</v>
      </c>
      <c r="H47" s="35">
        <f t="shared" si="6"/>
        <v>18328989.18375</v>
      </c>
      <c r="I47" s="35">
        <f t="shared" si="7"/>
        <v>13815.243568811566</v>
      </c>
      <c r="J47" s="35">
        <f t="shared" si="8"/>
        <v>916449.45918750006</v>
      </c>
      <c r="K47" s="35">
        <f t="shared" si="9"/>
        <v>5899040.4662437504</v>
      </c>
      <c r="L47" s="35">
        <f t="shared" si="10"/>
        <v>0</v>
      </c>
      <c r="M47" s="35">
        <f t="shared" si="11"/>
        <v>10112640.799275</v>
      </c>
      <c r="N47" s="36">
        <f t="shared" si="12"/>
        <v>0.35880000000000001</v>
      </c>
      <c r="O47" s="35">
        <f t="shared" si="13"/>
        <v>0</v>
      </c>
      <c r="P47" s="35">
        <f t="shared" si="14"/>
        <v>1710025.2336217053</v>
      </c>
      <c r="Q47" s="35">
        <f t="shared" si="15"/>
        <v>0</v>
      </c>
      <c r="R47" s="35">
        <f t="shared" si="16"/>
        <v>19259253.886506312</v>
      </c>
      <c r="S47" s="33">
        <f t="shared" si="17"/>
        <v>199</v>
      </c>
    </row>
    <row r="48" spans="1:19" x14ac:dyDescent="0.3">
      <c r="A48" s="33">
        <f>44</f>
        <v>44</v>
      </c>
      <c r="B48" s="34">
        <f t="shared" si="0"/>
        <v>47696</v>
      </c>
      <c r="C48" s="33">
        <f t="shared" si="1"/>
        <v>4</v>
      </c>
      <c r="D48" s="33">
        <f t="shared" si="2"/>
        <v>8</v>
      </c>
      <c r="E48" s="35">
        <f t="shared" si="3"/>
        <v>96468.364125000007</v>
      </c>
      <c r="F48" s="35">
        <f t="shared" si="4"/>
        <v>19259253.886506312</v>
      </c>
      <c r="G48" s="33">
        <f t="shared" si="5"/>
        <v>199</v>
      </c>
      <c r="H48" s="35">
        <f t="shared" si="6"/>
        <v>19197204.460875001</v>
      </c>
      <c r="I48" s="35">
        <f t="shared" si="7"/>
        <v>62049.425631310791</v>
      </c>
      <c r="J48" s="35">
        <f t="shared" si="8"/>
        <v>959860.22304375004</v>
      </c>
      <c r="K48" s="35">
        <f t="shared" si="9"/>
        <v>6858900.6892875005</v>
      </c>
      <c r="L48" s="35">
        <f t="shared" si="10"/>
        <v>0</v>
      </c>
      <c r="M48" s="35">
        <f t="shared" si="11"/>
        <v>10288351.033931252</v>
      </c>
      <c r="N48" s="36">
        <f t="shared" si="12"/>
        <v>0.35880000000000001</v>
      </c>
      <c r="O48" s="35">
        <f t="shared" si="13"/>
        <v>0</v>
      </c>
      <c r="P48" s="35">
        <f t="shared" si="14"/>
        <v>1710025.2336217053</v>
      </c>
      <c r="Q48" s="35">
        <f t="shared" si="15"/>
        <v>0</v>
      </c>
      <c r="R48" s="35">
        <f t="shared" si="16"/>
        <v>20219114.109550063</v>
      </c>
      <c r="S48" s="33">
        <f t="shared" si="17"/>
        <v>209</v>
      </c>
    </row>
    <row r="49" spans="1:19" x14ac:dyDescent="0.3">
      <c r="A49" s="33">
        <f>45</f>
        <v>45</v>
      </c>
      <c r="B49" s="34">
        <f t="shared" si="0"/>
        <v>47727</v>
      </c>
      <c r="C49" s="33">
        <f t="shared" si="1"/>
        <v>4</v>
      </c>
      <c r="D49" s="33">
        <f t="shared" si="2"/>
        <v>9</v>
      </c>
      <c r="E49" s="35">
        <f t="shared" si="3"/>
        <v>96468.364125000007</v>
      </c>
      <c r="F49" s="35">
        <f t="shared" si="4"/>
        <v>20219114.109550063</v>
      </c>
      <c r="G49" s="33">
        <f t="shared" si="5"/>
        <v>209</v>
      </c>
      <c r="H49" s="35">
        <f t="shared" si="6"/>
        <v>20161888.102125</v>
      </c>
      <c r="I49" s="35">
        <f t="shared" si="7"/>
        <v>57226.007425062358</v>
      </c>
      <c r="J49" s="35">
        <f t="shared" si="8"/>
        <v>1008094.4051062501</v>
      </c>
      <c r="K49" s="35">
        <f t="shared" si="9"/>
        <v>7866995.0943937507</v>
      </c>
      <c r="L49" s="35">
        <f t="shared" si="10"/>
        <v>2884404.0873375004</v>
      </c>
      <c r="M49" s="35">
        <f t="shared" si="11"/>
        <v>10489326.792525001</v>
      </c>
      <c r="N49" s="36">
        <f t="shared" si="12"/>
        <v>0.35880000000000001</v>
      </c>
      <c r="O49" s="35">
        <f t="shared" si="13"/>
        <v>1034924.1865366952</v>
      </c>
      <c r="P49" s="35">
        <f t="shared" si="14"/>
        <v>2744949.4201584007</v>
      </c>
      <c r="Q49" s="35">
        <f t="shared" si="15"/>
        <v>0</v>
      </c>
      <c r="R49" s="35">
        <f t="shared" si="16"/>
        <v>20192284.328119617</v>
      </c>
      <c r="S49" s="33">
        <f t="shared" si="17"/>
        <v>209</v>
      </c>
    </row>
    <row r="50" spans="1:19" x14ac:dyDescent="0.3">
      <c r="A50" s="33">
        <f>46</f>
        <v>46</v>
      </c>
      <c r="B50" s="34">
        <f t="shared" si="0"/>
        <v>47757</v>
      </c>
      <c r="C50" s="33">
        <f t="shared" si="1"/>
        <v>4</v>
      </c>
      <c r="D50" s="33">
        <f t="shared" si="2"/>
        <v>10</v>
      </c>
      <c r="E50" s="35">
        <f t="shared" si="3"/>
        <v>96468.364125000007</v>
      </c>
      <c r="F50" s="35">
        <f t="shared" si="4"/>
        <v>20192284.328119617</v>
      </c>
      <c r="G50" s="33">
        <f t="shared" si="5"/>
        <v>209</v>
      </c>
      <c r="H50" s="35">
        <f t="shared" si="6"/>
        <v>20161888.102125</v>
      </c>
      <c r="I50" s="35">
        <f t="shared" si="7"/>
        <v>30396.225994616747</v>
      </c>
      <c r="J50" s="35">
        <f t="shared" si="8"/>
        <v>1008094.4051062501</v>
      </c>
      <c r="K50" s="35">
        <f t="shared" si="9"/>
        <v>8875089.4995000008</v>
      </c>
      <c r="L50" s="35">
        <f t="shared" si="10"/>
        <v>0</v>
      </c>
      <c r="M50" s="35">
        <f t="shared" si="11"/>
        <v>10650107.399400001</v>
      </c>
      <c r="N50" s="36">
        <f t="shared" si="12"/>
        <v>0.35880000000000001</v>
      </c>
      <c r="O50" s="35">
        <f t="shared" si="13"/>
        <v>0</v>
      </c>
      <c r="P50" s="35">
        <f t="shared" si="14"/>
        <v>2744949.4201584007</v>
      </c>
      <c r="Q50" s="35">
        <f t="shared" si="15"/>
        <v>0</v>
      </c>
      <c r="R50" s="35">
        <f t="shared" si="16"/>
        <v>21200378.733225867</v>
      </c>
      <c r="S50" s="33">
        <f t="shared" si="17"/>
        <v>219</v>
      </c>
    </row>
    <row r="51" spans="1:19" x14ac:dyDescent="0.3">
      <c r="A51" s="33">
        <f>47</f>
        <v>47</v>
      </c>
      <c r="B51" s="34">
        <f t="shared" si="0"/>
        <v>47788</v>
      </c>
      <c r="C51" s="33">
        <f t="shared" si="1"/>
        <v>4</v>
      </c>
      <c r="D51" s="33">
        <f t="shared" si="2"/>
        <v>11</v>
      </c>
      <c r="E51" s="35">
        <f t="shared" si="3"/>
        <v>96468.364125000007</v>
      </c>
      <c r="F51" s="35">
        <f t="shared" si="4"/>
        <v>21200378.733225867</v>
      </c>
      <c r="G51" s="33">
        <f t="shared" si="5"/>
        <v>219</v>
      </c>
      <c r="H51" s="35">
        <f t="shared" si="6"/>
        <v>21126571.743375003</v>
      </c>
      <c r="I51" s="35">
        <f t="shared" si="7"/>
        <v>73806.989850863814</v>
      </c>
      <c r="J51" s="35">
        <f t="shared" si="8"/>
        <v>1056328.5871687501</v>
      </c>
      <c r="K51" s="35">
        <f t="shared" si="9"/>
        <v>9931418.0866687503</v>
      </c>
      <c r="L51" s="35">
        <f t="shared" si="10"/>
        <v>0</v>
      </c>
      <c r="M51" s="35">
        <f t="shared" si="11"/>
        <v>10834274.276365908</v>
      </c>
      <c r="N51" s="36">
        <f t="shared" si="12"/>
        <v>0.35880000000000001</v>
      </c>
      <c r="O51" s="35">
        <f t="shared" si="13"/>
        <v>0</v>
      </c>
      <c r="P51" s="35">
        <f t="shared" si="14"/>
        <v>2744949.4201584007</v>
      </c>
      <c r="Q51" s="35">
        <f t="shared" si="15"/>
        <v>0</v>
      </c>
      <c r="R51" s="35">
        <f t="shared" si="16"/>
        <v>22256707.320394617</v>
      </c>
      <c r="S51" s="33">
        <f t="shared" si="17"/>
        <v>230</v>
      </c>
    </row>
    <row r="52" spans="1:19" x14ac:dyDescent="0.3">
      <c r="A52" s="37">
        <f>48</f>
        <v>48</v>
      </c>
      <c r="B52" s="38">
        <f t="shared" si="0"/>
        <v>47818</v>
      </c>
      <c r="C52" s="37">
        <f t="shared" si="1"/>
        <v>4</v>
      </c>
      <c r="D52" s="37">
        <f t="shared" si="2"/>
        <v>12</v>
      </c>
      <c r="E52" s="39">
        <f t="shared" si="3"/>
        <v>96468.364125000007</v>
      </c>
      <c r="F52" s="39">
        <f t="shared" si="4"/>
        <v>22256707.320394617</v>
      </c>
      <c r="G52" s="37">
        <f t="shared" si="5"/>
        <v>230</v>
      </c>
      <c r="H52" s="39">
        <f t="shared" si="6"/>
        <v>22187723.748750001</v>
      </c>
      <c r="I52" s="39">
        <f t="shared" si="7"/>
        <v>68983.571644615382</v>
      </c>
      <c r="J52" s="39">
        <f t="shared" si="8"/>
        <v>1109386.1874375001</v>
      </c>
      <c r="K52" s="39">
        <f t="shared" si="9"/>
        <v>11040804.274106251</v>
      </c>
      <c r="L52" s="39">
        <f t="shared" si="10"/>
        <v>3173809.1797125004</v>
      </c>
      <c r="M52" s="39">
        <f t="shared" si="11"/>
        <v>11040804.274106251</v>
      </c>
      <c r="N52" s="40">
        <f t="shared" si="12"/>
        <v>0.35880000000000001</v>
      </c>
      <c r="O52" s="39">
        <f t="shared" si="13"/>
        <v>1138762.7336808452</v>
      </c>
      <c r="P52" s="39">
        <f t="shared" si="14"/>
        <v>3883712.1538392459</v>
      </c>
      <c r="Q52" s="39">
        <f t="shared" si="15"/>
        <v>715709.21202670061</v>
      </c>
      <c r="R52" s="39">
        <f t="shared" si="16"/>
        <v>21511621.562124573</v>
      </c>
      <c r="S52" s="37">
        <f t="shared" si="17"/>
        <v>222</v>
      </c>
    </row>
    <row r="53" spans="1:19" x14ac:dyDescent="0.3">
      <c r="A53" s="33">
        <f>49</f>
        <v>49</v>
      </c>
      <c r="B53" s="34">
        <f t="shared" si="0"/>
        <v>47849</v>
      </c>
      <c r="C53" s="33">
        <f t="shared" si="1"/>
        <v>5</v>
      </c>
      <c r="D53" s="33">
        <f t="shared" si="2"/>
        <v>1</v>
      </c>
      <c r="E53" s="35">
        <f t="shared" si="3"/>
        <v>101291.78233125</v>
      </c>
      <c r="F53" s="35">
        <f t="shared" si="4"/>
        <v>21511621.562124573</v>
      </c>
      <c r="G53" s="33">
        <f t="shared" si="5"/>
        <v>212</v>
      </c>
      <c r="H53" s="35">
        <f t="shared" si="6"/>
        <v>21473857.854224999</v>
      </c>
      <c r="I53" s="35">
        <f t="shared" si="7"/>
        <v>37763.70789957419</v>
      </c>
      <c r="J53" s="35">
        <f t="shared" si="8"/>
        <v>1073692.8927112499</v>
      </c>
      <c r="K53" s="35">
        <f t="shared" si="9"/>
        <v>1073692.8927112499</v>
      </c>
      <c r="L53" s="35">
        <f t="shared" si="10"/>
        <v>0</v>
      </c>
      <c r="M53" s="35">
        <f t="shared" si="11"/>
        <v>12884314.712534998</v>
      </c>
      <c r="N53" s="36">
        <f t="shared" si="12"/>
        <v>0.35880000000000001</v>
      </c>
      <c r="O53" s="35">
        <f t="shared" si="13"/>
        <v>0</v>
      </c>
      <c r="P53" s="35">
        <f t="shared" si="14"/>
        <v>0</v>
      </c>
      <c r="Q53" s="35">
        <f t="shared" si="15"/>
        <v>0</v>
      </c>
      <c r="R53" s="35">
        <f t="shared" si="16"/>
        <v>22585314.454835821</v>
      </c>
      <c r="S53" s="33">
        <f t="shared" si="17"/>
        <v>222</v>
      </c>
    </row>
    <row r="54" spans="1:19" x14ac:dyDescent="0.3">
      <c r="A54" s="33">
        <f>50</f>
        <v>50</v>
      </c>
      <c r="B54" s="34">
        <f t="shared" si="0"/>
        <v>47880</v>
      </c>
      <c r="C54" s="33">
        <f t="shared" si="1"/>
        <v>5</v>
      </c>
      <c r="D54" s="33">
        <f t="shared" si="2"/>
        <v>2</v>
      </c>
      <c r="E54" s="35">
        <f t="shared" si="3"/>
        <v>101291.78233125</v>
      </c>
      <c r="F54" s="35">
        <f t="shared" si="4"/>
        <v>22585314.454835821</v>
      </c>
      <c r="G54" s="33">
        <f t="shared" si="5"/>
        <v>222</v>
      </c>
      <c r="H54" s="35">
        <f t="shared" si="6"/>
        <v>22486775.677537501</v>
      </c>
      <c r="I54" s="35">
        <f t="shared" si="7"/>
        <v>98538.777298320085</v>
      </c>
      <c r="J54" s="35">
        <f t="shared" si="8"/>
        <v>1124338.7838768752</v>
      </c>
      <c r="K54" s="35">
        <f t="shared" si="9"/>
        <v>2198031.6765881251</v>
      </c>
      <c r="L54" s="35">
        <f t="shared" si="10"/>
        <v>0</v>
      </c>
      <c r="M54" s="35">
        <f t="shared" si="11"/>
        <v>13188190.059528749</v>
      </c>
      <c r="N54" s="36">
        <f t="shared" si="12"/>
        <v>0.35880000000000001</v>
      </c>
      <c r="O54" s="35">
        <f t="shared" si="13"/>
        <v>0</v>
      </c>
      <c r="P54" s="35">
        <f t="shared" si="14"/>
        <v>0</v>
      </c>
      <c r="Q54" s="35">
        <f t="shared" si="15"/>
        <v>0</v>
      </c>
      <c r="R54" s="35">
        <f t="shared" si="16"/>
        <v>23709653.238712694</v>
      </c>
      <c r="S54" s="33">
        <f t="shared" si="17"/>
        <v>234</v>
      </c>
    </row>
    <row r="55" spans="1:19" x14ac:dyDescent="0.3">
      <c r="A55" s="33">
        <f>51</f>
        <v>51</v>
      </c>
      <c r="B55" s="34">
        <f t="shared" si="0"/>
        <v>47908</v>
      </c>
      <c r="C55" s="33">
        <f t="shared" si="1"/>
        <v>5</v>
      </c>
      <c r="D55" s="33">
        <f t="shared" si="2"/>
        <v>3</v>
      </c>
      <c r="E55" s="35">
        <f t="shared" si="3"/>
        <v>101291.78233125</v>
      </c>
      <c r="F55" s="35">
        <f t="shared" si="4"/>
        <v>23709653.238712694</v>
      </c>
      <c r="G55" s="33">
        <f t="shared" si="5"/>
        <v>234</v>
      </c>
      <c r="H55" s="35">
        <f t="shared" si="6"/>
        <v>23702277.065512501</v>
      </c>
      <c r="I55" s="35">
        <f t="shared" si="7"/>
        <v>7376.1732001937926</v>
      </c>
      <c r="J55" s="35">
        <f t="shared" si="8"/>
        <v>1185113.853275625</v>
      </c>
      <c r="K55" s="35">
        <f t="shared" si="9"/>
        <v>3383145.5298637501</v>
      </c>
      <c r="L55" s="35">
        <f t="shared" si="10"/>
        <v>3383145.5298637501</v>
      </c>
      <c r="M55" s="35">
        <f t="shared" si="11"/>
        <v>13532582.119455</v>
      </c>
      <c r="N55" s="36">
        <f t="shared" si="12"/>
        <v>0.35880000000000001</v>
      </c>
      <c r="O55" s="35">
        <f t="shared" si="13"/>
        <v>1213872.6161151135</v>
      </c>
      <c r="P55" s="35">
        <f t="shared" si="14"/>
        <v>1213872.6161151135</v>
      </c>
      <c r="Q55" s="35">
        <f t="shared" si="15"/>
        <v>0</v>
      </c>
      <c r="R55" s="35">
        <f t="shared" si="16"/>
        <v>23680894.475873206</v>
      </c>
      <c r="S55" s="33">
        <f t="shared" si="17"/>
        <v>233</v>
      </c>
    </row>
    <row r="56" spans="1:19" x14ac:dyDescent="0.3">
      <c r="A56" s="33">
        <f>52</f>
        <v>52</v>
      </c>
      <c r="B56" s="34">
        <f t="shared" si="0"/>
        <v>47939</v>
      </c>
      <c r="C56" s="33">
        <f t="shared" si="1"/>
        <v>5</v>
      </c>
      <c r="D56" s="33">
        <f t="shared" si="2"/>
        <v>4</v>
      </c>
      <c r="E56" s="35">
        <f t="shared" si="3"/>
        <v>101291.78233125</v>
      </c>
      <c r="F56" s="35">
        <f t="shared" si="4"/>
        <v>23680894.475873206</v>
      </c>
      <c r="G56" s="33">
        <f t="shared" si="5"/>
        <v>233</v>
      </c>
      <c r="H56" s="35">
        <f t="shared" si="6"/>
        <v>23600985.28318125</v>
      </c>
      <c r="I56" s="35">
        <f t="shared" si="7"/>
        <v>79909.192691955715</v>
      </c>
      <c r="J56" s="35">
        <f t="shared" si="8"/>
        <v>1180049.2641590626</v>
      </c>
      <c r="K56" s="35">
        <f t="shared" si="9"/>
        <v>4563194.7940228125</v>
      </c>
      <c r="L56" s="35">
        <f t="shared" si="10"/>
        <v>0</v>
      </c>
      <c r="M56" s="35">
        <f t="shared" si="11"/>
        <v>13689584.382068437</v>
      </c>
      <c r="N56" s="36">
        <f t="shared" si="12"/>
        <v>0.35880000000000001</v>
      </c>
      <c r="O56" s="35">
        <f t="shared" si="13"/>
        <v>0</v>
      </c>
      <c r="P56" s="35">
        <f t="shared" si="14"/>
        <v>1213872.6161151135</v>
      </c>
      <c r="Q56" s="35">
        <f t="shared" si="15"/>
        <v>0</v>
      </c>
      <c r="R56" s="35">
        <f t="shared" si="16"/>
        <v>24860943.740032267</v>
      </c>
      <c r="S56" s="33">
        <f t="shared" si="17"/>
        <v>245</v>
      </c>
    </row>
    <row r="57" spans="1:19" x14ac:dyDescent="0.3">
      <c r="A57" s="33">
        <f>53</f>
        <v>53</v>
      </c>
      <c r="B57" s="34">
        <f t="shared" si="0"/>
        <v>47969</v>
      </c>
      <c r="C57" s="33">
        <f t="shared" si="1"/>
        <v>5</v>
      </c>
      <c r="D57" s="33">
        <f t="shared" si="2"/>
        <v>5</v>
      </c>
      <c r="E57" s="35">
        <f t="shared" si="3"/>
        <v>101291.78233125</v>
      </c>
      <c r="F57" s="35">
        <f t="shared" si="4"/>
        <v>24860943.740032267</v>
      </c>
      <c r="G57" s="33">
        <f t="shared" si="5"/>
        <v>245</v>
      </c>
      <c r="H57" s="35">
        <f t="shared" si="6"/>
        <v>24816486.67115625</v>
      </c>
      <c r="I57" s="35">
        <f t="shared" si="7"/>
        <v>44457.068876016885</v>
      </c>
      <c r="J57" s="35">
        <f t="shared" si="8"/>
        <v>1240824.3335578125</v>
      </c>
      <c r="K57" s="35">
        <f t="shared" si="9"/>
        <v>5804019.127580625</v>
      </c>
      <c r="L57" s="35">
        <f t="shared" si="10"/>
        <v>0</v>
      </c>
      <c r="M57" s="35">
        <f t="shared" si="11"/>
        <v>13929645.9061935</v>
      </c>
      <c r="N57" s="36">
        <f t="shared" si="12"/>
        <v>0.35880000000000001</v>
      </c>
      <c r="O57" s="35">
        <f t="shared" si="13"/>
        <v>0</v>
      </c>
      <c r="P57" s="35">
        <f t="shared" si="14"/>
        <v>1213872.6161151135</v>
      </c>
      <c r="Q57" s="35">
        <f t="shared" si="15"/>
        <v>0</v>
      </c>
      <c r="R57" s="35">
        <f t="shared" si="16"/>
        <v>26101768.073590077</v>
      </c>
      <c r="S57" s="33">
        <f t="shared" si="17"/>
        <v>257</v>
      </c>
    </row>
    <row r="58" spans="1:19" x14ac:dyDescent="0.3">
      <c r="A58" s="33">
        <f>54</f>
        <v>54</v>
      </c>
      <c r="B58" s="34">
        <f t="shared" si="0"/>
        <v>48000</v>
      </c>
      <c r="C58" s="33">
        <f t="shared" si="1"/>
        <v>5</v>
      </c>
      <c r="D58" s="33">
        <f t="shared" si="2"/>
        <v>6</v>
      </c>
      <c r="E58" s="35">
        <f t="shared" si="3"/>
        <v>101291.78233125</v>
      </c>
      <c r="F58" s="35">
        <f t="shared" si="4"/>
        <v>26101768.073590077</v>
      </c>
      <c r="G58" s="33">
        <f t="shared" si="5"/>
        <v>257</v>
      </c>
      <c r="H58" s="35">
        <f t="shared" si="6"/>
        <v>26031988.05913125</v>
      </c>
      <c r="I58" s="35">
        <f t="shared" si="7"/>
        <v>69780.014458827674</v>
      </c>
      <c r="J58" s="35">
        <f t="shared" si="8"/>
        <v>1301599.4029565626</v>
      </c>
      <c r="K58" s="35">
        <f t="shared" si="9"/>
        <v>7105618.5305371881</v>
      </c>
      <c r="L58" s="35">
        <f t="shared" si="10"/>
        <v>3722473.000673438</v>
      </c>
      <c r="M58" s="35">
        <f t="shared" si="11"/>
        <v>14211237.061074376</v>
      </c>
      <c r="N58" s="36">
        <f t="shared" si="12"/>
        <v>0.35880000000000001</v>
      </c>
      <c r="O58" s="35">
        <f t="shared" si="13"/>
        <v>1335623.3126416295</v>
      </c>
      <c r="P58" s="35">
        <f t="shared" si="14"/>
        <v>2549495.9287567427</v>
      </c>
      <c r="Q58" s="35">
        <f t="shared" si="15"/>
        <v>0</v>
      </c>
      <c r="R58" s="35">
        <f t="shared" si="16"/>
        <v>26067744.163905013</v>
      </c>
      <c r="S58" s="33">
        <f t="shared" si="17"/>
        <v>257</v>
      </c>
    </row>
    <row r="59" spans="1:19" x14ac:dyDescent="0.3">
      <c r="A59" s="33">
        <f>55</f>
        <v>55</v>
      </c>
      <c r="B59" s="34">
        <f t="shared" si="0"/>
        <v>48030</v>
      </c>
      <c r="C59" s="33">
        <f t="shared" si="1"/>
        <v>5</v>
      </c>
      <c r="D59" s="33">
        <f t="shared" si="2"/>
        <v>7</v>
      </c>
      <c r="E59" s="35">
        <f t="shared" si="3"/>
        <v>101291.78233125</v>
      </c>
      <c r="F59" s="35">
        <f t="shared" si="4"/>
        <v>26067744.163905013</v>
      </c>
      <c r="G59" s="33">
        <f t="shared" si="5"/>
        <v>257</v>
      </c>
      <c r="H59" s="35">
        <f t="shared" si="6"/>
        <v>26031988.05913125</v>
      </c>
      <c r="I59" s="35">
        <f t="shared" si="7"/>
        <v>35756.104773763567</v>
      </c>
      <c r="J59" s="35">
        <f t="shared" si="8"/>
        <v>1301599.4029565626</v>
      </c>
      <c r="K59" s="35">
        <f t="shared" si="9"/>
        <v>8407217.9334937502</v>
      </c>
      <c r="L59" s="35">
        <f t="shared" si="10"/>
        <v>0</v>
      </c>
      <c r="M59" s="35">
        <f t="shared" si="11"/>
        <v>14412373.600275001</v>
      </c>
      <c r="N59" s="36">
        <f t="shared" si="12"/>
        <v>0.35880000000000001</v>
      </c>
      <c r="O59" s="35">
        <f t="shared" si="13"/>
        <v>0</v>
      </c>
      <c r="P59" s="35">
        <f t="shared" si="14"/>
        <v>2549495.9287567427</v>
      </c>
      <c r="Q59" s="35">
        <f t="shared" si="15"/>
        <v>0</v>
      </c>
      <c r="R59" s="35">
        <f t="shared" si="16"/>
        <v>27369343.566861577</v>
      </c>
      <c r="S59" s="33">
        <f t="shared" si="17"/>
        <v>270</v>
      </c>
    </row>
    <row r="60" spans="1:19" x14ac:dyDescent="0.3">
      <c r="A60" s="33">
        <f>56</f>
        <v>56</v>
      </c>
      <c r="B60" s="34">
        <f t="shared" si="0"/>
        <v>48061</v>
      </c>
      <c r="C60" s="33">
        <f t="shared" si="1"/>
        <v>5</v>
      </c>
      <c r="D60" s="33">
        <f t="shared" si="2"/>
        <v>8</v>
      </c>
      <c r="E60" s="35">
        <f t="shared" si="3"/>
        <v>101291.78233125</v>
      </c>
      <c r="F60" s="35">
        <f t="shared" si="4"/>
        <v>27369343.566861577</v>
      </c>
      <c r="G60" s="33">
        <f t="shared" si="5"/>
        <v>270</v>
      </c>
      <c r="H60" s="35">
        <f t="shared" si="6"/>
        <v>27348781.2294375</v>
      </c>
      <c r="I60" s="35">
        <f t="shared" si="7"/>
        <v>20562.337424077094</v>
      </c>
      <c r="J60" s="35">
        <f t="shared" si="8"/>
        <v>1367439.0614718751</v>
      </c>
      <c r="K60" s="35">
        <f t="shared" si="9"/>
        <v>9774656.9949656259</v>
      </c>
      <c r="L60" s="35">
        <f t="shared" si="10"/>
        <v>0</v>
      </c>
      <c r="M60" s="35">
        <f t="shared" si="11"/>
        <v>14661985.492448438</v>
      </c>
      <c r="N60" s="36">
        <f t="shared" si="12"/>
        <v>0.35880000000000001</v>
      </c>
      <c r="O60" s="35">
        <f t="shared" si="13"/>
        <v>0</v>
      </c>
      <c r="P60" s="35">
        <f t="shared" si="14"/>
        <v>2549495.9287567427</v>
      </c>
      <c r="Q60" s="35">
        <f t="shared" si="15"/>
        <v>0</v>
      </c>
      <c r="R60" s="35">
        <f t="shared" si="16"/>
        <v>28736782.628333453</v>
      </c>
      <c r="S60" s="33">
        <f t="shared" si="17"/>
        <v>283</v>
      </c>
    </row>
    <row r="61" spans="1:19" x14ac:dyDescent="0.3">
      <c r="A61" s="33">
        <f>57</f>
        <v>57</v>
      </c>
      <c r="B61" s="34">
        <f t="shared" si="0"/>
        <v>48092</v>
      </c>
      <c r="C61" s="33">
        <f t="shared" si="1"/>
        <v>5</v>
      </c>
      <c r="D61" s="33">
        <f t="shared" si="2"/>
        <v>9</v>
      </c>
      <c r="E61" s="35">
        <f t="shared" si="3"/>
        <v>101291.78233125</v>
      </c>
      <c r="F61" s="35">
        <f t="shared" si="4"/>
        <v>28736782.628333453</v>
      </c>
      <c r="G61" s="33">
        <f t="shared" si="5"/>
        <v>283</v>
      </c>
      <c r="H61" s="35">
        <f t="shared" si="6"/>
        <v>28665574.399743751</v>
      </c>
      <c r="I61" s="35">
        <f t="shared" si="7"/>
        <v>71208.228589702398</v>
      </c>
      <c r="J61" s="35">
        <f t="shared" si="8"/>
        <v>1433278.7199871875</v>
      </c>
      <c r="K61" s="35">
        <f t="shared" si="9"/>
        <v>11207935.714952813</v>
      </c>
      <c r="L61" s="35">
        <f t="shared" si="10"/>
        <v>4102317.1844156254</v>
      </c>
      <c r="M61" s="35">
        <f t="shared" si="11"/>
        <v>14943914.286603753</v>
      </c>
      <c r="N61" s="36">
        <f t="shared" si="12"/>
        <v>0.35880000000000001</v>
      </c>
      <c r="O61" s="35">
        <f t="shared" si="13"/>
        <v>1471911.4057683265</v>
      </c>
      <c r="P61" s="35">
        <f t="shared" si="14"/>
        <v>4021407.3345250692</v>
      </c>
      <c r="Q61" s="35">
        <f t="shared" si="15"/>
        <v>0</v>
      </c>
      <c r="R61" s="35">
        <f t="shared" si="16"/>
        <v>28698149.942552313</v>
      </c>
      <c r="S61" s="33">
        <f t="shared" si="17"/>
        <v>283</v>
      </c>
    </row>
    <row r="62" spans="1:19" x14ac:dyDescent="0.3">
      <c r="A62" s="33">
        <f>58</f>
        <v>58</v>
      </c>
      <c r="B62" s="34">
        <f t="shared" si="0"/>
        <v>48122</v>
      </c>
      <c r="C62" s="33">
        <f t="shared" si="1"/>
        <v>5</v>
      </c>
      <c r="D62" s="33">
        <f t="shared" si="2"/>
        <v>10</v>
      </c>
      <c r="E62" s="35">
        <f t="shared" si="3"/>
        <v>101291.78233125</v>
      </c>
      <c r="F62" s="35">
        <f t="shared" si="4"/>
        <v>28698149.942552313</v>
      </c>
      <c r="G62" s="33">
        <f t="shared" si="5"/>
        <v>283</v>
      </c>
      <c r="H62" s="35">
        <f t="shared" si="6"/>
        <v>28665574.399743751</v>
      </c>
      <c r="I62" s="35">
        <f t="shared" si="7"/>
        <v>32575.542808562517</v>
      </c>
      <c r="J62" s="35">
        <f t="shared" si="8"/>
        <v>1433278.7199871875</v>
      </c>
      <c r="K62" s="35">
        <f t="shared" si="9"/>
        <v>12641214.434940001</v>
      </c>
      <c r="L62" s="35">
        <f t="shared" si="10"/>
        <v>0</v>
      </c>
      <c r="M62" s="35">
        <f t="shared" si="11"/>
        <v>15169457.321928</v>
      </c>
      <c r="N62" s="36">
        <f t="shared" si="12"/>
        <v>0.35880000000000001</v>
      </c>
      <c r="O62" s="35">
        <f t="shared" si="13"/>
        <v>0</v>
      </c>
      <c r="P62" s="35">
        <f t="shared" si="14"/>
        <v>4021407.3345250692</v>
      </c>
      <c r="Q62" s="35">
        <f t="shared" si="15"/>
        <v>0</v>
      </c>
      <c r="R62" s="35">
        <f t="shared" si="16"/>
        <v>30131428.662539501</v>
      </c>
      <c r="S62" s="33">
        <f t="shared" si="17"/>
        <v>297</v>
      </c>
    </row>
    <row r="63" spans="1:19" x14ac:dyDescent="0.3">
      <c r="A63" s="33">
        <f>59</f>
        <v>59</v>
      </c>
      <c r="B63" s="34">
        <f t="shared" si="0"/>
        <v>48153</v>
      </c>
      <c r="C63" s="33">
        <f t="shared" si="1"/>
        <v>5</v>
      </c>
      <c r="D63" s="33">
        <f t="shared" si="2"/>
        <v>11</v>
      </c>
      <c r="E63" s="35">
        <f t="shared" si="3"/>
        <v>101291.78233125</v>
      </c>
      <c r="F63" s="35">
        <f t="shared" si="4"/>
        <v>30131428.662539501</v>
      </c>
      <c r="G63" s="33">
        <f t="shared" si="5"/>
        <v>297</v>
      </c>
      <c r="H63" s="35">
        <f t="shared" si="6"/>
        <v>30083659.352381248</v>
      </c>
      <c r="I63" s="35">
        <f t="shared" si="7"/>
        <v>47769.310158252716</v>
      </c>
      <c r="J63" s="35">
        <f t="shared" si="8"/>
        <v>1504182.9676190624</v>
      </c>
      <c r="K63" s="35">
        <f t="shared" si="9"/>
        <v>14145397.402559064</v>
      </c>
      <c r="L63" s="35">
        <f t="shared" si="10"/>
        <v>0</v>
      </c>
      <c r="M63" s="35">
        <f t="shared" si="11"/>
        <v>15431342.620973526</v>
      </c>
      <c r="N63" s="36">
        <f t="shared" si="12"/>
        <v>0.35880000000000001</v>
      </c>
      <c r="O63" s="35">
        <f t="shared" si="13"/>
        <v>0</v>
      </c>
      <c r="P63" s="35">
        <f t="shared" si="14"/>
        <v>4021407.3345250692</v>
      </c>
      <c r="Q63" s="35">
        <f t="shared" si="15"/>
        <v>0</v>
      </c>
      <c r="R63" s="35">
        <f t="shared" si="16"/>
        <v>31635611.630158562</v>
      </c>
      <c r="S63" s="33">
        <f t="shared" si="17"/>
        <v>312</v>
      </c>
    </row>
    <row r="64" spans="1:19" x14ac:dyDescent="0.3">
      <c r="A64" s="37">
        <f>60</f>
        <v>60</v>
      </c>
      <c r="B64" s="38">
        <f t="shared" si="0"/>
        <v>48183</v>
      </c>
      <c r="C64" s="37">
        <f t="shared" si="1"/>
        <v>5</v>
      </c>
      <c r="D64" s="37">
        <f t="shared" si="2"/>
        <v>12</v>
      </c>
      <c r="E64" s="39">
        <f t="shared" si="3"/>
        <v>101291.78233125</v>
      </c>
      <c r="F64" s="39">
        <f t="shared" si="4"/>
        <v>31635611.630158562</v>
      </c>
      <c r="G64" s="37">
        <f t="shared" si="5"/>
        <v>312</v>
      </c>
      <c r="H64" s="39">
        <f t="shared" si="6"/>
        <v>31603036.08735</v>
      </c>
      <c r="I64" s="39">
        <f t="shared" si="7"/>
        <v>32575.542808562517</v>
      </c>
      <c r="J64" s="39">
        <f t="shared" si="8"/>
        <v>1580151.8043675001</v>
      </c>
      <c r="K64" s="39">
        <f t="shared" si="9"/>
        <v>15725549.206926564</v>
      </c>
      <c r="L64" s="39">
        <f t="shared" si="10"/>
        <v>4517613.4919737503</v>
      </c>
      <c r="M64" s="39">
        <f t="shared" si="11"/>
        <v>15725549.206926564</v>
      </c>
      <c r="N64" s="40">
        <f t="shared" si="12"/>
        <v>0.35880000000000001</v>
      </c>
      <c r="O64" s="39">
        <f t="shared" si="13"/>
        <v>1620919.7209201816</v>
      </c>
      <c r="P64" s="39">
        <f t="shared" si="14"/>
        <v>5642327.0554452511</v>
      </c>
      <c r="Q64" s="39">
        <f t="shared" si="15"/>
        <v>1008322.2151481312</v>
      </c>
      <c r="R64" s="39">
        <f t="shared" si="16"/>
        <v>30586521.498457748</v>
      </c>
      <c r="S64" s="37">
        <f t="shared" si="17"/>
        <v>301</v>
      </c>
    </row>
    <row r="65" spans="1:19" x14ac:dyDescent="0.3">
      <c r="A65" s="33">
        <f>61</f>
        <v>61</v>
      </c>
      <c r="B65" s="34">
        <f t="shared" si="0"/>
        <v>48214</v>
      </c>
      <c r="C65" s="33">
        <f t="shared" si="1"/>
        <v>6</v>
      </c>
      <c r="D65" s="33">
        <f t="shared" si="2"/>
        <v>1</v>
      </c>
      <c r="E65" s="35">
        <f t="shared" si="3"/>
        <v>106356.3714478125</v>
      </c>
      <c r="F65" s="35">
        <f t="shared" si="4"/>
        <v>30586521.498457748</v>
      </c>
      <c r="G65" s="33">
        <f t="shared" si="5"/>
        <v>287</v>
      </c>
      <c r="H65" s="35">
        <f t="shared" si="6"/>
        <v>30524278.605522189</v>
      </c>
      <c r="I65" s="35">
        <f t="shared" si="7"/>
        <v>62242.892935559154</v>
      </c>
      <c r="J65" s="35">
        <f t="shared" si="8"/>
        <v>1526213.9302761096</v>
      </c>
      <c r="K65" s="35">
        <f t="shared" si="9"/>
        <v>1526213.9302761096</v>
      </c>
      <c r="L65" s="35">
        <f t="shared" si="10"/>
        <v>0</v>
      </c>
      <c r="M65" s="35">
        <f t="shared" si="11"/>
        <v>18314567.163313314</v>
      </c>
      <c r="N65" s="36">
        <f t="shared" si="12"/>
        <v>0.35880000000000001</v>
      </c>
      <c r="O65" s="35">
        <f t="shared" si="13"/>
        <v>0</v>
      </c>
      <c r="P65" s="35">
        <f t="shared" si="14"/>
        <v>0</v>
      </c>
      <c r="Q65" s="35">
        <f t="shared" si="15"/>
        <v>0</v>
      </c>
      <c r="R65" s="35">
        <f t="shared" si="16"/>
        <v>32112735.428733859</v>
      </c>
      <c r="S65" s="33">
        <f t="shared" si="17"/>
        <v>301</v>
      </c>
    </row>
    <row r="66" spans="1:19" x14ac:dyDescent="0.3">
      <c r="A66" s="33">
        <f>62</f>
        <v>62</v>
      </c>
      <c r="B66" s="34">
        <f t="shared" si="0"/>
        <v>48245</v>
      </c>
      <c r="C66" s="33">
        <f t="shared" si="1"/>
        <v>6</v>
      </c>
      <c r="D66" s="33">
        <f t="shared" si="2"/>
        <v>2</v>
      </c>
      <c r="E66" s="35">
        <f t="shared" si="3"/>
        <v>106356.3714478125</v>
      </c>
      <c r="F66" s="35">
        <f t="shared" si="4"/>
        <v>32112735.428733859</v>
      </c>
      <c r="G66" s="33">
        <f t="shared" si="5"/>
        <v>301</v>
      </c>
      <c r="H66" s="35">
        <f t="shared" si="6"/>
        <v>32013267.805791564</v>
      </c>
      <c r="I66" s="35">
        <f t="shared" si="7"/>
        <v>99467.622942294925</v>
      </c>
      <c r="J66" s="35">
        <f t="shared" si="8"/>
        <v>1600663.3902895784</v>
      </c>
      <c r="K66" s="35">
        <f t="shared" si="9"/>
        <v>3126877.320565688</v>
      </c>
      <c r="L66" s="35">
        <f t="shared" si="10"/>
        <v>0</v>
      </c>
      <c r="M66" s="35">
        <f t="shared" si="11"/>
        <v>18761263.923394129</v>
      </c>
      <c r="N66" s="36">
        <f t="shared" si="12"/>
        <v>0.35880000000000001</v>
      </c>
      <c r="O66" s="35">
        <f t="shared" si="13"/>
        <v>0</v>
      </c>
      <c r="P66" s="35">
        <f t="shared" si="14"/>
        <v>0</v>
      </c>
      <c r="Q66" s="35">
        <f t="shared" si="15"/>
        <v>0</v>
      </c>
      <c r="R66" s="35">
        <f t="shared" si="16"/>
        <v>33713398.819023438</v>
      </c>
      <c r="S66" s="33">
        <f t="shared" si="17"/>
        <v>316</v>
      </c>
    </row>
    <row r="67" spans="1:19" x14ac:dyDescent="0.3">
      <c r="A67" s="33">
        <f>63</f>
        <v>63</v>
      </c>
      <c r="B67" s="34">
        <f t="shared" si="0"/>
        <v>48274</v>
      </c>
      <c r="C67" s="33">
        <f t="shared" si="1"/>
        <v>6</v>
      </c>
      <c r="D67" s="33">
        <f t="shared" si="2"/>
        <v>3</v>
      </c>
      <c r="E67" s="35">
        <f t="shared" si="3"/>
        <v>106356.3714478125</v>
      </c>
      <c r="F67" s="35">
        <f t="shared" si="4"/>
        <v>33713398.819023438</v>
      </c>
      <c r="G67" s="33">
        <f t="shared" si="5"/>
        <v>316</v>
      </c>
      <c r="H67" s="35">
        <f t="shared" si="6"/>
        <v>33608613.377508752</v>
      </c>
      <c r="I67" s="35">
        <f t="shared" si="7"/>
        <v>104785.44151468575</v>
      </c>
      <c r="J67" s="35">
        <f t="shared" si="8"/>
        <v>1680430.6688754377</v>
      </c>
      <c r="K67" s="35">
        <f t="shared" si="9"/>
        <v>4807307.9894411257</v>
      </c>
      <c r="L67" s="35">
        <f t="shared" si="10"/>
        <v>4807307.9894411257</v>
      </c>
      <c r="M67" s="35">
        <f t="shared" si="11"/>
        <v>19229231.957764503</v>
      </c>
      <c r="N67" s="36">
        <f t="shared" si="12"/>
        <v>0.35880000000000001</v>
      </c>
      <c r="O67" s="35">
        <f t="shared" si="13"/>
        <v>1724862.1066114758</v>
      </c>
      <c r="P67" s="35">
        <f t="shared" si="14"/>
        <v>1724862.1066114758</v>
      </c>
      <c r="Q67" s="35">
        <f t="shared" si="15"/>
        <v>0</v>
      </c>
      <c r="R67" s="35">
        <f t="shared" si="16"/>
        <v>33668967.381287403</v>
      </c>
      <c r="S67" s="33">
        <f t="shared" si="17"/>
        <v>316</v>
      </c>
    </row>
    <row r="68" spans="1:19" x14ac:dyDescent="0.3">
      <c r="A68" s="33">
        <f>64</f>
        <v>64</v>
      </c>
      <c r="B68" s="34">
        <f t="shared" si="0"/>
        <v>48305</v>
      </c>
      <c r="C68" s="33">
        <f t="shared" si="1"/>
        <v>6</v>
      </c>
      <c r="D68" s="33">
        <f t="shared" si="2"/>
        <v>4</v>
      </c>
      <c r="E68" s="35">
        <f t="shared" si="3"/>
        <v>106356.3714478125</v>
      </c>
      <c r="F68" s="35">
        <f t="shared" si="4"/>
        <v>33668967.381287403</v>
      </c>
      <c r="G68" s="33">
        <f t="shared" si="5"/>
        <v>316</v>
      </c>
      <c r="H68" s="35">
        <f t="shared" si="6"/>
        <v>33608613.377508752</v>
      </c>
      <c r="I68" s="35">
        <f t="shared" si="7"/>
        <v>60354.003778651357</v>
      </c>
      <c r="J68" s="35">
        <f t="shared" si="8"/>
        <v>1680430.6688754377</v>
      </c>
      <c r="K68" s="35">
        <f t="shared" si="9"/>
        <v>6487738.6583165638</v>
      </c>
      <c r="L68" s="35">
        <f t="shared" si="10"/>
        <v>0</v>
      </c>
      <c r="M68" s="35">
        <f t="shared" si="11"/>
        <v>19463215.974949691</v>
      </c>
      <c r="N68" s="36">
        <f t="shared" si="12"/>
        <v>0.35880000000000001</v>
      </c>
      <c r="O68" s="35">
        <f t="shared" si="13"/>
        <v>0</v>
      </c>
      <c r="P68" s="35">
        <f t="shared" si="14"/>
        <v>1724862.1066114758</v>
      </c>
      <c r="Q68" s="35">
        <f t="shared" si="15"/>
        <v>0</v>
      </c>
      <c r="R68" s="35">
        <f t="shared" si="16"/>
        <v>35349398.050162844</v>
      </c>
      <c r="S68" s="33">
        <f t="shared" si="17"/>
        <v>332</v>
      </c>
    </row>
    <row r="69" spans="1:19" x14ac:dyDescent="0.3">
      <c r="A69" s="33">
        <f>65</f>
        <v>65</v>
      </c>
      <c r="B69" s="34">
        <f t="shared" ref="B69:B132" si="18">IF($A69&gt;NYears*12,"",EDATE(StartMonth,$A69-1))</f>
        <v>48335</v>
      </c>
      <c r="C69" s="33">
        <f t="shared" ref="C69:C132" si="19">IF($A69&gt;NYears*12,"",INT(($A69-1)/12)+1)</f>
        <v>6</v>
      </c>
      <c r="D69" s="33">
        <f t="shared" ref="D69:D132" si="20">IF($A69&gt;NYears*12,"",MOD($A69-1,12)+1)</f>
        <v>5</v>
      </c>
      <c r="E69" s="35">
        <f t="shared" ref="E69:E132" si="21">IF($A69&gt;NYears*12,"",LotValue0*(1+LotGrowth)^($C69-1))</f>
        <v>106356.3714478125</v>
      </c>
      <c r="F69" s="35">
        <f t="shared" ref="F69:F132" si="22">IF($A69&gt;NYears*12,"",IF($A69=1,InitInvest,$R68))</f>
        <v>35349398.050162844</v>
      </c>
      <c r="G69" s="33">
        <f t="shared" ref="G69:G132" si="23">IF($A69&gt;NYears*12,"",INT($F69/$E69))</f>
        <v>332</v>
      </c>
      <c r="H69" s="35">
        <f t="shared" ref="H69:H132" si="24">IF($A69&gt;NYears*12,"",$G69*$E69)</f>
        <v>35310315.320673749</v>
      </c>
      <c r="I69" s="35">
        <f t="shared" ref="I69:I132" si="25">IF($A69&gt;NYears*12,"",$F69-$H69)</f>
        <v>39082.729489095509</v>
      </c>
      <c r="J69" s="35">
        <f t="shared" ref="J69:J132" si="26">IF($A69&gt;NYears*12,"",$H69*RateA)</f>
        <v>1765515.7660336876</v>
      </c>
      <c r="K69" s="35">
        <f t="shared" ref="K69:K132" si="27">IF($A69&gt;NYears*12,"",IF($D69=1,$J69,$K68+$J69))</f>
        <v>8253254.4243502514</v>
      </c>
      <c r="L69" s="35">
        <f t="shared" ref="L69:L132" si="28">IF($A69&gt;NYears*12,"",IF(MOD($D69,3)=0,SUM($J67:$J69),0))</f>
        <v>0</v>
      </c>
      <c r="M69" s="35">
        <f t="shared" ref="M69:M132" si="29">IF($A69&gt;NYears*12,"",IF(TaxFreq="Quarterly",$K69*12/$D69,$K69))</f>
        <v>19807810.618440606</v>
      </c>
      <c r="N69" s="36">
        <f t="shared" ref="N69:N132" si="30">IF($A69&gt;NYears*12,"",LOOKUP($M69,TaxLower,TaxRate))</f>
        <v>0.35880000000000001</v>
      </c>
      <c r="O69" s="35">
        <f t="shared" ref="O69:O132" si="31">IF($A69&gt;NYears*12,"",IF(TaxFreq="Quarterly",IF(MOD($D69,3)=0,$L69*$N69,0),IF($D69=12,$K69*$N69,0)))</f>
        <v>0</v>
      </c>
      <c r="P69" s="35">
        <f t="shared" ref="P69:P132" si="32">IF($A69&gt;NYears*12,"",IF($D69=1,$O69,$P68+$O69))</f>
        <v>1724862.1066114758</v>
      </c>
      <c r="Q69" s="35">
        <f t="shared" ref="Q69:Q132" si="33">IF($A69&gt;NYears*12,"",IF($D69=12,MIN(WdrPct*IF(WdrBase="Post-tax profit",$K69-$P69,$K69),WdrCap),0))</f>
        <v>0</v>
      </c>
      <c r="R69" s="35">
        <f t="shared" ref="R69:R132" si="34">IF($A69&gt;NYears*12,"",$F69+$J69-$O69-$Q69)</f>
        <v>37114913.816196531</v>
      </c>
      <c r="S69" s="33">
        <f t="shared" ref="S69:S132" si="35">IF($A69&gt;NYears*12,"",INT($R69/$E69))</f>
        <v>348</v>
      </c>
    </row>
    <row r="70" spans="1:19" x14ac:dyDescent="0.3">
      <c r="A70" s="33">
        <f>66</f>
        <v>66</v>
      </c>
      <c r="B70" s="34">
        <f t="shared" si="18"/>
        <v>48366</v>
      </c>
      <c r="C70" s="33">
        <f t="shared" si="19"/>
        <v>6</v>
      </c>
      <c r="D70" s="33">
        <f t="shared" si="20"/>
        <v>6</v>
      </c>
      <c r="E70" s="35">
        <f t="shared" si="21"/>
        <v>106356.3714478125</v>
      </c>
      <c r="F70" s="35">
        <f t="shared" si="22"/>
        <v>37114913.816196531</v>
      </c>
      <c r="G70" s="33">
        <f t="shared" si="23"/>
        <v>348</v>
      </c>
      <c r="H70" s="35">
        <f t="shared" si="24"/>
        <v>37012017.263838753</v>
      </c>
      <c r="I70" s="35">
        <f t="shared" si="25"/>
        <v>102896.55235777795</v>
      </c>
      <c r="J70" s="35">
        <f t="shared" si="26"/>
        <v>1850600.8631919378</v>
      </c>
      <c r="K70" s="35">
        <f t="shared" si="27"/>
        <v>10103855.287542189</v>
      </c>
      <c r="L70" s="35">
        <f t="shared" si="28"/>
        <v>5296547.2981010629</v>
      </c>
      <c r="M70" s="35">
        <f t="shared" si="29"/>
        <v>20207710.575084377</v>
      </c>
      <c r="N70" s="36">
        <f t="shared" si="30"/>
        <v>0.39</v>
      </c>
      <c r="O70" s="35">
        <f t="shared" si="31"/>
        <v>2065653.4462594145</v>
      </c>
      <c r="P70" s="35">
        <f t="shared" si="32"/>
        <v>3790515.5528708901</v>
      </c>
      <c r="Q70" s="35">
        <f t="shared" si="33"/>
        <v>0</v>
      </c>
      <c r="R70" s="35">
        <f t="shared" si="34"/>
        <v>36899861.233129054</v>
      </c>
      <c r="S70" s="33">
        <f t="shared" si="35"/>
        <v>346</v>
      </c>
    </row>
    <row r="71" spans="1:19" x14ac:dyDescent="0.3">
      <c r="A71" s="33">
        <f>67</f>
        <v>67</v>
      </c>
      <c r="B71" s="34">
        <f t="shared" si="18"/>
        <v>48396</v>
      </c>
      <c r="C71" s="33">
        <f t="shared" si="19"/>
        <v>6</v>
      </c>
      <c r="D71" s="33">
        <f t="shared" si="20"/>
        <v>7</v>
      </c>
      <c r="E71" s="35">
        <f t="shared" si="21"/>
        <v>106356.3714478125</v>
      </c>
      <c r="F71" s="35">
        <f t="shared" si="22"/>
        <v>36899861.233129054</v>
      </c>
      <c r="G71" s="33">
        <f t="shared" si="23"/>
        <v>346</v>
      </c>
      <c r="H71" s="35">
        <f t="shared" si="24"/>
        <v>36799304.520943128</v>
      </c>
      <c r="I71" s="35">
        <f t="shared" si="25"/>
        <v>100556.71218592674</v>
      </c>
      <c r="J71" s="35">
        <f t="shared" si="26"/>
        <v>1839965.2260471564</v>
      </c>
      <c r="K71" s="35">
        <f t="shared" si="27"/>
        <v>11943820.513589345</v>
      </c>
      <c r="L71" s="35">
        <f t="shared" si="28"/>
        <v>0</v>
      </c>
      <c r="M71" s="35">
        <f t="shared" si="29"/>
        <v>20475120.880438875</v>
      </c>
      <c r="N71" s="36">
        <f t="shared" si="30"/>
        <v>0.39</v>
      </c>
      <c r="O71" s="35">
        <f t="shared" si="31"/>
        <v>0</v>
      </c>
      <c r="P71" s="35">
        <f t="shared" si="32"/>
        <v>3790515.5528708901</v>
      </c>
      <c r="Q71" s="35">
        <f t="shared" si="33"/>
        <v>0</v>
      </c>
      <c r="R71" s="35">
        <f t="shared" si="34"/>
        <v>38739826.459176213</v>
      </c>
      <c r="S71" s="33">
        <f t="shared" si="35"/>
        <v>364</v>
      </c>
    </row>
    <row r="72" spans="1:19" x14ac:dyDescent="0.3">
      <c r="A72" s="33">
        <f>68</f>
        <v>68</v>
      </c>
      <c r="B72" s="34">
        <f t="shared" si="18"/>
        <v>48427</v>
      </c>
      <c r="C72" s="33">
        <f t="shared" si="19"/>
        <v>6</v>
      </c>
      <c r="D72" s="33">
        <f t="shared" si="20"/>
        <v>8</v>
      </c>
      <c r="E72" s="35">
        <f t="shared" si="21"/>
        <v>106356.3714478125</v>
      </c>
      <c r="F72" s="35">
        <f t="shared" si="22"/>
        <v>38739826.459176213</v>
      </c>
      <c r="G72" s="33">
        <f t="shared" si="23"/>
        <v>364</v>
      </c>
      <c r="H72" s="35">
        <f t="shared" si="24"/>
        <v>38713719.20700375</v>
      </c>
      <c r="I72" s="35">
        <f t="shared" si="25"/>
        <v>26107.252172462642</v>
      </c>
      <c r="J72" s="35">
        <f t="shared" si="26"/>
        <v>1935685.9603501875</v>
      </c>
      <c r="K72" s="35">
        <f t="shared" si="27"/>
        <v>13879506.473939532</v>
      </c>
      <c r="L72" s="35">
        <f t="shared" si="28"/>
        <v>0</v>
      </c>
      <c r="M72" s="35">
        <f t="shared" si="29"/>
        <v>20819259.7109093</v>
      </c>
      <c r="N72" s="36">
        <f t="shared" si="30"/>
        <v>0.39</v>
      </c>
      <c r="O72" s="35">
        <f t="shared" si="31"/>
        <v>0</v>
      </c>
      <c r="P72" s="35">
        <f t="shared" si="32"/>
        <v>3790515.5528708901</v>
      </c>
      <c r="Q72" s="35">
        <f t="shared" si="33"/>
        <v>0</v>
      </c>
      <c r="R72" s="35">
        <f t="shared" si="34"/>
        <v>40675512.419526398</v>
      </c>
      <c r="S72" s="33">
        <f t="shared" si="35"/>
        <v>382</v>
      </c>
    </row>
    <row r="73" spans="1:19" x14ac:dyDescent="0.3">
      <c r="A73" s="33">
        <f>69</f>
        <v>69</v>
      </c>
      <c r="B73" s="34">
        <f t="shared" si="18"/>
        <v>48458</v>
      </c>
      <c r="C73" s="33">
        <f t="shared" si="19"/>
        <v>6</v>
      </c>
      <c r="D73" s="33">
        <f t="shared" si="20"/>
        <v>9</v>
      </c>
      <c r="E73" s="35">
        <f t="shared" si="21"/>
        <v>106356.3714478125</v>
      </c>
      <c r="F73" s="35">
        <f t="shared" si="22"/>
        <v>40675512.419526398</v>
      </c>
      <c r="G73" s="33">
        <f t="shared" si="23"/>
        <v>382</v>
      </c>
      <c r="H73" s="35">
        <f t="shared" si="24"/>
        <v>40628133.89306438</v>
      </c>
      <c r="I73" s="35">
        <f t="shared" si="25"/>
        <v>47378.52646201849</v>
      </c>
      <c r="J73" s="35">
        <f t="shared" si="26"/>
        <v>2031406.6946532191</v>
      </c>
      <c r="K73" s="35">
        <f t="shared" si="27"/>
        <v>15910913.168592751</v>
      </c>
      <c r="L73" s="35">
        <f t="shared" si="28"/>
        <v>5807057.8810505625</v>
      </c>
      <c r="M73" s="35">
        <f t="shared" si="29"/>
        <v>21214550.891457003</v>
      </c>
      <c r="N73" s="36">
        <f t="shared" si="30"/>
        <v>0.39</v>
      </c>
      <c r="O73" s="35">
        <f t="shared" si="31"/>
        <v>2264752.5736097195</v>
      </c>
      <c r="P73" s="35">
        <f t="shared" si="32"/>
        <v>6055268.1264806092</v>
      </c>
      <c r="Q73" s="35">
        <f t="shared" si="33"/>
        <v>0</v>
      </c>
      <c r="R73" s="35">
        <f t="shared" si="34"/>
        <v>40442166.540569901</v>
      </c>
      <c r="S73" s="33">
        <f t="shared" si="35"/>
        <v>380</v>
      </c>
    </row>
    <row r="74" spans="1:19" x14ac:dyDescent="0.3">
      <c r="A74" s="33">
        <f>70</f>
        <v>70</v>
      </c>
      <c r="B74" s="34">
        <f t="shared" si="18"/>
        <v>48488</v>
      </c>
      <c r="C74" s="33">
        <f t="shared" si="19"/>
        <v>6</v>
      </c>
      <c r="D74" s="33">
        <f t="shared" si="20"/>
        <v>10</v>
      </c>
      <c r="E74" s="35">
        <f t="shared" si="21"/>
        <v>106356.3714478125</v>
      </c>
      <c r="F74" s="35">
        <f t="shared" si="22"/>
        <v>40442166.540569901</v>
      </c>
      <c r="G74" s="33">
        <f t="shared" si="23"/>
        <v>380</v>
      </c>
      <c r="H74" s="35">
        <f t="shared" si="24"/>
        <v>40415421.150168754</v>
      </c>
      <c r="I74" s="35">
        <f t="shared" si="25"/>
        <v>26745.390401147306</v>
      </c>
      <c r="J74" s="35">
        <f t="shared" si="26"/>
        <v>2020771.0575084379</v>
      </c>
      <c r="K74" s="35">
        <f t="shared" si="27"/>
        <v>17931684.22610119</v>
      </c>
      <c r="L74" s="35">
        <f t="shared" si="28"/>
        <v>0</v>
      </c>
      <c r="M74" s="35">
        <f t="shared" si="29"/>
        <v>21518021.071321428</v>
      </c>
      <c r="N74" s="36">
        <f t="shared" si="30"/>
        <v>0.39</v>
      </c>
      <c r="O74" s="35">
        <f t="shared" si="31"/>
        <v>0</v>
      </c>
      <c r="P74" s="35">
        <f t="shared" si="32"/>
        <v>6055268.1264806092</v>
      </c>
      <c r="Q74" s="35">
        <f t="shared" si="33"/>
        <v>0</v>
      </c>
      <c r="R74" s="35">
        <f t="shared" si="34"/>
        <v>42462937.59807834</v>
      </c>
      <c r="S74" s="33">
        <f t="shared" si="35"/>
        <v>399</v>
      </c>
    </row>
    <row r="75" spans="1:19" x14ac:dyDescent="0.3">
      <c r="A75" s="33">
        <f>71</f>
        <v>71</v>
      </c>
      <c r="B75" s="34">
        <f t="shared" si="18"/>
        <v>48519</v>
      </c>
      <c r="C75" s="33">
        <f t="shared" si="19"/>
        <v>6</v>
      </c>
      <c r="D75" s="33">
        <f t="shared" si="20"/>
        <v>11</v>
      </c>
      <c r="E75" s="35">
        <f t="shared" si="21"/>
        <v>106356.3714478125</v>
      </c>
      <c r="F75" s="35">
        <f t="shared" si="22"/>
        <v>42462937.59807834</v>
      </c>
      <c r="G75" s="33">
        <f t="shared" si="23"/>
        <v>399</v>
      </c>
      <c r="H75" s="35">
        <f t="shared" si="24"/>
        <v>42436192.207677186</v>
      </c>
      <c r="I75" s="35">
        <f t="shared" si="25"/>
        <v>26745.390401154757</v>
      </c>
      <c r="J75" s="35">
        <f t="shared" si="26"/>
        <v>2121809.6103838594</v>
      </c>
      <c r="K75" s="35">
        <f t="shared" si="27"/>
        <v>20053493.836485051</v>
      </c>
      <c r="L75" s="35">
        <f t="shared" si="28"/>
        <v>0</v>
      </c>
      <c r="M75" s="35">
        <f t="shared" si="29"/>
        <v>21876538.730710965</v>
      </c>
      <c r="N75" s="36">
        <f t="shared" si="30"/>
        <v>0.39</v>
      </c>
      <c r="O75" s="35">
        <f t="shared" si="31"/>
        <v>0</v>
      </c>
      <c r="P75" s="35">
        <f t="shared" si="32"/>
        <v>6055268.1264806092</v>
      </c>
      <c r="Q75" s="35">
        <f t="shared" si="33"/>
        <v>0</v>
      </c>
      <c r="R75" s="35">
        <f t="shared" si="34"/>
        <v>44584747.208462201</v>
      </c>
      <c r="S75" s="33">
        <f t="shared" si="35"/>
        <v>419</v>
      </c>
    </row>
    <row r="76" spans="1:19" x14ac:dyDescent="0.3">
      <c r="A76" s="37">
        <f>72</f>
        <v>72</v>
      </c>
      <c r="B76" s="38">
        <f t="shared" si="18"/>
        <v>48549</v>
      </c>
      <c r="C76" s="37">
        <f t="shared" si="19"/>
        <v>6</v>
      </c>
      <c r="D76" s="37">
        <f t="shared" si="20"/>
        <v>12</v>
      </c>
      <c r="E76" s="39">
        <f t="shared" si="21"/>
        <v>106356.3714478125</v>
      </c>
      <c r="F76" s="39">
        <f t="shared" si="22"/>
        <v>44584747.208462201</v>
      </c>
      <c r="G76" s="37">
        <f t="shared" si="23"/>
        <v>419</v>
      </c>
      <c r="H76" s="39">
        <f t="shared" si="24"/>
        <v>44563319.636633441</v>
      </c>
      <c r="I76" s="39">
        <f t="shared" si="25"/>
        <v>21427.571828760207</v>
      </c>
      <c r="J76" s="39">
        <f t="shared" si="26"/>
        <v>2228165.9818316721</v>
      </c>
      <c r="K76" s="39">
        <f t="shared" si="27"/>
        <v>22281659.818316724</v>
      </c>
      <c r="L76" s="39">
        <f t="shared" si="28"/>
        <v>6370746.6497239694</v>
      </c>
      <c r="M76" s="39">
        <f t="shared" si="29"/>
        <v>22281659.818316724</v>
      </c>
      <c r="N76" s="40">
        <f t="shared" si="30"/>
        <v>0.39</v>
      </c>
      <c r="O76" s="39">
        <f t="shared" si="31"/>
        <v>2484591.193392348</v>
      </c>
      <c r="P76" s="39">
        <f t="shared" si="32"/>
        <v>8539859.3198729567</v>
      </c>
      <c r="Q76" s="39">
        <f t="shared" si="33"/>
        <v>1374180.0498443767</v>
      </c>
      <c r="R76" s="39">
        <f t="shared" si="34"/>
        <v>42954141.947057143</v>
      </c>
      <c r="S76" s="37">
        <f t="shared" si="35"/>
        <v>403</v>
      </c>
    </row>
    <row r="77" spans="1:19" x14ac:dyDescent="0.3">
      <c r="A77" s="33">
        <f>73</f>
        <v>73</v>
      </c>
      <c r="B77" s="34">
        <f t="shared" si="18"/>
        <v>48580</v>
      </c>
      <c r="C77" s="33">
        <f t="shared" si="19"/>
        <v>7</v>
      </c>
      <c r="D77" s="33">
        <f t="shared" si="20"/>
        <v>1</v>
      </c>
      <c r="E77" s="35">
        <f t="shared" si="21"/>
        <v>111674.19002020312</v>
      </c>
      <c r="F77" s="35">
        <f t="shared" si="22"/>
        <v>42954141.947057143</v>
      </c>
      <c r="G77" s="33">
        <f t="shared" si="23"/>
        <v>384</v>
      </c>
      <c r="H77" s="35">
        <f t="shared" si="24"/>
        <v>42882888.967758</v>
      </c>
      <c r="I77" s="35">
        <f t="shared" si="25"/>
        <v>71252.979299142957</v>
      </c>
      <c r="J77" s="35">
        <f t="shared" si="26"/>
        <v>2144144.4483878999</v>
      </c>
      <c r="K77" s="35">
        <f t="shared" si="27"/>
        <v>2144144.4483878999</v>
      </c>
      <c r="L77" s="35">
        <f t="shared" si="28"/>
        <v>0</v>
      </c>
      <c r="M77" s="35">
        <f t="shared" si="29"/>
        <v>25729733.380654797</v>
      </c>
      <c r="N77" s="36">
        <f t="shared" si="30"/>
        <v>0.39</v>
      </c>
      <c r="O77" s="35">
        <f t="shared" si="31"/>
        <v>0</v>
      </c>
      <c r="P77" s="35">
        <f t="shared" si="32"/>
        <v>0</v>
      </c>
      <c r="Q77" s="35">
        <f t="shared" si="33"/>
        <v>0</v>
      </c>
      <c r="R77" s="35">
        <f t="shared" si="34"/>
        <v>45098286.395445041</v>
      </c>
      <c r="S77" s="33">
        <f t="shared" si="35"/>
        <v>403</v>
      </c>
    </row>
    <row r="78" spans="1:19" x14ac:dyDescent="0.3">
      <c r="A78" s="33">
        <f>74</f>
        <v>74</v>
      </c>
      <c r="B78" s="34">
        <f t="shared" si="18"/>
        <v>48611</v>
      </c>
      <c r="C78" s="33">
        <f t="shared" si="19"/>
        <v>7</v>
      </c>
      <c r="D78" s="33">
        <f t="shared" si="20"/>
        <v>2</v>
      </c>
      <c r="E78" s="35">
        <f t="shared" si="21"/>
        <v>111674.19002020312</v>
      </c>
      <c r="F78" s="35">
        <f t="shared" si="22"/>
        <v>45098286.395445041</v>
      </c>
      <c r="G78" s="33">
        <f t="shared" si="23"/>
        <v>403</v>
      </c>
      <c r="H78" s="35">
        <f t="shared" si="24"/>
        <v>45004698.578141861</v>
      </c>
      <c r="I78" s="35">
        <f t="shared" si="25"/>
        <v>93587.817303180695</v>
      </c>
      <c r="J78" s="35">
        <f t="shared" si="26"/>
        <v>2250234.9289070931</v>
      </c>
      <c r="K78" s="35">
        <f t="shared" si="27"/>
        <v>4394379.377294993</v>
      </c>
      <c r="L78" s="35">
        <f t="shared" si="28"/>
        <v>0</v>
      </c>
      <c r="M78" s="35">
        <f t="shared" si="29"/>
        <v>26366276.263769958</v>
      </c>
      <c r="N78" s="36">
        <f t="shared" si="30"/>
        <v>0.39</v>
      </c>
      <c r="O78" s="35">
        <f t="shared" si="31"/>
        <v>0</v>
      </c>
      <c r="P78" s="35">
        <f t="shared" si="32"/>
        <v>0</v>
      </c>
      <c r="Q78" s="35">
        <f t="shared" si="33"/>
        <v>0</v>
      </c>
      <c r="R78" s="35">
        <f t="shared" si="34"/>
        <v>47348521.324352138</v>
      </c>
      <c r="S78" s="33">
        <f t="shared" si="35"/>
        <v>423</v>
      </c>
    </row>
    <row r="79" spans="1:19" x14ac:dyDescent="0.3">
      <c r="A79" s="33">
        <f>75</f>
        <v>75</v>
      </c>
      <c r="B79" s="34">
        <f t="shared" si="18"/>
        <v>48639</v>
      </c>
      <c r="C79" s="33">
        <f t="shared" si="19"/>
        <v>7</v>
      </c>
      <c r="D79" s="33">
        <f t="shared" si="20"/>
        <v>3</v>
      </c>
      <c r="E79" s="35">
        <f t="shared" si="21"/>
        <v>111674.19002020312</v>
      </c>
      <c r="F79" s="35">
        <f t="shared" si="22"/>
        <v>47348521.324352138</v>
      </c>
      <c r="G79" s="33">
        <f t="shared" si="23"/>
        <v>423</v>
      </c>
      <c r="H79" s="35">
        <f t="shared" si="24"/>
        <v>47238182.378545925</v>
      </c>
      <c r="I79" s="35">
        <f t="shared" si="25"/>
        <v>110338.94580621272</v>
      </c>
      <c r="J79" s="35">
        <f t="shared" si="26"/>
        <v>2361909.1189272963</v>
      </c>
      <c r="K79" s="35">
        <f t="shared" si="27"/>
        <v>6756288.4962222893</v>
      </c>
      <c r="L79" s="35">
        <f t="shared" si="28"/>
        <v>6756288.4962222893</v>
      </c>
      <c r="M79" s="35">
        <f t="shared" si="29"/>
        <v>27025153.984889161</v>
      </c>
      <c r="N79" s="36">
        <f t="shared" si="30"/>
        <v>0.39</v>
      </c>
      <c r="O79" s="35">
        <f t="shared" si="31"/>
        <v>2634952.513526693</v>
      </c>
      <c r="P79" s="35">
        <f t="shared" si="32"/>
        <v>2634952.513526693</v>
      </c>
      <c r="Q79" s="35">
        <f t="shared" si="33"/>
        <v>0</v>
      </c>
      <c r="R79" s="35">
        <f t="shared" si="34"/>
        <v>47075477.929752737</v>
      </c>
      <c r="S79" s="33">
        <f t="shared" si="35"/>
        <v>421</v>
      </c>
    </row>
    <row r="80" spans="1:19" x14ac:dyDescent="0.3">
      <c r="A80" s="33">
        <f>76</f>
        <v>76</v>
      </c>
      <c r="B80" s="34">
        <f t="shared" si="18"/>
        <v>48670</v>
      </c>
      <c r="C80" s="33">
        <f t="shared" si="19"/>
        <v>7</v>
      </c>
      <c r="D80" s="33">
        <f t="shared" si="20"/>
        <v>4</v>
      </c>
      <c r="E80" s="35">
        <f t="shared" si="21"/>
        <v>111674.19002020312</v>
      </c>
      <c r="F80" s="35">
        <f t="shared" si="22"/>
        <v>47075477.929752737</v>
      </c>
      <c r="G80" s="33">
        <f t="shared" si="23"/>
        <v>421</v>
      </c>
      <c r="H80" s="35">
        <f t="shared" si="24"/>
        <v>47014833.998505518</v>
      </c>
      <c r="I80" s="35">
        <f t="shared" si="25"/>
        <v>60643.931247219443</v>
      </c>
      <c r="J80" s="35">
        <f t="shared" si="26"/>
        <v>2350741.699925276</v>
      </c>
      <c r="K80" s="35">
        <f t="shared" si="27"/>
        <v>9107030.1961475648</v>
      </c>
      <c r="L80" s="35">
        <f t="shared" si="28"/>
        <v>0</v>
      </c>
      <c r="M80" s="35">
        <f t="shared" si="29"/>
        <v>27321090.588442694</v>
      </c>
      <c r="N80" s="36">
        <f t="shared" si="30"/>
        <v>0.39</v>
      </c>
      <c r="O80" s="35">
        <f t="shared" si="31"/>
        <v>0</v>
      </c>
      <c r="P80" s="35">
        <f t="shared" si="32"/>
        <v>2634952.513526693</v>
      </c>
      <c r="Q80" s="35">
        <f t="shared" si="33"/>
        <v>0</v>
      </c>
      <c r="R80" s="35">
        <f t="shared" si="34"/>
        <v>49426219.629678011</v>
      </c>
      <c r="S80" s="33">
        <f t="shared" si="35"/>
        <v>442</v>
      </c>
    </row>
    <row r="81" spans="1:19" x14ac:dyDescent="0.3">
      <c r="A81" s="33">
        <f>77</f>
        <v>77</v>
      </c>
      <c r="B81" s="34">
        <f t="shared" si="18"/>
        <v>48700</v>
      </c>
      <c r="C81" s="33">
        <f t="shared" si="19"/>
        <v>7</v>
      </c>
      <c r="D81" s="33">
        <f t="shared" si="20"/>
        <v>5</v>
      </c>
      <c r="E81" s="35">
        <f t="shared" si="21"/>
        <v>111674.19002020312</v>
      </c>
      <c r="F81" s="35">
        <f t="shared" si="22"/>
        <v>49426219.629678011</v>
      </c>
      <c r="G81" s="33">
        <f t="shared" si="23"/>
        <v>442</v>
      </c>
      <c r="H81" s="35">
        <f t="shared" si="24"/>
        <v>49359991.988929778</v>
      </c>
      <c r="I81" s="35">
        <f t="shared" si="25"/>
        <v>66227.640748232603</v>
      </c>
      <c r="J81" s="35">
        <f t="shared" si="26"/>
        <v>2467999.599446489</v>
      </c>
      <c r="K81" s="35">
        <f t="shared" si="27"/>
        <v>11575029.795594053</v>
      </c>
      <c r="L81" s="35">
        <f t="shared" si="28"/>
        <v>0</v>
      </c>
      <c r="M81" s="35">
        <f t="shared" si="29"/>
        <v>27780071.50942573</v>
      </c>
      <c r="N81" s="36">
        <f t="shared" si="30"/>
        <v>0.39</v>
      </c>
      <c r="O81" s="35">
        <f t="shared" si="31"/>
        <v>0</v>
      </c>
      <c r="P81" s="35">
        <f t="shared" si="32"/>
        <v>2634952.513526693</v>
      </c>
      <c r="Q81" s="35">
        <f t="shared" si="33"/>
        <v>0</v>
      </c>
      <c r="R81" s="35">
        <f t="shared" si="34"/>
        <v>51894219.229124501</v>
      </c>
      <c r="S81" s="33">
        <f t="shared" si="35"/>
        <v>464</v>
      </c>
    </row>
    <row r="82" spans="1:19" x14ac:dyDescent="0.3">
      <c r="A82" s="33">
        <f>78</f>
        <v>78</v>
      </c>
      <c r="B82" s="34">
        <f t="shared" si="18"/>
        <v>48731</v>
      </c>
      <c r="C82" s="33">
        <f t="shared" si="19"/>
        <v>7</v>
      </c>
      <c r="D82" s="33">
        <f t="shared" si="20"/>
        <v>6</v>
      </c>
      <c r="E82" s="35">
        <f t="shared" si="21"/>
        <v>111674.19002020312</v>
      </c>
      <c r="F82" s="35">
        <f t="shared" si="22"/>
        <v>51894219.229124501</v>
      </c>
      <c r="G82" s="33">
        <f t="shared" si="23"/>
        <v>464</v>
      </c>
      <c r="H82" s="35">
        <f t="shared" si="24"/>
        <v>51816824.16937425</v>
      </c>
      <c r="I82" s="35">
        <f t="shared" si="25"/>
        <v>77395.059750251472</v>
      </c>
      <c r="J82" s="35">
        <f t="shared" si="26"/>
        <v>2590841.2084687129</v>
      </c>
      <c r="K82" s="35">
        <f t="shared" si="27"/>
        <v>14165871.004062766</v>
      </c>
      <c r="L82" s="35">
        <f t="shared" si="28"/>
        <v>7409582.5078404779</v>
      </c>
      <c r="M82" s="35">
        <f t="shared" si="29"/>
        <v>28331742.008125532</v>
      </c>
      <c r="N82" s="36">
        <f t="shared" si="30"/>
        <v>0.39</v>
      </c>
      <c r="O82" s="35">
        <f t="shared" si="31"/>
        <v>2889737.1780577865</v>
      </c>
      <c r="P82" s="35">
        <f t="shared" si="32"/>
        <v>5524689.6915844791</v>
      </c>
      <c r="Q82" s="35">
        <f t="shared" si="33"/>
        <v>0</v>
      </c>
      <c r="R82" s="35">
        <f t="shared" si="34"/>
        <v>51595323.259535424</v>
      </c>
      <c r="S82" s="33">
        <f t="shared" si="35"/>
        <v>462</v>
      </c>
    </row>
    <row r="83" spans="1:19" x14ac:dyDescent="0.3">
      <c r="A83" s="33">
        <f>79</f>
        <v>79</v>
      </c>
      <c r="B83" s="34">
        <f t="shared" si="18"/>
        <v>48761</v>
      </c>
      <c r="C83" s="33">
        <f t="shared" si="19"/>
        <v>7</v>
      </c>
      <c r="D83" s="33">
        <f t="shared" si="20"/>
        <v>7</v>
      </c>
      <c r="E83" s="35">
        <f t="shared" si="21"/>
        <v>111674.19002020312</v>
      </c>
      <c r="F83" s="35">
        <f t="shared" si="22"/>
        <v>51595323.259535424</v>
      </c>
      <c r="G83" s="33">
        <f t="shared" si="23"/>
        <v>462</v>
      </c>
      <c r="H83" s="35">
        <f t="shared" si="24"/>
        <v>51593475.789333843</v>
      </c>
      <c r="I83" s="35">
        <f t="shared" si="25"/>
        <v>1847.4702015817165</v>
      </c>
      <c r="J83" s="35">
        <f t="shared" si="26"/>
        <v>2579673.7894666921</v>
      </c>
      <c r="K83" s="35">
        <f t="shared" si="27"/>
        <v>16745544.793529458</v>
      </c>
      <c r="L83" s="35">
        <f t="shared" si="28"/>
        <v>0</v>
      </c>
      <c r="M83" s="35">
        <f t="shared" si="29"/>
        <v>28706648.217479073</v>
      </c>
      <c r="N83" s="36">
        <f t="shared" si="30"/>
        <v>0.39</v>
      </c>
      <c r="O83" s="35">
        <f t="shared" si="31"/>
        <v>0</v>
      </c>
      <c r="P83" s="35">
        <f t="shared" si="32"/>
        <v>5524689.6915844791</v>
      </c>
      <c r="Q83" s="35">
        <f t="shared" si="33"/>
        <v>0</v>
      </c>
      <c r="R83" s="35">
        <f t="shared" si="34"/>
        <v>54174997.049002118</v>
      </c>
      <c r="S83" s="33">
        <f t="shared" si="35"/>
        <v>485</v>
      </c>
    </row>
    <row r="84" spans="1:19" x14ac:dyDescent="0.3">
      <c r="A84" s="33">
        <f>80</f>
        <v>80</v>
      </c>
      <c r="B84" s="34">
        <f t="shared" si="18"/>
        <v>48792</v>
      </c>
      <c r="C84" s="33">
        <f t="shared" si="19"/>
        <v>7</v>
      </c>
      <c r="D84" s="33">
        <f t="shared" si="20"/>
        <v>8</v>
      </c>
      <c r="E84" s="35">
        <f t="shared" si="21"/>
        <v>111674.19002020312</v>
      </c>
      <c r="F84" s="35">
        <f t="shared" si="22"/>
        <v>54174997.049002118</v>
      </c>
      <c r="G84" s="33">
        <f t="shared" si="23"/>
        <v>485</v>
      </c>
      <c r="H84" s="35">
        <f t="shared" si="24"/>
        <v>54161982.159798518</v>
      </c>
      <c r="I84" s="35">
        <f t="shared" si="25"/>
        <v>13014.889203600585</v>
      </c>
      <c r="J84" s="35">
        <f t="shared" si="26"/>
        <v>2708099.1079899259</v>
      </c>
      <c r="K84" s="35">
        <f t="shared" si="27"/>
        <v>19453643.901519384</v>
      </c>
      <c r="L84" s="35">
        <f t="shared" si="28"/>
        <v>0</v>
      </c>
      <c r="M84" s="35">
        <f t="shared" si="29"/>
        <v>29180465.852279074</v>
      </c>
      <c r="N84" s="36">
        <f t="shared" si="30"/>
        <v>0.39</v>
      </c>
      <c r="O84" s="35">
        <f t="shared" si="31"/>
        <v>0</v>
      </c>
      <c r="P84" s="35">
        <f t="shared" si="32"/>
        <v>5524689.6915844791</v>
      </c>
      <c r="Q84" s="35">
        <f t="shared" si="33"/>
        <v>0</v>
      </c>
      <c r="R84" s="35">
        <f t="shared" si="34"/>
        <v>56883096.156992048</v>
      </c>
      <c r="S84" s="33">
        <f t="shared" si="35"/>
        <v>509</v>
      </c>
    </row>
    <row r="85" spans="1:19" x14ac:dyDescent="0.3">
      <c r="A85" s="33">
        <f>81</f>
        <v>81</v>
      </c>
      <c r="B85" s="34">
        <f t="shared" si="18"/>
        <v>48823</v>
      </c>
      <c r="C85" s="33">
        <f t="shared" si="19"/>
        <v>7</v>
      </c>
      <c r="D85" s="33">
        <f t="shared" si="20"/>
        <v>9</v>
      </c>
      <c r="E85" s="35">
        <f t="shared" si="21"/>
        <v>111674.19002020312</v>
      </c>
      <c r="F85" s="35">
        <f t="shared" si="22"/>
        <v>56883096.156992048</v>
      </c>
      <c r="G85" s="33">
        <f t="shared" si="23"/>
        <v>509</v>
      </c>
      <c r="H85" s="35">
        <f t="shared" si="24"/>
        <v>56842162.720283389</v>
      </c>
      <c r="I85" s="35">
        <f t="shared" si="25"/>
        <v>40933.436708658934</v>
      </c>
      <c r="J85" s="35">
        <f t="shared" si="26"/>
        <v>2842108.1360141695</v>
      </c>
      <c r="K85" s="35">
        <f t="shared" si="27"/>
        <v>22295752.037533555</v>
      </c>
      <c r="L85" s="35">
        <f t="shared" si="28"/>
        <v>8129881.0334707871</v>
      </c>
      <c r="M85" s="35">
        <f t="shared" si="29"/>
        <v>29727669.383378074</v>
      </c>
      <c r="N85" s="36">
        <f t="shared" si="30"/>
        <v>0.39</v>
      </c>
      <c r="O85" s="35">
        <f t="shared" si="31"/>
        <v>3170653.603053607</v>
      </c>
      <c r="P85" s="35">
        <f t="shared" si="32"/>
        <v>8695343.2946380861</v>
      </c>
      <c r="Q85" s="35">
        <f t="shared" si="33"/>
        <v>0</v>
      </c>
      <c r="R85" s="35">
        <f t="shared" si="34"/>
        <v>56554550.689952612</v>
      </c>
      <c r="S85" s="33">
        <f t="shared" si="35"/>
        <v>506</v>
      </c>
    </row>
    <row r="86" spans="1:19" x14ac:dyDescent="0.3">
      <c r="A86" s="33">
        <f>82</f>
        <v>82</v>
      </c>
      <c r="B86" s="34">
        <f t="shared" si="18"/>
        <v>48853</v>
      </c>
      <c r="C86" s="33">
        <f t="shared" si="19"/>
        <v>7</v>
      </c>
      <c r="D86" s="33">
        <f t="shared" si="20"/>
        <v>10</v>
      </c>
      <c r="E86" s="35">
        <f t="shared" si="21"/>
        <v>111674.19002020312</v>
      </c>
      <c r="F86" s="35">
        <f t="shared" si="22"/>
        <v>56554550.689952612</v>
      </c>
      <c r="G86" s="33">
        <f t="shared" si="23"/>
        <v>506</v>
      </c>
      <c r="H86" s="35">
        <f t="shared" si="24"/>
        <v>56507140.150222778</v>
      </c>
      <c r="I86" s="35">
        <f t="shared" si="25"/>
        <v>47410.539729833603</v>
      </c>
      <c r="J86" s="35">
        <f t="shared" si="26"/>
        <v>2825357.0075111389</v>
      </c>
      <c r="K86" s="35">
        <f t="shared" si="27"/>
        <v>25121109.045044694</v>
      </c>
      <c r="L86" s="35">
        <f t="shared" si="28"/>
        <v>0</v>
      </c>
      <c r="M86" s="35">
        <f t="shared" si="29"/>
        <v>30145330.854053635</v>
      </c>
      <c r="N86" s="36">
        <f t="shared" si="30"/>
        <v>0.39</v>
      </c>
      <c r="O86" s="35">
        <f t="shared" si="31"/>
        <v>0</v>
      </c>
      <c r="P86" s="35">
        <f t="shared" si="32"/>
        <v>8695343.2946380861</v>
      </c>
      <c r="Q86" s="35">
        <f t="shared" si="33"/>
        <v>0</v>
      </c>
      <c r="R86" s="35">
        <f t="shared" si="34"/>
        <v>59379907.697463751</v>
      </c>
      <c r="S86" s="33">
        <f t="shared" si="35"/>
        <v>531</v>
      </c>
    </row>
    <row r="87" spans="1:19" x14ac:dyDescent="0.3">
      <c r="A87" s="33">
        <f>83</f>
        <v>83</v>
      </c>
      <c r="B87" s="34">
        <f t="shared" si="18"/>
        <v>48884</v>
      </c>
      <c r="C87" s="33">
        <f t="shared" si="19"/>
        <v>7</v>
      </c>
      <c r="D87" s="33">
        <f t="shared" si="20"/>
        <v>11</v>
      </c>
      <c r="E87" s="35">
        <f t="shared" si="21"/>
        <v>111674.19002020312</v>
      </c>
      <c r="F87" s="35">
        <f t="shared" si="22"/>
        <v>59379907.697463751</v>
      </c>
      <c r="G87" s="33">
        <f t="shared" si="23"/>
        <v>531</v>
      </c>
      <c r="H87" s="35">
        <f t="shared" si="24"/>
        <v>59298994.900727861</v>
      </c>
      <c r="I87" s="35">
        <f t="shared" si="25"/>
        <v>80912.79673589021</v>
      </c>
      <c r="J87" s="35">
        <f t="shared" si="26"/>
        <v>2964949.7450363934</v>
      </c>
      <c r="K87" s="35">
        <f t="shared" si="27"/>
        <v>28086058.790081087</v>
      </c>
      <c r="L87" s="35">
        <f t="shared" si="28"/>
        <v>0</v>
      </c>
      <c r="M87" s="35">
        <f t="shared" si="29"/>
        <v>30639336.861906644</v>
      </c>
      <c r="N87" s="36">
        <f t="shared" si="30"/>
        <v>0.39</v>
      </c>
      <c r="O87" s="35">
        <f t="shared" si="31"/>
        <v>0</v>
      </c>
      <c r="P87" s="35">
        <f t="shared" si="32"/>
        <v>8695343.2946380861</v>
      </c>
      <c r="Q87" s="35">
        <f t="shared" si="33"/>
        <v>0</v>
      </c>
      <c r="R87" s="35">
        <f t="shared" si="34"/>
        <v>62344857.442500144</v>
      </c>
      <c r="S87" s="33">
        <f t="shared" si="35"/>
        <v>558</v>
      </c>
    </row>
    <row r="88" spans="1:19" x14ac:dyDescent="0.3">
      <c r="A88" s="37">
        <f>84</f>
        <v>84</v>
      </c>
      <c r="B88" s="38">
        <f t="shared" si="18"/>
        <v>48914</v>
      </c>
      <c r="C88" s="37">
        <f t="shared" si="19"/>
        <v>7</v>
      </c>
      <c r="D88" s="37">
        <f t="shared" si="20"/>
        <v>12</v>
      </c>
      <c r="E88" s="39">
        <f t="shared" si="21"/>
        <v>111674.19002020312</v>
      </c>
      <c r="F88" s="39">
        <f t="shared" si="22"/>
        <v>62344857.442500144</v>
      </c>
      <c r="G88" s="37">
        <f t="shared" si="23"/>
        <v>558</v>
      </c>
      <c r="H88" s="39">
        <f t="shared" si="24"/>
        <v>62314198.031273343</v>
      </c>
      <c r="I88" s="39">
        <f t="shared" si="25"/>
        <v>30659.411226801574</v>
      </c>
      <c r="J88" s="39">
        <f t="shared" si="26"/>
        <v>3115709.9015636672</v>
      </c>
      <c r="K88" s="39">
        <f t="shared" si="27"/>
        <v>31201768.691644754</v>
      </c>
      <c r="L88" s="39">
        <f t="shared" si="28"/>
        <v>8906016.6541111991</v>
      </c>
      <c r="M88" s="39">
        <f t="shared" si="29"/>
        <v>31201768.691644754</v>
      </c>
      <c r="N88" s="40">
        <f t="shared" si="30"/>
        <v>0.39</v>
      </c>
      <c r="O88" s="39">
        <f t="shared" si="31"/>
        <v>3473346.4951033676</v>
      </c>
      <c r="P88" s="39">
        <f t="shared" si="32"/>
        <v>12168689.789741453</v>
      </c>
      <c r="Q88" s="39">
        <f t="shared" si="33"/>
        <v>1903307.8901903303</v>
      </c>
      <c r="R88" s="39">
        <f t="shared" si="34"/>
        <v>60083912.958770111</v>
      </c>
      <c r="S88" s="37">
        <f t="shared" si="35"/>
        <v>538</v>
      </c>
    </row>
    <row r="89" spans="1:19" x14ac:dyDescent="0.3">
      <c r="A89" s="33">
        <f>85</f>
        <v>85</v>
      </c>
      <c r="B89" s="34">
        <f t="shared" si="18"/>
        <v>48945</v>
      </c>
      <c r="C89" s="33">
        <f t="shared" si="19"/>
        <v>8</v>
      </c>
      <c r="D89" s="33">
        <f t="shared" si="20"/>
        <v>1</v>
      </c>
      <c r="E89" s="35">
        <f t="shared" si="21"/>
        <v>117257.8995212133</v>
      </c>
      <c r="F89" s="35">
        <f t="shared" si="22"/>
        <v>60083912.958770111</v>
      </c>
      <c r="G89" s="33">
        <f t="shared" si="23"/>
        <v>512</v>
      </c>
      <c r="H89" s="35">
        <f t="shared" si="24"/>
        <v>60036044.55486121</v>
      </c>
      <c r="I89" s="35">
        <f t="shared" si="25"/>
        <v>47868.403908900917</v>
      </c>
      <c r="J89" s="35">
        <f t="shared" si="26"/>
        <v>3001802.2277430608</v>
      </c>
      <c r="K89" s="35">
        <f t="shared" si="27"/>
        <v>3001802.2277430608</v>
      </c>
      <c r="L89" s="35">
        <f t="shared" si="28"/>
        <v>0</v>
      </c>
      <c r="M89" s="35">
        <f t="shared" si="29"/>
        <v>36021626.732916728</v>
      </c>
      <c r="N89" s="36">
        <f t="shared" si="30"/>
        <v>0.39</v>
      </c>
      <c r="O89" s="35">
        <f t="shared" si="31"/>
        <v>0</v>
      </c>
      <c r="P89" s="35">
        <f t="shared" si="32"/>
        <v>0</v>
      </c>
      <c r="Q89" s="35">
        <f t="shared" si="33"/>
        <v>0</v>
      </c>
      <c r="R89" s="35">
        <f t="shared" si="34"/>
        <v>63085715.186513171</v>
      </c>
      <c r="S89" s="33">
        <f t="shared" si="35"/>
        <v>538</v>
      </c>
    </row>
    <row r="90" spans="1:19" x14ac:dyDescent="0.3">
      <c r="A90" s="33">
        <f>86</f>
        <v>86</v>
      </c>
      <c r="B90" s="34">
        <f t="shared" si="18"/>
        <v>48976</v>
      </c>
      <c r="C90" s="33">
        <f t="shared" si="19"/>
        <v>8</v>
      </c>
      <c r="D90" s="33">
        <f t="shared" si="20"/>
        <v>2</v>
      </c>
      <c r="E90" s="35">
        <f t="shared" si="21"/>
        <v>117257.8995212133</v>
      </c>
      <c r="F90" s="35">
        <f t="shared" si="22"/>
        <v>63085715.186513171</v>
      </c>
      <c r="G90" s="33">
        <f t="shared" si="23"/>
        <v>538</v>
      </c>
      <c r="H90" s="35">
        <f t="shared" si="24"/>
        <v>63084749.942412756</v>
      </c>
      <c r="I90" s="35">
        <f t="shared" si="25"/>
        <v>965.24410041421652</v>
      </c>
      <c r="J90" s="35">
        <f t="shared" si="26"/>
        <v>3154237.4971206379</v>
      </c>
      <c r="K90" s="35">
        <f t="shared" si="27"/>
        <v>6156039.7248636987</v>
      </c>
      <c r="L90" s="35">
        <f t="shared" si="28"/>
        <v>0</v>
      </c>
      <c r="M90" s="35">
        <f t="shared" si="29"/>
        <v>36936238.349182189</v>
      </c>
      <c r="N90" s="36">
        <f t="shared" si="30"/>
        <v>0.39</v>
      </c>
      <c r="O90" s="35">
        <f t="shared" si="31"/>
        <v>0</v>
      </c>
      <c r="P90" s="35">
        <f t="shared" si="32"/>
        <v>0</v>
      </c>
      <c r="Q90" s="35">
        <f t="shared" si="33"/>
        <v>0</v>
      </c>
      <c r="R90" s="35">
        <f t="shared" si="34"/>
        <v>66239952.683633812</v>
      </c>
      <c r="S90" s="33">
        <f t="shared" si="35"/>
        <v>564</v>
      </c>
    </row>
    <row r="91" spans="1:19" x14ac:dyDescent="0.3">
      <c r="A91" s="33">
        <f>87</f>
        <v>87</v>
      </c>
      <c r="B91" s="34">
        <f t="shared" si="18"/>
        <v>49004</v>
      </c>
      <c r="C91" s="33">
        <f t="shared" si="19"/>
        <v>8</v>
      </c>
      <c r="D91" s="33">
        <f t="shared" si="20"/>
        <v>3</v>
      </c>
      <c r="E91" s="35">
        <f t="shared" si="21"/>
        <v>117257.8995212133</v>
      </c>
      <c r="F91" s="35">
        <f t="shared" si="22"/>
        <v>66239952.683633812</v>
      </c>
      <c r="G91" s="33">
        <f t="shared" si="23"/>
        <v>564</v>
      </c>
      <c r="H91" s="35">
        <f t="shared" si="24"/>
        <v>66133455.329964302</v>
      </c>
      <c r="I91" s="35">
        <f t="shared" si="25"/>
        <v>106497.35366950929</v>
      </c>
      <c r="J91" s="35">
        <f t="shared" si="26"/>
        <v>3306672.7664982155</v>
      </c>
      <c r="K91" s="35">
        <f t="shared" si="27"/>
        <v>9462712.4913619142</v>
      </c>
      <c r="L91" s="35">
        <f t="shared" si="28"/>
        <v>9462712.4913619142</v>
      </c>
      <c r="M91" s="35">
        <f t="shared" si="29"/>
        <v>37850849.965447657</v>
      </c>
      <c r="N91" s="36">
        <f t="shared" si="30"/>
        <v>0.39</v>
      </c>
      <c r="O91" s="35">
        <f t="shared" si="31"/>
        <v>3690457.8716311469</v>
      </c>
      <c r="P91" s="35">
        <f t="shared" si="32"/>
        <v>3690457.8716311469</v>
      </c>
      <c r="Q91" s="35">
        <f t="shared" si="33"/>
        <v>0</v>
      </c>
      <c r="R91" s="35">
        <f t="shared" si="34"/>
        <v>65856167.578500882</v>
      </c>
      <c r="S91" s="33">
        <f t="shared" si="35"/>
        <v>561</v>
      </c>
    </row>
    <row r="92" spans="1:19" x14ac:dyDescent="0.3">
      <c r="A92" s="33">
        <f>88</f>
        <v>88</v>
      </c>
      <c r="B92" s="34">
        <f t="shared" si="18"/>
        <v>49035</v>
      </c>
      <c r="C92" s="33">
        <f t="shared" si="19"/>
        <v>8</v>
      </c>
      <c r="D92" s="33">
        <f t="shared" si="20"/>
        <v>4</v>
      </c>
      <c r="E92" s="35">
        <f t="shared" si="21"/>
        <v>117257.8995212133</v>
      </c>
      <c r="F92" s="35">
        <f t="shared" si="22"/>
        <v>65856167.578500882</v>
      </c>
      <c r="G92" s="33">
        <f t="shared" si="23"/>
        <v>561</v>
      </c>
      <c r="H92" s="35">
        <f t="shared" si="24"/>
        <v>65781681.63140066</v>
      </c>
      <c r="I92" s="35">
        <f t="shared" si="25"/>
        <v>74485.947100222111</v>
      </c>
      <c r="J92" s="35">
        <f t="shared" si="26"/>
        <v>3289084.081570033</v>
      </c>
      <c r="K92" s="35">
        <f t="shared" si="27"/>
        <v>12751796.572931947</v>
      </c>
      <c r="L92" s="35">
        <f t="shared" si="28"/>
        <v>0</v>
      </c>
      <c r="M92" s="35">
        <f t="shared" si="29"/>
        <v>38255389.718795843</v>
      </c>
      <c r="N92" s="36">
        <f t="shared" si="30"/>
        <v>0.39</v>
      </c>
      <c r="O92" s="35">
        <f t="shared" si="31"/>
        <v>0</v>
      </c>
      <c r="P92" s="35">
        <f t="shared" si="32"/>
        <v>3690457.8716311469</v>
      </c>
      <c r="Q92" s="35">
        <f t="shared" si="33"/>
        <v>0</v>
      </c>
      <c r="R92" s="35">
        <f t="shared" si="34"/>
        <v>69145251.660070911</v>
      </c>
      <c r="S92" s="33">
        <f t="shared" si="35"/>
        <v>589</v>
      </c>
    </row>
    <row r="93" spans="1:19" x14ac:dyDescent="0.3">
      <c r="A93" s="33">
        <f>89</f>
        <v>89</v>
      </c>
      <c r="B93" s="34">
        <f t="shared" si="18"/>
        <v>49065</v>
      </c>
      <c r="C93" s="33">
        <f t="shared" si="19"/>
        <v>8</v>
      </c>
      <c r="D93" s="33">
        <f t="shared" si="20"/>
        <v>5</v>
      </c>
      <c r="E93" s="35">
        <f t="shared" si="21"/>
        <v>117257.8995212133</v>
      </c>
      <c r="F93" s="35">
        <f t="shared" si="22"/>
        <v>69145251.660070911</v>
      </c>
      <c r="G93" s="33">
        <f t="shared" si="23"/>
        <v>589</v>
      </c>
      <c r="H93" s="35">
        <f t="shared" si="24"/>
        <v>69064902.817994639</v>
      </c>
      <c r="I93" s="35">
        <f t="shared" si="25"/>
        <v>80348.842076271772</v>
      </c>
      <c r="J93" s="35">
        <f t="shared" si="26"/>
        <v>3453245.1408997322</v>
      </c>
      <c r="K93" s="35">
        <f t="shared" si="27"/>
        <v>16205041.71383168</v>
      </c>
      <c r="L93" s="35">
        <f t="shared" si="28"/>
        <v>0</v>
      </c>
      <c r="M93" s="35">
        <f t="shared" si="29"/>
        <v>38892100.11319603</v>
      </c>
      <c r="N93" s="36">
        <f t="shared" si="30"/>
        <v>0.39</v>
      </c>
      <c r="O93" s="35">
        <f t="shared" si="31"/>
        <v>0</v>
      </c>
      <c r="P93" s="35">
        <f t="shared" si="32"/>
        <v>3690457.8716311469</v>
      </c>
      <c r="Q93" s="35">
        <f t="shared" si="33"/>
        <v>0</v>
      </c>
      <c r="R93" s="35">
        <f t="shared" si="34"/>
        <v>72598496.800970644</v>
      </c>
      <c r="S93" s="33">
        <f t="shared" si="35"/>
        <v>619</v>
      </c>
    </row>
    <row r="94" spans="1:19" x14ac:dyDescent="0.3">
      <c r="A94" s="33">
        <f>90</f>
        <v>90</v>
      </c>
      <c r="B94" s="34">
        <f t="shared" si="18"/>
        <v>49096</v>
      </c>
      <c r="C94" s="33">
        <f t="shared" si="19"/>
        <v>8</v>
      </c>
      <c r="D94" s="33">
        <f t="shared" si="20"/>
        <v>6</v>
      </c>
      <c r="E94" s="35">
        <f t="shared" si="21"/>
        <v>117257.8995212133</v>
      </c>
      <c r="F94" s="35">
        <f t="shared" si="22"/>
        <v>72598496.800970644</v>
      </c>
      <c r="G94" s="33">
        <f t="shared" si="23"/>
        <v>619</v>
      </c>
      <c r="H94" s="35">
        <f t="shared" si="24"/>
        <v>72582639.803631037</v>
      </c>
      <c r="I94" s="35">
        <f t="shared" si="25"/>
        <v>15856.997339606285</v>
      </c>
      <c r="J94" s="35">
        <f t="shared" si="26"/>
        <v>3629131.9901815522</v>
      </c>
      <c r="K94" s="35">
        <f t="shared" si="27"/>
        <v>19834173.704013232</v>
      </c>
      <c r="L94" s="35">
        <f t="shared" si="28"/>
        <v>10371461.212651318</v>
      </c>
      <c r="M94" s="35">
        <f t="shared" si="29"/>
        <v>39668347.408026464</v>
      </c>
      <c r="N94" s="36">
        <f t="shared" si="30"/>
        <v>0.39</v>
      </c>
      <c r="O94" s="35">
        <f t="shared" si="31"/>
        <v>4044869.8729340141</v>
      </c>
      <c r="P94" s="35">
        <f t="shared" si="32"/>
        <v>7735327.7445651609</v>
      </c>
      <c r="Q94" s="35">
        <f t="shared" si="33"/>
        <v>0</v>
      </c>
      <c r="R94" s="35">
        <f t="shared" si="34"/>
        <v>72182758.918218181</v>
      </c>
      <c r="S94" s="33">
        <f t="shared" si="35"/>
        <v>615</v>
      </c>
    </row>
    <row r="95" spans="1:19" x14ac:dyDescent="0.3">
      <c r="A95" s="33">
        <f>91</f>
        <v>91</v>
      </c>
      <c r="B95" s="34">
        <f t="shared" si="18"/>
        <v>49126</v>
      </c>
      <c r="C95" s="33">
        <f t="shared" si="19"/>
        <v>8</v>
      </c>
      <c r="D95" s="33">
        <f t="shared" si="20"/>
        <v>7</v>
      </c>
      <c r="E95" s="35">
        <f t="shared" si="21"/>
        <v>117257.8995212133</v>
      </c>
      <c r="F95" s="35">
        <f t="shared" si="22"/>
        <v>72182758.918218181</v>
      </c>
      <c r="G95" s="33">
        <f t="shared" si="23"/>
        <v>615</v>
      </c>
      <c r="H95" s="35">
        <f t="shared" si="24"/>
        <v>72113608.205546185</v>
      </c>
      <c r="I95" s="35">
        <f t="shared" si="25"/>
        <v>69150.712671995163</v>
      </c>
      <c r="J95" s="35">
        <f t="shared" si="26"/>
        <v>3605680.4102773094</v>
      </c>
      <c r="K95" s="35">
        <f t="shared" si="27"/>
        <v>23439854.114290543</v>
      </c>
      <c r="L95" s="35">
        <f t="shared" si="28"/>
        <v>0</v>
      </c>
      <c r="M95" s="35">
        <f t="shared" si="29"/>
        <v>40182607.05306951</v>
      </c>
      <c r="N95" s="36">
        <f t="shared" si="30"/>
        <v>0.39</v>
      </c>
      <c r="O95" s="35">
        <f t="shared" si="31"/>
        <v>0</v>
      </c>
      <c r="P95" s="35">
        <f t="shared" si="32"/>
        <v>7735327.7445651609</v>
      </c>
      <c r="Q95" s="35">
        <f t="shared" si="33"/>
        <v>0</v>
      </c>
      <c r="R95" s="35">
        <f t="shared" si="34"/>
        <v>75788439.328495488</v>
      </c>
      <c r="S95" s="33">
        <f t="shared" si="35"/>
        <v>646</v>
      </c>
    </row>
    <row r="96" spans="1:19" x14ac:dyDescent="0.3">
      <c r="A96" s="33">
        <f>92</f>
        <v>92</v>
      </c>
      <c r="B96" s="34">
        <f t="shared" si="18"/>
        <v>49157</v>
      </c>
      <c r="C96" s="33">
        <f t="shared" si="19"/>
        <v>8</v>
      </c>
      <c r="D96" s="33">
        <f t="shared" si="20"/>
        <v>8</v>
      </c>
      <c r="E96" s="35">
        <f t="shared" si="21"/>
        <v>117257.8995212133</v>
      </c>
      <c r="F96" s="35">
        <f t="shared" si="22"/>
        <v>75788439.328495488</v>
      </c>
      <c r="G96" s="33">
        <f t="shared" si="23"/>
        <v>646</v>
      </c>
      <c r="H96" s="35">
        <f t="shared" si="24"/>
        <v>75748603.090703785</v>
      </c>
      <c r="I96" s="35">
        <f t="shared" si="25"/>
        <v>39836.237791702151</v>
      </c>
      <c r="J96" s="35">
        <f t="shared" si="26"/>
        <v>3787430.1545351893</v>
      </c>
      <c r="K96" s="35">
        <f t="shared" si="27"/>
        <v>27227284.268825732</v>
      </c>
      <c r="L96" s="35">
        <f t="shared" si="28"/>
        <v>0</v>
      </c>
      <c r="M96" s="35">
        <f t="shared" si="29"/>
        <v>40840926.403238595</v>
      </c>
      <c r="N96" s="36">
        <f t="shared" si="30"/>
        <v>0.39</v>
      </c>
      <c r="O96" s="35">
        <f t="shared" si="31"/>
        <v>0</v>
      </c>
      <c r="P96" s="35">
        <f t="shared" si="32"/>
        <v>7735327.7445651609</v>
      </c>
      <c r="Q96" s="35">
        <f t="shared" si="33"/>
        <v>0</v>
      </c>
      <c r="R96" s="35">
        <f t="shared" si="34"/>
        <v>79575869.483030677</v>
      </c>
      <c r="S96" s="33">
        <f t="shared" si="35"/>
        <v>678</v>
      </c>
    </row>
    <row r="97" spans="1:19" x14ac:dyDescent="0.3">
      <c r="A97" s="33">
        <f>93</f>
        <v>93</v>
      </c>
      <c r="B97" s="34">
        <f t="shared" si="18"/>
        <v>49188</v>
      </c>
      <c r="C97" s="33">
        <f t="shared" si="19"/>
        <v>8</v>
      </c>
      <c r="D97" s="33">
        <f t="shared" si="20"/>
        <v>9</v>
      </c>
      <c r="E97" s="35">
        <f t="shared" si="21"/>
        <v>117257.8995212133</v>
      </c>
      <c r="F97" s="35">
        <f t="shared" si="22"/>
        <v>79575869.483030677</v>
      </c>
      <c r="G97" s="33">
        <f t="shared" si="23"/>
        <v>678</v>
      </c>
      <c r="H97" s="35">
        <f t="shared" si="24"/>
        <v>79500855.875382617</v>
      </c>
      <c r="I97" s="35">
        <f t="shared" si="25"/>
        <v>75013.607648059726</v>
      </c>
      <c r="J97" s="35">
        <f t="shared" si="26"/>
        <v>3975042.7937691309</v>
      </c>
      <c r="K97" s="35">
        <f t="shared" si="27"/>
        <v>31202327.062594865</v>
      </c>
      <c r="L97" s="35">
        <f t="shared" si="28"/>
        <v>11368153.358581629</v>
      </c>
      <c r="M97" s="35">
        <f t="shared" si="29"/>
        <v>41603102.750126489</v>
      </c>
      <c r="N97" s="36">
        <f t="shared" si="30"/>
        <v>0.39</v>
      </c>
      <c r="O97" s="35">
        <f t="shared" si="31"/>
        <v>4433579.8098468352</v>
      </c>
      <c r="P97" s="35">
        <f t="shared" si="32"/>
        <v>12168907.554411996</v>
      </c>
      <c r="Q97" s="35">
        <f t="shared" si="33"/>
        <v>0</v>
      </c>
      <c r="R97" s="35">
        <f t="shared" si="34"/>
        <v>79117332.46695298</v>
      </c>
      <c r="S97" s="33">
        <f t="shared" si="35"/>
        <v>674</v>
      </c>
    </row>
    <row r="98" spans="1:19" x14ac:dyDescent="0.3">
      <c r="A98" s="33">
        <f>94</f>
        <v>94</v>
      </c>
      <c r="B98" s="34">
        <f t="shared" si="18"/>
        <v>49218</v>
      </c>
      <c r="C98" s="33">
        <f t="shared" si="19"/>
        <v>8</v>
      </c>
      <c r="D98" s="33">
        <f t="shared" si="20"/>
        <v>10</v>
      </c>
      <c r="E98" s="35">
        <f t="shared" si="21"/>
        <v>117257.8995212133</v>
      </c>
      <c r="F98" s="35">
        <f t="shared" si="22"/>
        <v>79117332.46695298</v>
      </c>
      <c r="G98" s="33">
        <f t="shared" si="23"/>
        <v>674</v>
      </c>
      <c r="H98" s="35">
        <f t="shared" si="24"/>
        <v>79031824.277297765</v>
      </c>
      <c r="I98" s="35">
        <f t="shared" si="25"/>
        <v>85508.189655214548</v>
      </c>
      <c r="J98" s="35">
        <f t="shared" si="26"/>
        <v>3951591.2138648885</v>
      </c>
      <c r="K98" s="35">
        <f t="shared" si="27"/>
        <v>35153918.276459754</v>
      </c>
      <c r="L98" s="35">
        <f t="shared" si="28"/>
        <v>0</v>
      </c>
      <c r="M98" s="35">
        <f t="shared" si="29"/>
        <v>42184701.931751706</v>
      </c>
      <c r="N98" s="36">
        <f t="shared" si="30"/>
        <v>0.39</v>
      </c>
      <c r="O98" s="35">
        <f t="shared" si="31"/>
        <v>0</v>
      </c>
      <c r="P98" s="35">
        <f t="shared" si="32"/>
        <v>12168907.554411996</v>
      </c>
      <c r="Q98" s="35">
        <f t="shared" si="33"/>
        <v>0</v>
      </c>
      <c r="R98" s="35">
        <f t="shared" si="34"/>
        <v>83068923.680817872</v>
      </c>
      <c r="S98" s="33">
        <f t="shared" si="35"/>
        <v>708</v>
      </c>
    </row>
    <row r="99" spans="1:19" x14ac:dyDescent="0.3">
      <c r="A99" s="33">
        <f>95</f>
        <v>95</v>
      </c>
      <c r="B99" s="34">
        <f t="shared" si="18"/>
        <v>49249</v>
      </c>
      <c r="C99" s="33">
        <f t="shared" si="19"/>
        <v>8</v>
      </c>
      <c r="D99" s="33">
        <f t="shared" si="20"/>
        <v>11</v>
      </c>
      <c r="E99" s="35">
        <f t="shared" si="21"/>
        <v>117257.8995212133</v>
      </c>
      <c r="F99" s="35">
        <f t="shared" si="22"/>
        <v>83068923.680817872</v>
      </c>
      <c r="G99" s="33">
        <f t="shared" si="23"/>
        <v>708</v>
      </c>
      <c r="H99" s="35">
        <f t="shared" si="24"/>
        <v>83018592.861019015</v>
      </c>
      <c r="I99" s="35">
        <f t="shared" si="25"/>
        <v>50330.819798856974</v>
      </c>
      <c r="J99" s="35">
        <f t="shared" si="26"/>
        <v>4150929.643050951</v>
      </c>
      <c r="K99" s="35">
        <f t="shared" si="27"/>
        <v>39304847.919510707</v>
      </c>
      <c r="L99" s="35">
        <f t="shared" si="28"/>
        <v>0</v>
      </c>
      <c r="M99" s="35">
        <f t="shared" si="29"/>
        <v>42878015.9121935</v>
      </c>
      <c r="N99" s="36">
        <f t="shared" si="30"/>
        <v>0.39</v>
      </c>
      <c r="O99" s="35">
        <f t="shared" si="31"/>
        <v>0</v>
      </c>
      <c r="P99" s="35">
        <f t="shared" si="32"/>
        <v>12168907.554411996</v>
      </c>
      <c r="Q99" s="35">
        <f t="shared" si="33"/>
        <v>0</v>
      </c>
      <c r="R99" s="35">
        <f t="shared" si="34"/>
        <v>87219853.323868826</v>
      </c>
      <c r="S99" s="33">
        <f t="shared" si="35"/>
        <v>743</v>
      </c>
    </row>
    <row r="100" spans="1:19" x14ac:dyDescent="0.3">
      <c r="A100" s="37">
        <f>96</f>
        <v>96</v>
      </c>
      <c r="B100" s="38">
        <f t="shared" si="18"/>
        <v>49279</v>
      </c>
      <c r="C100" s="37">
        <f t="shared" si="19"/>
        <v>8</v>
      </c>
      <c r="D100" s="37">
        <f t="shared" si="20"/>
        <v>12</v>
      </c>
      <c r="E100" s="39">
        <f t="shared" si="21"/>
        <v>117257.8995212133</v>
      </c>
      <c r="F100" s="39">
        <f t="shared" si="22"/>
        <v>87219853.323868826</v>
      </c>
      <c r="G100" s="37">
        <f t="shared" si="23"/>
        <v>743</v>
      </c>
      <c r="H100" s="39">
        <f t="shared" si="24"/>
        <v>87122619.344261482</v>
      </c>
      <c r="I100" s="39">
        <f t="shared" si="25"/>
        <v>97233.979607343674</v>
      </c>
      <c r="J100" s="39">
        <f t="shared" si="26"/>
        <v>4356130.9672130747</v>
      </c>
      <c r="K100" s="39">
        <f t="shared" si="27"/>
        <v>43660978.886723779</v>
      </c>
      <c r="L100" s="39">
        <f t="shared" si="28"/>
        <v>12458651.824128915</v>
      </c>
      <c r="M100" s="39">
        <f t="shared" si="29"/>
        <v>43660978.886723779</v>
      </c>
      <c r="N100" s="40">
        <f t="shared" si="30"/>
        <v>0.39</v>
      </c>
      <c r="O100" s="39">
        <f t="shared" si="31"/>
        <v>4858874.2114102766</v>
      </c>
      <c r="P100" s="39">
        <f t="shared" si="32"/>
        <v>17027781.765822273</v>
      </c>
      <c r="Q100" s="39">
        <f t="shared" si="33"/>
        <v>2663319.7120901509</v>
      </c>
      <c r="R100" s="39">
        <f t="shared" si="34"/>
        <v>84053790.367581472</v>
      </c>
      <c r="S100" s="37">
        <f t="shared" si="35"/>
        <v>716</v>
      </c>
    </row>
    <row r="101" spans="1:19" x14ac:dyDescent="0.3">
      <c r="A101" s="33">
        <f>97</f>
        <v>97</v>
      </c>
      <c r="B101" s="34">
        <f t="shared" si="18"/>
        <v>49310</v>
      </c>
      <c r="C101" s="33">
        <f t="shared" si="19"/>
        <v>9</v>
      </c>
      <c r="D101" s="33">
        <f t="shared" si="20"/>
        <v>1</v>
      </c>
      <c r="E101" s="35">
        <f t="shared" si="21"/>
        <v>123120.79449727395</v>
      </c>
      <c r="F101" s="35">
        <f t="shared" si="22"/>
        <v>84053790.367581472</v>
      </c>
      <c r="G101" s="33">
        <f t="shared" si="23"/>
        <v>682</v>
      </c>
      <c r="H101" s="35">
        <f t="shared" si="24"/>
        <v>83968381.847140834</v>
      </c>
      <c r="I101" s="35">
        <f t="shared" si="25"/>
        <v>85408.520440638065</v>
      </c>
      <c r="J101" s="35">
        <f t="shared" si="26"/>
        <v>4198419.0923570422</v>
      </c>
      <c r="K101" s="35">
        <f t="shared" si="27"/>
        <v>4198419.0923570422</v>
      </c>
      <c r="L101" s="35">
        <f t="shared" si="28"/>
        <v>0</v>
      </c>
      <c r="M101" s="35">
        <f t="shared" si="29"/>
        <v>50381029.108284503</v>
      </c>
      <c r="N101" s="36">
        <f t="shared" si="30"/>
        <v>0.39</v>
      </c>
      <c r="O101" s="35">
        <f t="shared" si="31"/>
        <v>0</v>
      </c>
      <c r="P101" s="35">
        <f t="shared" si="32"/>
        <v>0</v>
      </c>
      <c r="Q101" s="35">
        <f t="shared" si="33"/>
        <v>0</v>
      </c>
      <c r="R101" s="35">
        <f t="shared" si="34"/>
        <v>88252209.459938511</v>
      </c>
      <c r="S101" s="33">
        <f t="shared" si="35"/>
        <v>716</v>
      </c>
    </row>
    <row r="102" spans="1:19" x14ac:dyDescent="0.3">
      <c r="A102" s="33">
        <f>98</f>
        <v>98</v>
      </c>
      <c r="B102" s="34">
        <f t="shared" si="18"/>
        <v>49341</v>
      </c>
      <c r="C102" s="33">
        <f t="shared" si="19"/>
        <v>9</v>
      </c>
      <c r="D102" s="33">
        <f t="shared" si="20"/>
        <v>2</v>
      </c>
      <c r="E102" s="35">
        <f t="shared" si="21"/>
        <v>123120.79449727395</v>
      </c>
      <c r="F102" s="35">
        <f t="shared" si="22"/>
        <v>88252209.459938511</v>
      </c>
      <c r="G102" s="33">
        <f t="shared" si="23"/>
        <v>716</v>
      </c>
      <c r="H102" s="35">
        <f t="shared" si="24"/>
        <v>88154488.860048145</v>
      </c>
      <c r="I102" s="35">
        <f t="shared" si="25"/>
        <v>97720.599890366197</v>
      </c>
      <c r="J102" s="35">
        <f t="shared" si="26"/>
        <v>4407724.4430024074</v>
      </c>
      <c r="K102" s="35">
        <f t="shared" si="27"/>
        <v>8606143.5353594497</v>
      </c>
      <c r="L102" s="35">
        <f t="shared" si="28"/>
        <v>0</v>
      </c>
      <c r="M102" s="35">
        <f t="shared" si="29"/>
        <v>51636861.212156698</v>
      </c>
      <c r="N102" s="36">
        <f t="shared" si="30"/>
        <v>0.39</v>
      </c>
      <c r="O102" s="35">
        <f t="shared" si="31"/>
        <v>0</v>
      </c>
      <c r="P102" s="35">
        <f t="shared" si="32"/>
        <v>0</v>
      </c>
      <c r="Q102" s="35">
        <f t="shared" si="33"/>
        <v>0</v>
      </c>
      <c r="R102" s="35">
        <f t="shared" si="34"/>
        <v>92659933.902940914</v>
      </c>
      <c r="S102" s="33">
        <f t="shared" si="35"/>
        <v>752</v>
      </c>
    </row>
    <row r="103" spans="1:19" x14ac:dyDescent="0.3">
      <c r="A103" s="33">
        <f>99</f>
        <v>99</v>
      </c>
      <c r="B103" s="34">
        <f t="shared" si="18"/>
        <v>49369</v>
      </c>
      <c r="C103" s="33">
        <f t="shared" si="19"/>
        <v>9</v>
      </c>
      <c r="D103" s="33">
        <f t="shared" si="20"/>
        <v>3</v>
      </c>
      <c r="E103" s="35">
        <f t="shared" si="21"/>
        <v>123120.79449727395</v>
      </c>
      <c r="F103" s="35">
        <f t="shared" si="22"/>
        <v>92659933.902940914</v>
      </c>
      <c r="G103" s="33">
        <f t="shared" si="23"/>
        <v>752</v>
      </c>
      <c r="H103" s="35">
        <f t="shared" si="24"/>
        <v>92586837.461950004</v>
      </c>
      <c r="I103" s="35">
        <f t="shared" si="25"/>
        <v>73096.440990909934</v>
      </c>
      <c r="J103" s="35">
        <f t="shared" si="26"/>
        <v>4629341.8730975008</v>
      </c>
      <c r="K103" s="35">
        <f t="shared" si="27"/>
        <v>13235485.408456951</v>
      </c>
      <c r="L103" s="35">
        <f t="shared" si="28"/>
        <v>13235485.408456951</v>
      </c>
      <c r="M103" s="35">
        <f t="shared" si="29"/>
        <v>52941941.633827806</v>
      </c>
      <c r="N103" s="36">
        <f t="shared" si="30"/>
        <v>0.39</v>
      </c>
      <c r="O103" s="35">
        <f t="shared" si="31"/>
        <v>5161839.3092982108</v>
      </c>
      <c r="P103" s="35">
        <f t="shared" si="32"/>
        <v>5161839.3092982108</v>
      </c>
      <c r="Q103" s="35">
        <f t="shared" si="33"/>
        <v>0</v>
      </c>
      <c r="R103" s="35">
        <f t="shared" si="34"/>
        <v>92127436.466740191</v>
      </c>
      <c r="S103" s="33">
        <f t="shared" si="35"/>
        <v>748</v>
      </c>
    </row>
    <row r="104" spans="1:19" x14ac:dyDescent="0.3">
      <c r="A104" s="33">
        <f>100</f>
        <v>100</v>
      </c>
      <c r="B104" s="34">
        <f t="shared" si="18"/>
        <v>49400</v>
      </c>
      <c r="C104" s="33">
        <f t="shared" si="19"/>
        <v>9</v>
      </c>
      <c r="D104" s="33">
        <f t="shared" si="20"/>
        <v>4</v>
      </c>
      <c r="E104" s="35">
        <f t="shared" si="21"/>
        <v>123120.79449727395</v>
      </c>
      <c r="F104" s="35">
        <f t="shared" si="22"/>
        <v>92127436.466740191</v>
      </c>
      <c r="G104" s="33">
        <f t="shared" si="23"/>
        <v>748</v>
      </c>
      <c r="H104" s="35">
        <f t="shared" si="24"/>
        <v>92094354.283960909</v>
      </c>
      <c r="I104" s="35">
        <f t="shared" si="25"/>
        <v>33082.182779282331</v>
      </c>
      <c r="J104" s="35">
        <f t="shared" si="26"/>
        <v>4604717.7141980454</v>
      </c>
      <c r="K104" s="35">
        <f t="shared" si="27"/>
        <v>17840203.122654997</v>
      </c>
      <c r="L104" s="35">
        <f t="shared" si="28"/>
        <v>0</v>
      </c>
      <c r="M104" s="35">
        <f t="shared" si="29"/>
        <v>53520609.36796499</v>
      </c>
      <c r="N104" s="36">
        <f t="shared" si="30"/>
        <v>0.39</v>
      </c>
      <c r="O104" s="35">
        <f t="shared" si="31"/>
        <v>0</v>
      </c>
      <c r="P104" s="35">
        <f t="shared" si="32"/>
        <v>5161839.3092982108</v>
      </c>
      <c r="Q104" s="35">
        <f t="shared" si="33"/>
        <v>0</v>
      </c>
      <c r="R104" s="35">
        <f t="shared" si="34"/>
        <v>96732154.180938244</v>
      </c>
      <c r="S104" s="33">
        <f t="shared" si="35"/>
        <v>785</v>
      </c>
    </row>
    <row r="105" spans="1:19" x14ac:dyDescent="0.3">
      <c r="A105" s="33">
        <f>101</f>
        <v>101</v>
      </c>
      <c r="B105" s="34">
        <f t="shared" si="18"/>
        <v>49430</v>
      </c>
      <c r="C105" s="33">
        <f t="shared" si="19"/>
        <v>9</v>
      </c>
      <c r="D105" s="33">
        <f t="shared" si="20"/>
        <v>5</v>
      </c>
      <c r="E105" s="35">
        <f t="shared" si="21"/>
        <v>123120.79449727395</v>
      </c>
      <c r="F105" s="35">
        <f t="shared" si="22"/>
        <v>96732154.180938244</v>
      </c>
      <c r="G105" s="33">
        <f t="shared" si="23"/>
        <v>785</v>
      </c>
      <c r="H105" s="35">
        <f t="shared" si="24"/>
        <v>96649823.680360049</v>
      </c>
      <c r="I105" s="35">
        <f t="shared" si="25"/>
        <v>82330.500578194857</v>
      </c>
      <c r="J105" s="35">
        <f t="shared" si="26"/>
        <v>4832491.1840180028</v>
      </c>
      <c r="K105" s="35">
        <f t="shared" si="27"/>
        <v>22672694.306672998</v>
      </c>
      <c r="L105" s="35">
        <f t="shared" si="28"/>
        <v>0</v>
      </c>
      <c r="M105" s="35">
        <f t="shared" si="29"/>
        <v>54414466.336015202</v>
      </c>
      <c r="N105" s="36">
        <f t="shared" si="30"/>
        <v>0.39</v>
      </c>
      <c r="O105" s="35">
        <f t="shared" si="31"/>
        <v>0</v>
      </c>
      <c r="P105" s="35">
        <f t="shared" si="32"/>
        <v>5161839.3092982108</v>
      </c>
      <c r="Q105" s="35">
        <f t="shared" si="33"/>
        <v>0</v>
      </c>
      <c r="R105" s="35">
        <f t="shared" si="34"/>
        <v>101564645.36495624</v>
      </c>
      <c r="S105" s="33">
        <f t="shared" si="35"/>
        <v>824</v>
      </c>
    </row>
    <row r="106" spans="1:19" x14ac:dyDescent="0.3">
      <c r="A106" s="33">
        <f>102</f>
        <v>102</v>
      </c>
      <c r="B106" s="34">
        <f t="shared" si="18"/>
        <v>49461</v>
      </c>
      <c r="C106" s="33">
        <f t="shared" si="19"/>
        <v>9</v>
      </c>
      <c r="D106" s="33">
        <f t="shared" si="20"/>
        <v>6</v>
      </c>
      <c r="E106" s="35">
        <f t="shared" si="21"/>
        <v>123120.79449727395</v>
      </c>
      <c r="F106" s="35">
        <f t="shared" si="22"/>
        <v>101564645.36495624</v>
      </c>
      <c r="G106" s="33">
        <f t="shared" si="23"/>
        <v>824</v>
      </c>
      <c r="H106" s="35">
        <f t="shared" si="24"/>
        <v>101451534.66575374</v>
      </c>
      <c r="I106" s="35">
        <f t="shared" si="25"/>
        <v>113110.69920250773</v>
      </c>
      <c r="J106" s="35">
        <f t="shared" si="26"/>
        <v>5072576.7332876874</v>
      </c>
      <c r="K106" s="35">
        <f t="shared" si="27"/>
        <v>27745271.039960686</v>
      </c>
      <c r="L106" s="35">
        <f t="shared" si="28"/>
        <v>14509785.631503735</v>
      </c>
      <c r="M106" s="35">
        <f t="shared" si="29"/>
        <v>55490542.079921372</v>
      </c>
      <c r="N106" s="36">
        <f t="shared" si="30"/>
        <v>0.39</v>
      </c>
      <c r="O106" s="35">
        <f t="shared" si="31"/>
        <v>5658816.3962864568</v>
      </c>
      <c r="P106" s="35">
        <f t="shared" si="32"/>
        <v>10820655.705584668</v>
      </c>
      <c r="Q106" s="35">
        <f t="shared" si="33"/>
        <v>0</v>
      </c>
      <c r="R106" s="35">
        <f t="shared" si="34"/>
        <v>100978405.70195748</v>
      </c>
      <c r="S106" s="33">
        <f t="shared" si="35"/>
        <v>820</v>
      </c>
    </row>
    <row r="107" spans="1:19" x14ac:dyDescent="0.3">
      <c r="A107" s="33">
        <f>103</f>
        <v>103</v>
      </c>
      <c r="B107" s="34">
        <f t="shared" si="18"/>
        <v>49491</v>
      </c>
      <c r="C107" s="33">
        <f t="shared" si="19"/>
        <v>9</v>
      </c>
      <c r="D107" s="33">
        <f t="shared" si="20"/>
        <v>7</v>
      </c>
      <c r="E107" s="35">
        <f t="shared" si="21"/>
        <v>123120.79449727395</v>
      </c>
      <c r="F107" s="35">
        <f t="shared" si="22"/>
        <v>100978405.70195748</v>
      </c>
      <c r="G107" s="33">
        <f t="shared" si="23"/>
        <v>820</v>
      </c>
      <c r="H107" s="35">
        <f t="shared" si="24"/>
        <v>100959051.48776464</v>
      </c>
      <c r="I107" s="35">
        <f t="shared" si="25"/>
        <v>19354.214192837477</v>
      </c>
      <c r="J107" s="35">
        <f t="shared" si="26"/>
        <v>5047952.5743882321</v>
      </c>
      <c r="K107" s="35">
        <f t="shared" si="27"/>
        <v>32793223.614348918</v>
      </c>
      <c r="L107" s="35">
        <f t="shared" si="28"/>
        <v>0</v>
      </c>
      <c r="M107" s="35">
        <f t="shared" si="29"/>
        <v>56216954.767455287</v>
      </c>
      <c r="N107" s="36">
        <f t="shared" si="30"/>
        <v>0.39</v>
      </c>
      <c r="O107" s="35">
        <f t="shared" si="31"/>
        <v>0</v>
      </c>
      <c r="P107" s="35">
        <f t="shared" si="32"/>
        <v>10820655.705584668</v>
      </c>
      <c r="Q107" s="35">
        <f t="shared" si="33"/>
        <v>0</v>
      </c>
      <c r="R107" s="35">
        <f t="shared" si="34"/>
        <v>106026358.27634571</v>
      </c>
      <c r="S107" s="33">
        <f t="shared" si="35"/>
        <v>861</v>
      </c>
    </row>
    <row r="108" spans="1:19" x14ac:dyDescent="0.3">
      <c r="A108" s="33">
        <f>104</f>
        <v>104</v>
      </c>
      <c r="B108" s="34">
        <f t="shared" si="18"/>
        <v>49522</v>
      </c>
      <c r="C108" s="33">
        <f t="shared" si="19"/>
        <v>9</v>
      </c>
      <c r="D108" s="33">
        <f t="shared" si="20"/>
        <v>8</v>
      </c>
      <c r="E108" s="35">
        <f t="shared" si="21"/>
        <v>123120.79449727395</v>
      </c>
      <c r="F108" s="35">
        <f t="shared" si="22"/>
        <v>106026358.27634571</v>
      </c>
      <c r="G108" s="33">
        <f t="shared" si="23"/>
        <v>861</v>
      </c>
      <c r="H108" s="35">
        <f t="shared" si="24"/>
        <v>106007004.06215288</v>
      </c>
      <c r="I108" s="35">
        <f t="shared" si="25"/>
        <v>19354.214192837477</v>
      </c>
      <c r="J108" s="35">
        <f t="shared" si="26"/>
        <v>5300350.2031076439</v>
      </c>
      <c r="K108" s="35">
        <f t="shared" si="27"/>
        <v>38093573.817456558</v>
      </c>
      <c r="L108" s="35">
        <f t="shared" si="28"/>
        <v>0</v>
      </c>
      <c r="M108" s="35">
        <f t="shared" si="29"/>
        <v>57140360.726184838</v>
      </c>
      <c r="N108" s="36">
        <f t="shared" si="30"/>
        <v>0.39</v>
      </c>
      <c r="O108" s="35">
        <f t="shared" si="31"/>
        <v>0</v>
      </c>
      <c r="P108" s="35">
        <f t="shared" si="32"/>
        <v>10820655.705584668</v>
      </c>
      <c r="Q108" s="35">
        <f t="shared" si="33"/>
        <v>0</v>
      </c>
      <c r="R108" s="35">
        <f t="shared" si="34"/>
        <v>111326708.47945336</v>
      </c>
      <c r="S108" s="33">
        <f t="shared" si="35"/>
        <v>904</v>
      </c>
    </row>
    <row r="109" spans="1:19" x14ac:dyDescent="0.3">
      <c r="A109" s="33">
        <f>105</f>
        <v>105</v>
      </c>
      <c r="B109" s="34">
        <f t="shared" si="18"/>
        <v>49553</v>
      </c>
      <c r="C109" s="33">
        <f t="shared" si="19"/>
        <v>9</v>
      </c>
      <c r="D109" s="33">
        <f t="shared" si="20"/>
        <v>9</v>
      </c>
      <c r="E109" s="35">
        <f t="shared" si="21"/>
        <v>123120.79449727395</v>
      </c>
      <c r="F109" s="35">
        <f t="shared" si="22"/>
        <v>111326708.47945336</v>
      </c>
      <c r="G109" s="33">
        <f t="shared" si="23"/>
        <v>904</v>
      </c>
      <c r="H109" s="35">
        <f t="shared" si="24"/>
        <v>111301198.22553565</v>
      </c>
      <c r="I109" s="35">
        <f t="shared" si="25"/>
        <v>25510.253917708993</v>
      </c>
      <c r="J109" s="35">
        <f t="shared" si="26"/>
        <v>5565059.9112767829</v>
      </c>
      <c r="K109" s="35">
        <f t="shared" si="27"/>
        <v>43658633.728733338</v>
      </c>
      <c r="L109" s="35">
        <f t="shared" si="28"/>
        <v>15913362.68877266</v>
      </c>
      <c r="M109" s="35">
        <f t="shared" si="29"/>
        <v>58211511.638311118</v>
      </c>
      <c r="N109" s="36">
        <f t="shared" si="30"/>
        <v>0.39</v>
      </c>
      <c r="O109" s="35">
        <f t="shared" si="31"/>
        <v>6206211.4486213373</v>
      </c>
      <c r="P109" s="35">
        <f t="shared" si="32"/>
        <v>17026867.154206004</v>
      </c>
      <c r="Q109" s="35">
        <f t="shared" si="33"/>
        <v>0</v>
      </c>
      <c r="R109" s="35">
        <f t="shared" si="34"/>
        <v>110685556.94210881</v>
      </c>
      <c r="S109" s="33">
        <f t="shared" si="35"/>
        <v>898</v>
      </c>
    </row>
    <row r="110" spans="1:19" x14ac:dyDescent="0.3">
      <c r="A110" s="33">
        <f>106</f>
        <v>106</v>
      </c>
      <c r="B110" s="34">
        <f t="shared" si="18"/>
        <v>49583</v>
      </c>
      <c r="C110" s="33">
        <f t="shared" si="19"/>
        <v>9</v>
      </c>
      <c r="D110" s="33">
        <f t="shared" si="20"/>
        <v>10</v>
      </c>
      <c r="E110" s="35">
        <f t="shared" si="21"/>
        <v>123120.79449727395</v>
      </c>
      <c r="F110" s="35">
        <f t="shared" si="22"/>
        <v>110685556.94210881</v>
      </c>
      <c r="G110" s="33">
        <f t="shared" si="23"/>
        <v>898</v>
      </c>
      <c r="H110" s="35">
        <f t="shared" si="24"/>
        <v>110562473.458552</v>
      </c>
      <c r="I110" s="35">
        <f t="shared" si="25"/>
        <v>123083.48355680704</v>
      </c>
      <c r="J110" s="35">
        <f t="shared" si="26"/>
        <v>5528123.6729276003</v>
      </c>
      <c r="K110" s="35">
        <f t="shared" si="27"/>
        <v>49186757.401660942</v>
      </c>
      <c r="L110" s="35">
        <f t="shared" si="28"/>
        <v>0</v>
      </c>
      <c r="M110" s="35">
        <f t="shared" si="29"/>
        <v>59024108.88199313</v>
      </c>
      <c r="N110" s="36">
        <f t="shared" si="30"/>
        <v>0.39</v>
      </c>
      <c r="O110" s="35">
        <f t="shared" si="31"/>
        <v>0</v>
      </c>
      <c r="P110" s="35">
        <f t="shared" si="32"/>
        <v>17026867.154206004</v>
      </c>
      <c r="Q110" s="35">
        <f t="shared" si="33"/>
        <v>0</v>
      </c>
      <c r="R110" s="35">
        <f t="shared" si="34"/>
        <v>116213680.61503641</v>
      </c>
      <c r="S110" s="33">
        <f t="shared" si="35"/>
        <v>943</v>
      </c>
    </row>
    <row r="111" spans="1:19" x14ac:dyDescent="0.3">
      <c r="A111" s="33">
        <f>107</f>
        <v>107</v>
      </c>
      <c r="B111" s="34">
        <f t="shared" si="18"/>
        <v>49614</v>
      </c>
      <c r="C111" s="33">
        <f t="shared" si="19"/>
        <v>9</v>
      </c>
      <c r="D111" s="33">
        <f t="shared" si="20"/>
        <v>11</v>
      </c>
      <c r="E111" s="35">
        <f t="shared" si="21"/>
        <v>123120.79449727395</v>
      </c>
      <c r="F111" s="35">
        <f t="shared" si="22"/>
        <v>116213680.61503641</v>
      </c>
      <c r="G111" s="33">
        <f t="shared" si="23"/>
        <v>943</v>
      </c>
      <c r="H111" s="35">
        <f t="shared" si="24"/>
        <v>116102909.21092933</v>
      </c>
      <c r="I111" s="35">
        <f t="shared" si="25"/>
        <v>110771.40410707891</v>
      </c>
      <c r="J111" s="35">
        <f t="shared" si="26"/>
        <v>5805145.4605464675</v>
      </c>
      <c r="K111" s="35">
        <f t="shared" si="27"/>
        <v>54991902.862207413</v>
      </c>
      <c r="L111" s="35">
        <f t="shared" si="28"/>
        <v>0</v>
      </c>
      <c r="M111" s="35">
        <f t="shared" si="29"/>
        <v>59991166.758771725</v>
      </c>
      <c r="N111" s="36">
        <f t="shared" si="30"/>
        <v>0.39</v>
      </c>
      <c r="O111" s="35">
        <f t="shared" si="31"/>
        <v>0</v>
      </c>
      <c r="P111" s="35">
        <f t="shared" si="32"/>
        <v>17026867.154206004</v>
      </c>
      <c r="Q111" s="35">
        <f t="shared" si="33"/>
        <v>0</v>
      </c>
      <c r="R111" s="35">
        <f t="shared" si="34"/>
        <v>122018826.07558288</v>
      </c>
      <c r="S111" s="33">
        <f t="shared" si="35"/>
        <v>991</v>
      </c>
    </row>
    <row r="112" spans="1:19" x14ac:dyDescent="0.3">
      <c r="A112" s="37">
        <f>108</f>
        <v>108</v>
      </c>
      <c r="B112" s="38">
        <f t="shared" si="18"/>
        <v>49644</v>
      </c>
      <c r="C112" s="37">
        <f t="shared" si="19"/>
        <v>9</v>
      </c>
      <c r="D112" s="37">
        <f t="shared" si="20"/>
        <v>12</v>
      </c>
      <c r="E112" s="39">
        <f t="shared" si="21"/>
        <v>123120.79449727395</v>
      </c>
      <c r="F112" s="39">
        <f t="shared" si="22"/>
        <v>122018826.07558288</v>
      </c>
      <c r="G112" s="37">
        <f t="shared" si="23"/>
        <v>991</v>
      </c>
      <c r="H112" s="39">
        <f t="shared" si="24"/>
        <v>122012707.34679848</v>
      </c>
      <c r="I112" s="39">
        <f t="shared" si="25"/>
        <v>6118.7287843972445</v>
      </c>
      <c r="J112" s="39">
        <f t="shared" si="26"/>
        <v>6100635.367339924</v>
      </c>
      <c r="K112" s="39">
        <f t="shared" si="27"/>
        <v>61092538.229547337</v>
      </c>
      <c r="L112" s="39">
        <f t="shared" si="28"/>
        <v>17433904.500813991</v>
      </c>
      <c r="M112" s="39">
        <f t="shared" si="29"/>
        <v>61092538.229547344</v>
      </c>
      <c r="N112" s="40">
        <f t="shared" si="30"/>
        <v>0.39</v>
      </c>
      <c r="O112" s="39">
        <f t="shared" si="31"/>
        <v>6799222.755317457</v>
      </c>
      <c r="P112" s="39">
        <f t="shared" si="32"/>
        <v>23826089.909523461</v>
      </c>
      <c r="Q112" s="39">
        <f t="shared" si="33"/>
        <v>3726644.8320023883</v>
      </c>
      <c r="R112" s="39">
        <f t="shared" si="34"/>
        <v>117593593.85560296</v>
      </c>
      <c r="S112" s="37">
        <f t="shared" si="35"/>
        <v>955</v>
      </c>
    </row>
    <row r="113" spans="1:19" x14ac:dyDescent="0.3">
      <c r="A113" s="33">
        <f>109</f>
        <v>109</v>
      </c>
      <c r="B113" s="34">
        <f t="shared" si="18"/>
        <v>49675</v>
      </c>
      <c r="C113" s="33">
        <f t="shared" si="19"/>
        <v>10</v>
      </c>
      <c r="D113" s="33">
        <f t="shared" si="20"/>
        <v>1</v>
      </c>
      <c r="E113" s="35">
        <f t="shared" si="21"/>
        <v>129276.83422213765</v>
      </c>
      <c r="F113" s="35">
        <f t="shared" si="22"/>
        <v>117593593.85560296</v>
      </c>
      <c r="G113" s="33">
        <f t="shared" si="23"/>
        <v>909</v>
      </c>
      <c r="H113" s="35">
        <f t="shared" si="24"/>
        <v>117512642.30792312</v>
      </c>
      <c r="I113" s="35">
        <f t="shared" si="25"/>
        <v>80951.547679841518</v>
      </c>
      <c r="J113" s="35">
        <f t="shared" si="26"/>
        <v>5875632.1153961569</v>
      </c>
      <c r="K113" s="35">
        <f t="shared" si="27"/>
        <v>5875632.1153961569</v>
      </c>
      <c r="L113" s="35">
        <f t="shared" si="28"/>
        <v>0</v>
      </c>
      <c r="M113" s="35">
        <f t="shared" si="29"/>
        <v>70507585.384753883</v>
      </c>
      <c r="N113" s="36">
        <f t="shared" si="30"/>
        <v>0.39</v>
      </c>
      <c r="O113" s="35">
        <f t="shared" si="31"/>
        <v>0</v>
      </c>
      <c r="P113" s="35">
        <f t="shared" si="32"/>
        <v>0</v>
      </c>
      <c r="Q113" s="35">
        <f t="shared" si="33"/>
        <v>0</v>
      </c>
      <c r="R113" s="35">
        <f t="shared" si="34"/>
        <v>123469225.97099912</v>
      </c>
      <c r="S113" s="33">
        <f t="shared" si="35"/>
        <v>955</v>
      </c>
    </row>
    <row r="114" spans="1:19" x14ac:dyDescent="0.3">
      <c r="A114" s="33">
        <f>110</f>
        <v>110</v>
      </c>
      <c r="B114" s="34">
        <f t="shared" si="18"/>
        <v>49706</v>
      </c>
      <c r="C114" s="33">
        <f t="shared" si="19"/>
        <v>10</v>
      </c>
      <c r="D114" s="33">
        <f t="shared" si="20"/>
        <v>2</v>
      </c>
      <c r="E114" s="35">
        <f t="shared" si="21"/>
        <v>129276.83422213765</v>
      </c>
      <c r="F114" s="35">
        <f t="shared" si="22"/>
        <v>123469225.97099912</v>
      </c>
      <c r="G114" s="33">
        <f t="shared" si="23"/>
        <v>955</v>
      </c>
      <c r="H114" s="35">
        <f t="shared" si="24"/>
        <v>123459376.68214145</v>
      </c>
      <c r="I114" s="35">
        <f t="shared" si="25"/>
        <v>9849.2888576686382</v>
      </c>
      <c r="J114" s="35">
        <f t="shared" si="26"/>
        <v>6172968.834107073</v>
      </c>
      <c r="K114" s="35">
        <f t="shared" si="27"/>
        <v>12048600.94950323</v>
      </c>
      <c r="L114" s="35">
        <f t="shared" si="28"/>
        <v>0</v>
      </c>
      <c r="M114" s="35">
        <f t="shared" si="29"/>
        <v>72291605.697019383</v>
      </c>
      <c r="N114" s="36">
        <f t="shared" si="30"/>
        <v>0.39</v>
      </c>
      <c r="O114" s="35">
        <f t="shared" si="31"/>
        <v>0</v>
      </c>
      <c r="P114" s="35">
        <f t="shared" si="32"/>
        <v>0</v>
      </c>
      <c r="Q114" s="35">
        <f t="shared" si="33"/>
        <v>0</v>
      </c>
      <c r="R114" s="35">
        <f t="shared" si="34"/>
        <v>129642194.80510619</v>
      </c>
      <c r="S114" s="33">
        <f t="shared" si="35"/>
        <v>1002</v>
      </c>
    </row>
    <row r="115" spans="1:19" x14ac:dyDescent="0.3">
      <c r="A115" s="33">
        <f>111</f>
        <v>111</v>
      </c>
      <c r="B115" s="34">
        <f t="shared" si="18"/>
        <v>49735</v>
      </c>
      <c r="C115" s="33">
        <f t="shared" si="19"/>
        <v>10</v>
      </c>
      <c r="D115" s="33">
        <f t="shared" si="20"/>
        <v>3</v>
      </c>
      <c r="E115" s="35">
        <f t="shared" si="21"/>
        <v>129276.83422213765</v>
      </c>
      <c r="F115" s="35">
        <f t="shared" si="22"/>
        <v>129642194.80510619</v>
      </c>
      <c r="G115" s="33">
        <f t="shared" si="23"/>
        <v>1002</v>
      </c>
      <c r="H115" s="35">
        <f t="shared" si="24"/>
        <v>129535387.89058192</v>
      </c>
      <c r="I115" s="35">
        <f t="shared" si="25"/>
        <v>106806.91452427208</v>
      </c>
      <c r="J115" s="35">
        <f t="shared" si="26"/>
        <v>6476769.3945290968</v>
      </c>
      <c r="K115" s="35">
        <f t="shared" si="27"/>
        <v>18525370.344032325</v>
      </c>
      <c r="L115" s="35">
        <f t="shared" si="28"/>
        <v>18525370.344032325</v>
      </c>
      <c r="M115" s="35">
        <f t="shared" si="29"/>
        <v>74101481.376129299</v>
      </c>
      <c r="N115" s="36">
        <f t="shared" si="30"/>
        <v>0.39</v>
      </c>
      <c r="O115" s="35">
        <f t="shared" si="31"/>
        <v>7224894.434172607</v>
      </c>
      <c r="P115" s="35">
        <f t="shared" si="32"/>
        <v>7224894.434172607</v>
      </c>
      <c r="Q115" s="35">
        <f t="shared" si="33"/>
        <v>0</v>
      </c>
      <c r="R115" s="35">
        <f t="shared" si="34"/>
        <v>128894069.7654627</v>
      </c>
      <c r="S115" s="33">
        <f t="shared" si="35"/>
        <v>997</v>
      </c>
    </row>
    <row r="116" spans="1:19" x14ac:dyDescent="0.3">
      <c r="A116" s="33">
        <f>112</f>
        <v>112</v>
      </c>
      <c r="B116" s="34">
        <f t="shared" si="18"/>
        <v>49766</v>
      </c>
      <c r="C116" s="33">
        <f t="shared" si="19"/>
        <v>10</v>
      </c>
      <c r="D116" s="33">
        <f t="shared" si="20"/>
        <v>4</v>
      </c>
      <c r="E116" s="35">
        <f t="shared" si="21"/>
        <v>129276.83422213765</v>
      </c>
      <c r="F116" s="35">
        <f t="shared" si="22"/>
        <v>128894069.7654627</v>
      </c>
      <c r="G116" s="33">
        <f t="shared" si="23"/>
        <v>997</v>
      </c>
      <c r="H116" s="35">
        <f t="shared" si="24"/>
        <v>128889003.71947125</v>
      </c>
      <c r="I116" s="35">
        <f t="shared" si="25"/>
        <v>5066.0459914505482</v>
      </c>
      <c r="J116" s="35">
        <f t="shared" si="26"/>
        <v>6444450.1859735623</v>
      </c>
      <c r="K116" s="35">
        <f t="shared" si="27"/>
        <v>24969820.530005887</v>
      </c>
      <c r="L116" s="35">
        <f t="shared" si="28"/>
        <v>0</v>
      </c>
      <c r="M116" s="35">
        <f t="shared" si="29"/>
        <v>74909461.590017661</v>
      </c>
      <c r="N116" s="36">
        <f t="shared" si="30"/>
        <v>0.39</v>
      </c>
      <c r="O116" s="35">
        <f t="shared" si="31"/>
        <v>0</v>
      </c>
      <c r="P116" s="35">
        <f t="shared" si="32"/>
        <v>7224894.434172607</v>
      </c>
      <c r="Q116" s="35">
        <f t="shared" si="33"/>
        <v>0</v>
      </c>
      <c r="R116" s="35">
        <f t="shared" si="34"/>
        <v>135338519.95143625</v>
      </c>
      <c r="S116" s="33">
        <f t="shared" si="35"/>
        <v>1046</v>
      </c>
    </row>
    <row r="117" spans="1:19" x14ac:dyDescent="0.3">
      <c r="A117" s="33">
        <f>113</f>
        <v>113</v>
      </c>
      <c r="B117" s="34">
        <f t="shared" si="18"/>
        <v>49796</v>
      </c>
      <c r="C117" s="33">
        <f t="shared" si="19"/>
        <v>10</v>
      </c>
      <c r="D117" s="33">
        <f t="shared" si="20"/>
        <v>5</v>
      </c>
      <c r="E117" s="35">
        <f t="shared" si="21"/>
        <v>129276.83422213765</v>
      </c>
      <c r="F117" s="35">
        <f t="shared" si="22"/>
        <v>135338519.95143625</v>
      </c>
      <c r="G117" s="33">
        <f t="shared" si="23"/>
        <v>1046</v>
      </c>
      <c r="H117" s="35">
        <f t="shared" si="24"/>
        <v>135223568.59635597</v>
      </c>
      <c r="I117" s="35">
        <f t="shared" si="25"/>
        <v>114951.35508027673</v>
      </c>
      <c r="J117" s="35">
        <f t="shared" si="26"/>
        <v>6761178.4298177995</v>
      </c>
      <c r="K117" s="35">
        <f t="shared" si="27"/>
        <v>31730998.959823687</v>
      </c>
      <c r="L117" s="35">
        <f t="shared" si="28"/>
        <v>0</v>
      </c>
      <c r="M117" s="35">
        <f t="shared" si="29"/>
        <v>76154397.503576845</v>
      </c>
      <c r="N117" s="36">
        <f t="shared" si="30"/>
        <v>0.39</v>
      </c>
      <c r="O117" s="35">
        <f t="shared" si="31"/>
        <v>0</v>
      </c>
      <c r="P117" s="35">
        <f t="shared" si="32"/>
        <v>7224894.434172607</v>
      </c>
      <c r="Q117" s="35">
        <f t="shared" si="33"/>
        <v>0</v>
      </c>
      <c r="R117" s="35">
        <f t="shared" si="34"/>
        <v>142099698.38125405</v>
      </c>
      <c r="S117" s="33">
        <f t="shared" si="35"/>
        <v>1099</v>
      </c>
    </row>
    <row r="118" spans="1:19" x14ac:dyDescent="0.3">
      <c r="A118" s="33">
        <f>114</f>
        <v>114</v>
      </c>
      <c r="B118" s="34">
        <f t="shared" si="18"/>
        <v>49827</v>
      </c>
      <c r="C118" s="33">
        <f t="shared" si="19"/>
        <v>10</v>
      </c>
      <c r="D118" s="33">
        <f t="shared" si="20"/>
        <v>6</v>
      </c>
      <c r="E118" s="35">
        <f t="shared" si="21"/>
        <v>129276.83422213765</v>
      </c>
      <c r="F118" s="35">
        <f t="shared" si="22"/>
        <v>142099698.38125405</v>
      </c>
      <c r="G118" s="33">
        <f t="shared" si="23"/>
        <v>1099</v>
      </c>
      <c r="H118" s="35">
        <f t="shared" si="24"/>
        <v>142075240.81012928</v>
      </c>
      <c r="I118" s="35">
        <f t="shared" si="25"/>
        <v>24457.571124762297</v>
      </c>
      <c r="J118" s="35">
        <f t="shared" si="26"/>
        <v>7103762.0405064644</v>
      </c>
      <c r="K118" s="35">
        <f t="shared" si="27"/>
        <v>38834761.00033015</v>
      </c>
      <c r="L118" s="35">
        <f t="shared" si="28"/>
        <v>20309390.656297825</v>
      </c>
      <c r="M118" s="35">
        <f t="shared" si="29"/>
        <v>77669522.0006603</v>
      </c>
      <c r="N118" s="36">
        <f t="shared" si="30"/>
        <v>0.39</v>
      </c>
      <c r="O118" s="35">
        <f t="shared" si="31"/>
        <v>7920662.3559561521</v>
      </c>
      <c r="P118" s="35">
        <f t="shared" si="32"/>
        <v>15145556.79012876</v>
      </c>
      <c r="Q118" s="35">
        <f t="shared" si="33"/>
        <v>0</v>
      </c>
      <c r="R118" s="35">
        <f t="shared" si="34"/>
        <v>141282798.06580436</v>
      </c>
      <c r="S118" s="33">
        <f t="shared" si="35"/>
        <v>1092</v>
      </c>
    </row>
    <row r="119" spans="1:19" x14ac:dyDescent="0.3">
      <c r="A119" s="33">
        <f>115</f>
        <v>115</v>
      </c>
      <c r="B119" s="34">
        <f t="shared" si="18"/>
        <v>49857</v>
      </c>
      <c r="C119" s="33">
        <f t="shared" si="19"/>
        <v>10</v>
      </c>
      <c r="D119" s="33">
        <f t="shared" si="20"/>
        <v>7</v>
      </c>
      <c r="E119" s="35">
        <f t="shared" si="21"/>
        <v>129276.83422213765</v>
      </c>
      <c r="F119" s="35">
        <f t="shared" si="22"/>
        <v>141282798.06580436</v>
      </c>
      <c r="G119" s="33">
        <f t="shared" si="23"/>
        <v>1092</v>
      </c>
      <c r="H119" s="35">
        <f t="shared" si="24"/>
        <v>141170302.97057432</v>
      </c>
      <c r="I119" s="35">
        <f t="shared" si="25"/>
        <v>112495.09523004293</v>
      </c>
      <c r="J119" s="35">
        <f t="shared" si="26"/>
        <v>7058515.1485287165</v>
      </c>
      <c r="K119" s="35">
        <f t="shared" si="27"/>
        <v>45893276.148858868</v>
      </c>
      <c r="L119" s="35">
        <f t="shared" si="28"/>
        <v>0</v>
      </c>
      <c r="M119" s="35">
        <f t="shared" si="29"/>
        <v>78674187.68375805</v>
      </c>
      <c r="N119" s="36">
        <f t="shared" si="30"/>
        <v>0.39</v>
      </c>
      <c r="O119" s="35">
        <f t="shared" si="31"/>
        <v>0</v>
      </c>
      <c r="P119" s="35">
        <f t="shared" si="32"/>
        <v>15145556.79012876</v>
      </c>
      <c r="Q119" s="35">
        <f t="shared" si="33"/>
        <v>0</v>
      </c>
      <c r="R119" s="35">
        <f t="shared" si="34"/>
        <v>148341313.21433309</v>
      </c>
      <c r="S119" s="33">
        <f t="shared" si="35"/>
        <v>1147</v>
      </c>
    </row>
    <row r="120" spans="1:19" x14ac:dyDescent="0.3">
      <c r="A120" s="33">
        <f>116</f>
        <v>116</v>
      </c>
      <c r="B120" s="34">
        <f t="shared" si="18"/>
        <v>49888</v>
      </c>
      <c r="C120" s="33">
        <f t="shared" si="19"/>
        <v>10</v>
      </c>
      <c r="D120" s="33">
        <f t="shared" si="20"/>
        <v>8</v>
      </c>
      <c r="E120" s="35">
        <f t="shared" si="21"/>
        <v>129276.83422213765</v>
      </c>
      <c r="F120" s="35">
        <f t="shared" si="22"/>
        <v>148341313.21433309</v>
      </c>
      <c r="G120" s="33">
        <f t="shared" si="23"/>
        <v>1147</v>
      </c>
      <c r="H120" s="35">
        <f t="shared" si="24"/>
        <v>148280528.85279188</v>
      </c>
      <c r="I120" s="35">
        <f t="shared" si="25"/>
        <v>60784.361541211605</v>
      </c>
      <c r="J120" s="35">
        <f t="shared" si="26"/>
        <v>7414026.442639594</v>
      </c>
      <c r="K120" s="35">
        <f t="shared" si="27"/>
        <v>53307302.591498464</v>
      </c>
      <c r="L120" s="35">
        <f t="shared" si="28"/>
        <v>0</v>
      </c>
      <c r="M120" s="35">
        <f t="shared" si="29"/>
        <v>79960953.887247697</v>
      </c>
      <c r="N120" s="36">
        <f t="shared" si="30"/>
        <v>0.39</v>
      </c>
      <c r="O120" s="35">
        <f t="shared" si="31"/>
        <v>0</v>
      </c>
      <c r="P120" s="35">
        <f t="shared" si="32"/>
        <v>15145556.79012876</v>
      </c>
      <c r="Q120" s="35">
        <f t="shared" si="33"/>
        <v>0</v>
      </c>
      <c r="R120" s="35">
        <f t="shared" si="34"/>
        <v>155755339.65697268</v>
      </c>
      <c r="S120" s="33">
        <f t="shared" si="35"/>
        <v>1204</v>
      </c>
    </row>
    <row r="121" spans="1:19" x14ac:dyDescent="0.3">
      <c r="A121" s="33">
        <f>117</f>
        <v>117</v>
      </c>
      <c r="B121" s="34">
        <f t="shared" si="18"/>
        <v>49919</v>
      </c>
      <c r="C121" s="33">
        <f t="shared" si="19"/>
        <v>10</v>
      </c>
      <c r="D121" s="33">
        <f t="shared" si="20"/>
        <v>9</v>
      </c>
      <c r="E121" s="35">
        <f t="shared" si="21"/>
        <v>129276.83422213765</v>
      </c>
      <c r="F121" s="35">
        <f t="shared" si="22"/>
        <v>155755339.65697268</v>
      </c>
      <c r="G121" s="33">
        <f t="shared" si="23"/>
        <v>1204</v>
      </c>
      <c r="H121" s="35">
        <f t="shared" si="24"/>
        <v>155649308.40345374</v>
      </c>
      <c r="I121" s="35">
        <f t="shared" si="25"/>
        <v>106031.25351893902</v>
      </c>
      <c r="J121" s="35">
        <f t="shared" si="26"/>
        <v>7782465.4201726876</v>
      </c>
      <c r="K121" s="35">
        <f t="shared" si="27"/>
        <v>61089768.011671156</v>
      </c>
      <c r="L121" s="35">
        <f t="shared" si="28"/>
        <v>22255007.011340998</v>
      </c>
      <c r="M121" s="35">
        <f t="shared" si="29"/>
        <v>81453024.015561536</v>
      </c>
      <c r="N121" s="36">
        <f t="shared" si="30"/>
        <v>0.39</v>
      </c>
      <c r="O121" s="35">
        <f t="shared" si="31"/>
        <v>8679452.7344229892</v>
      </c>
      <c r="P121" s="35">
        <f t="shared" si="32"/>
        <v>23825009.524551749</v>
      </c>
      <c r="Q121" s="35">
        <f t="shared" si="33"/>
        <v>0</v>
      </c>
      <c r="R121" s="35">
        <f t="shared" si="34"/>
        <v>154858352.34272239</v>
      </c>
      <c r="S121" s="33">
        <f t="shared" si="35"/>
        <v>1197</v>
      </c>
    </row>
    <row r="122" spans="1:19" x14ac:dyDescent="0.3">
      <c r="A122" s="33">
        <f>118</f>
        <v>118</v>
      </c>
      <c r="B122" s="34">
        <f t="shared" si="18"/>
        <v>49949</v>
      </c>
      <c r="C122" s="33">
        <f t="shared" si="19"/>
        <v>10</v>
      </c>
      <c r="D122" s="33">
        <f t="shared" si="20"/>
        <v>10</v>
      </c>
      <c r="E122" s="35">
        <f t="shared" si="21"/>
        <v>129276.83422213765</v>
      </c>
      <c r="F122" s="35">
        <f t="shared" si="22"/>
        <v>154858352.34272239</v>
      </c>
      <c r="G122" s="33">
        <f t="shared" si="23"/>
        <v>1197</v>
      </c>
      <c r="H122" s="35">
        <f t="shared" si="24"/>
        <v>154744370.56389877</v>
      </c>
      <c r="I122" s="35">
        <f t="shared" si="25"/>
        <v>113981.77882361412</v>
      </c>
      <c r="J122" s="35">
        <f t="shared" si="26"/>
        <v>7737218.5281949388</v>
      </c>
      <c r="K122" s="35">
        <f t="shared" si="27"/>
        <v>68826986.53986609</v>
      </c>
      <c r="L122" s="35">
        <f t="shared" si="28"/>
        <v>0</v>
      </c>
      <c r="M122" s="35">
        <f t="shared" si="29"/>
        <v>82592383.847839311</v>
      </c>
      <c r="N122" s="36">
        <f t="shared" si="30"/>
        <v>0.39</v>
      </c>
      <c r="O122" s="35">
        <f t="shared" si="31"/>
        <v>0</v>
      </c>
      <c r="P122" s="35">
        <f t="shared" si="32"/>
        <v>23825009.524551749</v>
      </c>
      <c r="Q122" s="35">
        <f t="shared" si="33"/>
        <v>0</v>
      </c>
      <c r="R122" s="35">
        <f t="shared" si="34"/>
        <v>162595570.87091732</v>
      </c>
      <c r="S122" s="33">
        <f t="shared" si="35"/>
        <v>1257</v>
      </c>
    </row>
    <row r="123" spans="1:19" x14ac:dyDescent="0.3">
      <c r="A123" s="33">
        <f>119</f>
        <v>119</v>
      </c>
      <c r="B123" s="34">
        <f t="shared" si="18"/>
        <v>49980</v>
      </c>
      <c r="C123" s="33">
        <f t="shared" si="19"/>
        <v>10</v>
      </c>
      <c r="D123" s="33">
        <f t="shared" si="20"/>
        <v>11</v>
      </c>
      <c r="E123" s="35">
        <f t="shared" si="21"/>
        <v>129276.83422213765</v>
      </c>
      <c r="F123" s="35">
        <f t="shared" si="22"/>
        <v>162595570.87091732</v>
      </c>
      <c r="G123" s="33">
        <f t="shared" si="23"/>
        <v>1257</v>
      </c>
      <c r="H123" s="35">
        <f t="shared" si="24"/>
        <v>162500980.61722702</v>
      </c>
      <c r="I123" s="35">
        <f t="shared" si="25"/>
        <v>94590.253690302372</v>
      </c>
      <c r="J123" s="35">
        <f t="shared" si="26"/>
        <v>8125049.0308613516</v>
      </c>
      <c r="K123" s="35">
        <f t="shared" si="27"/>
        <v>76952035.570727438</v>
      </c>
      <c r="L123" s="35">
        <f t="shared" si="28"/>
        <v>0</v>
      </c>
      <c r="M123" s="35">
        <f t="shared" si="29"/>
        <v>83947675.168066293</v>
      </c>
      <c r="N123" s="36">
        <f t="shared" si="30"/>
        <v>0.39</v>
      </c>
      <c r="O123" s="35">
        <f t="shared" si="31"/>
        <v>0</v>
      </c>
      <c r="P123" s="35">
        <f t="shared" si="32"/>
        <v>23825009.524551749</v>
      </c>
      <c r="Q123" s="35">
        <f t="shared" si="33"/>
        <v>0</v>
      </c>
      <c r="R123" s="35">
        <f t="shared" si="34"/>
        <v>170720619.90177867</v>
      </c>
      <c r="S123" s="33">
        <f t="shared" si="35"/>
        <v>1320</v>
      </c>
    </row>
    <row r="124" spans="1:19" x14ac:dyDescent="0.3">
      <c r="A124" s="37">
        <f>120</f>
        <v>120</v>
      </c>
      <c r="B124" s="38">
        <f t="shared" si="18"/>
        <v>50010</v>
      </c>
      <c r="C124" s="37">
        <f t="shared" si="19"/>
        <v>10</v>
      </c>
      <c r="D124" s="37">
        <f t="shared" si="20"/>
        <v>12</v>
      </c>
      <c r="E124" s="39">
        <f t="shared" si="21"/>
        <v>129276.83422213765</v>
      </c>
      <c r="F124" s="39">
        <f t="shared" si="22"/>
        <v>170720619.90177867</v>
      </c>
      <c r="G124" s="37">
        <f t="shared" si="23"/>
        <v>1320</v>
      </c>
      <c r="H124" s="39">
        <f t="shared" si="24"/>
        <v>170645421.17322171</v>
      </c>
      <c r="I124" s="39">
        <f t="shared" si="25"/>
        <v>75198.728556960821</v>
      </c>
      <c r="J124" s="39">
        <f t="shared" si="26"/>
        <v>8532271.0586610865</v>
      </c>
      <c r="K124" s="39">
        <f t="shared" si="27"/>
        <v>85484306.629388526</v>
      </c>
      <c r="L124" s="39">
        <f t="shared" si="28"/>
        <v>24394538.617717378</v>
      </c>
      <c r="M124" s="39">
        <f t="shared" si="29"/>
        <v>85484306.629388526</v>
      </c>
      <c r="N124" s="40">
        <f t="shared" si="30"/>
        <v>0.39</v>
      </c>
      <c r="O124" s="39">
        <f t="shared" si="31"/>
        <v>9513870.0609097779</v>
      </c>
      <c r="P124" s="39">
        <f t="shared" si="32"/>
        <v>33338879.585461527</v>
      </c>
      <c r="Q124" s="39">
        <f t="shared" si="33"/>
        <v>5214542.7043927005</v>
      </c>
      <c r="R124" s="39">
        <f t="shared" si="34"/>
        <v>164524478.19513726</v>
      </c>
      <c r="S124" s="37">
        <f t="shared" si="35"/>
        <v>1272</v>
      </c>
    </row>
    <row r="125" spans="1:19" x14ac:dyDescent="0.3">
      <c r="A125" s="33">
        <f>121</f>
        <v>121</v>
      </c>
      <c r="B125" s="34">
        <f t="shared" si="18"/>
        <v>50041</v>
      </c>
      <c r="C125" s="33">
        <f t="shared" si="19"/>
        <v>11</v>
      </c>
      <c r="D125" s="33">
        <f t="shared" si="20"/>
        <v>1</v>
      </c>
      <c r="E125" s="35">
        <f t="shared" si="21"/>
        <v>135740.67593324455</v>
      </c>
      <c r="F125" s="35">
        <f t="shared" si="22"/>
        <v>164524478.19513726</v>
      </c>
      <c r="G125" s="33">
        <f t="shared" si="23"/>
        <v>1212</v>
      </c>
      <c r="H125" s="35">
        <f t="shared" si="24"/>
        <v>164517699.23109239</v>
      </c>
      <c r="I125" s="35">
        <f t="shared" si="25"/>
        <v>6778.9640448689461</v>
      </c>
      <c r="J125" s="35">
        <f t="shared" si="26"/>
        <v>8225884.9615546204</v>
      </c>
      <c r="K125" s="35">
        <f t="shared" si="27"/>
        <v>8225884.9615546204</v>
      </c>
      <c r="L125" s="35">
        <f t="shared" si="28"/>
        <v>0</v>
      </c>
      <c r="M125" s="35">
        <f t="shared" si="29"/>
        <v>98710619.538655445</v>
      </c>
      <c r="N125" s="36">
        <f t="shared" si="30"/>
        <v>0.39</v>
      </c>
      <c r="O125" s="35">
        <f t="shared" si="31"/>
        <v>0</v>
      </c>
      <c r="P125" s="35">
        <f t="shared" si="32"/>
        <v>0</v>
      </c>
      <c r="Q125" s="35">
        <f t="shared" si="33"/>
        <v>0</v>
      </c>
      <c r="R125" s="35">
        <f t="shared" si="34"/>
        <v>172750363.15669188</v>
      </c>
      <c r="S125" s="33">
        <f t="shared" si="35"/>
        <v>1272</v>
      </c>
    </row>
    <row r="126" spans="1:19" x14ac:dyDescent="0.3">
      <c r="A126" s="33">
        <f>122</f>
        <v>122</v>
      </c>
      <c r="B126" s="34">
        <f t="shared" si="18"/>
        <v>50072</v>
      </c>
      <c r="C126" s="33">
        <f t="shared" si="19"/>
        <v>11</v>
      </c>
      <c r="D126" s="33">
        <f t="shared" si="20"/>
        <v>2</v>
      </c>
      <c r="E126" s="35">
        <f t="shared" si="21"/>
        <v>135740.67593324455</v>
      </c>
      <c r="F126" s="35">
        <f t="shared" si="22"/>
        <v>172750363.15669188</v>
      </c>
      <c r="G126" s="33">
        <f t="shared" si="23"/>
        <v>1272</v>
      </c>
      <c r="H126" s="35">
        <f t="shared" si="24"/>
        <v>172662139.78708708</v>
      </c>
      <c r="I126" s="35">
        <f t="shared" si="25"/>
        <v>88223.369604796171</v>
      </c>
      <c r="J126" s="35">
        <f t="shared" si="26"/>
        <v>8633106.9893543553</v>
      </c>
      <c r="K126" s="35">
        <f t="shared" si="27"/>
        <v>16858991.950908974</v>
      </c>
      <c r="L126" s="35">
        <f t="shared" si="28"/>
        <v>0</v>
      </c>
      <c r="M126" s="35">
        <f t="shared" si="29"/>
        <v>101153951.70545384</v>
      </c>
      <c r="N126" s="36">
        <f t="shared" si="30"/>
        <v>0.39</v>
      </c>
      <c r="O126" s="35">
        <f t="shared" si="31"/>
        <v>0</v>
      </c>
      <c r="P126" s="35">
        <f t="shared" si="32"/>
        <v>0</v>
      </c>
      <c r="Q126" s="35">
        <f t="shared" si="33"/>
        <v>0</v>
      </c>
      <c r="R126" s="35">
        <f t="shared" si="34"/>
        <v>181383470.14604622</v>
      </c>
      <c r="S126" s="33">
        <f t="shared" si="35"/>
        <v>1336</v>
      </c>
    </row>
    <row r="127" spans="1:19" x14ac:dyDescent="0.3">
      <c r="A127" s="33">
        <f>123</f>
        <v>123</v>
      </c>
      <c r="B127" s="34">
        <f t="shared" si="18"/>
        <v>50100</v>
      </c>
      <c r="C127" s="33">
        <f t="shared" si="19"/>
        <v>11</v>
      </c>
      <c r="D127" s="33">
        <f t="shared" si="20"/>
        <v>3</v>
      </c>
      <c r="E127" s="35">
        <f t="shared" si="21"/>
        <v>135740.67593324455</v>
      </c>
      <c r="F127" s="35">
        <f t="shared" si="22"/>
        <v>181383470.14604622</v>
      </c>
      <c r="G127" s="33">
        <f t="shared" si="23"/>
        <v>1336</v>
      </c>
      <c r="H127" s="35">
        <f t="shared" si="24"/>
        <v>181349543.04681471</v>
      </c>
      <c r="I127" s="35">
        <f t="shared" si="25"/>
        <v>33927.099231511354</v>
      </c>
      <c r="J127" s="35">
        <f t="shared" si="26"/>
        <v>9067477.1523407362</v>
      </c>
      <c r="K127" s="35">
        <f t="shared" si="27"/>
        <v>25926469.10324971</v>
      </c>
      <c r="L127" s="35">
        <f t="shared" si="28"/>
        <v>25926469.10324971</v>
      </c>
      <c r="M127" s="35">
        <f t="shared" si="29"/>
        <v>103705876.41299884</v>
      </c>
      <c r="N127" s="36">
        <f t="shared" si="30"/>
        <v>0.39</v>
      </c>
      <c r="O127" s="35">
        <f t="shared" si="31"/>
        <v>10111322.950267388</v>
      </c>
      <c r="P127" s="35">
        <f t="shared" si="32"/>
        <v>10111322.950267388</v>
      </c>
      <c r="Q127" s="35">
        <f t="shared" si="33"/>
        <v>0</v>
      </c>
      <c r="R127" s="35">
        <f t="shared" si="34"/>
        <v>180339624.34811959</v>
      </c>
      <c r="S127" s="33">
        <f t="shared" si="35"/>
        <v>1328</v>
      </c>
    </row>
    <row r="128" spans="1:19" x14ac:dyDescent="0.3">
      <c r="A128" s="33">
        <f>124</f>
        <v>124</v>
      </c>
      <c r="B128" s="34">
        <f t="shared" si="18"/>
        <v>50131</v>
      </c>
      <c r="C128" s="33">
        <f t="shared" si="19"/>
        <v>11</v>
      </c>
      <c r="D128" s="33">
        <f t="shared" si="20"/>
        <v>4</v>
      </c>
      <c r="E128" s="35">
        <f t="shared" si="21"/>
        <v>135740.67593324455</v>
      </c>
      <c r="F128" s="35">
        <f t="shared" si="22"/>
        <v>180339624.34811959</v>
      </c>
      <c r="G128" s="33">
        <f t="shared" si="23"/>
        <v>1328</v>
      </c>
      <c r="H128" s="35">
        <f t="shared" si="24"/>
        <v>180263617.63934878</v>
      </c>
      <c r="I128" s="35">
        <f t="shared" si="25"/>
        <v>76006.708770811558</v>
      </c>
      <c r="J128" s="35">
        <f t="shared" si="26"/>
        <v>9013180.8819674384</v>
      </c>
      <c r="K128" s="35">
        <f t="shared" si="27"/>
        <v>34939649.985217147</v>
      </c>
      <c r="L128" s="35">
        <f t="shared" si="28"/>
        <v>0</v>
      </c>
      <c r="M128" s="35">
        <f t="shared" si="29"/>
        <v>104818949.95565143</v>
      </c>
      <c r="N128" s="36">
        <f t="shared" si="30"/>
        <v>0.39</v>
      </c>
      <c r="O128" s="35">
        <f t="shared" si="31"/>
        <v>0</v>
      </c>
      <c r="P128" s="35">
        <f t="shared" si="32"/>
        <v>10111322.950267388</v>
      </c>
      <c r="Q128" s="35">
        <f t="shared" si="33"/>
        <v>0</v>
      </c>
      <c r="R128" s="35">
        <f t="shared" si="34"/>
        <v>189352805.23008701</v>
      </c>
      <c r="S128" s="33">
        <f t="shared" si="35"/>
        <v>1394</v>
      </c>
    </row>
    <row r="129" spans="1:19" x14ac:dyDescent="0.3">
      <c r="A129" s="33">
        <f>125</f>
        <v>125</v>
      </c>
      <c r="B129" s="34">
        <f t="shared" si="18"/>
        <v>50161</v>
      </c>
      <c r="C129" s="33">
        <f t="shared" si="19"/>
        <v>11</v>
      </c>
      <c r="D129" s="33">
        <f t="shared" si="20"/>
        <v>5</v>
      </c>
      <c r="E129" s="35">
        <f t="shared" si="21"/>
        <v>135740.67593324455</v>
      </c>
      <c r="F129" s="35">
        <f t="shared" si="22"/>
        <v>189352805.23008701</v>
      </c>
      <c r="G129" s="33">
        <f t="shared" si="23"/>
        <v>1394</v>
      </c>
      <c r="H129" s="35">
        <f t="shared" si="24"/>
        <v>189222502.25094292</v>
      </c>
      <c r="I129" s="35">
        <f t="shared" si="25"/>
        <v>130302.97914409637</v>
      </c>
      <c r="J129" s="35">
        <f t="shared" si="26"/>
        <v>9461125.1125471462</v>
      </c>
      <c r="K129" s="35">
        <f t="shared" si="27"/>
        <v>44400775.097764291</v>
      </c>
      <c r="L129" s="35">
        <f t="shared" si="28"/>
        <v>0</v>
      </c>
      <c r="M129" s="35">
        <f t="shared" si="29"/>
        <v>106561860.23463431</v>
      </c>
      <c r="N129" s="36">
        <f t="shared" si="30"/>
        <v>0.39</v>
      </c>
      <c r="O129" s="35">
        <f t="shared" si="31"/>
        <v>0</v>
      </c>
      <c r="P129" s="35">
        <f t="shared" si="32"/>
        <v>10111322.950267388</v>
      </c>
      <c r="Q129" s="35">
        <f t="shared" si="33"/>
        <v>0</v>
      </c>
      <c r="R129" s="35">
        <f t="shared" si="34"/>
        <v>198813930.34263417</v>
      </c>
      <c r="S129" s="33">
        <f t="shared" si="35"/>
        <v>1464</v>
      </c>
    </row>
    <row r="130" spans="1:19" x14ac:dyDescent="0.3">
      <c r="A130" s="33">
        <f>126</f>
        <v>126</v>
      </c>
      <c r="B130" s="34">
        <f t="shared" si="18"/>
        <v>50192</v>
      </c>
      <c r="C130" s="33">
        <f t="shared" si="19"/>
        <v>11</v>
      </c>
      <c r="D130" s="33">
        <f t="shared" si="20"/>
        <v>6</v>
      </c>
      <c r="E130" s="35">
        <f t="shared" si="21"/>
        <v>135740.67593324455</v>
      </c>
      <c r="F130" s="35">
        <f t="shared" si="22"/>
        <v>198813930.34263417</v>
      </c>
      <c r="G130" s="33">
        <f t="shared" si="23"/>
        <v>1464</v>
      </c>
      <c r="H130" s="35">
        <f t="shared" si="24"/>
        <v>198724349.56627002</v>
      </c>
      <c r="I130" s="35">
        <f t="shared" si="25"/>
        <v>89580.776364147663</v>
      </c>
      <c r="J130" s="35">
        <f t="shared" si="26"/>
        <v>9936217.4783135019</v>
      </c>
      <c r="K130" s="35">
        <f t="shared" si="27"/>
        <v>54336992.576077789</v>
      </c>
      <c r="L130" s="35">
        <f t="shared" si="28"/>
        <v>28410523.472828086</v>
      </c>
      <c r="M130" s="35">
        <f t="shared" si="29"/>
        <v>108673985.15215558</v>
      </c>
      <c r="N130" s="36">
        <f t="shared" si="30"/>
        <v>0.39</v>
      </c>
      <c r="O130" s="35">
        <f t="shared" si="31"/>
        <v>11080104.154402955</v>
      </c>
      <c r="P130" s="35">
        <f t="shared" si="32"/>
        <v>21191427.104670342</v>
      </c>
      <c r="Q130" s="35">
        <f t="shared" si="33"/>
        <v>0</v>
      </c>
      <c r="R130" s="35">
        <f t="shared" si="34"/>
        <v>197670043.66654474</v>
      </c>
      <c r="S130" s="33">
        <f t="shared" si="35"/>
        <v>1456</v>
      </c>
    </row>
    <row r="131" spans="1:19" x14ac:dyDescent="0.3">
      <c r="A131" s="33">
        <f>127</f>
        <v>127</v>
      </c>
      <c r="B131" s="34">
        <f t="shared" si="18"/>
        <v>50222</v>
      </c>
      <c r="C131" s="33">
        <f t="shared" si="19"/>
        <v>11</v>
      </c>
      <c r="D131" s="33">
        <f t="shared" si="20"/>
        <v>7</v>
      </c>
      <c r="E131" s="35">
        <f t="shared" si="21"/>
        <v>135740.67593324455</v>
      </c>
      <c r="F131" s="35">
        <f t="shared" si="22"/>
        <v>197670043.66654474</v>
      </c>
      <c r="G131" s="33">
        <f t="shared" si="23"/>
        <v>1456</v>
      </c>
      <c r="H131" s="35">
        <f t="shared" si="24"/>
        <v>197638424.15880406</v>
      </c>
      <c r="I131" s="35">
        <f t="shared" si="25"/>
        <v>31619.507740676403</v>
      </c>
      <c r="J131" s="35">
        <f t="shared" si="26"/>
        <v>9881921.2079402041</v>
      </c>
      <c r="K131" s="35">
        <f t="shared" si="27"/>
        <v>64218913.784017995</v>
      </c>
      <c r="L131" s="35">
        <f t="shared" si="28"/>
        <v>0</v>
      </c>
      <c r="M131" s="35">
        <f t="shared" si="29"/>
        <v>110089566.48688801</v>
      </c>
      <c r="N131" s="36">
        <f t="shared" si="30"/>
        <v>0.39</v>
      </c>
      <c r="O131" s="35">
        <f t="shared" si="31"/>
        <v>0</v>
      </c>
      <c r="P131" s="35">
        <f t="shared" si="32"/>
        <v>21191427.104670342</v>
      </c>
      <c r="Q131" s="35">
        <f t="shared" si="33"/>
        <v>0</v>
      </c>
      <c r="R131" s="35">
        <f t="shared" si="34"/>
        <v>207551964.87448493</v>
      </c>
      <c r="S131" s="33">
        <f t="shared" si="35"/>
        <v>1529</v>
      </c>
    </row>
    <row r="132" spans="1:19" x14ac:dyDescent="0.3">
      <c r="A132" s="33">
        <f>128</f>
        <v>128</v>
      </c>
      <c r="B132" s="34">
        <f t="shared" si="18"/>
        <v>50253</v>
      </c>
      <c r="C132" s="33">
        <f t="shared" si="19"/>
        <v>11</v>
      </c>
      <c r="D132" s="33">
        <f t="shared" si="20"/>
        <v>8</v>
      </c>
      <c r="E132" s="35">
        <f t="shared" si="21"/>
        <v>135740.67593324455</v>
      </c>
      <c r="F132" s="35">
        <f t="shared" si="22"/>
        <v>207551964.87448493</v>
      </c>
      <c r="G132" s="33">
        <f t="shared" si="23"/>
        <v>1529</v>
      </c>
      <c r="H132" s="35">
        <f t="shared" si="24"/>
        <v>207547493.50193092</v>
      </c>
      <c r="I132" s="35">
        <f t="shared" si="25"/>
        <v>4471.3725540041924</v>
      </c>
      <c r="J132" s="35">
        <f t="shared" si="26"/>
        <v>10377374.675096547</v>
      </c>
      <c r="K132" s="35">
        <f t="shared" si="27"/>
        <v>74596288.459114537</v>
      </c>
      <c r="L132" s="35">
        <f t="shared" si="28"/>
        <v>0</v>
      </c>
      <c r="M132" s="35">
        <f t="shared" si="29"/>
        <v>111894432.6886718</v>
      </c>
      <c r="N132" s="36">
        <f t="shared" si="30"/>
        <v>0.39</v>
      </c>
      <c r="O132" s="35">
        <f t="shared" si="31"/>
        <v>0</v>
      </c>
      <c r="P132" s="35">
        <f t="shared" si="32"/>
        <v>21191427.104670342</v>
      </c>
      <c r="Q132" s="35">
        <f t="shared" si="33"/>
        <v>0</v>
      </c>
      <c r="R132" s="35">
        <f t="shared" si="34"/>
        <v>217929339.54958147</v>
      </c>
      <c r="S132" s="33">
        <f t="shared" si="35"/>
        <v>1605</v>
      </c>
    </row>
    <row r="133" spans="1:19" x14ac:dyDescent="0.3">
      <c r="A133" s="33">
        <f>129</f>
        <v>129</v>
      </c>
      <c r="B133" s="34">
        <f t="shared" ref="B133:B196" si="36">IF($A133&gt;NYears*12,"",EDATE(StartMonth,$A133-1))</f>
        <v>50284</v>
      </c>
      <c r="C133" s="33">
        <f t="shared" ref="C133:C196" si="37">IF($A133&gt;NYears*12,"",INT(($A133-1)/12)+1)</f>
        <v>11</v>
      </c>
      <c r="D133" s="33">
        <f t="shared" ref="D133:D196" si="38">IF($A133&gt;NYears*12,"",MOD($A133-1,12)+1)</f>
        <v>9</v>
      </c>
      <c r="E133" s="35">
        <f t="shared" ref="E133:E196" si="39">IF($A133&gt;NYears*12,"",LotValue0*(1+LotGrowth)^($C133-1))</f>
        <v>135740.67593324455</v>
      </c>
      <c r="F133" s="35">
        <f t="shared" ref="F133:F196" si="40">IF($A133&gt;NYears*12,"",IF($A133=1,InitInvest,$R132))</f>
        <v>217929339.54958147</v>
      </c>
      <c r="G133" s="33">
        <f t="shared" ref="G133:G196" si="41">IF($A133&gt;NYears*12,"",INT($F133/$E133))</f>
        <v>1605</v>
      </c>
      <c r="H133" s="35">
        <f t="shared" ref="H133:H196" si="42">IF($A133&gt;NYears*12,"",$G133*$E133)</f>
        <v>217863784.87285751</v>
      </c>
      <c r="I133" s="35">
        <f t="shared" ref="I133:I196" si="43">IF($A133&gt;NYears*12,"",$F133-$H133)</f>
        <v>65554.676723957062</v>
      </c>
      <c r="J133" s="35">
        <f t="shared" ref="J133:J196" si="44">IF($A133&gt;NYears*12,"",$H133*RateA)</f>
        <v>10893189.243642876</v>
      </c>
      <c r="K133" s="35">
        <f t="shared" ref="K133:K196" si="45">IF($A133&gt;NYears*12,"",IF($D133=1,$J133,$K132+$J133))</f>
        <v>85489477.702757418</v>
      </c>
      <c r="L133" s="35">
        <f t="shared" ref="L133:L196" si="46">IF($A133&gt;NYears*12,"",IF(MOD($D133,3)=0,SUM($J131:$J133),0))</f>
        <v>31152485.126679629</v>
      </c>
      <c r="M133" s="35">
        <f t="shared" ref="M133:M196" si="47">IF($A133&gt;NYears*12,"",IF(TaxFreq="Quarterly",$K133*12/$D133,$K133))</f>
        <v>113985970.27034323</v>
      </c>
      <c r="N133" s="36">
        <f t="shared" ref="N133:N196" si="48">IF($A133&gt;NYears*12,"",LOOKUP($M133,TaxLower,TaxRate))</f>
        <v>0.39</v>
      </c>
      <c r="O133" s="35">
        <f t="shared" ref="O133:O196" si="49">IF($A133&gt;NYears*12,"",IF(TaxFreq="Quarterly",IF(MOD($D133,3)=0,$L133*$N133,0),IF($D133=12,$K133*$N133,0)))</f>
        <v>12149469.199405055</v>
      </c>
      <c r="P133" s="35">
        <f t="shared" ref="P133:P196" si="50">IF($A133&gt;NYears*12,"",IF($D133=1,$O133,$P132+$O133))</f>
        <v>33340896.304075398</v>
      </c>
      <c r="Q133" s="35">
        <f t="shared" ref="Q133:Q196" si="51">IF($A133&gt;NYears*12,"",IF($D133=12,MIN(WdrPct*IF(WdrBase="Post-tax profit",$K133-$P133,$K133),WdrCap),0))</f>
        <v>0</v>
      </c>
      <c r="R133" s="35">
        <f t="shared" ref="R133:R196" si="52">IF($A133&gt;NYears*12,"",$F133+$J133-$O133-$Q133)</f>
        <v>216673059.59381929</v>
      </c>
      <c r="S133" s="33">
        <f t="shared" ref="S133:S196" si="53">IF($A133&gt;NYears*12,"",INT($R133/$E133))</f>
        <v>1596</v>
      </c>
    </row>
    <row r="134" spans="1:19" x14ac:dyDescent="0.3">
      <c r="A134" s="33">
        <f>130</f>
        <v>130</v>
      </c>
      <c r="B134" s="34">
        <f t="shared" si="36"/>
        <v>50314</v>
      </c>
      <c r="C134" s="33">
        <f t="shared" si="37"/>
        <v>11</v>
      </c>
      <c r="D134" s="33">
        <f t="shared" si="38"/>
        <v>10</v>
      </c>
      <c r="E134" s="35">
        <f t="shared" si="39"/>
        <v>135740.67593324455</v>
      </c>
      <c r="F134" s="35">
        <f t="shared" si="40"/>
        <v>216673059.59381929</v>
      </c>
      <c r="G134" s="33">
        <f t="shared" si="41"/>
        <v>1596</v>
      </c>
      <c r="H134" s="35">
        <f t="shared" si="42"/>
        <v>216642118.7894583</v>
      </c>
      <c r="I134" s="35">
        <f t="shared" si="43"/>
        <v>30940.804360985756</v>
      </c>
      <c r="J134" s="35">
        <f t="shared" si="44"/>
        <v>10832105.939472916</v>
      </c>
      <c r="K134" s="35">
        <f t="shared" si="45"/>
        <v>96321583.642230332</v>
      </c>
      <c r="L134" s="35">
        <f t="shared" si="46"/>
        <v>0</v>
      </c>
      <c r="M134" s="35">
        <f t="shared" si="47"/>
        <v>115585900.3706764</v>
      </c>
      <c r="N134" s="36">
        <f t="shared" si="48"/>
        <v>0.39</v>
      </c>
      <c r="O134" s="35">
        <f t="shared" si="49"/>
        <v>0</v>
      </c>
      <c r="P134" s="35">
        <f t="shared" si="50"/>
        <v>33340896.304075398</v>
      </c>
      <c r="Q134" s="35">
        <f t="shared" si="51"/>
        <v>0</v>
      </c>
      <c r="R134" s="35">
        <f t="shared" si="52"/>
        <v>227505165.5332922</v>
      </c>
      <c r="S134" s="33">
        <f t="shared" si="53"/>
        <v>1676</v>
      </c>
    </row>
    <row r="135" spans="1:19" x14ac:dyDescent="0.3">
      <c r="A135" s="33">
        <f>131</f>
        <v>131</v>
      </c>
      <c r="B135" s="34">
        <f t="shared" si="36"/>
        <v>50345</v>
      </c>
      <c r="C135" s="33">
        <f t="shared" si="37"/>
        <v>11</v>
      </c>
      <c r="D135" s="33">
        <f t="shared" si="38"/>
        <v>11</v>
      </c>
      <c r="E135" s="35">
        <f t="shared" si="39"/>
        <v>135740.67593324455</v>
      </c>
      <c r="F135" s="35">
        <f t="shared" si="40"/>
        <v>227505165.5332922</v>
      </c>
      <c r="G135" s="33">
        <f t="shared" si="41"/>
        <v>1676</v>
      </c>
      <c r="H135" s="35">
        <f t="shared" si="42"/>
        <v>227501372.86411786</v>
      </c>
      <c r="I135" s="35">
        <f t="shared" si="43"/>
        <v>3792.6691743433475</v>
      </c>
      <c r="J135" s="35">
        <f t="shared" si="44"/>
        <v>11375068.643205894</v>
      </c>
      <c r="K135" s="35">
        <f t="shared" si="45"/>
        <v>107696652.28543623</v>
      </c>
      <c r="L135" s="35">
        <f t="shared" si="46"/>
        <v>0</v>
      </c>
      <c r="M135" s="35">
        <f t="shared" si="47"/>
        <v>117487257.03865771</v>
      </c>
      <c r="N135" s="36">
        <f t="shared" si="48"/>
        <v>0.39</v>
      </c>
      <c r="O135" s="35">
        <f t="shared" si="49"/>
        <v>0</v>
      </c>
      <c r="P135" s="35">
        <f t="shared" si="50"/>
        <v>33340896.304075398</v>
      </c>
      <c r="Q135" s="35">
        <f t="shared" si="51"/>
        <v>0</v>
      </c>
      <c r="R135" s="35">
        <f t="shared" si="52"/>
        <v>238880234.17649809</v>
      </c>
      <c r="S135" s="33">
        <f t="shared" si="53"/>
        <v>1759</v>
      </c>
    </row>
    <row r="136" spans="1:19" x14ac:dyDescent="0.3">
      <c r="A136" s="37">
        <f>132</f>
        <v>132</v>
      </c>
      <c r="B136" s="38">
        <f t="shared" si="36"/>
        <v>50375</v>
      </c>
      <c r="C136" s="37">
        <f t="shared" si="37"/>
        <v>11</v>
      </c>
      <c r="D136" s="37">
        <f t="shared" si="38"/>
        <v>12</v>
      </c>
      <c r="E136" s="39">
        <f t="shared" si="39"/>
        <v>135740.67593324455</v>
      </c>
      <c r="F136" s="39">
        <f t="shared" si="40"/>
        <v>238880234.17649809</v>
      </c>
      <c r="G136" s="37">
        <f t="shared" si="41"/>
        <v>1759</v>
      </c>
      <c r="H136" s="39">
        <f t="shared" si="42"/>
        <v>238767848.96657717</v>
      </c>
      <c r="I136" s="39">
        <f t="shared" si="43"/>
        <v>112385.20992091298</v>
      </c>
      <c r="J136" s="39">
        <f t="shared" si="44"/>
        <v>11938392.44832886</v>
      </c>
      <c r="K136" s="39">
        <f t="shared" si="45"/>
        <v>119635044.7337651</v>
      </c>
      <c r="L136" s="39">
        <f t="shared" si="46"/>
        <v>34145567.03100767</v>
      </c>
      <c r="M136" s="39">
        <f t="shared" si="47"/>
        <v>119635044.73376508</v>
      </c>
      <c r="N136" s="40">
        <f t="shared" si="48"/>
        <v>0.39</v>
      </c>
      <c r="O136" s="39">
        <f t="shared" si="49"/>
        <v>13316771.142092992</v>
      </c>
      <c r="P136" s="39">
        <f t="shared" si="50"/>
        <v>46657667.446168393</v>
      </c>
      <c r="Q136" s="39">
        <f t="shared" si="51"/>
        <v>7297737.7287596706</v>
      </c>
      <c r="R136" s="39">
        <f t="shared" si="52"/>
        <v>230204117.75397426</v>
      </c>
      <c r="S136" s="37">
        <f t="shared" si="53"/>
        <v>1695</v>
      </c>
    </row>
    <row r="137" spans="1:19" x14ac:dyDescent="0.3">
      <c r="A137" s="33">
        <f>133</f>
        <v>133</v>
      </c>
      <c r="B137" s="34">
        <f t="shared" si="36"/>
        <v>50406</v>
      </c>
      <c r="C137" s="33">
        <f t="shared" si="37"/>
        <v>12</v>
      </c>
      <c r="D137" s="33">
        <f t="shared" si="38"/>
        <v>1</v>
      </c>
      <c r="E137" s="35">
        <f t="shared" si="39"/>
        <v>142527.70972990678</v>
      </c>
      <c r="F137" s="35">
        <f t="shared" si="40"/>
        <v>230204117.75397426</v>
      </c>
      <c r="G137" s="33">
        <f t="shared" si="41"/>
        <v>1615</v>
      </c>
      <c r="H137" s="35">
        <f t="shared" si="42"/>
        <v>230182251.21379945</v>
      </c>
      <c r="I137" s="35">
        <f t="shared" si="43"/>
        <v>21866.540174812078</v>
      </c>
      <c r="J137" s="35">
        <f t="shared" si="44"/>
        <v>11509112.560689973</v>
      </c>
      <c r="K137" s="35">
        <f t="shared" si="45"/>
        <v>11509112.560689973</v>
      </c>
      <c r="L137" s="35">
        <f t="shared" si="46"/>
        <v>0</v>
      </c>
      <c r="M137" s="35">
        <f t="shared" si="47"/>
        <v>138109350.72827968</v>
      </c>
      <c r="N137" s="36">
        <f t="shared" si="48"/>
        <v>0.39</v>
      </c>
      <c r="O137" s="35">
        <f t="shared" si="49"/>
        <v>0</v>
      </c>
      <c r="P137" s="35">
        <f t="shared" si="50"/>
        <v>0</v>
      </c>
      <c r="Q137" s="35">
        <f t="shared" si="51"/>
        <v>0</v>
      </c>
      <c r="R137" s="35">
        <f t="shared" si="52"/>
        <v>241713230.31466424</v>
      </c>
      <c r="S137" s="33">
        <f t="shared" si="53"/>
        <v>1695</v>
      </c>
    </row>
    <row r="138" spans="1:19" x14ac:dyDescent="0.3">
      <c r="A138" s="33">
        <f>134</f>
        <v>134</v>
      </c>
      <c r="B138" s="34">
        <f t="shared" si="36"/>
        <v>50437</v>
      </c>
      <c r="C138" s="33">
        <f t="shared" si="37"/>
        <v>12</v>
      </c>
      <c r="D138" s="33">
        <f t="shared" si="38"/>
        <v>2</v>
      </c>
      <c r="E138" s="35">
        <f t="shared" si="39"/>
        <v>142527.70972990678</v>
      </c>
      <c r="F138" s="35">
        <f t="shared" si="40"/>
        <v>241713230.31466424</v>
      </c>
      <c r="G138" s="33">
        <f t="shared" si="41"/>
        <v>1695</v>
      </c>
      <c r="H138" s="35">
        <f t="shared" si="42"/>
        <v>241584467.992192</v>
      </c>
      <c r="I138" s="35">
        <f t="shared" si="43"/>
        <v>128762.3224722445</v>
      </c>
      <c r="J138" s="35">
        <f t="shared" si="44"/>
        <v>12079223.399609601</v>
      </c>
      <c r="K138" s="35">
        <f t="shared" si="45"/>
        <v>23588335.960299574</v>
      </c>
      <c r="L138" s="35">
        <f t="shared" si="46"/>
        <v>0</v>
      </c>
      <c r="M138" s="35">
        <f t="shared" si="47"/>
        <v>141530015.76179743</v>
      </c>
      <c r="N138" s="36">
        <f t="shared" si="48"/>
        <v>0.39</v>
      </c>
      <c r="O138" s="35">
        <f t="shared" si="49"/>
        <v>0</v>
      </c>
      <c r="P138" s="35">
        <f t="shared" si="50"/>
        <v>0</v>
      </c>
      <c r="Q138" s="35">
        <f t="shared" si="51"/>
        <v>0</v>
      </c>
      <c r="R138" s="35">
        <f t="shared" si="52"/>
        <v>253792453.71427384</v>
      </c>
      <c r="S138" s="33">
        <f t="shared" si="53"/>
        <v>1780</v>
      </c>
    </row>
    <row r="139" spans="1:19" x14ac:dyDescent="0.3">
      <c r="A139" s="33">
        <f>135</f>
        <v>135</v>
      </c>
      <c r="B139" s="34">
        <f t="shared" si="36"/>
        <v>50465</v>
      </c>
      <c r="C139" s="33">
        <f t="shared" si="37"/>
        <v>12</v>
      </c>
      <c r="D139" s="33">
        <f t="shared" si="38"/>
        <v>3</v>
      </c>
      <c r="E139" s="35">
        <f t="shared" si="39"/>
        <v>142527.70972990678</v>
      </c>
      <c r="F139" s="35">
        <f t="shared" si="40"/>
        <v>253792453.71427384</v>
      </c>
      <c r="G139" s="33">
        <f t="shared" si="41"/>
        <v>1780</v>
      </c>
      <c r="H139" s="35">
        <f t="shared" si="42"/>
        <v>253699323.31923407</v>
      </c>
      <c r="I139" s="35">
        <f t="shared" si="43"/>
        <v>93130.395039767027</v>
      </c>
      <c r="J139" s="35">
        <f t="shared" si="44"/>
        <v>12684966.165961705</v>
      </c>
      <c r="K139" s="35">
        <f t="shared" si="45"/>
        <v>36273302.126261279</v>
      </c>
      <c r="L139" s="35">
        <f t="shared" si="46"/>
        <v>36273302.126261279</v>
      </c>
      <c r="M139" s="35">
        <f t="shared" si="47"/>
        <v>145093208.50504512</v>
      </c>
      <c r="N139" s="36">
        <f t="shared" si="48"/>
        <v>0.39</v>
      </c>
      <c r="O139" s="35">
        <f t="shared" si="49"/>
        <v>14146587.8292419</v>
      </c>
      <c r="P139" s="35">
        <f t="shared" si="50"/>
        <v>14146587.8292419</v>
      </c>
      <c r="Q139" s="35">
        <f t="shared" si="51"/>
        <v>0</v>
      </c>
      <c r="R139" s="35">
        <f t="shared" si="52"/>
        <v>252330832.05099365</v>
      </c>
      <c r="S139" s="33">
        <f t="shared" si="53"/>
        <v>1770</v>
      </c>
    </row>
    <row r="140" spans="1:19" x14ac:dyDescent="0.3">
      <c r="A140" s="33">
        <f>136</f>
        <v>136</v>
      </c>
      <c r="B140" s="34">
        <f t="shared" si="36"/>
        <v>50496</v>
      </c>
      <c r="C140" s="33">
        <f t="shared" si="37"/>
        <v>12</v>
      </c>
      <c r="D140" s="33">
        <f t="shared" si="38"/>
        <v>4</v>
      </c>
      <c r="E140" s="35">
        <f t="shared" si="39"/>
        <v>142527.70972990678</v>
      </c>
      <c r="F140" s="35">
        <f t="shared" si="40"/>
        <v>252330832.05099365</v>
      </c>
      <c r="G140" s="33">
        <f t="shared" si="41"/>
        <v>1770</v>
      </c>
      <c r="H140" s="35">
        <f t="shared" si="42"/>
        <v>252274046.221935</v>
      </c>
      <c r="I140" s="35">
        <f t="shared" si="43"/>
        <v>56785.829058647156</v>
      </c>
      <c r="J140" s="35">
        <f t="shared" si="44"/>
        <v>12613702.31109675</v>
      </c>
      <c r="K140" s="35">
        <f t="shared" si="45"/>
        <v>48887004.437358029</v>
      </c>
      <c r="L140" s="35">
        <f t="shared" si="46"/>
        <v>0</v>
      </c>
      <c r="M140" s="35">
        <f t="shared" si="47"/>
        <v>146661013.3120741</v>
      </c>
      <c r="N140" s="36">
        <f t="shared" si="48"/>
        <v>0.39</v>
      </c>
      <c r="O140" s="35">
        <f t="shared" si="49"/>
        <v>0</v>
      </c>
      <c r="P140" s="35">
        <f t="shared" si="50"/>
        <v>14146587.8292419</v>
      </c>
      <c r="Q140" s="35">
        <f t="shared" si="51"/>
        <v>0</v>
      </c>
      <c r="R140" s="35">
        <f t="shared" si="52"/>
        <v>264944534.36209041</v>
      </c>
      <c r="S140" s="33">
        <f t="shared" si="53"/>
        <v>1858</v>
      </c>
    </row>
    <row r="141" spans="1:19" x14ac:dyDescent="0.3">
      <c r="A141" s="33">
        <f>137</f>
        <v>137</v>
      </c>
      <c r="B141" s="34">
        <f t="shared" si="36"/>
        <v>50526</v>
      </c>
      <c r="C141" s="33">
        <f t="shared" si="37"/>
        <v>12</v>
      </c>
      <c r="D141" s="33">
        <f t="shared" si="38"/>
        <v>5</v>
      </c>
      <c r="E141" s="35">
        <f t="shared" si="39"/>
        <v>142527.70972990678</v>
      </c>
      <c r="F141" s="35">
        <f t="shared" si="40"/>
        <v>264944534.36209041</v>
      </c>
      <c r="G141" s="33">
        <f t="shared" si="41"/>
        <v>1858</v>
      </c>
      <c r="H141" s="35">
        <f t="shared" si="42"/>
        <v>264816484.67816681</v>
      </c>
      <c r="I141" s="35">
        <f t="shared" si="43"/>
        <v>128049.6839236021</v>
      </c>
      <c r="J141" s="35">
        <f t="shared" si="44"/>
        <v>13240824.23390834</v>
      </c>
      <c r="K141" s="35">
        <f t="shared" si="45"/>
        <v>62127828.67126637</v>
      </c>
      <c r="L141" s="35">
        <f t="shared" si="46"/>
        <v>0</v>
      </c>
      <c r="M141" s="35">
        <f t="shared" si="47"/>
        <v>149106788.81103927</v>
      </c>
      <c r="N141" s="36">
        <f t="shared" si="48"/>
        <v>0.39</v>
      </c>
      <c r="O141" s="35">
        <f t="shared" si="49"/>
        <v>0</v>
      </c>
      <c r="P141" s="35">
        <f t="shared" si="50"/>
        <v>14146587.8292419</v>
      </c>
      <c r="Q141" s="35">
        <f t="shared" si="51"/>
        <v>0</v>
      </c>
      <c r="R141" s="35">
        <f t="shared" si="52"/>
        <v>278185358.59599876</v>
      </c>
      <c r="S141" s="33">
        <f t="shared" si="53"/>
        <v>1951</v>
      </c>
    </row>
    <row r="142" spans="1:19" x14ac:dyDescent="0.3">
      <c r="A142" s="33">
        <f>138</f>
        <v>138</v>
      </c>
      <c r="B142" s="34">
        <f t="shared" si="36"/>
        <v>50557</v>
      </c>
      <c r="C142" s="33">
        <f t="shared" si="37"/>
        <v>12</v>
      </c>
      <c r="D142" s="33">
        <f t="shared" si="38"/>
        <v>6</v>
      </c>
      <c r="E142" s="35">
        <f t="shared" si="39"/>
        <v>142527.70972990678</v>
      </c>
      <c r="F142" s="35">
        <f t="shared" si="40"/>
        <v>278185358.59599876</v>
      </c>
      <c r="G142" s="33">
        <f t="shared" si="41"/>
        <v>1951</v>
      </c>
      <c r="H142" s="35">
        <f t="shared" si="42"/>
        <v>278071561.68304813</v>
      </c>
      <c r="I142" s="35">
        <f t="shared" si="43"/>
        <v>113796.91295063496</v>
      </c>
      <c r="J142" s="35">
        <f t="shared" si="44"/>
        <v>13903578.084152408</v>
      </c>
      <c r="K142" s="35">
        <f t="shared" si="45"/>
        <v>76031406.755418777</v>
      </c>
      <c r="L142" s="35">
        <f t="shared" si="46"/>
        <v>39758104.629157498</v>
      </c>
      <c r="M142" s="35">
        <f t="shared" si="47"/>
        <v>152062813.51083755</v>
      </c>
      <c r="N142" s="36">
        <f t="shared" si="48"/>
        <v>0.39</v>
      </c>
      <c r="O142" s="35">
        <f t="shared" si="49"/>
        <v>15505660.805371424</v>
      </c>
      <c r="P142" s="35">
        <f t="shared" si="50"/>
        <v>29652248.634613324</v>
      </c>
      <c r="Q142" s="35">
        <f t="shared" si="51"/>
        <v>0</v>
      </c>
      <c r="R142" s="35">
        <f t="shared" si="52"/>
        <v>276583275.87477976</v>
      </c>
      <c r="S142" s="33">
        <f t="shared" si="53"/>
        <v>1940</v>
      </c>
    </row>
    <row r="143" spans="1:19" x14ac:dyDescent="0.3">
      <c r="A143" s="33">
        <f>139</f>
        <v>139</v>
      </c>
      <c r="B143" s="34">
        <f t="shared" si="36"/>
        <v>50587</v>
      </c>
      <c r="C143" s="33">
        <f t="shared" si="37"/>
        <v>12</v>
      </c>
      <c r="D143" s="33">
        <f t="shared" si="38"/>
        <v>7</v>
      </c>
      <c r="E143" s="35">
        <f t="shared" si="39"/>
        <v>142527.70972990678</v>
      </c>
      <c r="F143" s="35">
        <f t="shared" si="40"/>
        <v>276583275.87477976</v>
      </c>
      <c r="G143" s="33">
        <f t="shared" si="41"/>
        <v>1940</v>
      </c>
      <c r="H143" s="35">
        <f t="shared" si="42"/>
        <v>276503756.87601918</v>
      </c>
      <c r="I143" s="35">
        <f t="shared" si="43"/>
        <v>79518.998760581017</v>
      </c>
      <c r="J143" s="35">
        <f t="shared" si="44"/>
        <v>13825187.84380096</v>
      </c>
      <c r="K143" s="35">
        <f t="shared" si="45"/>
        <v>89856594.599219739</v>
      </c>
      <c r="L143" s="35">
        <f t="shared" si="46"/>
        <v>0</v>
      </c>
      <c r="M143" s="35">
        <f t="shared" si="47"/>
        <v>154039876.45580527</v>
      </c>
      <c r="N143" s="36">
        <f t="shared" si="48"/>
        <v>0.39</v>
      </c>
      <c r="O143" s="35">
        <f t="shared" si="49"/>
        <v>0</v>
      </c>
      <c r="P143" s="35">
        <f t="shared" si="50"/>
        <v>29652248.634613324</v>
      </c>
      <c r="Q143" s="35">
        <f t="shared" si="51"/>
        <v>0</v>
      </c>
      <c r="R143" s="35">
        <f t="shared" si="52"/>
        <v>290408463.71858072</v>
      </c>
      <c r="S143" s="33">
        <f t="shared" si="53"/>
        <v>2037</v>
      </c>
    </row>
    <row r="144" spans="1:19" x14ac:dyDescent="0.3">
      <c r="A144" s="33">
        <f>140</f>
        <v>140</v>
      </c>
      <c r="B144" s="34">
        <f t="shared" si="36"/>
        <v>50618</v>
      </c>
      <c r="C144" s="33">
        <f t="shared" si="37"/>
        <v>12</v>
      </c>
      <c r="D144" s="33">
        <f t="shared" si="38"/>
        <v>8</v>
      </c>
      <c r="E144" s="35">
        <f t="shared" si="39"/>
        <v>142527.70972990678</v>
      </c>
      <c r="F144" s="35">
        <f t="shared" si="40"/>
        <v>290408463.71858072</v>
      </c>
      <c r="G144" s="33">
        <f t="shared" si="41"/>
        <v>2037</v>
      </c>
      <c r="H144" s="35">
        <f t="shared" si="42"/>
        <v>290328944.71982014</v>
      </c>
      <c r="I144" s="35">
        <f t="shared" si="43"/>
        <v>79518.998760581017</v>
      </c>
      <c r="J144" s="35">
        <f t="shared" si="44"/>
        <v>14516447.235991009</v>
      </c>
      <c r="K144" s="35">
        <f t="shared" si="45"/>
        <v>104373041.83521074</v>
      </c>
      <c r="L144" s="35">
        <f t="shared" si="46"/>
        <v>0</v>
      </c>
      <c r="M144" s="35">
        <f t="shared" si="47"/>
        <v>156559562.75281611</v>
      </c>
      <c r="N144" s="36">
        <f t="shared" si="48"/>
        <v>0.39</v>
      </c>
      <c r="O144" s="35">
        <f t="shared" si="49"/>
        <v>0</v>
      </c>
      <c r="P144" s="35">
        <f t="shared" si="50"/>
        <v>29652248.634613324</v>
      </c>
      <c r="Q144" s="35">
        <f t="shared" si="51"/>
        <v>0</v>
      </c>
      <c r="R144" s="35">
        <f t="shared" si="52"/>
        <v>304924910.95457172</v>
      </c>
      <c r="S144" s="33">
        <f t="shared" si="53"/>
        <v>2139</v>
      </c>
    </row>
    <row r="145" spans="1:19" x14ac:dyDescent="0.3">
      <c r="A145" s="33">
        <f>141</f>
        <v>141</v>
      </c>
      <c r="B145" s="34">
        <f t="shared" si="36"/>
        <v>50649</v>
      </c>
      <c r="C145" s="33">
        <f t="shared" si="37"/>
        <v>12</v>
      </c>
      <c r="D145" s="33">
        <f t="shared" si="38"/>
        <v>9</v>
      </c>
      <c r="E145" s="35">
        <f t="shared" si="39"/>
        <v>142527.70972990678</v>
      </c>
      <c r="F145" s="35">
        <f t="shared" si="40"/>
        <v>304924910.95457172</v>
      </c>
      <c r="G145" s="33">
        <f t="shared" si="41"/>
        <v>2139</v>
      </c>
      <c r="H145" s="35">
        <f t="shared" si="42"/>
        <v>304866771.11227059</v>
      </c>
      <c r="I145" s="35">
        <f t="shared" si="43"/>
        <v>58139.842301130295</v>
      </c>
      <c r="J145" s="35">
        <f t="shared" si="44"/>
        <v>15243338.555613531</v>
      </c>
      <c r="K145" s="35">
        <f t="shared" si="45"/>
        <v>119616380.39082427</v>
      </c>
      <c r="L145" s="35">
        <f t="shared" si="46"/>
        <v>43584973.635405503</v>
      </c>
      <c r="M145" s="35">
        <f t="shared" si="47"/>
        <v>159488507.18776572</v>
      </c>
      <c r="N145" s="36">
        <f t="shared" si="48"/>
        <v>0.39</v>
      </c>
      <c r="O145" s="35">
        <f t="shared" si="49"/>
        <v>16998139.717808146</v>
      </c>
      <c r="P145" s="35">
        <f t="shared" si="50"/>
        <v>46650388.35242147</v>
      </c>
      <c r="Q145" s="35">
        <f t="shared" si="51"/>
        <v>0</v>
      </c>
      <c r="R145" s="35">
        <f t="shared" si="52"/>
        <v>303170109.79237711</v>
      </c>
      <c r="S145" s="33">
        <f t="shared" si="53"/>
        <v>2127</v>
      </c>
    </row>
    <row r="146" spans="1:19" x14ac:dyDescent="0.3">
      <c r="A146" s="33">
        <f>142</f>
        <v>142</v>
      </c>
      <c r="B146" s="34">
        <f t="shared" si="36"/>
        <v>50679</v>
      </c>
      <c r="C146" s="33">
        <f t="shared" si="37"/>
        <v>12</v>
      </c>
      <c r="D146" s="33">
        <f t="shared" si="38"/>
        <v>10</v>
      </c>
      <c r="E146" s="35">
        <f t="shared" si="39"/>
        <v>142527.70972990678</v>
      </c>
      <c r="F146" s="35">
        <f t="shared" si="40"/>
        <v>303170109.79237711</v>
      </c>
      <c r="G146" s="33">
        <f t="shared" si="41"/>
        <v>2127</v>
      </c>
      <c r="H146" s="35">
        <f t="shared" si="42"/>
        <v>303156438.59551173</v>
      </c>
      <c r="I146" s="35">
        <f t="shared" si="43"/>
        <v>13671.19686537981</v>
      </c>
      <c r="J146" s="35">
        <f t="shared" si="44"/>
        <v>15157821.929775588</v>
      </c>
      <c r="K146" s="35">
        <f t="shared" si="45"/>
        <v>134774202.32059985</v>
      </c>
      <c r="L146" s="35">
        <f t="shared" si="46"/>
        <v>0</v>
      </c>
      <c r="M146" s="35">
        <f t="shared" si="47"/>
        <v>161729042.78471982</v>
      </c>
      <c r="N146" s="36">
        <f t="shared" si="48"/>
        <v>0.39</v>
      </c>
      <c r="O146" s="35">
        <f t="shared" si="49"/>
        <v>0</v>
      </c>
      <c r="P146" s="35">
        <f t="shared" si="50"/>
        <v>46650388.35242147</v>
      </c>
      <c r="Q146" s="35">
        <f t="shared" si="51"/>
        <v>0</v>
      </c>
      <c r="R146" s="35">
        <f t="shared" si="52"/>
        <v>318327931.72215271</v>
      </c>
      <c r="S146" s="33">
        <f t="shared" si="53"/>
        <v>2233</v>
      </c>
    </row>
    <row r="147" spans="1:19" x14ac:dyDescent="0.3">
      <c r="A147" s="33">
        <f>143</f>
        <v>143</v>
      </c>
      <c r="B147" s="34">
        <f t="shared" si="36"/>
        <v>50710</v>
      </c>
      <c r="C147" s="33">
        <f t="shared" si="37"/>
        <v>12</v>
      </c>
      <c r="D147" s="33">
        <f t="shared" si="38"/>
        <v>11</v>
      </c>
      <c r="E147" s="35">
        <f t="shared" si="39"/>
        <v>142527.70972990678</v>
      </c>
      <c r="F147" s="35">
        <f t="shared" si="40"/>
        <v>318327931.72215271</v>
      </c>
      <c r="G147" s="33">
        <f t="shared" si="41"/>
        <v>2233</v>
      </c>
      <c r="H147" s="35">
        <f t="shared" si="42"/>
        <v>318264375.82688183</v>
      </c>
      <c r="I147" s="35">
        <f t="shared" si="43"/>
        <v>63555.895270884037</v>
      </c>
      <c r="J147" s="35">
        <f t="shared" si="44"/>
        <v>15913218.791344091</v>
      </c>
      <c r="K147" s="35">
        <f t="shared" si="45"/>
        <v>150687421.11194396</v>
      </c>
      <c r="L147" s="35">
        <f t="shared" si="46"/>
        <v>0</v>
      </c>
      <c r="M147" s="35">
        <f t="shared" si="47"/>
        <v>164386277.57666615</v>
      </c>
      <c r="N147" s="36">
        <f t="shared" si="48"/>
        <v>0.39</v>
      </c>
      <c r="O147" s="35">
        <f t="shared" si="49"/>
        <v>0</v>
      </c>
      <c r="P147" s="35">
        <f t="shared" si="50"/>
        <v>46650388.35242147</v>
      </c>
      <c r="Q147" s="35">
        <f t="shared" si="51"/>
        <v>0</v>
      </c>
      <c r="R147" s="35">
        <f t="shared" si="52"/>
        <v>334241150.51349682</v>
      </c>
      <c r="S147" s="33">
        <f t="shared" si="53"/>
        <v>2345</v>
      </c>
    </row>
    <row r="148" spans="1:19" x14ac:dyDescent="0.3">
      <c r="A148" s="37">
        <f>144</f>
        <v>144</v>
      </c>
      <c r="B148" s="38">
        <f t="shared" si="36"/>
        <v>50740</v>
      </c>
      <c r="C148" s="37">
        <f t="shared" si="37"/>
        <v>12</v>
      </c>
      <c r="D148" s="37">
        <f t="shared" si="38"/>
        <v>12</v>
      </c>
      <c r="E148" s="39">
        <f t="shared" si="39"/>
        <v>142527.70972990678</v>
      </c>
      <c r="F148" s="39">
        <f t="shared" si="40"/>
        <v>334241150.51349682</v>
      </c>
      <c r="G148" s="37">
        <f t="shared" si="41"/>
        <v>2345</v>
      </c>
      <c r="H148" s="39">
        <f t="shared" si="42"/>
        <v>334227479.31663138</v>
      </c>
      <c r="I148" s="39">
        <f t="shared" si="43"/>
        <v>13671.196865439415</v>
      </c>
      <c r="J148" s="39">
        <f t="shared" si="44"/>
        <v>16711373.96583157</v>
      </c>
      <c r="K148" s="39">
        <f t="shared" si="45"/>
        <v>167398795.07777554</v>
      </c>
      <c r="L148" s="39">
        <f t="shared" si="46"/>
        <v>47782414.68695125</v>
      </c>
      <c r="M148" s="39">
        <f t="shared" si="47"/>
        <v>167398795.07777554</v>
      </c>
      <c r="N148" s="40">
        <f t="shared" si="48"/>
        <v>0.39</v>
      </c>
      <c r="O148" s="39">
        <f t="shared" si="49"/>
        <v>18635141.727910988</v>
      </c>
      <c r="P148" s="39">
        <f t="shared" si="50"/>
        <v>65285530.080332458</v>
      </c>
      <c r="Q148" s="39">
        <f t="shared" si="51"/>
        <v>10000000</v>
      </c>
      <c r="R148" s="39">
        <f t="shared" si="52"/>
        <v>322317382.7514174</v>
      </c>
      <c r="S148" s="37">
        <f t="shared" si="53"/>
        <v>2261</v>
      </c>
    </row>
    <row r="149" spans="1:19" x14ac:dyDescent="0.3">
      <c r="A149" s="33">
        <f>145</f>
        <v>145</v>
      </c>
      <c r="B149" s="34" t="str">
        <f t="shared" si="36"/>
        <v/>
      </c>
      <c r="C149" s="33" t="str">
        <f t="shared" si="37"/>
        <v/>
      </c>
      <c r="D149" s="33" t="str">
        <f t="shared" si="38"/>
        <v/>
      </c>
      <c r="E149" s="35" t="str">
        <f t="shared" si="39"/>
        <v/>
      </c>
      <c r="F149" s="35" t="str">
        <f t="shared" si="40"/>
        <v/>
      </c>
      <c r="G149" s="33" t="str">
        <f t="shared" si="41"/>
        <v/>
      </c>
      <c r="H149" s="35" t="str">
        <f t="shared" si="42"/>
        <v/>
      </c>
      <c r="I149" s="35" t="str">
        <f t="shared" si="43"/>
        <v/>
      </c>
      <c r="J149" s="35" t="str">
        <f t="shared" si="44"/>
        <v/>
      </c>
      <c r="K149" s="35" t="str">
        <f t="shared" si="45"/>
        <v/>
      </c>
      <c r="L149" s="35" t="str">
        <f t="shared" si="46"/>
        <v/>
      </c>
      <c r="M149" s="35" t="str">
        <f t="shared" si="47"/>
        <v/>
      </c>
      <c r="N149" s="36" t="str">
        <f t="shared" si="48"/>
        <v/>
      </c>
      <c r="O149" s="35" t="str">
        <f t="shared" si="49"/>
        <v/>
      </c>
      <c r="P149" s="35" t="str">
        <f t="shared" si="50"/>
        <v/>
      </c>
      <c r="Q149" s="35" t="str">
        <f t="shared" si="51"/>
        <v/>
      </c>
      <c r="R149" s="35" t="str">
        <f t="shared" si="52"/>
        <v/>
      </c>
      <c r="S149" s="33" t="str">
        <f t="shared" si="53"/>
        <v/>
      </c>
    </row>
    <row r="150" spans="1:19" x14ac:dyDescent="0.3">
      <c r="A150" s="33">
        <f>146</f>
        <v>146</v>
      </c>
      <c r="B150" s="34" t="str">
        <f t="shared" si="36"/>
        <v/>
      </c>
      <c r="C150" s="33" t="str">
        <f t="shared" si="37"/>
        <v/>
      </c>
      <c r="D150" s="33" t="str">
        <f t="shared" si="38"/>
        <v/>
      </c>
      <c r="E150" s="35" t="str">
        <f t="shared" si="39"/>
        <v/>
      </c>
      <c r="F150" s="35" t="str">
        <f t="shared" si="40"/>
        <v/>
      </c>
      <c r="G150" s="33" t="str">
        <f t="shared" si="41"/>
        <v/>
      </c>
      <c r="H150" s="35" t="str">
        <f t="shared" si="42"/>
        <v/>
      </c>
      <c r="I150" s="35" t="str">
        <f t="shared" si="43"/>
        <v/>
      </c>
      <c r="J150" s="35" t="str">
        <f t="shared" si="44"/>
        <v/>
      </c>
      <c r="K150" s="35" t="str">
        <f t="shared" si="45"/>
        <v/>
      </c>
      <c r="L150" s="35" t="str">
        <f t="shared" si="46"/>
        <v/>
      </c>
      <c r="M150" s="35" t="str">
        <f t="shared" si="47"/>
        <v/>
      </c>
      <c r="N150" s="36" t="str">
        <f t="shared" si="48"/>
        <v/>
      </c>
      <c r="O150" s="35" t="str">
        <f t="shared" si="49"/>
        <v/>
      </c>
      <c r="P150" s="35" t="str">
        <f t="shared" si="50"/>
        <v/>
      </c>
      <c r="Q150" s="35" t="str">
        <f t="shared" si="51"/>
        <v/>
      </c>
      <c r="R150" s="35" t="str">
        <f t="shared" si="52"/>
        <v/>
      </c>
      <c r="S150" s="33" t="str">
        <f t="shared" si="53"/>
        <v/>
      </c>
    </row>
    <row r="151" spans="1:19" x14ac:dyDescent="0.3">
      <c r="A151" s="33">
        <f>147</f>
        <v>147</v>
      </c>
      <c r="B151" s="34" t="str">
        <f t="shared" si="36"/>
        <v/>
      </c>
      <c r="C151" s="33" t="str">
        <f t="shared" si="37"/>
        <v/>
      </c>
      <c r="D151" s="33" t="str">
        <f t="shared" si="38"/>
        <v/>
      </c>
      <c r="E151" s="35" t="str">
        <f t="shared" si="39"/>
        <v/>
      </c>
      <c r="F151" s="35" t="str">
        <f t="shared" si="40"/>
        <v/>
      </c>
      <c r="G151" s="33" t="str">
        <f t="shared" si="41"/>
        <v/>
      </c>
      <c r="H151" s="35" t="str">
        <f t="shared" si="42"/>
        <v/>
      </c>
      <c r="I151" s="35" t="str">
        <f t="shared" si="43"/>
        <v/>
      </c>
      <c r="J151" s="35" t="str">
        <f t="shared" si="44"/>
        <v/>
      </c>
      <c r="K151" s="35" t="str">
        <f t="shared" si="45"/>
        <v/>
      </c>
      <c r="L151" s="35" t="str">
        <f t="shared" si="46"/>
        <v/>
      </c>
      <c r="M151" s="35" t="str">
        <f t="shared" si="47"/>
        <v/>
      </c>
      <c r="N151" s="36" t="str">
        <f t="shared" si="48"/>
        <v/>
      </c>
      <c r="O151" s="35" t="str">
        <f t="shared" si="49"/>
        <v/>
      </c>
      <c r="P151" s="35" t="str">
        <f t="shared" si="50"/>
        <v/>
      </c>
      <c r="Q151" s="35" t="str">
        <f t="shared" si="51"/>
        <v/>
      </c>
      <c r="R151" s="35" t="str">
        <f t="shared" si="52"/>
        <v/>
      </c>
      <c r="S151" s="33" t="str">
        <f t="shared" si="53"/>
        <v/>
      </c>
    </row>
    <row r="152" spans="1:19" x14ac:dyDescent="0.3">
      <c r="A152" s="33">
        <f>148</f>
        <v>148</v>
      </c>
      <c r="B152" s="34" t="str">
        <f t="shared" si="36"/>
        <v/>
      </c>
      <c r="C152" s="33" t="str">
        <f t="shared" si="37"/>
        <v/>
      </c>
      <c r="D152" s="33" t="str">
        <f t="shared" si="38"/>
        <v/>
      </c>
      <c r="E152" s="35" t="str">
        <f t="shared" si="39"/>
        <v/>
      </c>
      <c r="F152" s="35" t="str">
        <f t="shared" si="40"/>
        <v/>
      </c>
      <c r="G152" s="33" t="str">
        <f t="shared" si="41"/>
        <v/>
      </c>
      <c r="H152" s="35" t="str">
        <f t="shared" si="42"/>
        <v/>
      </c>
      <c r="I152" s="35" t="str">
        <f t="shared" si="43"/>
        <v/>
      </c>
      <c r="J152" s="35" t="str">
        <f t="shared" si="44"/>
        <v/>
      </c>
      <c r="K152" s="35" t="str">
        <f t="shared" si="45"/>
        <v/>
      </c>
      <c r="L152" s="35" t="str">
        <f t="shared" si="46"/>
        <v/>
      </c>
      <c r="M152" s="35" t="str">
        <f t="shared" si="47"/>
        <v/>
      </c>
      <c r="N152" s="36" t="str">
        <f t="shared" si="48"/>
        <v/>
      </c>
      <c r="O152" s="35" t="str">
        <f t="shared" si="49"/>
        <v/>
      </c>
      <c r="P152" s="35" t="str">
        <f t="shared" si="50"/>
        <v/>
      </c>
      <c r="Q152" s="35" t="str">
        <f t="shared" si="51"/>
        <v/>
      </c>
      <c r="R152" s="35" t="str">
        <f t="shared" si="52"/>
        <v/>
      </c>
      <c r="S152" s="33" t="str">
        <f t="shared" si="53"/>
        <v/>
      </c>
    </row>
    <row r="153" spans="1:19" x14ac:dyDescent="0.3">
      <c r="A153" s="33">
        <f>149</f>
        <v>149</v>
      </c>
      <c r="B153" s="34" t="str">
        <f t="shared" si="36"/>
        <v/>
      </c>
      <c r="C153" s="33" t="str">
        <f t="shared" si="37"/>
        <v/>
      </c>
      <c r="D153" s="33" t="str">
        <f t="shared" si="38"/>
        <v/>
      </c>
      <c r="E153" s="35" t="str">
        <f t="shared" si="39"/>
        <v/>
      </c>
      <c r="F153" s="35" t="str">
        <f t="shared" si="40"/>
        <v/>
      </c>
      <c r="G153" s="33" t="str">
        <f t="shared" si="41"/>
        <v/>
      </c>
      <c r="H153" s="35" t="str">
        <f t="shared" si="42"/>
        <v/>
      </c>
      <c r="I153" s="35" t="str">
        <f t="shared" si="43"/>
        <v/>
      </c>
      <c r="J153" s="35" t="str">
        <f t="shared" si="44"/>
        <v/>
      </c>
      <c r="K153" s="35" t="str">
        <f t="shared" si="45"/>
        <v/>
      </c>
      <c r="L153" s="35" t="str">
        <f t="shared" si="46"/>
        <v/>
      </c>
      <c r="M153" s="35" t="str">
        <f t="shared" si="47"/>
        <v/>
      </c>
      <c r="N153" s="36" t="str">
        <f t="shared" si="48"/>
        <v/>
      </c>
      <c r="O153" s="35" t="str">
        <f t="shared" si="49"/>
        <v/>
      </c>
      <c r="P153" s="35" t="str">
        <f t="shared" si="50"/>
        <v/>
      </c>
      <c r="Q153" s="35" t="str">
        <f t="shared" si="51"/>
        <v/>
      </c>
      <c r="R153" s="35" t="str">
        <f t="shared" si="52"/>
        <v/>
      </c>
      <c r="S153" s="33" t="str">
        <f t="shared" si="53"/>
        <v/>
      </c>
    </row>
    <row r="154" spans="1:19" x14ac:dyDescent="0.3">
      <c r="A154" s="33">
        <f>150</f>
        <v>150</v>
      </c>
      <c r="B154" s="34" t="str">
        <f t="shared" si="36"/>
        <v/>
      </c>
      <c r="C154" s="33" t="str">
        <f t="shared" si="37"/>
        <v/>
      </c>
      <c r="D154" s="33" t="str">
        <f t="shared" si="38"/>
        <v/>
      </c>
      <c r="E154" s="35" t="str">
        <f t="shared" si="39"/>
        <v/>
      </c>
      <c r="F154" s="35" t="str">
        <f t="shared" si="40"/>
        <v/>
      </c>
      <c r="G154" s="33" t="str">
        <f t="shared" si="41"/>
        <v/>
      </c>
      <c r="H154" s="35" t="str">
        <f t="shared" si="42"/>
        <v/>
      </c>
      <c r="I154" s="35" t="str">
        <f t="shared" si="43"/>
        <v/>
      </c>
      <c r="J154" s="35" t="str">
        <f t="shared" si="44"/>
        <v/>
      </c>
      <c r="K154" s="35" t="str">
        <f t="shared" si="45"/>
        <v/>
      </c>
      <c r="L154" s="35" t="str">
        <f t="shared" si="46"/>
        <v/>
      </c>
      <c r="M154" s="35" t="str">
        <f t="shared" si="47"/>
        <v/>
      </c>
      <c r="N154" s="36" t="str">
        <f t="shared" si="48"/>
        <v/>
      </c>
      <c r="O154" s="35" t="str">
        <f t="shared" si="49"/>
        <v/>
      </c>
      <c r="P154" s="35" t="str">
        <f t="shared" si="50"/>
        <v/>
      </c>
      <c r="Q154" s="35" t="str">
        <f t="shared" si="51"/>
        <v/>
      </c>
      <c r="R154" s="35" t="str">
        <f t="shared" si="52"/>
        <v/>
      </c>
      <c r="S154" s="33" t="str">
        <f t="shared" si="53"/>
        <v/>
      </c>
    </row>
    <row r="155" spans="1:19" x14ac:dyDescent="0.3">
      <c r="A155" s="33">
        <f>151</f>
        <v>151</v>
      </c>
      <c r="B155" s="34" t="str">
        <f t="shared" si="36"/>
        <v/>
      </c>
      <c r="C155" s="33" t="str">
        <f t="shared" si="37"/>
        <v/>
      </c>
      <c r="D155" s="33" t="str">
        <f t="shared" si="38"/>
        <v/>
      </c>
      <c r="E155" s="35" t="str">
        <f t="shared" si="39"/>
        <v/>
      </c>
      <c r="F155" s="35" t="str">
        <f t="shared" si="40"/>
        <v/>
      </c>
      <c r="G155" s="33" t="str">
        <f t="shared" si="41"/>
        <v/>
      </c>
      <c r="H155" s="35" t="str">
        <f t="shared" si="42"/>
        <v/>
      </c>
      <c r="I155" s="35" t="str">
        <f t="shared" si="43"/>
        <v/>
      </c>
      <c r="J155" s="35" t="str">
        <f t="shared" si="44"/>
        <v/>
      </c>
      <c r="K155" s="35" t="str">
        <f t="shared" si="45"/>
        <v/>
      </c>
      <c r="L155" s="35" t="str">
        <f t="shared" si="46"/>
        <v/>
      </c>
      <c r="M155" s="35" t="str">
        <f t="shared" si="47"/>
        <v/>
      </c>
      <c r="N155" s="36" t="str">
        <f t="shared" si="48"/>
        <v/>
      </c>
      <c r="O155" s="35" t="str">
        <f t="shared" si="49"/>
        <v/>
      </c>
      <c r="P155" s="35" t="str">
        <f t="shared" si="50"/>
        <v/>
      </c>
      <c r="Q155" s="35" t="str">
        <f t="shared" si="51"/>
        <v/>
      </c>
      <c r="R155" s="35" t="str">
        <f t="shared" si="52"/>
        <v/>
      </c>
      <c r="S155" s="33" t="str">
        <f t="shared" si="53"/>
        <v/>
      </c>
    </row>
    <row r="156" spans="1:19" x14ac:dyDescent="0.3">
      <c r="A156" s="33">
        <f>152</f>
        <v>152</v>
      </c>
      <c r="B156" s="34" t="str">
        <f t="shared" si="36"/>
        <v/>
      </c>
      <c r="C156" s="33" t="str">
        <f t="shared" si="37"/>
        <v/>
      </c>
      <c r="D156" s="33" t="str">
        <f t="shared" si="38"/>
        <v/>
      </c>
      <c r="E156" s="35" t="str">
        <f t="shared" si="39"/>
        <v/>
      </c>
      <c r="F156" s="35" t="str">
        <f t="shared" si="40"/>
        <v/>
      </c>
      <c r="G156" s="33" t="str">
        <f t="shared" si="41"/>
        <v/>
      </c>
      <c r="H156" s="35" t="str">
        <f t="shared" si="42"/>
        <v/>
      </c>
      <c r="I156" s="35" t="str">
        <f t="shared" si="43"/>
        <v/>
      </c>
      <c r="J156" s="35" t="str">
        <f t="shared" si="44"/>
        <v/>
      </c>
      <c r="K156" s="35" t="str">
        <f t="shared" si="45"/>
        <v/>
      </c>
      <c r="L156" s="35" t="str">
        <f t="shared" si="46"/>
        <v/>
      </c>
      <c r="M156" s="35" t="str">
        <f t="shared" si="47"/>
        <v/>
      </c>
      <c r="N156" s="36" t="str">
        <f t="shared" si="48"/>
        <v/>
      </c>
      <c r="O156" s="35" t="str">
        <f t="shared" si="49"/>
        <v/>
      </c>
      <c r="P156" s="35" t="str">
        <f t="shared" si="50"/>
        <v/>
      </c>
      <c r="Q156" s="35" t="str">
        <f t="shared" si="51"/>
        <v/>
      </c>
      <c r="R156" s="35" t="str">
        <f t="shared" si="52"/>
        <v/>
      </c>
      <c r="S156" s="33" t="str">
        <f t="shared" si="53"/>
        <v/>
      </c>
    </row>
    <row r="157" spans="1:19" x14ac:dyDescent="0.3">
      <c r="A157" s="33">
        <f>153</f>
        <v>153</v>
      </c>
      <c r="B157" s="34" t="str">
        <f t="shared" si="36"/>
        <v/>
      </c>
      <c r="C157" s="33" t="str">
        <f t="shared" si="37"/>
        <v/>
      </c>
      <c r="D157" s="33" t="str">
        <f t="shared" si="38"/>
        <v/>
      </c>
      <c r="E157" s="35" t="str">
        <f t="shared" si="39"/>
        <v/>
      </c>
      <c r="F157" s="35" t="str">
        <f t="shared" si="40"/>
        <v/>
      </c>
      <c r="G157" s="33" t="str">
        <f t="shared" si="41"/>
        <v/>
      </c>
      <c r="H157" s="35" t="str">
        <f t="shared" si="42"/>
        <v/>
      </c>
      <c r="I157" s="35" t="str">
        <f t="shared" si="43"/>
        <v/>
      </c>
      <c r="J157" s="35" t="str">
        <f t="shared" si="44"/>
        <v/>
      </c>
      <c r="K157" s="35" t="str">
        <f t="shared" si="45"/>
        <v/>
      </c>
      <c r="L157" s="35" t="str">
        <f t="shared" si="46"/>
        <v/>
      </c>
      <c r="M157" s="35" t="str">
        <f t="shared" si="47"/>
        <v/>
      </c>
      <c r="N157" s="36" t="str">
        <f t="shared" si="48"/>
        <v/>
      </c>
      <c r="O157" s="35" t="str">
        <f t="shared" si="49"/>
        <v/>
      </c>
      <c r="P157" s="35" t="str">
        <f t="shared" si="50"/>
        <v/>
      </c>
      <c r="Q157" s="35" t="str">
        <f t="shared" si="51"/>
        <v/>
      </c>
      <c r="R157" s="35" t="str">
        <f t="shared" si="52"/>
        <v/>
      </c>
      <c r="S157" s="33" t="str">
        <f t="shared" si="53"/>
        <v/>
      </c>
    </row>
    <row r="158" spans="1:19" x14ac:dyDescent="0.3">
      <c r="A158" s="33">
        <f>154</f>
        <v>154</v>
      </c>
      <c r="B158" s="34" t="str">
        <f t="shared" si="36"/>
        <v/>
      </c>
      <c r="C158" s="33" t="str">
        <f t="shared" si="37"/>
        <v/>
      </c>
      <c r="D158" s="33" t="str">
        <f t="shared" si="38"/>
        <v/>
      </c>
      <c r="E158" s="35" t="str">
        <f t="shared" si="39"/>
        <v/>
      </c>
      <c r="F158" s="35" t="str">
        <f t="shared" si="40"/>
        <v/>
      </c>
      <c r="G158" s="33" t="str">
        <f t="shared" si="41"/>
        <v/>
      </c>
      <c r="H158" s="35" t="str">
        <f t="shared" si="42"/>
        <v/>
      </c>
      <c r="I158" s="35" t="str">
        <f t="shared" si="43"/>
        <v/>
      </c>
      <c r="J158" s="35" t="str">
        <f t="shared" si="44"/>
        <v/>
      </c>
      <c r="K158" s="35" t="str">
        <f t="shared" si="45"/>
        <v/>
      </c>
      <c r="L158" s="35" t="str">
        <f t="shared" si="46"/>
        <v/>
      </c>
      <c r="M158" s="35" t="str">
        <f t="shared" si="47"/>
        <v/>
      </c>
      <c r="N158" s="36" t="str">
        <f t="shared" si="48"/>
        <v/>
      </c>
      <c r="O158" s="35" t="str">
        <f t="shared" si="49"/>
        <v/>
      </c>
      <c r="P158" s="35" t="str">
        <f t="shared" si="50"/>
        <v/>
      </c>
      <c r="Q158" s="35" t="str">
        <f t="shared" si="51"/>
        <v/>
      </c>
      <c r="R158" s="35" t="str">
        <f t="shared" si="52"/>
        <v/>
      </c>
      <c r="S158" s="33" t="str">
        <f t="shared" si="53"/>
        <v/>
      </c>
    </row>
    <row r="159" spans="1:19" x14ac:dyDescent="0.3">
      <c r="A159" s="33">
        <f>155</f>
        <v>155</v>
      </c>
      <c r="B159" s="34" t="str">
        <f t="shared" si="36"/>
        <v/>
      </c>
      <c r="C159" s="33" t="str">
        <f t="shared" si="37"/>
        <v/>
      </c>
      <c r="D159" s="33" t="str">
        <f t="shared" si="38"/>
        <v/>
      </c>
      <c r="E159" s="35" t="str">
        <f t="shared" si="39"/>
        <v/>
      </c>
      <c r="F159" s="35" t="str">
        <f t="shared" si="40"/>
        <v/>
      </c>
      <c r="G159" s="33" t="str">
        <f t="shared" si="41"/>
        <v/>
      </c>
      <c r="H159" s="35" t="str">
        <f t="shared" si="42"/>
        <v/>
      </c>
      <c r="I159" s="35" t="str">
        <f t="shared" si="43"/>
        <v/>
      </c>
      <c r="J159" s="35" t="str">
        <f t="shared" si="44"/>
        <v/>
      </c>
      <c r="K159" s="35" t="str">
        <f t="shared" si="45"/>
        <v/>
      </c>
      <c r="L159" s="35" t="str">
        <f t="shared" si="46"/>
        <v/>
      </c>
      <c r="M159" s="35" t="str">
        <f t="shared" si="47"/>
        <v/>
      </c>
      <c r="N159" s="36" t="str">
        <f t="shared" si="48"/>
        <v/>
      </c>
      <c r="O159" s="35" t="str">
        <f t="shared" si="49"/>
        <v/>
      </c>
      <c r="P159" s="35" t="str">
        <f t="shared" si="50"/>
        <v/>
      </c>
      <c r="Q159" s="35" t="str">
        <f t="shared" si="51"/>
        <v/>
      </c>
      <c r="R159" s="35" t="str">
        <f t="shared" si="52"/>
        <v/>
      </c>
      <c r="S159" s="33" t="str">
        <f t="shared" si="53"/>
        <v/>
      </c>
    </row>
    <row r="160" spans="1:19" x14ac:dyDescent="0.3">
      <c r="A160" s="37">
        <f>156</f>
        <v>156</v>
      </c>
      <c r="B160" s="38" t="str">
        <f t="shared" si="36"/>
        <v/>
      </c>
      <c r="C160" s="37" t="str">
        <f t="shared" si="37"/>
        <v/>
      </c>
      <c r="D160" s="37" t="str">
        <f t="shared" si="38"/>
        <v/>
      </c>
      <c r="E160" s="39" t="str">
        <f t="shared" si="39"/>
        <v/>
      </c>
      <c r="F160" s="39" t="str">
        <f t="shared" si="40"/>
        <v/>
      </c>
      <c r="G160" s="37" t="str">
        <f t="shared" si="41"/>
        <v/>
      </c>
      <c r="H160" s="39" t="str">
        <f t="shared" si="42"/>
        <v/>
      </c>
      <c r="I160" s="39" t="str">
        <f t="shared" si="43"/>
        <v/>
      </c>
      <c r="J160" s="39" t="str">
        <f t="shared" si="44"/>
        <v/>
      </c>
      <c r="K160" s="39" t="str">
        <f t="shared" si="45"/>
        <v/>
      </c>
      <c r="L160" s="39" t="str">
        <f t="shared" si="46"/>
        <v/>
      </c>
      <c r="M160" s="39" t="str">
        <f t="shared" si="47"/>
        <v/>
      </c>
      <c r="N160" s="40" t="str">
        <f t="shared" si="48"/>
        <v/>
      </c>
      <c r="O160" s="39" t="str">
        <f t="shared" si="49"/>
        <v/>
      </c>
      <c r="P160" s="39" t="str">
        <f t="shared" si="50"/>
        <v/>
      </c>
      <c r="Q160" s="39" t="str">
        <f t="shared" si="51"/>
        <v/>
      </c>
      <c r="R160" s="39" t="str">
        <f t="shared" si="52"/>
        <v/>
      </c>
      <c r="S160" s="37" t="str">
        <f t="shared" si="53"/>
        <v/>
      </c>
    </row>
    <row r="161" spans="1:19" x14ac:dyDescent="0.3">
      <c r="A161" s="33">
        <f>157</f>
        <v>157</v>
      </c>
      <c r="B161" s="34" t="str">
        <f t="shared" si="36"/>
        <v/>
      </c>
      <c r="C161" s="33" t="str">
        <f t="shared" si="37"/>
        <v/>
      </c>
      <c r="D161" s="33" t="str">
        <f t="shared" si="38"/>
        <v/>
      </c>
      <c r="E161" s="35" t="str">
        <f t="shared" si="39"/>
        <v/>
      </c>
      <c r="F161" s="35" t="str">
        <f t="shared" si="40"/>
        <v/>
      </c>
      <c r="G161" s="33" t="str">
        <f t="shared" si="41"/>
        <v/>
      </c>
      <c r="H161" s="35" t="str">
        <f t="shared" si="42"/>
        <v/>
      </c>
      <c r="I161" s="35" t="str">
        <f t="shared" si="43"/>
        <v/>
      </c>
      <c r="J161" s="35" t="str">
        <f t="shared" si="44"/>
        <v/>
      </c>
      <c r="K161" s="35" t="str">
        <f t="shared" si="45"/>
        <v/>
      </c>
      <c r="L161" s="35" t="str">
        <f t="shared" si="46"/>
        <v/>
      </c>
      <c r="M161" s="35" t="str">
        <f t="shared" si="47"/>
        <v/>
      </c>
      <c r="N161" s="36" t="str">
        <f t="shared" si="48"/>
        <v/>
      </c>
      <c r="O161" s="35" t="str">
        <f t="shared" si="49"/>
        <v/>
      </c>
      <c r="P161" s="35" t="str">
        <f t="shared" si="50"/>
        <v/>
      </c>
      <c r="Q161" s="35" t="str">
        <f t="shared" si="51"/>
        <v/>
      </c>
      <c r="R161" s="35" t="str">
        <f t="shared" si="52"/>
        <v/>
      </c>
      <c r="S161" s="33" t="str">
        <f t="shared" si="53"/>
        <v/>
      </c>
    </row>
    <row r="162" spans="1:19" x14ac:dyDescent="0.3">
      <c r="A162" s="33">
        <f>158</f>
        <v>158</v>
      </c>
      <c r="B162" s="34" t="str">
        <f t="shared" si="36"/>
        <v/>
      </c>
      <c r="C162" s="33" t="str">
        <f t="shared" si="37"/>
        <v/>
      </c>
      <c r="D162" s="33" t="str">
        <f t="shared" si="38"/>
        <v/>
      </c>
      <c r="E162" s="35" t="str">
        <f t="shared" si="39"/>
        <v/>
      </c>
      <c r="F162" s="35" t="str">
        <f t="shared" si="40"/>
        <v/>
      </c>
      <c r="G162" s="33" t="str">
        <f t="shared" si="41"/>
        <v/>
      </c>
      <c r="H162" s="35" t="str">
        <f t="shared" si="42"/>
        <v/>
      </c>
      <c r="I162" s="35" t="str">
        <f t="shared" si="43"/>
        <v/>
      </c>
      <c r="J162" s="35" t="str">
        <f t="shared" si="44"/>
        <v/>
      </c>
      <c r="K162" s="35" t="str">
        <f t="shared" si="45"/>
        <v/>
      </c>
      <c r="L162" s="35" t="str">
        <f t="shared" si="46"/>
        <v/>
      </c>
      <c r="M162" s="35" t="str">
        <f t="shared" si="47"/>
        <v/>
      </c>
      <c r="N162" s="36" t="str">
        <f t="shared" si="48"/>
        <v/>
      </c>
      <c r="O162" s="35" t="str">
        <f t="shared" si="49"/>
        <v/>
      </c>
      <c r="P162" s="35" t="str">
        <f t="shared" si="50"/>
        <v/>
      </c>
      <c r="Q162" s="35" t="str">
        <f t="shared" si="51"/>
        <v/>
      </c>
      <c r="R162" s="35" t="str">
        <f t="shared" si="52"/>
        <v/>
      </c>
      <c r="S162" s="33" t="str">
        <f t="shared" si="53"/>
        <v/>
      </c>
    </row>
    <row r="163" spans="1:19" x14ac:dyDescent="0.3">
      <c r="A163" s="33">
        <f>159</f>
        <v>159</v>
      </c>
      <c r="B163" s="34" t="str">
        <f t="shared" si="36"/>
        <v/>
      </c>
      <c r="C163" s="33" t="str">
        <f t="shared" si="37"/>
        <v/>
      </c>
      <c r="D163" s="33" t="str">
        <f t="shared" si="38"/>
        <v/>
      </c>
      <c r="E163" s="35" t="str">
        <f t="shared" si="39"/>
        <v/>
      </c>
      <c r="F163" s="35" t="str">
        <f t="shared" si="40"/>
        <v/>
      </c>
      <c r="G163" s="33" t="str">
        <f t="shared" si="41"/>
        <v/>
      </c>
      <c r="H163" s="35" t="str">
        <f t="shared" si="42"/>
        <v/>
      </c>
      <c r="I163" s="35" t="str">
        <f t="shared" si="43"/>
        <v/>
      </c>
      <c r="J163" s="35" t="str">
        <f t="shared" si="44"/>
        <v/>
      </c>
      <c r="K163" s="35" t="str">
        <f t="shared" si="45"/>
        <v/>
      </c>
      <c r="L163" s="35" t="str">
        <f t="shared" si="46"/>
        <v/>
      </c>
      <c r="M163" s="35" t="str">
        <f t="shared" si="47"/>
        <v/>
      </c>
      <c r="N163" s="36" t="str">
        <f t="shared" si="48"/>
        <v/>
      </c>
      <c r="O163" s="35" t="str">
        <f t="shared" si="49"/>
        <v/>
      </c>
      <c r="P163" s="35" t="str">
        <f t="shared" si="50"/>
        <v/>
      </c>
      <c r="Q163" s="35" t="str">
        <f t="shared" si="51"/>
        <v/>
      </c>
      <c r="R163" s="35" t="str">
        <f t="shared" si="52"/>
        <v/>
      </c>
      <c r="S163" s="33" t="str">
        <f t="shared" si="53"/>
        <v/>
      </c>
    </row>
    <row r="164" spans="1:19" x14ac:dyDescent="0.3">
      <c r="A164" s="33">
        <f>160</f>
        <v>160</v>
      </c>
      <c r="B164" s="34" t="str">
        <f t="shared" si="36"/>
        <v/>
      </c>
      <c r="C164" s="33" t="str">
        <f t="shared" si="37"/>
        <v/>
      </c>
      <c r="D164" s="33" t="str">
        <f t="shared" si="38"/>
        <v/>
      </c>
      <c r="E164" s="35" t="str">
        <f t="shared" si="39"/>
        <v/>
      </c>
      <c r="F164" s="35" t="str">
        <f t="shared" si="40"/>
        <v/>
      </c>
      <c r="G164" s="33" t="str">
        <f t="shared" si="41"/>
        <v/>
      </c>
      <c r="H164" s="35" t="str">
        <f t="shared" si="42"/>
        <v/>
      </c>
      <c r="I164" s="35" t="str">
        <f t="shared" si="43"/>
        <v/>
      </c>
      <c r="J164" s="35" t="str">
        <f t="shared" si="44"/>
        <v/>
      </c>
      <c r="K164" s="35" t="str">
        <f t="shared" si="45"/>
        <v/>
      </c>
      <c r="L164" s="35" t="str">
        <f t="shared" si="46"/>
        <v/>
      </c>
      <c r="M164" s="35" t="str">
        <f t="shared" si="47"/>
        <v/>
      </c>
      <c r="N164" s="36" t="str">
        <f t="shared" si="48"/>
        <v/>
      </c>
      <c r="O164" s="35" t="str">
        <f t="shared" si="49"/>
        <v/>
      </c>
      <c r="P164" s="35" t="str">
        <f t="shared" si="50"/>
        <v/>
      </c>
      <c r="Q164" s="35" t="str">
        <f t="shared" si="51"/>
        <v/>
      </c>
      <c r="R164" s="35" t="str">
        <f t="shared" si="52"/>
        <v/>
      </c>
      <c r="S164" s="33" t="str">
        <f t="shared" si="53"/>
        <v/>
      </c>
    </row>
    <row r="165" spans="1:19" x14ac:dyDescent="0.3">
      <c r="A165" s="33">
        <f>161</f>
        <v>161</v>
      </c>
      <c r="B165" s="34" t="str">
        <f t="shared" si="36"/>
        <v/>
      </c>
      <c r="C165" s="33" t="str">
        <f t="shared" si="37"/>
        <v/>
      </c>
      <c r="D165" s="33" t="str">
        <f t="shared" si="38"/>
        <v/>
      </c>
      <c r="E165" s="35" t="str">
        <f t="shared" si="39"/>
        <v/>
      </c>
      <c r="F165" s="35" t="str">
        <f t="shared" si="40"/>
        <v/>
      </c>
      <c r="G165" s="33" t="str">
        <f t="shared" si="41"/>
        <v/>
      </c>
      <c r="H165" s="35" t="str">
        <f t="shared" si="42"/>
        <v/>
      </c>
      <c r="I165" s="35" t="str">
        <f t="shared" si="43"/>
        <v/>
      </c>
      <c r="J165" s="35" t="str">
        <f t="shared" si="44"/>
        <v/>
      </c>
      <c r="K165" s="35" t="str">
        <f t="shared" si="45"/>
        <v/>
      </c>
      <c r="L165" s="35" t="str">
        <f t="shared" si="46"/>
        <v/>
      </c>
      <c r="M165" s="35" t="str">
        <f t="shared" si="47"/>
        <v/>
      </c>
      <c r="N165" s="36" t="str">
        <f t="shared" si="48"/>
        <v/>
      </c>
      <c r="O165" s="35" t="str">
        <f t="shared" si="49"/>
        <v/>
      </c>
      <c r="P165" s="35" t="str">
        <f t="shared" si="50"/>
        <v/>
      </c>
      <c r="Q165" s="35" t="str">
        <f t="shared" si="51"/>
        <v/>
      </c>
      <c r="R165" s="35" t="str">
        <f t="shared" si="52"/>
        <v/>
      </c>
      <c r="S165" s="33" t="str">
        <f t="shared" si="53"/>
        <v/>
      </c>
    </row>
    <row r="166" spans="1:19" x14ac:dyDescent="0.3">
      <c r="A166" s="33">
        <f>162</f>
        <v>162</v>
      </c>
      <c r="B166" s="34" t="str">
        <f t="shared" si="36"/>
        <v/>
      </c>
      <c r="C166" s="33" t="str">
        <f t="shared" si="37"/>
        <v/>
      </c>
      <c r="D166" s="33" t="str">
        <f t="shared" si="38"/>
        <v/>
      </c>
      <c r="E166" s="35" t="str">
        <f t="shared" si="39"/>
        <v/>
      </c>
      <c r="F166" s="35" t="str">
        <f t="shared" si="40"/>
        <v/>
      </c>
      <c r="G166" s="33" t="str">
        <f t="shared" si="41"/>
        <v/>
      </c>
      <c r="H166" s="35" t="str">
        <f t="shared" si="42"/>
        <v/>
      </c>
      <c r="I166" s="35" t="str">
        <f t="shared" si="43"/>
        <v/>
      </c>
      <c r="J166" s="35" t="str">
        <f t="shared" si="44"/>
        <v/>
      </c>
      <c r="K166" s="35" t="str">
        <f t="shared" si="45"/>
        <v/>
      </c>
      <c r="L166" s="35" t="str">
        <f t="shared" si="46"/>
        <v/>
      </c>
      <c r="M166" s="35" t="str">
        <f t="shared" si="47"/>
        <v/>
      </c>
      <c r="N166" s="36" t="str">
        <f t="shared" si="48"/>
        <v/>
      </c>
      <c r="O166" s="35" t="str">
        <f t="shared" si="49"/>
        <v/>
      </c>
      <c r="P166" s="35" t="str">
        <f t="shared" si="50"/>
        <v/>
      </c>
      <c r="Q166" s="35" t="str">
        <f t="shared" si="51"/>
        <v/>
      </c>
      <c r="R166" s="35" t="str">
        <f t="shared" si="52"/>
        <v/>
      </c>
      <c r="S166" s="33" t="str">
        <f t="shared" si="53"/>
        <v/>
      </c>
    </row>
    <row r="167" spans="1:19" x14ac:dyDescent="0.3">
      <c r="A167" s="33">
        <f>163</f>
        <v>163</v>
      </c>
      <c r="B167" s="34" t="str">
        <f t="shared" si="36"/>
        <v/>
      </c>
      <c r="C167" s="33" t="str">
        <f t="shared" si="37"/>
        <v/>
      </c>
      <c r="D167" s="33" t="str">
        <f t="shared" si="38"/>
        <v/>
      </c>
      <c r="E167" s="35" t="str">
        <f t="shared" si="39"/>
        <v/>
      </c>
      <c r="F167" s="35" t="str">
        <f t="shared" si="40"/>
        <v/>
      </c>
      <c r="G167" s="33" t="str">
        <f t="shared" si="41"/>
        <v/>
      </c>
      <c r="H167" s="35" t="str">
        <f t="shared" si="42"/>
        <v/>
      </c>
      <c r="I167" s="35" t="str">
        <f t="shared" si="43"/>
        <v/>
      </c>
      <c r="J167" s="35" t="str">
        <f t="shared" si="44"/>
        <v/>
      </c>
      <c r="K167" s="35" t="str">
        <f t="shared" si="45"/>
        <v/>
      </c>
      <c r="L167" s="35" t="str">
        <f t="shared" si="46"/>
        <v/>
      </c>
      <c r="M167" s="35" t="str">
        <f t="shared" si="47"/>
        <v/>
      </c>
      <c r="N167" s="36" t="str">
        <f t="shared" si="48"/>
        <v/>
      </c>
      <c r="O167" s="35" t="str">
        <f t="shared" si="49"/>
        <v/>
      </c>
      <c r="P167" s="35" t="str">
        <f t="shared" si="50"/>
        <v/>
      </c>
      <c r="Q167" s="35" t="str">
        <f t="shared" si="51"/>
        <v/>
      </c>
      <c r="R167" s="35" t="str">
        <f t="shared" si="52"/>
        <v/>
      </c>
      <c r="S167" s="33" t="str">
        <f t="shared" si="53"/>
        <v/>
      </c>
    </row>
    <row r="168" spans="1:19" x14ac:dyDescent="0.3">
      <c r="A168" s="33">
        <f>164</f>
        <v>164</v>
      </c>
      <c r="B168" s="34" t="str">
        <f t="shared" si="36"/>
        <v/>
      </c>
      <c r="C168" s="33" t="str">
        <f t="shared" si="37"/>
        <v/>
      </c>
      <c r="D168" s="33" t="str">
        <f t="shared" si="38"/>
        <v/>
      </c>
      <c r="E168" s="35" t="str">
        <f t="shared" si="39"/>
        <v/>
      </c>
      <c r="F168" s="35" t="str">
        <f t="shared" si="40"/>
        <v/>
      </c>
      <c r="G168" s="33" t="str">
        <f t="shared" si="41"/>
        <v/>
      </c>
      <c r="H168" s="35" t="str">
        <f t="shared" si="42"/>
        <v/>
      </c>
      <c r="I168" s="35" t="str">
        <f t="shared" si="43"/>
        <v/>
      </c>
      <c r="J168" s="35" t="str">
        <f t="shared" si="44"/>
        <v/>
      </c>
      <c r="K168" s="35" t="str">
        <f t="shared" si="45"/>
        <v/>
      </c>
      <c r="L168" s="35" t="str">
        <f t="shared" si="46"/>
        <v/>
      </c>
      <c r="M168" s="35" t="str">
        <f t="shared" si="47"/>
        <v/>
      </c>
      <c r="N168" s="36" t="str">
        <f t="shared" si="48"/>
        <v/>
      </c>
      <c r="O168" s="35" t="str">
        <f t="shared" si="49"/>
        <v/>
      </c>
      <c r="P168" s="35" t="str">
        <f t="shared" si="50"/>
        <v/>
      </c>
      <c r="Q168" s="35" t="str">
        <f t="shared" si="51"/>
        <v/>
      </c>
      <c r="R168" s="35" t="str">
        <f t="shared" si="52"/>
        <v/>
      </c>
      <c r="S168" s="33" t="str">
        <f t="shared" si="53"/>
        <v/>
      </c>
    </row>
    <row r="169" spans="1:19" x14ac:dyDescent="0.3">
      <c r="A169" s="33">
        <f>165</f>
        <v>165</v>
      </c>
      <c r="B169" s="34" t="str">
        <f t="shared" si="36"/>
        <v/>
      </c>
      <c r="C169" s="33" t="str">
        <f t="shared" si="37"/>
        <v/>
      </c>
      <c r="D169" s="33" t="str">
        <f t="shared" si="38"/>
        <v/>
      </c>
      <c r="E169" s="35" t="str">
        <f t="shared" si="39"/>
        <v/>
      </c>
      <c r="F169" s="35" t="str">
        <f t="shared" si="40"/>
        <v/>
      </c>
      <c r="G169" s="33" t="str">
        <f t="shared" si="41"/>
        <v/>
      </c>
      <c r="H169" s="35" t="str">
        <f t="shared" si="42"/>
        <v/>
      </c>
      <c r="I169" s="35" t="str">
        <f t="shared" si="43"/>
        <v/>
      </c>
      <c r="J169" s="35" t="str">
        <f t="shared" si="44"/>
        <v/>
      </c>
      <c r="K169" s="35" t="str">
        <f t="shared" si="45"/>
        <v/>
      </c>
      <c r="L169" s="35" t="str">
        <f t="shared" si="46"/>
        <v/>
      </c>
      <c r="M169" s="35" t="str">
        <f t="shared" si="47"/>
        <v/>
      </c>
      <c r="N169" s="36" t="str">
        <f t="shared" si="48"/>
        <v/>
      </c>
      <c r="O169" s="35" t="str">
        <f t="shared" si="49"/>
        <v/>
      </c>
      <c r="P169" s="35" t="str">
        <f t="shared" si="50"/>
        <v/>
      </c>
      <c r="Q169" s="35" t="str">
        <f t="shared" si="51"/>
        <v/>
      </c>
      <c r="R169" s="35" t="str">
        <f t="shared" si="52"/>
        <v/>
      </c>
      <c r="S169" s="33" t="str">
        <f t="shared" si="53"/>
        <v/>
      </c>
    </row>
    <row r="170" spans="1:19" x14ac:dyDescent="0.3">
      <c r="A170" s="33">
        <f>166</f>
        <v>166</v>
      </c>
      <c r="B170" s="34" t="str">
        <f t="shared" si="36"/>
        <v/>
      </c>
      <c r="C170" s="33" t="str">
        <f t="shared" si="37"/>
        <v/>
      </c>
      <c r="D170" s="33" t="str">
        <f t="shared" si="38"/>
        <v/>
      </c>
      <c r="E170" s="35" t="str">
        <f t="shared" si="39"/>
        <v/>
      </c>
      <c r="F170" s="35" t="str">
        <f t="shared" si="40"/>
        <v/>
      </c>
      <c r="G170" s="33" t="str">
        <f t="shared" si="41"/>
        <v/>
      </c>
      <c r="H170" s="35" t="str">
        <f t="shared" si="42"/>
        <v/>
      </c>
      <c r="I170" s="35" t="str">
        <f t="shared" si="43"/>
        <v/>
      </c>
      <c r="J170" s="35" t="str">
        <f t="shared" si="44"/>
        <v/>
      </c>
      <c r="K170" s="35" t="str">
        <f t="shared" si="45"/>
        <v/>
      </c>
      <c r="L170" s="35" t="str">
        <f t="shared" si="46"/>
        <v/>
      </c>
      <c r="M170" s="35" t="str">
        <f t="shared" si="47"/>
        <v/>
      </c>
      <c r="N170" s="36" t="str">
        <f t="shared" si="48"/>
        <v/>
      </c>
      <c r="O170" s="35" t="str">
        <f t="shared" si="49"/>
        <v/>
      </c>
      <c r="P170" s="35" t="str">
        <f t="shared" si="50"/>
        <v/>
      </c>
      <c r="Q170" s="35" t="str">
        <f t="shared" si="51"/>
        <v/>
      </c>
      <c r="R170" s="35" t="str">
        <f t="shared" si="52"/>
        <v/>
      </c>
      <c r="S170" s="33" t="str">
        <f t="shared" si="53"/>
        <v/>
      </c>
    </row>
    <row r="171" spans="1:19" x14ac:dyDescent="0.3">
      <c r="A171" s="33">
        <f>167</f>
        <v>167</v>
      </c>
      <c r="B171" s="34" t="str">
        <f t="shared" si="36"/>
        <v/>
      </c>
      <c r="C171" s="33" t="str">
        <f t="shared" si="37"/>
        <v/>
      </c>
      <c r="D171" s="33" t="str">
        <f t="shared" si="38"/>
        <v/>
      </c>
      <c r="E171" s="35" t="str">
        <f t="shared" si="39"/>
        <v/>
      </c>
      <c r="F171" s="35" t="str">
        <f t="shared" si="40"/>
        <v/>
      </c>
      <c r="G171" s="33" t="str">
        <f t="shared" si="41"/>
        <v/>
      </c>
      <c r="H171" s="35" t="str">
        <f t="shared" si="42"/>
        <v/>
      </c>
      <c r="I171" s="35" t="str">
        <f t="shared" si="43"/>
        <v/>
      </c>
      <c r="J171" s="35" t="str">
        <f t="shared" si="44"/>
        <v/>
      </c>
      <c r="K171" s="35" t="str">
        <f t="shared" si="45"/>
        <v/>
      </c>
      <c r="L171" s="35" t="str">
        <f t="shared" si="46"/>
        <v/>
      </c>
      <c r="M171" s="35" t="str">
        <f t="shared" si="47"/>
        <v/>
      </c>
      <c r="N171" s="36" t="str">
        <f t="shared" si="48"/>
        <v/>
      </c>
      <c r="O171" s="35" t="str">
        <f t="shared" si="49"/>
        <v/>
      </c>
      <c r="P171" s="35" t="str">
        <f t="shared" si="50"/>
        <v/>
      </c>
      <c r="Q171" s="35" t="str">
        <f t="shared" si="51"/>
        <v/>
      </c>
      <c r="R171" s="35" t="str">
        <f t="shared" si="52"/>
        <v/>
      </c>
      <c r="S171" s="33" t="str">
        <f t="shared" si="53"/>
        <v/>
      </c>
    </row>
    <row r="172" spans="1:19" x14ac:dyDescent="0.3">
      <c r="A172" s="37">
        <f>168</f>
        <v>168</v>
      </c>
      <c r="B172" s="38" t="str">
        <f t="shared" si="36"/>
        <v/>
      </c>
      <c r="C172" s="37" t="str">
        <f t="shared" si="37"/>
        <v/>
      </c>
      <c r="D172" s="37" t="str">
        <f t="shared" si="38"/>
        <v/>
      </c>
      <c r="E172" s="39" t="str">
        <f t="shared" si="39"/>
        <v/>
      </c>
      <c r="F172" s="39" t="str">
        <f t="shared" si="40"/>
        <v/>
      </c>
      <c r="G172" s="37" t="str">
        <f t="shared" si="41"/>
        <v/>
      </c>
      <c r="H172" s="39" t="str">
        <f t="shared" si="42"/>
        <v/>
      </c>
      <c r="I172" s="39" t="str">
        <f t="shared" si="43"/>
        <v/>
      </c>
      <c r="J172" s="39" t="str">
        <f t="shared" si="44"/>
        <v/>
      </c>
      <c r="K172" s="39" t="str">
        <f t="shared" si="45"/>
        <v/>
      </c>
      <c r="L172" s="39" t="str">
        <f t="shared" si="46"/>
        <v/>
      </c>
      <c r="M172" s="39" t="str">
        <f t="shared" si="47"/>
        <v/>
      </c>
      <c r="N172" s="40" t="str">
        <f t="shared" si="48"/>
        <v/>
      </c>
      <c r="O172" s="39" t="str">
        <f t="shared" si="49"/>
        <v/>
      </c>
      <c r="P172" s="39" t="str">
        <f t="shared" si="50"/>
        <v/>
      </c>
      <c r="Q172" s="39" t="str">
        <f t="shared" si="51"/>
        <v/>
      </c>
      <c r="R172" s="39" t="str">
        <f t="shared" si="52"/>
        <v/>
      </c>
      <c r="S172" s="37" t="str">
        <f t="shared" si="53"/>
        <v/>
      </c>
    </row>
    <row r="173" spans="1:19" x14ac:dyDescent="0.3">
      <c r="A173" s="33">
        <f>169</f>
        <v>169</v>
      </c>
      <c r="B173" s="34" t="str">
        <f t="shared" si="36"/>
        <v/>
      </c>
      <c r="C173" s="33" t="str">
        <f t="shared" si="37"/>
        <v/>
      </c>
      <c r="D173" s="33" t="str">
        <f t="shared" si="38"/>
        <v/>
      </c>
      <c r="E173" s="35" t="str">
        <f t="shared" si="39"/>
        <v/>
      </c>
      <c r="F173" s="35" t="str">
        <f t="shared" si="40"/>
        <v/>
      </c>
      <c r="G173" s="33" t="str">
        <f t="shared" si="41"/>
        <v/>
      </c>
      <c r="H173" s="35" t="str">
        <f t="shared" si="42"/>
        <v/>
      </c>
      <c r="I173" s="35" t="str">
        <f t="shared" si="43"/>
        <v/>
      </c>
      <c r="J173" s="35" t="str">
        <f t="shared" si="44"/>
        <v/>
      </c>
      <c r="K173" s="35" t="str">
        <f t="shared" si="45"/>
        <v/>
      </c>
      <c r="L173" s="35" t="str">
        <f t="shared" si="46"/>
        <v/>
      </c>
      <c r="M173" s="35" t="str">
        <f t="shared" si="47"/>
        <v/>
      </c>
      <c r="N173" s="36" t="str">
        <f t="shared" si="48"/>
        <v/>
      </c>
      <c r="O173" s="35" t="str">
        <f t="shared" si="49"/>
        <v/>
      </c>
      <c r="P173" s="35" t="str">
        <f t="shared" si="50"/>
        <v/>
      </c>
      <c r="Q173" s="35" t="str">
        <f t="shared" si="51"/>
        <v/>
      </c>
      <c r="R173" s="35" t="str">
        <f t="shared" si="52"/>
        <v/>
      </c>
      <c r="S173" s="33" t="str">
        <f t="shared" si="53"/>
        <v/>
      </c>
    </row>
    <row r="174" spans="1:19" x14ac:dyDescent="0.3">
      <c r="A174" s="33">
        <f>170</f>
        <v>170</v>
      </c>
      <c r="B174" s="34" t="str">
        <f t="shared" si="36"/>
        <v/>
      </c>
      <c r="C174" s="33" t="str">
        <f t="shared" si="37"/>
        <v/>
      </c>
      <c r="D174" s="33" t="str">
        <f t="shared" si="38"/>
        <v/>
      </c>
      <c r="E174" s="35" t="str">
        <f t="shared" si="39"/>
        <v/>
      </c>
      <c r="F174" s="35" t="str">
        <f t="shared" si="40"/>
        <v/>
      </c>
      <c r="G174" s="33" t="str">
        <f t="shared" si="41"/>
        <v/>
      </c>
      <c r="H174" s="35" t="str">
        <f t="shared" si="42"/>
        <v/>
      </c>
      <c r="I174" s="35" t="str">
        <f t="shared" si="43"/>
        <v/>
      </c>
      <c r="J174" s="35" t="str">
        <f t="shared" si="44"/>
        <v/>
      </c>
      <c r="K174" s="35" t="str">
        <f t="shared" si="45"/>
        <v/>
      </c>
      <c r="L174" s="35" t="str">
        <f t="shared" si="46"/>
        <v/>
      </c>
      <c r="M174" s="35" t="str">
        <f t="shared" si="47"/>
        <v/>
      </c>
      <c r="N174" s="36" t="str">
        <f t="shared" si="48"/>
        <v/>
      </c>
      <c r="O174" s="35" t="str">
        <f t="shared" si="49"/>
        <v/>
      </c>
      <c r="P174" s="35" t="str">
        <f t="shared" si="50"/>
        <v/>
      </c>
      <c r="Q174" s="35" t="str">
        <f t="shared" si="51"/>
        <v/>
      </c>
      <c r="R174" s="35" t="str">
        <f t="shared" si="52"/>
        <v/>
      </c>
      <c r="S174" s="33" t="str">
        <f t="shared" si="53"/>
        <v/>
      </c>
    </row>
    <row r="175" spans="1:19" x14ac:dyDescent="0.3">
      <c r="A175" s="33">
        <f>171</f>
        <v>171</v>
      </c>
      <c r="B175" s="34" t="str">
        <f t="shared" si="36"/>
        <v/>
      </c>
      <c r="C175" s="33" t="str">
        <f t="shared" si="37"/>
        <v/>
      </c>
      <c r="D175" s="33" t="str">
        <f t="shared" si="38"/>
        <v/>
      </c>
      <c r="E175" s="35" t="str">
        <f t="shared" si="39"/>
        <v/>
      </c>
      <c r="F175" s="35" t="str">
        <f t="shared" si="40"/>
        <v/>
      </c>
      <c r="G175" s="33" t="str">
        <f t="shared" si="41"/>
        <v/>
      </c>
      <c r="H175" s="35" t="str">
        <f t="shared" si="42"/>
        <v/>
      </c>
      <c r="I175" s="35" t="str">
        <f t="shared" si="43"/>
        <v/>
      </c>
      <c r="J175" s="35" t="str">
        <f t="shared" si="44"/>
        <v/>
      </c>
      <c r="K175" s="35" t="str">
        <f t="shared" si="45"/>
        <v/>
      </c>
      <c r="L175" s="35" t="str">
        <f t="shared" si="46"/>
        <v/>
      </c>
      <c r="M175" s="35" t="str">
        <f t="shared" si="47"/>
        <v/>
      </c>
      <c r="N175" s="36" t="str">
        <f t="shared" si="48"/>
        <v/>
      </c>
      <c r="O175" s="35" t="str">
        <f t="shared" si="49"/>
        <v/>
      </c>
      <c r="P175" s="35" t="str">
        <f t="shared" si="50"/>
        <v/>
      </c>
      <c r="Q175" s="35" t="str">
        <f t="shared" si="51"/>
        <v/>
      </c>
      <c r="R175" s="35" t="str">
        <f t="shared" si="52"/>
        <v/>
      </c>
      <c r="S175" s="33" t="str">
        <f t="shared" si="53"/>
        <v/>
      </c>
    </row>
    <row r="176" spans="1:19" x14ac:dyDescent="0.3">
      <c r="A176" s="33">
        <f>172</f>
        <v>172</v>
      </c>
      <c r="B176" s="34" t="str">
        <f t="shared" si="36"/>
        <v/>
      </c>
      <c r="C176" s="33" t="str">
        <f t="shared" si="37"/>
        <v/>
      </c>
      <c r="D176" s="33" t="str">
        <f t="shared" si="38"/>
        <v/>
      </c>
      <c r="E176" s="35" t="str">
        <f t="shared" si="39"/>
        <v/>
      </c>
      <c r="F176" s="35" t="str">
        <f t="shared" si="40"/>
        <v/>
      </c>
      <c r="G176" s="33" t="str">
        <f t="shared" si="41"/>
        <v/>
      </c>
      <c r="H176" s="35" t="str">
        <f t="shared" si="42"/>
        <v/>
      </c>
      <c r="I176" s="35" t="str">
        <f t="shared" si="43"/>
        <v/>
      </c>
      <c r="J176" s="35" t="str">
        <f t="shared" si="44"/>
        <v/>
      </c>
      <c r="K176" s="35" t="str">
        <f t="shared" si="45"/>
        <v/>
      </c>
      <c r="L176" s="35" t="str">
        <f t="shared" si="46"/>
        <v/>
      </c>
      <c r="M176" s="35" t="str">
        <f t="shared" si="47"/>
        <v/>
      </c>
      <c r="N176" s="36" t="str">
        <f t="shared" si="48"/>
        <v/>
      </c>
      <c r="O176" s="35" t="str">
        <f t="shared" si="49"/>
        <v/>
      </c>
      <c r="P176" s="35" t="str">
        <f t="shared" si="50"/>
        <v/>
      </c>
      <c r="Q176" s="35" t="str">
        <f t="shared" si="51"/>
        <v/>
      </c>
      <c r="R176" s="35" t="str">
        <f t="shared" si="52"/>
        <v/>
      </c>
      <c r="S176" s="33" t="str">
        <f t="shared" si="53"/>
        <v/>
      </c>
    </row>
    <row r="177" spans="1:19" x14ac:dyDescent="0.3">
      <c r="A177" s="33">
        <f>173</f>
        <v>173</v>
      </c>
      <c r="B177" s="34" t="str">
        <f t="shared" si="36"/>
        <v/>
      </c>
      <c r="C177" s="33" t="str">
        <f t="shared" si="37"/>
        <v/>
      </c>
      <c r="D177" s="33" t="str">
        <f t="shared" si="38"/>
        <v/>
      </c>
      <c r="E177" s="35" t="str">
        <f t="shared" si="39"/>
        <v/>
      </c>
      <c r="F177" s="35" t="str">
        <f t="shared" si="40"/>
        <v/>
      </c>
      <c r="G177" s="33" t="str">
        <f t="shared" si="41"/>
        <v/>
      </c>
      <c r="H177" s="35" t="str">
        <f t="shared" si="42"/>
        <v/>
      </c>
      <c r="I177" s="35" t="str">
        <f t="shared" si="43"/>
        <v/>
      </c>
      <c r="J177" s="35" t="str">
        <f t="shared" si="44"/>
        <v/>
      </c>
      <c r="K177" s="35" t="str">
        <f t="shared" si="45"/>
        <v/>
      </c>
      <c r="L177" s="35" t="str">
        <f t="shared" si="46"/>
        <v/>
      </c>
      <c r="M177" s="35" t="str">
        <f t="shared" si="47"/>
        <v/>
      </c>
      <c r="N177" s="36" t="str">
        <f t="shared" si="48"/>
        <v/>
      </c>
      <c r="O177" s="35" t="str">
        <f t="shared" si="49"/>
        <v/>
      </c>
      <c r="P177" s="35" t="str">
        <f t="shared" si="50"/>
        <v/>
      </c>
      <c r="Q177" s="35" t="str">
        <f t="shared" si="51"/>
        <v/>
      </c>
      <c r="R177" s="35" t="str">
        <f t="shared" si="52"/>
        <v/>
      </c>
      <c r="S177" s="33" t="str">
        <f t="shared" si="53"/>
        <v/>
      </c>
    </row>
    <row r="178" spans="1:19" x14ac:dyDescent="0.3">
      <c r="A178" s="33">
        <f>174</f>
        <v>174</v>
      </c>
      <c r="B178" s="34" t="str">
        <f t="shared" si="36"/>
        <v/>
      </c>
      <c r="C178" s="33" t="str">
        <f t="shared" si="37"/>
        <v/>
      </c>
      <c r="D178" s="33" t="str">
        <f t="shared" si="38"/>
        <v/>
      </c>
      <c r="E178" s="35" t="str">
        <f t="shared" si="39"/>
        <v/>
      </c>
      <c r="F178" s="35" t="str">
        <f t="shared" si="40"/>
        <v/>
      </c>
      <c r="G178" s="33" t="str">
        <f t="shared" si="41"/>
        <v/>
      </c>
      <c r="H178" s="35" t="str">
        <f t="shared" si="42"/>
        <v/>
      </c>
      <c r="I178" s="35" t="str">
        <f t="shared" si="43"/>
        <v/>
      </c>
      <c r="J178" s="35" t="str">
        <f t="shared" si="44"/>
        <v/>
      </c>
      <c r="K178" s="35" t="str">
        <f t="shared" si="45"/>
        <v/>
      </c>
      <c r="L178" s="35" t="str">
        <f t="shared" si="46"/>
        <v/>
      </c>
      <c r="M178" s="35" t="str">
        <f t="shared" si="47"/>
        <v/>
      </c>
      <c r="N178" s="36" t="str">
        <f t="shared" si="48"/>
        <v/>
      </c>
      <c r="O178" s="35" t="str">
        <f t="shared" si="49"/>
        <v/>
      </c>
      <c r="P178" s="35" t="str">
        <f t="shared" si="50"/>
        <v/>
      </c>
      <c r="Q178" s="35" t="str">
        <f t="shared" si="51"/>
        <v/>
      </c>
      <c r="R178" s="35" t="str">
        <f t="shared" si="52"/>
        <v/>
      </c>
      <c r="S178" s="33" t="str">
        <f t="shared" si="53"/>
        <v/>
      </c>
    </row>
    <row r="179" spans="1:19" x14ac:dyDescent="0.3">
      <c r="A179" s="33">
        <f>175</f>
        <v>175</v>
      </c>
      <c r="B179" s="34" t="str">
        <f t="shared" si="36"/>
        <v/>
      </c>
      <c r="C179" s="33" t="str">
        <f t="shared" si="37"/>
        <v/>
      </c>
      <c r="D179" s="33" t="str">
        <f t="shared" si="38"/>
        <v/>
      </c>
      <c r="E179" s="35" t="str">
        <f t="shared" si="39"/>
        <v/>
      </c>
      <c r="F179" s="35" t="str">
        <f t="shared" si="40"/>
        <v/>
      </c>
      <c r="G179" s="33" t="str">
        <f t="shared" si="41"/>
        <v/>
      </c>
      <c r="H179" s="35" t="str">
        <f t="shared" si="42"/>
        <v/>
      </c>
      <c r="I179" s="35" t="str">
        <f t="shared" si="43"/>
        <v/>
      </c>
      <c r="J179" s="35" t="str">
        <f t="shared" si="44"/>
        <v/>
      </c>
      <c r="K179" s="35" t="str">
        <f t="shared" si="45"/>
        <v/>
      </c>
      <c r="L179" s="35" t="str">
        <f t="shared" si="46"/>
        <v/>
      </c>
      <c r="M179" s="35" t="str">
        <f t="shared" si="47"/>
        <v/>
      </c>
      <c r="N179" s="36" t="str">
        <f t="shared" si="48"/>
        <v/>
      </c>
      <c r="O179" s="35" t="str">
        <f t="shared" si="49"/>
        <v/>
      </c>
      <c r="P179" s="35" t="str">
        <f t="shared" si="50"/>
        <v/>
      </c>
      <c r="Q179" s="35" t="str">
        <f t="shared" si="51"/>
        <v/>
      </c>
      <c r="R179" s="35" t="str">
        <f t="shared" si="52"/>
        <v/>
      </c>
      <c r="S179" s="33" t="str">
        <f t="shared" si="53"/>
        <v/>
      </c>
    </row>
    <row r="180" spans="1:19" x14ac:dyDescent="0.3">
      <c r="A180" s="33">
        <f>176</f>
        <v>176</v>
      </c>
      <c r="B180" s="34" t="str">
        <f t="shared" si="36"/>
        <v/>
      </c>
      <c r="C180" s="33" t="str">
        <f t="shared" si="37"/>
        <v/>
      </c>
      <c r="D180" s="33" t="str">
        <f t="shared" si="38"/>
        <v/>
      </c>
      <c r="E180" s="35" t="str">
        <f t="shared" si="39"/>
        <v/>
      </c>
      <c r="F180" s="35" t="str">
        <f t="shared" si="40"/>
        <v/>
      </c>
      <c r="G180" s="33" t="str">
        <f t="shared" si="41"/>
        <v/>
      </c>
      <c r="H180" s="35" t="str">
        <f t="shared" si="42"/>
        <v/>
      </c>
      <c r="I180" s="35" t="str">
        <f t="shared" si="43"/>
        <v/>
      </c>
      <c r="J180" s="35" t="str">
        <f t="shared" si="44"/>
        <v/>
      </c>
      <c r="K180" s="35" t="str">
        <f t="shared" si="45"/>
        <v/>
      </c>
      <c r="L180" s="35" t="str">
        <f t="shared" si="46"/>
        <v/>
      </c>
      <c r="M180" s="35" t="str">
        <f t="shared" si="47"/>
        <v/>
      </c>
      <c r="N180" s="36" t="str">
        <f t="shared" si="48"/>
        <v/>
      </c>
      <c r="O180" s="35" t="str">
        <f t="shared" si="49"/>
        <v/>
      </c>
      <c r="P180" s="35" t="str">
        <f t="shared" si="50"/>
        <v/>
      </c>
      <c r="Q180" s="35" t="str">
        <f t="shared" si="51"/>
        <v/>
      </c>
      <c r="R180" s="35" t="str">
        <f t="shared" si="52"/>
        <v/>
      </c>
      <c r="S180" s="33" t="str">
        <f t="shared" si="53"/>
        <v/>
      </c>
    </row>
    <row r="181" spans="1:19" x14ac:dyDescent="0.3">
      <c r="A181" s="33">
        <f>177</f>
        <v>177</v>
      </c>
      <c r="B181" s="34" t="str">
        <f t="shared" si="36"/>
        <v/>
      </c>
      <c r="C181" s="33" t="str">
        <f t="shared" si="37"/>
        <v/>
      </c>
      <c r="D181" s="33" t="str">
        <f t="shared" si="38"/>
        <v/>
      </c>
      <c r="E181" s="35" t="str">
        <f t="shared" si="39"/>
        <v/>
      </c>
      <c r="F181" s="35" t="str">
        <f t="shared" si="40"/>
        <v/>
      </c>
      <c r="G181" s="33" t="str">
        <f t="shared" si="41"/>
        <v/>
      </c>
      <c r="H181" s="35" t="str">
        <f t="shared" si="42"/>
        <v/>
      </c>
      <c r="I181" s="35" t="str">
        <f t="shared" si="43"/>
        <v/>
      </c>
      <c r="J181" s="35" t="str">
        <f t="shared" si="44"/>
        <v/>
      </c>
      <c r="K181" s="35" t="str">
        <f t="shared" si="45"/>
        <v/>
      </c>
      <c r="L181" s="35" t="str">
        <f t="shared" si="46"/>
        <v/>
      </c>
      <c r="M181" s="35" t="str">
        <f t="shared" si="47"/>
        <v/>
      </c>
      <c r="N181" s="36" t="str">
        <f t="shared" si="48"/>
        <v/>
      </c>
      <c r="O181" s="35" t="str">
        <f t="shared" si="49"/>
        <v/>
      </c>
      <c r="P181" s="35" t="str">
        <f t="shared" si="50"/>
        <v/>
      </c>
      <c r="Q181" s="35" t="str">
        <f t="shared" si="51"/>
        <v/>
      </c>
      <c r="R181" s="35" t="str">
        <f t="shared" si="52"/>
        <v/>
      </c>
      <c r="S181" s="33" t="str">
        <f t="shared" si="53"/>
        <v/>
      </c>
    </row>
    <row r="182" spans="1:19" x14ac:dyDescent="0.3">
      <c r="A182" s="33">
        <f>178</f>
        <v>178</v>
      </c>
      <c r="B182" s="34" t="str">
        <f t="shared" si="36"/>
        <v/>
      </c>
      <c r="C182" s="33" t="str">
        <f t="shared" si="37"/>
        <v/>
      </c>
      <c r="D182" s="33" t="str">
        <f t="shared" si="38"/>
        <v/>
      </c>
      <c r="E182" s="35" t="str">
        <f t="shared" si="39"/>
        <v/>
      </c>
      <c r="F182" s="35" t="str">
        <f t="shared" si="40"/>
        <v/>
      </c>
      <c r="G182" s="33" t="str">
        <f t="shared" si="41"/>
        <v/>
      </c>
      <c r="H182" s="35" t="str">
        <f t="shared" si="42"/>
        <v/>
      </c>
      <c r="I182" s="35" t="str">
        <f t="shared" si="43"/>
        <v/>
      </c>
      <c r="J182" s="35" t="str">
        <f t="shared" si="44"/>
        <v/>
      </c>
      <c r="K182" s="35" t="str">
        <f t="shared" si="45"/>
        <v/>
      </c>
      <c r="L182" s="35" t="str">
        <f t="shared" si="46"/>
        <v/>
      </c>
      <c r="M182" s="35" t="str">
        <f t="shared" si="47"/>
        <v/>
      </c>
      <c r="N182" s="36" t="str">
        <f t="shared" si="48"/>
        <v/>
      </c>
      <c r="O182" s="35" t="str">
        <f t="shared" si="49"/>
        <v/>
      </c>
      <c r="P182" s="35" t="str">
        <f t="shared" si="50"/>
        <v/>
      </c>
      <c r="Q182" s="35" t="str">
        <f t="shared" si="51"/>
        <v/>
      </c>
      <c r="R182" s="35" t="str">
        <f t="shared" si="52"/>
        <v/>
      </c>
      <c r="S182" s="33" t="str">
        <f t="shared" si="53"/>
        <v/>
      </c>
    </row>
    <row r="183" spans="1:19" x14ac:dyDescent="0.3">
      <c r="A183" s="33">
        <f>179</f>
        <v>179</v>
      </c>
      <c r="B183" s="34" t="str">
        <f t="shared" si="36"/>
        <v/>
      </c>
      <c r="C183" s="33" t="str">
        <f t="shared" si="37"/>
        <v/>
      </c>
      <c r="D183" s="33" t="str">
        <f t="shared" si="38"/>
        <v/>
      </c>
      <c r="E183" s="35" t="str">
        <f t="shared" si="39"/>
        <v/>
      </c>
      <c r="F183" s="35" t="str">
        <f t="shared" si="40"/>
        <v/>
      </c>
      <c r="G183" s="33" t="str">
        <f t="shared" si="41"/>
        <v/>
      </c>
      <c r="H183" s="35" t="str">
        <f t="shared" si="42"/>
        <v/>
      </c>
      <c r="I183" s="35" t="str">
        <f t="shared" si="43"/>
        <v/>
      </c>
      <c r="J183" s="35" t="str">
        <f t="shared" si="44"/>
        <v/>
      </c>
      <c r="K183" s="35" t="str">
        <f t="shared" si="45"/>
        <v/>
      </c>
      <c r="L183" s="35" t="str">
        <f t="shared" si="46"/>
        <v/>
      </c>
      <c r="M183" s="35" t="str">
        <f t="shared" si="47"/>
        <v/>
      </c>
      <c r="N183" s="36" t="str">
        <f t="shared" si="48"/>
        <v/>
      </c>
      <c r="O183" s="35" t="str">
        <f t="shared" si="49"/>
        <v/>
      </c>
      <c r="P183" s="35" t="str">
        <f t="shared" si="50"/>
        <v/>
      </c>
      <c r="Q183" s="35" t="str">
        <f t="shared" si="51"/>
        <v/>
      </c>
      <c r="R183" s="35" t="str">
        <f t="shared" si="52"/>
        <v/>
      </c>
      <c r="S183" s="33" t="str">
        <f t="shared" si="53"/>
        <v/>
      </c>
    </row>
    <row r="184" spans="1:19" x14ac:dyDescent="0.3">
      <c r="A184" s="37">
        <f>180</f>
        <v>180</v>
      </c>
      <c r="B184" s="38" t="str">
        <f t="shared" si="36"/>
        <v/>
      </c>
      <c r="C184" s="37" t="str">
        <f t="shared" si="37"/>
        <v/>
      </c>
      <c r="D184" s="37" t="str">
        <f t="shared" si="38"/>
        <v/>
      </c>
      <c r="E184" s="39" t="str">
        <f t="shared" si="39"/>
        <v/>
      </c>
      <c r="F184" s="39" t="str">
        <f t="shared" si="40"/>
        <v/>
      </c>
      <c r="G184" s="37" t="str">
        <f t="shared" si="41"/>
        <v/>
      </c>
      <c r="H184" s="39" t="str">
        <f t="shared" si="42"/>
        <v/>
      </c>
      <c r="I184" s="39" t="str">
        <f t="shared" si="43"/>
        <v/>
      </c>
      <c r="J184" s="39" t="str">
        <f t="shared" si="44"/>
        <v/>
      </c>
      <c r="K184" s="39" t="str">
        <f t="shared" si="45"/>
        <v/>
      </c>
      <c r="L184" s="39" t="str">
        <f t="shared" si="46"/>
        <v/>
      </c>
      <c r="M184" s="39" t="str">
        <f t="shared" si="47"/>
        <v/>
      </c>
      <c r="N184" s="40" t="str">
        <f t="shared" si="48"/>
        <v/>
      </c>
      <c r="O184" s="39" t="str">
        <f t="shared" si="49"/>
        <v/>
      </c>
      <c r="P184" s="39" t="str">
        <f t="shared" si="50"/>
        <v/>
      </c>
      <c r="Q184" s="39" t="str">
        <f t="shared" si="51"/>
        <v/>
      </c>
      <c r="R184" s="39" t="str">
        <f t="shared" si="52"/>
        <v/>
      </c>
      <c r="S184" s="37" t="str">
        <f t="shared" si="53"/>
        <v/>
      </c>
    </row>
    <row r="185" spans="1:19" x14ac:dyDescent="0.3">
      <c r="A185" s="33">
        <f>181</f>
        <v>181</v>
      </c>
      <c r="B185" s="34" t="str">
        <f t="shared" si="36"/>
        <v/>
      </c>
      <c r="C185" s="33" t="str">
        <f t="shared" si="37"/>
        <v/>
      </c>
      <c r="D185" s="33" t="str">
        <f t="shared" si="38"/>
        <v/>
      </c>
      <c r="E185" s="35" t="str">
        <f t="shared" si="39"/>
        <v/>
      </c>
      <c r="F185" s="35" t="str">
        <f t="shared" si="40"/>
        <v/>
      </c>
      <c r="G185" s="33" t="str">
        <f t="shared" si="41"/>
        <v/>
      </c>
      <c r="H185" s="35" t="str">
        <f t="shared" si="42"/>
        <v/>
      </c>
      <c r="I185" s="35" t="str">
        <f t="shared" si="43"/>
        <v/>
      </c>
      <c r="J185" s="35" t="str">
        <f t="shared" si="44"/>
        <v/>
      </c>
      <c r="K185" s="35" t="str">
        <f t="shared" si="45"/>
        <v/>
      </c>
      <c r="L185" s="35" t="str">
        <f t="shared" si="46"/>
        <v/>
      </c>
      <c r="M185" s="35" t="str">
        <f t="shared" si="47"/>
        <v/>
      </c>
      <c r="N185" s="36" t="str">
        <f t="shared" si="48"/>
        <v/>
      </c>
      <c r="O185" s="35" t="str">
        <f t="shared" si="49"/>
        <v/>
      </c>
      <c r="P185" s="35" t="str">
        <f t="shared" si="50"/>
        <v/>
      </c>
      <c r="Q185" s="35" t="str">
        <f t="shared" si="51"/>
        <v/>
      </c>
      <c r="R185" s="35" t="str">
        <f t="shared" si="52"/>
        <v/>
      </c>
      <c r="S185" s="33" t="str">
        <f t="shared" si="53"/>
        <v/>
      </c>
    </row>
    <row r="186" spans="1:19" x14ac:dyDescent="0.3">
      <c r="A186" s="33">
        <f>182</f>
        <v>182</v>
      </c>
      <c r="B186" s="34" t="str">
        <f t="shared" si="36"/>
        <v/>
      </c>
      <c r="C186" s="33" t="str">
        <f t="shared" si="37"/>
        <v/>
      </c>
      <c r="D186" s="33" t="str">
        <f t="shared" si="38"/>
        <v/>
      </c>
      <c r="E186" s="35" t="str">
        <f t="shared" si="39"/>
        <v/>
      </c>
      <c r="F186" s="35" t="str">
        <f t="shared" si="40"/>
        <v/>
      </c>
      <c r="G186" s="33" t="str">
        <f t="shared" si="41"/>
        <v/>
      </c>
      <c r="H186" s="35" t="str">
        <f t="shared" si="42"/>
        <v/>
      </c>
      <c r="I186" s="35" t="str">
        <f t="shared" si="43"/>
        <v/>
      </c>
      <c r="J186" s="35" t="str">
        <f t="shared" si="44"/>
        <v/>
      </c>
      <c r="K186" s="35" t="str">
        <f t="shared" si="45"/>
        <v/>
      </c>
      <c r="L186" s="35" t="str">
        <f t="shared" si="46"/>
        <v/>
      </c>
      <c r="M186" s="35" t="str">
        <f t="shared" si="47"/>
        <v/>
      </c>
      <c r="N186" s="36" t="str">
        <f t="shared" si="48"/>
        <v/>
      </c>
      <c r="O186" s="35" t="str">
        <f t="shared" si="49"/>
        <v/>
      </c>
      <c r="P186" s="35" t="str">
        <f t="shared" si="50"/>
        <v/>
      </c>
      <c r="Q186" s="35" t="str">
        <f t="shared" si="51"/>
        <v/>
      </c>
      <c r="R186" s="35" t="str">
        <f t="shared" si="52"/>
        <v/>
      </c>
      <c r="S186" s="33" t="str">
        <f t="shared" si="53"/>
        <v/>
      </c>
    </row>
    <row r="187" spans="1:19" x14ac:dyDescent="0.3">
      <c r="A187" s="33">
        <f>183</f>
        <v>183</v>
      </c>
      <c r="B187" s="34" t="str">
        <f t="shared" si="36"/>
        <v/>
      </c>
      <c r="C187" s="33" t="str">
        <f t="shared" si="37"/>
        <v/>
      </c>
      <c r="D187" s="33" t="str">
        <f t="shared" si="38"/>
        <v/>
      </c>
      <c r="E187" s="35" t="str">
        <f t="shared" si="39"/>
        <v/>
      </c>
      <c r="F187" s="35" t="str">
        <f t="shared" si="40"/>
        <v/>
      </c>
      <c r="G187" s="33" t="str">
        <f t="shared" si="41"/>
        <v/>
      </c>
      <c r="H187" s="35" t="str">
        <f t="shared" si="42"/>
        <v/>
      </c>
      <c r="I187" s="35" t="str">
        <f t="shared" si="43"/>
        <v/>
      </c>
      <c r="J187" s="35" t="str">
        <f t="shared" si="44"/>
        <v/>
      </c>
      <c r="K187" s="35" t="str">
        <f t="shared" si="45"/>
        <v/>
      </c>
      <c r="L187" s="35" t="str">
        <f t="shared" si="46"/>
        <v/>
      </c>
      <c r="M187" s="35" t="str">
        <f t="shared" si="47"/>
        <v/>
      </c>
      <c r="N187" s="36" t="str">
        <f t="shared" si="48"/>
        <v/>
      </c>
      <c r="O187" s="35" t="str">
        <f t="shared" si="49"/>
        <v/>
      </c>
      <c r="P187" s="35" t="str">
        <f t="shared" si="50"/>
        <v/>
      </c>
      <c r="Q187" s="35" t="str">
        <f t="shared" si="51"/>
        <v/>
      </c>
      <c r="R187" s="35" t="str">
        <f t="shared" si="52"/>
        <v/>
      </c>
      <c r="S187" s="33" t="str">
        <f t="shared" si="53"/>
        <v/>
      </c>
    </row>
    <row r="188" spans="1:19" x14ac:dyDescent="0.3">
      <c r="A188" s="33">
        <f>184</f>
        <v>184</v>
      </c>
      <c r="B188" s="34" t="str">
        <f t="shared" si="36"/>
        <v/>
      </c>
      <c r="C188" s="33" t="str">
        <f t="shared" si="37"/>
        <v/>
      </c>
      <c r="D188" s="33" t="str">
        <f t="shared" si="38"/>
        <v/>
      </c>
      <c r="E188" s="35" t="str">
        <f t="shared" si="39"/>
        <v/>
      </c>
      <c r="F188" s="35" t="str">
        <f t="shared" si="40"/>
        <v/>
      </c>
      <c r="G188" s="33" t="str">
        <f t="shared" si="41"/>
        <v/>
      </c>
      <c r="H188" s="35" t="str">
        <f t="shared" si="42"/>
        <v/>
      </c>
      <c r="I188" s="35" t="str">
        <f t="shared" si="43"/>
        <v/>
      </c>
      <c r="J188" s="35" t="str">
        <f t="shared" si="44"/>
        <v/>
      </c>
      <c r="K188" s="35" t="str">
        <f t="shared" si="45"/>
        <v/>
      </c>
      <c r="L188" s="35" t="str">
        <f t="shared" si="46"/>
        <v/>
      </c>
      <c r="M188" s="35" t="str">
        <f t="shared" si="47"/>
        <v/>
      </c>
      <c r="N188" s="36" t="str">
        <f t="shared" si="48"/>
        <v/>
      </c>
      <c r="O188" s="35" t="str">
        <f t="shared" si="49"/>
        <v/>
      </c>
      <c r="P188" s="35" t="str">
        <f t="shared" si="50"/>
        <v/>
      </c>
      <c r="Q188" s="35" t="str">
        <f t="shared" si="51"/>
        <v/>
      </c>
      <c r="R188" s="35" t="str">
        <f t="shared" si="52"/>
        <v/>
      </c>
      <c r="S188" s="33" t="str">
        <f t="shared" si="53"/>
        <v/>
      </c>
    </row>
    <row r="189" spans="1:19" x14ac:dyDescent="0.3">
      <c r="A189" s="33">
        <f>185</f>
        <v>185</v>
      </c>
      <c r="B189" s="34" t="str">
        <f t="shared" si="36"/>
        <v/>
      </c>
      <c r="C189" s="33" t="str">
        <f t="shared" si="37"/>
        <v/>
      </c>
      <c r="D189" s="33" t="str">
        <f t="shared" si="38"/>
        <v/>
      </c>
      <c r="E189" s="35" t="str">
        <f t="shared" si="39"/>
        <v/>
      </c>
      <c r="F189" s="35" t="str">
        <f t="shared" si="40"/>
        <v/>
      </c>
      <c r="G189" s="33" t="str">
        <f t="shared" si="41"/>
        <v/>
      </c>
      <c r="H189" s="35" t="str">
        <f t="shared" si="42"/>
        <v/>
      </c>
      <c r="I189" s="35" t="str">
        <f t="shared" si="43"/>
        <v/>
      </c>
      <c r="J189" s="35" t="str">
        <f t="shared" si="44"/>
        <v/>
      </c>
      <c r="K189" s="35" t="str">
        <f t="shared" si="45"/>
        <v/>
      </c>
      <c r="L189" s="35" t="str">
        <f t="shared" si="46"/>
        <v/>
      </c>
      <c r="M189" s="35" t="str">
        <f t="shared" si="47"/>
        <v/>
      </c>
      <c r="N189" s="36" t="str">
        <f t="shared" si="48"/>
        <v/>
      </c>
      <c r="O189" s="35" t="str">
        <f t="shared" si="49"/>
        <v/>
      </c>
      <c r="P189" s="35" t="str">
        <f t="shared" si="50"/>
        <v/>
      </c>
      <c r="Q189" s="35" t="str">
        <f t="shared" si="51"/>
        <v/>
      </c>
      <c r="R189" s="35" t="str">
        <f t="shared" si="52"/>
        <v/>
      </c>
      <c r="S189" s="33" t="str">
        <f t="shared" si="53"/>
        <v/>
      </c>
    </row>
    <row r="190" spans="1:19" x14ac:dyDescent="0.3">
      <c r="A190" s="33">
        <f>186</f>
        <v>186</v>
      </c>
      <c r="B190" s="34" t="str">
        <f t="shared" si="36"/>
        <v/>
      </c>
      <c r="C190" s="33" t="str">
        <f t="shared" si="37"/>
        <v/>
      </c>
      <c r="D190" s="33" t="str">
        <f t="shared" si="38"/>
        <v/>
      </c>
      <c r="E190" s="35" t="str">
        <f t="shared" si="39"/>
        <v/>
      </c>
      <c r="F190" s="35" t="str">
        <f t="shared" si="40"/>
        <v/>
      </c>
      <c r="G190" s="33" t="str">
        <f t="shared" si="41"/>
        <v/>
      </c>
      <c r="H190" s="35" t="str">
        <f t="shared" si="42"/>
        <v/>
      </c>
      <c r="I190" s="35" t="str">
        <f t="shared" si="43"/>
        <v/>
      </c>
      <c r="J190" s="35" t="str">
        <f t="shared" si="44"/>
        <v/>
      </c>
      <c r="K190" s="35" t="str">
        <f t="shared" si="45"/>
        <v/>
      </c>
      <c r="L190" s="35" t="str">
        <f t="shared" si="46"/>
        <v/>
      </c>
      <c r="M190" s="35" t="str">
        <f t="shared" si="47"/>
        <v/>
      </c>
      <c r="N190" s="36" t="str">
        <f t="shared" si="48"/>
        <v/>
      </c>
      <c r="O190" s="35" t="str">
        <f t="shared" si="49"/>
        <v/>
      </c>
      <c r="P190" s="35" t="str">
        <f t="shared" si="50"/>
        <v/>
      </c>
      <c r="Q190" s="35" t="str">
        <f t="shared" si="51"/>
        <v/>
      </c>
      <c r="R190" s="35" t="str">
        <f t="shared" si="52"/>
        <v/>
      </c>
      <c r="S190" s="33" t="str">
        <f t="shared" si="53"/>
        <v/>
      </c>
    </row>
    <row r="191" spans="1:19" x14ac:dyDescent="0.3">
      <c r="A191" s="33">
        <f>187</f>
        <v>187</v>
      </c>
      <c r="B191" s="34" t="str">
        <f t="shared" si="36"/>
        <v/>
      </c>
      <c r="C191" s="33" t="str">
        <f t="shared" si="37"/>
        <v/>
      </c>
      <c r="D191" s="33" t="str">
        <f t="shared" si="38"/>
        <v/>
      </c>
      <c r="E191" s="35" t="str">
        <f t="shared" si="39"/>
        <v/>
      </c>
      <c r="F191" s="35" t="str">
        <f t="shared" si="40"/>
        <v/>
      </c>
      <c r="G191" s="33" t="str">
        <f t="shared" si="41"/>
        <v/>
      </c>
      <c r="H191" s="35" t="str">
        <f t="shared" si="42"/>
        <v/>
      </c>
      <c r="I191" s="35" t="str">
        <f t="shared" si="43"/>
        <v/>
      </c>
      <c r="J191" s="35" t="str">
        <f t="shared" si="44"/>
        <v/>
      </c>
      <c r="K191" s="35" t="str">
        <f t="shared" si="45"/>
        <v/>
      </c>
      <c r="L191" s="35" t="str">
        <f t="shared" si="46"/>
        <v/>
      </c>
      <c r="M191" s="35" t="str">
        <f t="shared" si="47"/>
        <v/>
      </c>
      <c r="N191" s="36" t="str">
        <f t="shared" si="48"/>
        <v/>
      </c>
      <c r="O191" s="35" t="str">
        <f t="shared" si="49"/>
        <v/>
      </c>
      <c r="P191" s="35" t="str">
        <f t="shared" si="50"/>
        <v/>
      </c>
      <c r="Q191" s="35" t="str">
        <f t="shared" si="51"/>
        <v/>
      </c>
      <c r="R191" s="35" t="str">
        <f t="shared" si="52"/>
        <v/>
      </c>
      <c r="S191" s="33" t="str">
        <f t="shared" si="53"/>
        <v/>
      </c>
    </row>
    <row r="192" spans="1:19" x14ac:dyDescent="0.3">
      <c r="A192" s="33">
        <f>188</f>
        <v>188</v>
      </c>
      <c r="B192" s="34" t="str">
        <f t="shared" si="36"/>
        <v/>
      </c>
      <c r="C192" s="33" t="str">
        <f t="shared" si="37"/>
        <v/>
      </c>
      <c r="D192" s="33" t="str">
        <f t="shared" si="38"/>
        <v/>
      </c>
      <c r="E192" s="35" t="str">
        <f t="shared" si="39"/>
        <v/>
      </c>
      <c r="F192" s="35" t="str">
        <f t="shared" si="40"/>
        <v/>
      </c>
      <c r="G192" s="33" t="str">
        <f t="shared" si="41"/>
        <v/>
      </c>
      <c r="H192" s="35" t="str">
        <f t="shared" si="42"/>
        <v/>
      </c>
      <c r="I192" s="35" t="str">
        <f t="shared" si="43"/>
        <v/>
      </c>
      <c r="J192" s="35" t="str">
        <f t="shared" si="44"/>
        <v/>
      </c>
      <c r="K192" s="35" t="str">
        <f t="shared" si="45"/>
        <v/>
      </c>
      <c r="L192" s="35" t="str">
        <f t="shared" si="46"/>
        <v/>
      </c>
      <c r="M192" s="35" t="str">
        <f t="shared" si="47"/>
        <v/>
      </c>
      <c r="N192" s="36" t="str">
        <f t="shared" si="48"/>
        <v/>
      </c>
      <c r="O192" s="35" t="str">
        <f t="shared" si="49"/>
        <v/>
      </c>
      <c r="P192" s="35" t="str">
        <f t="shared" si="50"/>
        <v/>
      </c>
      <c r="Q192" s="35" t="str">
        <f t="shared" si="51"/>
        <v/>
      </c>
      <c r="R192" s="35" t="str">
        <f t="shared" si="52"/>
        <v/>
      </c>
      <c r="S192" s="33" t="str">
        <f t="shared" si="53"/>
        <v/>
      </c>
    </row>
    <row r="193" spans="1:19" x14ac:dyDescent="0.3">
      <c r="A193" s="33">
        <f>189</f>
        <v>189</v>
      </c>
      <c r="B193" s="34" t="str">
        <f t="shared" si="36"/>
        <v/>
      </c>
      <c r="C193" s="33" t="str">
        <f t="shared" si="37"/>
        <v/>
      </c>
      <c r="D193" s="33" t="str">
        <f t="shared" si="38"/>
        <v/>
      </c>
      <c r="E193" s="35" t="str">
        <f t="shared" si="39"/>
        <v/>
      </c>
      <c r="F193" s="35" t="str">
        <f t="shared" si="40"/>
        <v/>
      </c>
      <c r="G193" s="33" t="str">
        <f t="shared" si="41"/>
        <v/>
      </c>
      <c r="H193" s="35" t="str">
        <f t="shared" si="42"/>
        <v/>
      </c>
      <c r="I193" s="35" t="str">
        <f t="shared" si="43"/>
        <v/>
      </c>
      <c r="J193" s="35" t="str">
        <f t="shared" si="44"/>
        <v/>
      </c>
      <c r="K193" s="35" t="str">
        <f t="shared" si="45"/>
        <v/>
      </c>
      <c r="L193" s="35" t="str">
        <f t="shared" si="46"/>
        <v/>
      </c>
      <c r="M193" s="35" t="str">
        <f t="shared" si="47"/>
        <v/>
      </c>
      <c r="N193" s="36" t="str">
        <f t="shared" si="48"/>
        <v/>
      </c>
      <c r="O193" s="35" t="str">
        <f t="shared" si="49"/>
        <v/>
      </c>
      <c r="P193" s="35" t="str">
        <f t="shared" si="50"/>
        <v/>
      </c>
      <c r="Q193" s="35" t="str">
        <f t="shared" si="51"/>
        <v/>
      </c>
      <c r="R193" s="35" t="str">
        <f t="shared" si="52"/>
        <v/>
      </c>
      <c r="S193" s="33" t="str">
        <f t="shared" si="53"/>
        <v/>
      </c>
    </row>
    <row r="194" spans="1:19" x14ac:dyDescent="0.3">
      <c r="A194" s="33">
        <f>190</f>
        <v>190</v>
      </c>
      <c r="B194" s="34" t="str">
        <f t="shared" si="36"/>
        <v/>
      </c>
      <c r="C194" s="33" t="str">
        <f t="shared" si="37"/>
        <v/>
      </c>
      <c r="D194" s="33" t="str">
        <f t="shared" si="38"/>
        <v/>
      </c>
      <c r="E194" s="35" t="str">
        <f t="shared" si="39"/>
        <v/>
      </c>
      <c r="F194" s="35" t="str">
        <f t="shared" si="40"/>
        <v/>
      </c>
      <c r="G194" s="33" t="str">
        <f t="shared" si="41"/>
        <v/>
      </c>
      <c r="H194" s="35" t="str">
        <f t="shared" si="42"/>
        <v/>
      </c>
      <c r="I194" s="35" t="str">
        <f t="shared" si="43"/>
        <v/>
      </c>
      <c r="J194" s="35" t="str">
        <f t="shared" si="44"/>
        <v/>
      </c>
      <c r="K194" s="35" t="str">
        <f t="shared" si="45"/>
        <v/>
      </c>
      <c r="L194" s="35" t="str">
        <f t="shared" si="46"/>
        <v/>
      </c>
      <c r="M194" s="35" t="str">
        <f t="shared" si="47"/>
        <v/>
      </c>
      <c r="N194" s="36" t="str">
        <f t="shared" si="48"/>
        <v/>
      </c>
      <c r="O194" s="35" t="str">
        <f t="shared" si="49"/>
        <v/>
      </c>
      <c r="P194" s="35" t="str">
        <f t="shared" si="50"/>
        <v/>
      </c>
      <c r="Q194" s="35" t="str">
        <f t="shared" si="51"/>
        <v/>
      </c>
      <c r="R194" s="35" t="str">
        <f t="shared" si="52"/>
        <v/>
      </c>
      <c r="S194" s="33" t="str">
        <f t="shared" si="53"/>
        <v/>
      </c>
    </row>
    <row r="195" spans="1:19" x14ac:dyDescent="0.3">
      <c r="A195" s="33">
        <f>191</f>
        <v>191</v>
      </c>
      <c r="B195" s="34" t="str">
        <f t="shared" si="36"/>
        <v/>
      </c>
      <c r="C195" s="33" t="str">
        <f t="shared" si="37"/>
        <v/>
      </c>
      <c r="D195" s="33" t="str">
        <f t="shared" si="38"/>
        <v/>
      </c>
      <c r="E195" s="35" t="str">
        <f t="shared" si="39"/>
        <v/>
      </c>
      <c r="F195" s="35" t="str">
        <f t="shared" si="40"/>
        <v/>
      </c>
      <c r="G195" s="33" t="str">
        <f t="shared" si="41"/>
        <v/>
      </c>
      <c r="H195" s="35" t="str">
        <f t="shared" si="42"/>
        <v/>
      </c>
      <c r="I195" s="35" t="str">
        <f t="shared" si="43"/>
        <v/>
      </c>
      <c r="J195" s="35" t="str">
        <f t="shared" si="44"/>
        <v/>
      </c>
      <c r="K195" s="35" t="str">
        <f t="shared" si="45"/>
        <v/>
      </c>
      <c r="L195" s="35" t="str">
        <f t="shared" si="46"/>
        <v/>
      </c>
      <c r="M195" s="35" t="str">
        <f t="shared" si="47"/>
        <v/>
      </c>
      <c r="N195" s="36" t="str">
        <f t="shared" si="48"/>
        <v/>
      </c>
      <c r="O195" s="35" t="str">
        <f t="shared" si="49"/>
        <v/>
      </c>
      <c r="P195" s="35" t="str">
        <f t="shared" si="50"/>
        <v/>
      </c>
      <c r="Q195" s="35" t="str">
        <f t="shared" si="51"/>
        <v/>
      </c>
      <c r="R195" s="35" t="str">
        <f t="shared" si="52"/>
        <v/>
      </c>
      <c r="S195" s="33" t="str">
        <f t="shared" si="53"/>
        <v/>
      </c>
    </row>
    <row r="196" spans="1:19" x14ac:dyDescent="0.3">
      <c r="A196" s="37">
        <f>192</f>
        <v>192</v>
      </c>
      <c r="B196" s="38" t="str">
        <f t="shared" si="36"/>
        <v/>
      </c>
      <c r="C196" s="37" t="str">
        <f t="shared" si="37"/>
        <v/>
      </c>
      <c r="D196" s="37" t="str">
        <f t="shared" si="38"/>
        <v/>
      </c>
      <c r="E196" s="39" t="str">
        <f t="shared" si="39"/>
        <v/>
      </c>
      <c r="F196" s="39" t="str">
        <f t="shared" si="40"/>
        <v/>
      </c>
      <c r="G196" s="37" t="str">
        <f t="shared" si="41"/>
        <v/>
      </c>
      <c r="H196" s="39" t="str">
        <f t="shared" si="42"/>
        <v/>
      </c>
      <c r="I196" s="39" t="str">
        <f t="shared" si="43"/>
        <v/>
      </c>
      <c r="J196" s="39" t="str">
        <f t="shared" si="44"/>
        <v/>
      </c>
      <c r="K196" s="39" t="str">
        <f t="shared" si="45"/>
        <v/>
      </c>
      <c r="L196" s="39" t="str">
        <f t="shared" si="46"/>
        <v/>
      </c>
      <c r="M196" s="39" t="str">
        <f t="shared" si="47"/>
        <v/>
      </c>
      <c r="N196" s="40" t="str">
        <f t="shared" si="48"/>
        <v/>
      </c>
      <c r="O196" s="39" t="str">
        <f t="shared" si="49"/>
        <v/>
      </c>
      <c r="P196" s="39" t="str">
        <f t="shared" si="50"/>
        <v/>
      </c>
      <c r="Q196" s="39" t="str">
        <f t="shared" si="51"/>
        <v/>
      </c>
      <c r="R196" s="39" t="str">
        <f t="shared" si="52"/>
        <v/>
      </c>
      <c r="S196" s="37" t="str">
        <f t="shared" si="53"/>
        <v/>
      </c>
    </row>
    <row r="197" spans="1:19" x14ac:dyDescent="0.3">
      <c r="A197" s="33">
        <f>193</f>
        <v>193</v>
      </c>
      <c r="B197" s="34" t="str">
        <f t="shared" ref="B197:B260" si="54">IF($A197&gt;NYears*12,"",EDATE(StartMonth,$A197-1))</f>
        <v/>
      </c>
      <c r="C197" s="33" t="str">
        <f t="shared" ref="C197:C260" si="55">IF($A197&gt;NYears*12,"",INT(($A197-1)/12)+1)</f>
        <v/>
      </c>
      <c r="D197" s="33" t="str">
        <f t="shared" ref="D197:D260" si="56">IF($A197&gt;NYears*12,"",MOD($A197-1,12)+1)</f>
        <v/>
      </c>
      <c r="E197" s="35" t="str">
        <f t="shared" ref="E197:E260" si="57">IF($A197&gt;NYears*12,"",LotValue0*(1+LotGrowth)^($C197-1))</f>
        <v/>
      </c>
      <c r="F197" s="35" t="str">
        <f t="shared" ref="F197:F260" si="58">IF($A197&gt;NYears*12,"",IF($A197=1,InitInvest,$R196))</f>
        <v/>
      </c>
      <c r="G197" s="33" t="str">
        <f t="shared" ref="G197:G260" si="59">IF($A197&gt;NYears*12,"",INT($F197/$E197))</f>
        <v/>
      </c>
      <c r="H197" s="35" t="str">
        <f t="shared" ref="H197:H260" si="60">IF($A197&gt;NYears*12,"",$G197*$E197)</f>
        <v/>
      </c>
      <c r="I197" s="35" t="str">
        <f t="shared" ref="I197:I260" si="61">IF($A197&gt;NYears*12,"",$F197-$H197)</f>
        <v/>
      </c>
      <c r="J197" s="35" t="str">
        <f t="shared" ref="J197:J260" si="62">IF($A197&gt;NYears*12,"",$H197*RateA)</f>
        <v/>
      </c>
      <c r="K197" s="35" t="str">
        <f t="shared" ref="K197:K260" si="63">IF($A197&gt;NYears*12,"",IF($D197=1,$J197,$K196+$J197))</f>
        <v/>
      </c>
      <c r="L197" s="35" t="str">
        <f t="shared" ref="L197:L260" si="64">IF($A197&gt;NYears*12,"",IF(MOD($D197,3)=0,SUM($J195:$J197),0))</f>
        <v/>
      </c>
      <c r="M197" s="35" t="str">
        <f t="shared" ref="M197:M260" si="65">IF($A197&gt;NYears*12,"",IF(TaxFreq="Quarterly",$K197*12/$D197,$K197))</f>
        <v/>
      </c>
      <c r="N197" s="36" t="str">
        <f t="shared" ref="N197:N260" si="66">IF($A197&gt;NYears*12,"",LOOKUP($M197,TaxLower,TaxRate))</f>
        <v/>
      </c>
      <c r="O197" s="35" t="str">
        <f t="shared" ref="O197:O260" si="67">IF($A197&gt;NYears*12,"",IF(TaxFreq="Quarterly",IF(MOD($D197,3)=0,$L197*$N197,0),IF($D197=12,$K197*$N197,0)))</f>
        <v/>
      </c>
      <c r="P197" s="35" t="str">
        <f t="shared" ref="P197:P260" si="68">IF($A197&gt;NYears*12,"",IF($D197=1,$O197,$P196+$O197))</f>
        <v/>
      </c>
      <c r="Q197" s="35" t="str">
        <f t="shared" ref="Q197:Q260" si="69">IF($A197&gt;NYears*12,"",IF($D197=12,MIN(WdrPct*IF(WdrBase="Post-tax profit",$K197-$P197,$K197),WdrCap),0))</f>
        <v/>
      </c>
      <c r="R197" s="35" t="str">
        <f t="shared" ref="R197:R260" si="70">IF($A197&gt;NYears*12,"",$F197+$J197-$O197-$Q197)</f>
        <v/>
      </c>
      <c r="S197" s="33" t="str">
        <f t="shared" ref="S197:S260" si="71">IF($A197&gt;NYears*12,"",INT($R197/$E197))</f>
        <v/>
      </c>
    </row>
    <row r="198" spans="1:19" x14ac:dyDescent="0.3">
      <c r="A198" s="33">
        <f>194</f>
        <v>194</v>
      </c>
      <c r="B198" s="34" t="str">
        <f t="shared" si="54"/>
        <v/>
      </c>
      <c r="C198" s="33" t="str">
        <f t="shared" si="55"/>
        <v/>
      </c>
      <c r="D198" s="33" t="str">
        <f t="shared" si="56"/>
        <v/>
      </c>
      <c r="E198" s="35" t="str">
        <f t="shared" si="57"/>
        <v/>
      </c>
      <c r="F198" s="35" t="str">
        <f t="shared" si="58"/>
        <v/>
      </c>
      <c r="G198" s="33" t="str">
        <f t="shared" si="59"/>
        <v/>
      </c>
      <c r="H198" s="35" t="str">
        <f t="shared" si="60"/>
        <v/>
      </c>
      <c r="I198" s="35" t="str">
        <f t="shared" si="61"/>
        <v/>
      </c>
      <c r="J198" s="35" t="str">
        <f t="shared" si="62"/>
        <v/>
      </c>
      <c r="K198" s="35" t="str">
        <f t="shared" si="63"/>
        <v/>
      </c>
      <c r="L198" s="35" t="str">
        <f t="shared" si="64"/>
        <v/>
      </c>
      <c r="M198" s="35" t="str">
        <f t="shared" si="65"/>
        <v/>
      </c>
      <c r="N198" s="36" t="str">
        <f t="shared" si="66"/>
        <v/>
      </c>
      <c r="O198" s="35" t="str">
        <f t="shared" si="67"/>
        <v/>
      </c>
      <c r="P198" s="35" t="str">
        <f t="shared" si="68"/>
        <v/>
      </c>
      <c r="Q198" s="35" t="str">
        <f t="shared" si="69"/>
        <v/>
      </c>
      <c r="R198" s="35" t="str">
        <f t="shared" si="70"/>
        <v/>
      </c>
      <c r="S198" s="33" t="str">
        <f t="shared" si="71"/>
        <v/>
      </c>
    </row>
    <row r="199" spans="1:19" x14ac:dyDescent="0.3">
      <c r="A199" s="33">
        <f>195</f>
        <v>195</v>
      </c>
      <c r="B199" s="34" t="str">
        <f t="shared" si="54"/>
        <v/>
      </c>
      <c r="C199" s="33" t="str">
        <f t="shared" si="55"/>
        <v/>
      </c>
      <c r="D199" s="33" t="str">
        <f t="shared" si="56"/>
        <v/>
      </c>
      <c r="E199" s="35" t="str">
        <f t="shared" si="57"/>
        <v/>
      </c>
      <c r="F199" s="35" t="str">
        <f t="shared" si="58"/>
        <v/>
      </c>
      <c r="G199" s="33" t="str">
        <f t="shared" si="59"/>
        <v/>
      </c>
      <c r="H199" s="35" t="str">
        <f t="shared" si="60"/>
        <v/>
      </c>
      <c r="I199" s="35" t="str">
        <f t="shared" si="61"/>
        <v/>
      </c>
      <c r="J199" s="35" t="str">
        <f t="shared" si="62"/>
        <v/>
      </c>
      <c r="K199" s="35" t="str">
        <f t="shared" si="63"/>
        <v/>
      </c>
      <c r="L199" s="35" t="str">
        <f t="shared" si="64"/>
        <v/>
      </c>
      <c r="M199" s="35" t="str">
        <f t="shared" si="65"/>
        <v/>
      </c>
      <c r="N199" s="36" t="str">
        <f t="shared" si="66"/>
        <v/>
      </c>
      <c r="O199" s="35" t="str">
        <f t="shared" si="67"/>
        <v/>
      </c>
      <c r="P199" s="35" t="str">
        <f t="shared" si="68"/>
        <v/>
      </c>
      <c r="Q199" s="35" t="str">
        <f t="shared" si="69"/>
        <v/>
      </c>
      <c r="R199" s="35" t="str">
        <f t="shared" si="70"/>
        <v/>
      </c>
      <c r="S199" s="33" t="str">
        <f t="shared" si="71"/>
        <v/>
      </c>
    </row>
    <row r="200" spans="1:19" x14ac:dyDescent="0.3">
      <c r="A200" s="33">
        <f>196</f>
        <v>196</v>
      </c>
      <c r="B200" s="34" t="str">
        <f t="shared" si="54"/>
        <v/>
      </c>
      <c r="C200" s="33" t="str">
        <f t="shared" si="55"/>
        <v/>
      </c>
      <c r="D200" s="33" t="str">
        <f t="shared" si="56"/>
        <v/>
      </c>
      <c r="E200" s="35" t="str">
        <f t="shared" si="57"/>
        <v/>
      </c>
      <c r="F200" s="35" t="str">
        <f t="shared" si="58"/>
        <v/>
      </c>
      <c r="G200" s="33" t="str">
        <f t="shared" si="59"/>
        <v/>
      </c>
      <c r="H200" s="35" t="str">
        <f t="shared" si="60"/>
        <v/>
      </c>
      <c r="I200" s="35" t="str">
        <f t="shared" si="61"/>
        <v/>
      </c>
      <c r="J200" s="35" t="str">
        <f t="shared" si="62"/>
        <v/>
      </c>
      <c r="K200" s="35" t="str">
        <f t="shared" si="63"/>
        <v/>
      </c>
      <c r="L200" s="35" t="str">
        <f t="shared" si="64"/>
        <v/>
      </c>
      <c r="M200" s="35" t="str">
        <f t="shared" si="65"/>
        <v/>
      </c>
      <c r="N200" s="36" t="str">
        <f t="shared" si="66"/>
        <v/>
      </c>
      <c r="O200" s="35" t="str">
        <f t="shared" si="67"/>
        <v/>
      </c>
      <c r="P200" s="35" t="str">
        <f t="shared" si="68"/>
        <v/>
      </c>
      <c r="Q200" s="35" t="str">
        <f t="shared" si="69"/>
        <v/>
      </c>
      <c r="R200" s="35" t="str">
        <f t="shared" si="70"/>
        <v/>
      </c>
      <c r="S200" s="33" t="str">
        <f t="shared" si="71"/>
        <v/>
      </c>
    </row>
    <row r="201" spans="1:19" x14ac:dyDescent="0.3">
      <c r="A201" s="33">
        <f>197</f>
        <v>197</v>
      </c>
      <c r="B201" s="34" t="str">
        <f t="shared" si="54"/>
        <v/>
      </c>
      <c r="C201" s="33" t="str">
        <f t="shared" si="55"/>
        <v/>
      </c>
      <c r="D201" s="33" t="str">
        <f t="shared" si="56"/>
        <v/>
      </c>
      <c r="E201" s="35" t="str">
        <f t="shared" si="57"/>
        <v/>
      </c>
      <c r="F201" s="35" t="str">
        <f t="shared" si="58"/>
        <v/>
      </c>
      <c r="G201" s="33" t="str">
        <f t="shared" si="59"/>
        <v/>
      </c>
      <c r="H201" s="35" t="str">
        <f t="shared" si="60"/>
        <v/>
      </c>
      <c r="I201" s="35" t="str">
        <f t="shared" si="61"/>
        <v/>
      </c>
      <c r="J201" s="35" t="str">
        <f t="shared" si="62"/>
        <v/>
      </c>
      <c r="K201" s="35" t="str">
        <f t="shared" si="63"/>
        <v/>
      </c>
      <c r="L201" s="35" t="str">
        <f t="shared" si="64"/>
        <v/>
      </c>
      <c r="M201" s="35" t="str">
        <f t="shared" si="65"/>
        <v/>
      </c>
      <c r="N201" s="36" t="str">
        <f t="shared" si="66"/>
        <v/>
      </c>
      <c r="O201" s="35" t="str">
        <f t="shared" si="67"/>
        <v/>
      </c>
      <c r="P201" s="35" t="str">
        <f t="shared" si="68"/>
        <v/>
      </c>
      <c r="Q201" s="35" t="str">
        <f t="shared" si="69"/>
        <v/>
      </c>
      <c r="R201" s="35" t="str">
        <f t="shared" si="70"/>
        <v/>
      </c>
      <c r="S201" s="33" t="str">
        <f t="shared" si="71"/>
        <v/>
      </c>
    </row>
    <row r="202" spans="1:19" x14ac:dyDescent="0.3">
      <c r="A202" s="33">
        <f>198</f>
        <v>198</v>
      </c>
      <c r="B202" s="34" t="str">
        <f t="shared" si="54"/>
        <v/>
      </c>
      <c r="C202" s="33" t="str">
        <f t="shared" si="55"/>
        <v/>
      </c>
      <c r="D202" s="33" t="str">
        <f t="shared" si="56"/>
        <v/>
      </c>
      <c r="E202" s="35" t="str">
        <f t="shared" si="57"/>
        <v/>
      </c>
      <c r="F202" s="35" t="str">
        <f t="shared" si="58"/>
        <v/>
      </c>
      <c r="G202" s="33" t="str">
        <f t="shared" si="59"/>
        <v/>
      </c>
      <c r="H202" s="35" t="str">
        <f t="shared" si="60"/>
        <v/>
      </c>
      <c r="I202" s="35" t="str">
        <f t="shared" si="61"/>
        <v/>
      </c>
      <c r="J202" s="35" t="str">
        <f t="shared" si="62"/>
        <v/>
      </c>
      <c r="K202" s="35" t="str">
        <f t="shared" si="63"/>
        <v/>
      </c>
      <c r="L202" s="35" t="str">
        <f t="shared" si="64"/>
        <v/>
      </c>
      <c r="M202" s="35" t="str">
        <f t="shared" si="65"/>
        <v/>
      </c>
      <c r="N202" s="36" t="str">
        <f t="shared" si="66"/>
        <v/>
      </c>
      <c r="O202" s="35" t="str">
        <f t="shared" si="67"/>
        <v/>
      </c>
      <c r="P202" s="35" t="str">
        <f t="shared" si="68"/>
        <v/>
      </c>
      <c r="Q202" s="35" t="str">
        <f t="shared" si="69"/>
        <v/>
      </c>
      <c r="R202" s="35" t="str">
        <f t="shared" si="70"/>
        <v/>
      </c>
      <c r="S202" s="33" t="str">
        <f t="shared" si="71"/>
        <v/>
      </c>
    </row>
    <row r="203" spans="1:19" x14ac:dyDescent="0.3">
      <c r="A203" s="33">
        <f>199</f>
        <v>199</v>
      </c>
      <c r="B203" s="34" t="str">
        <f t="shared" si="54"/>
        <v/>
      </c>
      <c r="C203" s="33" t="str">
        <f t="shared" si="55"/>
        <v/>
      </c>
      <c r="D203" s="33" t="str">
        <f t="shared" si="56"/>
        <v/>
      </c>
      <c r="E203" s="35" t="str">
        <f t="shared" si="57"/>
        <v/>
      </c>
      <c r="F203" s="35" t="str">
        <f t="shared" si="58"/>
        <v/>
      </c>
      <c r="G203" s="33" t="str">
        <f t="shared" si="59"/>
        <v/>
      </c>
      <c r="H203" s="35" t="str">
        <f t="shared" si="60"/>
        <v/>
      </c>
      <c r="I203" s="35" t="str">
        <f t="shared" si="61"/>
        <v/>
      </c>
      <c r="J203" s="35" t="str">
        <f t="shared" si="62"/>
        <v/>
      </c>
      <c r="K203" s="35" t="str">
        <f t="shared" si="63"/>
        <v/>
      </c>
      <c r="L203" s="35" t="str">
        <f t="shared" si="64"/>
        <v/>
      </c>
      <c r="M203" s="35" t="str">
        <f t="shared" si="65"/>
        <v/>
      </c>
      <c r="N203" s="36" t="str">
        <f t="shared" si="66"/>
        <v/>
      </c>
      <c r="O203" s="35" t="str">
        <f t="shared" si="67"/>
        <v/>
      </c>
      <c r="P203" s="35" t="str">
        <f t="shared" si="68"/>
        <v/>
      </c>
      <c r="Q203" s="35" t="str">
        <f t="shared" si="69"/>
        <v/>
      </c>
      <c r="R203" s="35" t="str">
        <f t="shared" si="70"/>
        <v/>
      </c>
      <c r="S203" s="33" t="str">
        <f t="shared" si="71"/>
        <v/>
      </c>
    </row>
    <row r="204" spans="1:19" x14ac:dyDescent="0.3">
      <c r="A204" s="33">
        <f>200</f>
        <v>200</v>
      </c>
      <c r="B204" s="34" t="str">
        <f t="shared" si="54"/>
        <v/>
      </c>
      <c r="C204" s="33" t="str">
        <f t="shared" si="55"/>
        <v/>
      </c>
      <c r="D204" s="33" t="str">
        <f t="shared" si="56"/>
        <v/>
      </c>
      <c r="E204" s="35" t="str">
        <f t="shared" si="57"/>
        <v/>
      </c>
      <c r="F204" s="35" t="str">
        <f t="shared" si="58"/>
        <v/>
      </c>
      <c r="G204" s="33" t="str">
        <f t="shared" si="59"/>
        <v/>
      </c>
      <c r="H204" s="35" t="str">
        <f t="shared" si="60"/>
        <v/>
      </c>
      <c r="I204" s="35" t="str">
        <f t="shared" si="61"/>
        <v/>
      </c>
      <c r="J204" s="35" t="str">
        <f t="shared" si="62"/>
        <v/>
      </c>
      <c r="K204" s="35" t="str">
        <f t="shared" si="63"/>
        <v/>
      </c>
      <c r="L204" s="35" t="str">
        <f t="shared" si="64"/>
        <v/>
      </c>
      <c r="M204" s="35" t="str">
        <f t="shared" si="65"/>
        <v/>
      </c>
      <c r="N204" s="36" t="str">
        <f t="shared" si="66"/>
        <v/>
      </c>
      <c r="O204" s="35" t="str">
        <f t="shared" si="67"/>
        <v/>
      </c>
      <c r="P204" s="35" t="str">
        <f t="shared" si="68"/>
        <v/>
      </c>
      <c r="Q204" s="35" t="str">
        <f t="shared" si="69"/>
        <v/>
      </c>
      <c r="R204" s="35" t="str">
        <f t="shared" si="70"/>
        <v/>
      </c>
      <c r="S204" s="33" t="str">
        <f t="shared" si="71"/>
        <v/>
      </c>
    </row>
    <row r="205" spans="1:19" x14ac:dyDescent="0.3">
      <c r="A205" s="33">
        <f>201</f>
        <v>201</v>
      </c>
      <c r="B205" s="34" t="str">
        <f t="shared" si="54"/>
        <v/>
      </c>
      <c r="C205" s="33" t="str">
        <f t="shared" si="55"/>
        <v/>
      </c>
      <c r="D205" s="33" t="str">
        <f t="shared" si="56"/>
        <v/>
      </c>
      <c r="E205" s="35" t="str">
        <f t="shared" si="57"/>
        <v/>
      </c>
      <c r="F205" s="35" t="str">
        <f t="shared" si="58"/>
        <v/>
      </c>
      <c r="G205" s="33" t="str">
        <f t="shared" si="59"/>
        <v/>
      </c>
      <c r="H205" s="35" t="str">
        <f t="shared" si="60"/>
        <v/>
      </c>
      <c r="I205" s="35" t="str">
        <f t="shared" si="61"/>
        <v/>
      </c>
      <c r="J205" s="35" t="str">
        <f t="shared" si="62"/>
        <v/>
      </c>
      <c r="K205" s="35" t="str">
        <f t="shared" si="63"/>
        <v/>
      </c>
      <c r="L205" s="35" t="str">
        <f t="shared" si="64"/>
        <v/>
      </c>
      <c r="M205" s="35" t="str">
        <f t="shared" si="65"/>
        <v/>
      </c>
      <c r="N205" s="36" t="str">
        <f t="shared" si="66"/>
        <v/>
      </c>
      <c r="O205" s="35" t="str">
        <f t="shared" si="67"/>
        <v/>
      </c>
      <c r="P205" s="35" t="str">
        <f t="shared" si="68"/>
        <v/>
      </c>
      <c r="Q205" s="35" t="str">
        <f t="shared" si="69"/>
        <v/>
      </c>
      <c r="R205" s="35" t="str">
        <f t="shared" si="70"/>
        <v/>
      </c>
      <c r="S205" s="33" t="str">
        <f t="shared" si="71"/>
        <v/>
      </c>
    </row>
    <row r="206" spans="1:19" x14ac:dyDescent="0.3">
      <c r="A206" s="33">
        <f>202</f>
        <v>202</v>
      </c>
      <c r="B206" s="34" t="str">
        <f t="shared" si="54"/>
        <v/>
      </c>
      <c r="C206" s="33" t="str">
        <f t="shared" si="55"/>
        <v/>
      </c>
      <c r="D206" s="33" t="str">
        <f t="shared" si="56"/>
        <v/>
      </c>
      <c r="E206" s="35" t="str">
        <f t="shared" si="57"/>
        <v/>
      </c>
      <c r="F206" s="35" t="str">
        <f t="shared" si="58"/>
        <v/>
      </c>
      <c r="G206" s="33" t="str">
        <f t="shared" si="59"/>
        <v/>
      </c>
      <c r="H206" s="35" t="str">
        <f t="shared" si="60"/>
        <v/>
      </c>
      <c r="I206" s="35" t="str">
        <f t="shared" si="61"/>
        <v/>
      </c>
      <c r="J206" s="35" t="str">
        <f t="shared" si="62"/>
        <v/>
      </c>
      <c r="K206" s="35" t="str">
        <f t="shared" si="63"/>
        <v/>
      </c>
      <c r="L206" s="35" t="str">
        <f t="shared" si="64"/>
        <v/>
      </c>
      <c r="M206" s="35" t="str">
        <f t="shared" si="65"/>
        <v/>
      </c>
      <c r="N206" s="36" t="str">
        <f t="shared" si="66"/>
        <v/>
      </c>
      <c r="O206" s="35" t="str">
        <f t="shared" si="67"/>
        <v/>
      </c>
      <c r="P206" s="35" t="str">
        <f t="shared" si="68"/>
        <v/>
      </c>
      <c r="Q206" s="35" t="str">
        <f t="shared" si="69"/>
        <v/>
      </c>
      <c r="R206" s="35" t="str">
        <f t="shared" si="70"/>
        <v/>
      </c>
      <c r="S206" s="33" t="str">
        <f t="shared" si="71"/>
        <v/>
      </c>
    </row>
    <row r="207" spans="1:19" x14ac:dyDescent="0.3">
      <c r="A207" s="33">
        <f>203</f>
        <v>203</v>
      </c>
      <c r="B207" s="34" t="str">
        <f t="shared" si="54"/>
        <v/>
      </c>
      <c r="C207" s="33" t="str">
        <f t="shared" si="55"/>
        <v/>
      </c>
      <c r="D207" s="33" t="str">
        <f t="shared" si="56"/>
        <v/>
      </c>
      <c r="E207" s="35" t="str">
        <f t="shared" si="57"/>
        <v/>
      </c>
      <c r="F207" s="35" t="str">
        <f t="shared" si="58"/>
        <v/>
      </c>
      <c r="G207" s="33" t="str">
        <f t="shared" si="59"/>
        <v/>
      </c>
      <c r="H207" s="35" t="str">
        <f t="shared" si="60"/>
        <v/>
      </c>
      <c r="I207" s="35" t="str">
        <f t="shared" si="61"/>
        <v/>
      </c>
      <c r="J207" s="35" t="str">
        <f t="shared" si="62"/>
        <v/>
      </c>
      <c r="K207" s="35" t="str">
        <f t="shared" si="63"/>
        <v/>
      </c>
      <c r="L207" s="35" t="str">
        <f t="shared" si="64"/>
        <v/>
      </c>
      <c r="M207" s="35" t="str">
        <f t="shared" si="65"/>
        <v/>
      </c>
      <c r="N207" s="36" t="str">
        <f t="shared" si="66"/>
        <v/>
      </c>
      <c r="O207" s="35" t="str">
        <f t="shared" si="67"/>
        <v/>
      </c>
      <c r="P207" s="35" t="str">
        <f t="shared" si="68"/>
        <v/>
      </c>
      <c r="Q207" s="35" t="str">
        <f t="shared" si="69"/>
        <v/>
      </c>
      <c r="R207" s="35" t="str">
        <f t="shared" si="70"/>
        <v/>
      </c>
      <c r="S207" s="33" t="str">
        <f t="shared" si="71"/>
        <v/>
      </c>
    </row>
    <row r="208" spans="1:19" x14ac:dyDescent="0.3">
      <c r="A208" s="37">
        <f>204</f>
        <v>204</v>
      </c>
      <c r="B208" s="38" t="str">
        <f t="shared" si="54"/>
        <v/>
      </c>
      <c r="C208" s="37" t="str">
        <f t="shared" si="55"/>
        <v/>
      </c>
      <c r="D208" s="37" t="str">
        <f t="shared" si="56"/>
        <v/>
      </c>
      <c r="E208" s="39" t="str">
        <f t="shared" si="57"/>
        <v/>
      </c>
      <c r="F208" s="39" t="str">
        <f t="shared" si="58"/>
        <v/>
      </c>
      <c r="G208" s="37" t="str">
        <f t="shared" si="59"/>
        <v/>
      </c>
      <c r="H208" s="39" t="str">
        <f t="shared" si="60"/>
        <v/>
      </c>
      <c r="I208" s="39" t="str">
        <f t="shared" si="61"/>
        <v/>
      </c>
      <c r="J208" s="39" t="str">
        <f t="shared" si="62"/>
        <v/>
      </c>
      <c r="K208" s="39" t="str">
        <f t="shared" si="63"/>
        <v/>
      </c>
      <c r="L208" s="39" t="str">
        <f t="shared" si="64"/>
        <v/>
      </c>
      <c r="M208" s="39" t="str">
        <f t="shared" si="65"/>
        <v/>
      </c>
      <c r="N208" s="40" t="str">
        <f t="shared" si="66"/>
        <v/>
      </c>
      <c r="O208" s="39" t="str">
        <f t="shared" si="67"/>
        <v/>
      </c>
      <c r="P208" s="39" t="str">
        <f t="shared" si="68"/>
        <v/>
      </c>
      <c r="Q208" s="39" t="str">
        <f t="shared" si="69"/>
        <v/>
      </c>
      <c r="R208" s="39" t="str">
        <f t="shared" si="70"/>
        <v/>
      </c>
      <c r="S208" s="37" t="str">
        <f t="shared" si="71"/>
        <v/>
      </c>
    </row>
    <row r="209" spans="1:19" x14ac:dyDescent="0.3">
      <c r="A209" s="33">
        <f>205</f>
        <v>205</v>
      </c>
      <c r="B209" s="34" t="str">
        <f t="shared" si="54"/>
        <v/>
      </c>
      <c r="C209" s="33" t="str">
        <f t="shared" si="55"/>
        <v/>
      </c>
      <c r="D209" s="33" t="str">
        <f t="shared" si="56"/>
        <v/>
      </c>
      <c r="E209" s="35" t="str">
        <f t="shared" si="57"/>
        <v/>
      </c>
      <c r="F209" s="35" t="str">
        <f t="shared" si="58"/>
        <v/>
      </c>
      <c r="G209" s="33" t="str">
        <f t="shared" si="59"/>
        <v/>
      </c>
      <c r="H209" s="35" t="str">
        <f t="shared" si="60"/>
        <v/>
      </c>
      <c r="I209" s="35" t="str">
        <f t="shared" si="61"/>
        <v/>
      </c>
      <c r="J209" s="35" t="str">
        <f t="shared" si="62"/>
        <v/>
      </c>
      <c r="K209" s="35" t="str">
        <f t="shared" si="63"/>
        <v/>
      </c>
      <c r="L209" s="35" t="str">
        <f t="shared" si="64"/>
        <v/>
      </c>
      <c r="M209" s="35" t="str">
        <f t="shared" si="65"/>
        <v/>
      </c>
      <c r="N209" s="36" t="str">
        <f t="shared" si="66"/>
        <v/>
      </c>
      <c r="O209" s="35" t="str">
        <f t="shared" si="67"/>
        <v/>
      </c>
      <c r="P209" s="35" t="str">
        <f t="shared" si="68"/>
        <v/>
      </c>
      <c r="Q209" s="35" t="str">
        <f t="shared" si="69"/>
        <v/>
      </c>
      <c r="R209" s="35" t="str">
        <f t="shared" si="70"/>
        <v/>
      </c>
      <c r="S209" s="33" t="str">
        <f t="shared" si="71"/>
        <v/>
      </c>
    </row>
    <row r="210" spans="1:19" x14ac:dyDescent="0.3">
      <c r="A210" s="33">
        <f>206</f>
        <v>206</v>
      </c>
      <c r="B210" s="34" t="str">
        <f t="shared" si="54"/>
        <v/>
      </c>
      <c r="C210" s="33" t="str">
        <f t="shared" si="55"/>
        <v/>
      </c>
      <c r="D210" s="33" t="str">
        <f t="shared" si="56"/>
        <v/>
      </c>
      <c r="E210" s="35" t="str">
        <f t="shared" si="57"/>
        <v/>
      </c>
      <c r="F210" s="35" t="str">
        <f t="shared" si="58"/>
        <v/>
      </c>
      <c r="G210" s="33" t="str">
        <f t="shared" si="59"/>
        <v/>
      </c>
      <c r="H210" s="35" t="str">
        <f t="shared" si="60"/>
        <v/>
      </c>
      <c r="I210" s="35" t="str">
        <f t="shared" si="61"/>
        <v/>
      </c>
      <c r="J210" s="35" t="str">
        <f t="shared" si="62"/>
        <v/>
      </c>
      <c r="K210" s="35" t="str">
        <f t="shared" si="63"/>
        <v/>
      </c>
      <c r="L210" s="35" t="str">
        <f t="shared" si="64"/>
        <v/>
      </c>
      <c r="M210" s="35" t="str">
        <f t="shared" si="65"/>
        <v/>
      </c>
      <c r="N210" s="36" t="str">
        <f t="shared" si="66"/>
        <v/>
      </c>
      <c r="O210" s="35" t="str">
        <f t="shared" si="67"/>
        <v/>
      </c>
      <c r="P210" s="35" t="str">
        <f t="shared" si="68"/>
        <v/>
      </c>
      <c r="Q210" s="35" t="str">
        <f t="shared" si="69"/>
        <v/>
      </c>
      <c r="R210" s="35" t="str">
        <f t="shared" si="70"/>
        <v/>
      </c>
      <c r="S210" s="33" t="str">
        <f t="shared" si="71"/>
        <v/>
      </c>
    </row>
    <row r="211" spans="1:19" x14ac:dyDescent="0.3">
      <c r="A211" s="33">
        <f>207</f>
        <v>207</v>
      </c>
      <c r="B211" s="34" t="str">
        <f t="shared" si="54"/>
        <v/>
      </c>
      <c r="C211" s="33" t="str">
        <f t="shared" si="55"/>
        <v/>
      </c>
      <c r="D211" s="33" t="str">
        <f t="shared" si="56"/>
        <v/>
      </c>
      <c r="E211" s="35" t="str">
        <f t="shared" si="57"/>
        <v/>
      </c>
      <c r="F211" s="35" t="str">
        <f t="shared" si="58"/>
        <v/>
      </c>
      <c r="G211" s="33" t="str">
        <f t="shared" si="59"/>
        <v/>
      </c>
      <c r="H211" s="35" t="str">
        <f t="shared" si="60"/>
        <v/>
      </c>
      <c r="I211" s="35" t="str">
        <f t="shared" si="61"/>
        <v/>
      </c>
      <c r="J211" s="35" t="str">
        <f t="shared" si="62"/>
        <v/>
      </c>
      <c r="K211" s="35" t="str">
        <f t="shared" si="63"/>
        <v/>
      </c>
      <c r="L211" s="35" t="str">
        <f t="shared" si="64"/>
        <v/>
      </c>
      <c r="M211" s="35" t="str">
        <f t="shared" si="65"/>
        <v/>
      </c>
      <c r="N211" s="36" t="str">
        <f t="shared" si="66"/>
        <v/>
      </c>
      <c r="O211" s="35" t="str">
        <f t="shared" si="67"/>
        <v/>
      </c>
      <c r="P211" s="35" t="str">
        <f t="shared" si="68"/>
        <v/>
      </c>
      <c r="Q211" s="35" t="str">
        <f t="shared" si="69"/>
        <v/>
      </c>
      <c r="R211" s="35" t="str">
        <f t="shared" si="70"/>
        <v/>
      </c>
      <c r="S211" s="33" t="str">
        <f t="shared" si="71"/>
        <v/>
      </c>
    </row>
    <row r="212" spans="1:19" x14ac:dyDescent="0.3">
      <c r="A212" s="33">
        <f>208</f>
        <v>208</v>
      </c>
      <c r="B212" s="34" t="str">
        <f t="shared" si="54"/>
        <v/>
      </c>
      <c r="C212" s="33" t="str">
        <f t="shared" si="55"/>
        <v/>
      </c>
      <c r="D212" s="33" t="str">
        <f t="shared" si="56"/>
        <v/>
      </c>
      <c r="E212" s="35" t="str">
        <f t="shared" si="57"/>
        <v/>
      </c>
      <c r="F212" s="35" t="str">
        <f t="shared" si="58"/>
        <v/>
      </c>
      <c r="G212" s="33" t="str">
        <f t="shared" si="59"/>
        <v/>
      </c>
      <c r="H212" s="35" t="str">
        <f t="shared" si="60"/>
        <v/>
      </c>
      <c r="I212" s="35" t="str">
        <f t="shared" si="61"/>
        <v/>
      </c>
      <c r="J212" s="35" t="str">
        <f t="shared" si="62"/>
        <v/>
      </c>
      <c r="K212" s="35" t="str">
        <f t="shared" si="63"/>
        <v/>
      </c>
      <c r="L212" s="35" t="str">
        <f t="shared" si="64"/>
        <v/>
      </c>
      <c r="M212" s="35" t="str">
        <f t="shared" si="65"/>
        <v/>
      </c>
      <c r="N212" s="36" t="str">
        <f t="shared" si="66"/>
        <v/>
      </c>
      <c r="O212" s="35" t="str">
        <f t="shared" si="67"/>
        <v/>
      </c>
      <c r="P212" s="35" t="str">
        <f t="shared" si="68"/>
        <v/>
      </c>
      <c r="Q212" s="35" t="str">
        <f t="shared" si="69"/>
        <v/>
      </c>
      <c r="R212" s="35" t="str">
        <f t="shared" si="70"/>
        <v/>
      </c>
      <c r="S212" s="33" t="str">
        <f t="shared" si="71"/>
        <v/>
      </c>
    </row>
    <row r="213" spans="1:19" x14ac:dyDescent="0.3">
      <c r="A213" s="33">
        <f>209</f>
        <v>209</v>
      </c>
      <c r="B213" s="34" t="str">
        <f t="shared" si="54"/>
        <v/>
      </c>
      <c r="C213" s="33" t="str">
        <f t="shared" si="55"/>
        <v/>
      </c>
      <c r="D213" s="33" t="str">
        <f t="shared" si="56"/>
        <v/>
      </c>
      <c r="E213" s="35" t="str">
        <f t="shared" si="57"/>
        <v/>
      </c>
      <c r="F213" s="35" t="str">
        <f t="shared" si="58"/>
        <v/>
      </c>
      <c r="G213" s="33" t="str">
        <f t="shared" si="59"/>
        <v/>
      </c>
      <c r="H213" s="35" t="str">
        <f t="shared" si="60"/>
        <v/>
      </c>
      <c r="I213" s="35" t="str">
        <f t="shared" si="61"/>
        <v/>
      </c>
      <c r="J213" s="35" t="str">
        <f t="shared" si="62"/>
        <v/>
      </c>
      <c r="K213" s="35" t="str">
        <f t="shared" si="63"/>
        <v/>
      </c>
      <c r="L213" s="35" t="str">
        <f t="shared" si="64"/>
        <v/>
      </c>
      <c r="M213" s="35" t="str">
        <f t="shared" si="65"/>
        <v/>
      </c>
      <c r="N213" s="36" t="str">
        <f t="shared" si="66"/>
        <v/>
      </c>
      <c r="O213" s="35" t="str">
        <f t="shared" si="67"/>
        <v/>
      </c>
      <c r="P213" s="35" t="str">
        <f t="shared" si="68"/>
        <v/>
      </c>
      <c r="Q213" s="35" t="str">
        <f t="shared" si="69"/>
        <v/>
      </c>
      <c r="R213" s="35" t="str">
        <f t="shared" si="70"/>
        <v/>
      </c>
      <c r="S213" s="33" t="str">
        <f t="shared" si="71"/>
        <v/>
      </c>
    </row>
    <row r="214" spans="1:19" x14ac:dyDescent="0.3">
      <c r="A214" s="33">
        <f>210</f>
        <v>210</v>
      </c>
      <c r="B214" s="34" t="str">
        <f t="shared" si="54"/>
        <v/>
      </c>
      <c r="C214" s="33" t="str">
        <f t="shared" si="55"/>
        <v/>
      </c>
      <c r="D214" s="33" t="str">
        <f t="shared" si="56"/>
        <v/>
      </c>
      <c r="E214" s="35" t="str">
        <f t="shared" si="57"/>
        <v/>
      </c>
      <c r="F214" s="35" t="str">
        <f t="shared" si="58"/>
        <v/>
      </c>
      <c r="G214" s="33" t="str">
        <f t="shared" si="59"/>
        <v/>
      </c>
      <c r="H214" s="35" t="str">
        <f t="shared" si="60"/>
        <v/>
      </c>
      <c r="I214" s="35" t="str">
        <f t="shared" si="61"/>
        <v/>
      </c>
      <c r="J214" s="35" t="str">
        <f t="shared" si="62"/>
        <v/>
      </c>
      <c r="K214" s="35" t="str">
        <f t="shared" si="63"/>
        <v/>
      </c>
      <c r="L214" s="35" t="str">
        <f t="shared" si="64"/>
        <v/>
      </c>
      <c r="M214" s="35" t="str">
        <f t="shared" si="65"/>
        <v/>
      </c>
      <c r="N214" s="36" t="str">
        <f t="shared" si="66"/>
        <v/>
      </c>
      <c r="O214" s="35" t="str">
        <f t="shared" si="67"/>
        <v/>
      </c>
      <c r="P214" s="35" t="str">
        <f t="shared" si="68"/>
        <v/>
      </c>
      <c r="Q214" s="35" t="str">
        <f t="shared" si="69"/>
        <v/>
      </c>
      <c r="R214" s="35" t="str">
        <f t="shared" si="70"/>
        <v/>
      </c>
      <c r="S214" s="33" t="str">
        <f t="shared" si="71"/>
        <v/>
      </c>
    </row>
    <row r="215" spans="1:19" x14ac:dyDescent="0.3">
      <c r="A215" s="33">
        <f>211</f>
        <v>211</v>
      </c>
      <c r="B215" s="34" t="str">
        <f t="shared" si="54"/>
        <v/>
      </c>
      <c r="C215" s="33" t="str">
        <f t="shared" si="55"/>
        <v/>
      </c>
      <c r="D215" s="33" t="str">
        <f t="shared" si="56"/>
        <v/>
      </c>
      <c r="E215" s="35" t="str">
        <f t="shared" si="57"/>
        <v/>
      </c>
      <c r="F215" s="35" t="str">
        <f t="shared" si="58"/>
        <v/>
      </c>
      <c r="G215" s="33" t="str">
        <f t="shared" si="59"/>
        <v/>
      </c>
      <c r="H215" s="35" t="str">
        <f t="shared" si="60"/>
        <v/>
      </c>
      <c r="I215" s="35" t="str">
        <f t="shared" si="61"/>
        <v/>
      </c>
      <c r="J215" s="35" t="str">
        <f t="shared" si="62"/>
        <v/>
      </c>
      <c r="K215" s="35" t="str">
        <f t="shared" si="63"/>
        <v/>
      </c>
      <c r="L215" s="35" t="str">
        <f t="shared" si="64"/>
        <v/>
      </c>
      <c r="M215" s="35" t="str">
        <f t="shared" si="65"/>
        <v/>
      </c>
      <c r="N215" s="36" t="str">
        <f t="shared" si="66"/>
        <v/>
      </c>
      <c r="O215" s="35" t="str">
        <f t="shared" si="67"/>
        <v/>
      </c>
      <c r="P215" s="35" t="str">
        <f t="shared" si="68"/>
        <v/>
      </c>
      <c r="Q215" s="35" t="str">
        <f t="shared" si="69"/>
        <v/>
      </c>
      <c r="R215" s="35" t="str">
        <f t="shared" si="70"/>
        <v/>
      </c>
      <c r="S215" s="33" t="str">
        <f t="shared" si="71"/>
        <v/>
      </c>
    </row>
    <row r="216" spans="1:19" x14ac:dyDescent="0.3">
      <c r="A216" s="33">
        <f>212</f>
        <v>212</v>
      </c>
      <c r="B216" s="34" t="str">
        <f t="shared" si="54"/>
        <v/>
      </c>
      <c r="C216" s="33" t="str">
        <f t="shared" si="55"/>
        <v/>
      </c>
      <c r="D216" s="33" t="str">
        <f t="shared" si="56"/>
        <v/>
      </c>
      <c r="E216" s="35" t="str">
        <f t="shared" si="57"/>
        <v/>
      </c>
      <c r="F216" s="35" t="str">
        <f t="shared" si="58"/>
        <v/>
      </c>
      <c r="G216" s="33" t="str">
        <f t="shared" si="59"/>
        <v/>
      </c>
      <c r="H216" s="35" t="str">
        <f t="shared" si="60"/>
        <v/>
      </c>
      <c r="I216" s="35" t="str">
        <f t="shared" si="61"/>
        <v/>
      </c>
      <c r="J216" s="35" t="str">
        <f t="shared" si="62"/>
        <v/>
      </c>
      <c r="K216" s="35" t="str">
        <f t="shared" si="63"/>
        <v/>
      </c>
      <c r="L216" s="35" t="str">
        <f t="shared" si="64"/>
        <v/>
      </c>
      <c r="M216" s="35" t="str">
        <f t="shared" si="65"/>
        <v/>
      </c>
      <c r="N216" s="36" t="str">
        <f t="shared" si="66"/>
        <v/>
      </c>
      <c r="O216" s="35" t="str">
        <f t="shared" si="67"/>
        <v/>
      </c>
      <c r="P216" s="35" t="str">
        <f t="shared" si="68"/>
        <v/>
      </c>
      <c r="Q216" s="35" t="str">
        <f t="shared" si="69"/>
        <v/>
      </c>
      <c r="R216" s="35" t="str">
        <f t="shared" si="70"/>
        <v/>
      </c>
      <c r="S216" s="33" t="str">
        <f t="shared" si="71"/>
        <v/>
      </c>
    </row>
    <row r="217" spans="1:19" x14ac:dyDescent="0.3">
      <c r="A217" s="33">
        <f>213</f>
        <v>213</v>
      </c>
      <c r="B217" s="34" t="str">
        <f t="shared" si="54"/>
        <v/>
      </c>
      <c r="C217" s="33" t="str">
        <f t="shared" si="55"/>
        <v/>
      </c>
      <c r="D217" s="33" t="str">
        <f t="shared" si="56"/>
        <v/>
      </c>
      <c r="E217" s="35" t="str">
        <f t="shared" si="57"/>
        <v/>
      </c>
      <c r="F217" s="35" t="str">
        <f t="shared" si="58"/>
        <v/>
      </c>
      <c r="G217" s="33" t="str">
        <f t="shared" si="59"/>
        <v/>
      </c>
      <c r="H217" s="35" t="str">
        <f t="shared" si="60"/>
        <v/>
      </c>
      <c r="I217" s="35" t="str">
        <f t="shared" si="61"/>
        <v/>
      </c>
      <c r="J217" s="35" t="str">
        <f t="shared" si="62"/>
        <v/>
      </c>
      <c r="K217" s="35" t="str">
        <f t="shared" si="63"/>
        <v/>
      </c>
      <c r="L217" s="35" t="str">
        <f t="shared" si="64"/>
        <v/>
      </c>
      <c r="M217" s="35" t="str">
        <f t="shared" si="65"/>
        <v/>
      </c>
      <c r="N217" s="36" t="str">
        <f t="shared" si="66"/>
        <v/>
      </c>
      <c r="O217" s="35" t="str">
        <f t="shared" si="67"/>
        <v/>
      </c>
      <c r="P217" s="35" t="str">
        <f t="shared" si="68"/>
        <v/>
      </c>
      <c r="Q217" s="35" t="str">
        <f t="shared" si="69"/>
        <v/>
      </c>
      <c r="R217" s="35" t="str">
        <f t="shared" si="70"/>
        <v/>
      </c>
      <c r="S217" s="33" t="str">
        <f t="shared" si="71"/>
        <v/>
      </c>
    </row>
    <row r="218" spans="1:19" x14ac:dyDescent="0.3">
      <c r="A218" s="33">
        <f>214</f>
        <v>214</v>
      </c>
      <c r="B218" s="34" t="str">
        <f t="shared" si="54"/>
        <v/>
      </c>
      <c r="C218" s="33" t="str">
        <f t="shared" si="55"/>
        <v/>
      </c>
      <c r="D218" s="33" t="str">
        <f t="shared" si="56"/>
        <v/>
      </c>
      <c r="E218" s="35" t="str">
        <f t="shared" si="57"/>
        <v/>
      </c>
      <c r="F218" s="35" t="str">
        <f t="shared" si="58"/>
        <v/>
      </c>
      <c r="G218" s="33" t="str">
        <f t="shared" si="59"/>
        <v/>
      </c>
      <c r="H218" s="35" t="str">
        <f t="shared" si="60"/>
        <v/>
      </c>
      <c r="I218" s="35" t="str">
        <f t="shared" si="61"/>
        <v/>
      </c>
      <c r="J218" s="35" t="str">
        <f t="shared" si="62"/>
        <v/>
      </c>
      <c r="K218" s="35" t="str">
        <f t="shared" si="63"/>
        <v/>
      </c>
      <c r="L218" s="35" t="str">
        <f t="shared" si="64"/>
        <v/>
      </c>
      <c r="M218" s="35" t="str">
        <f t="shared" si="65"/>
        <v/>
      </c>
      <c r="N218" s="36" t="str">
        <f t="shared" si="66"/>
        <v/>
      </c>
      <c r="O218" s="35" t="str">
        <f t="shared" si="67"/>
        <v/>
      </c>
      <c r="P218" s="35" t="str">
        <f t="shared" si="68"/>
        <v/>
      </c>
      <c r="Q218" s="35" t="str">
        <f t="shared" si="69"/>
        <v/>
      </c>
      <c r="R218" s="35" t="str">
        <f t="shared" si="70"/>
        <v/>
      </c>
      <c r="S218" s="33" t="str">
        <f t="shared" si="71"/>
        <v/>
      </c>
    </row>
    <row r="219" spans="1:19" x14ac:dyDescent="0.3">
      <c r="A219" s="33">
        <f>215</f>
        <v>215</v>
      </c>
      <c r="B219" s="34" t="str">
        <f t="shared" si="54"/>
        <v/>
      </c>
      <c r="C219" s="33" t="str">
        <f t="shared" si="55"/>
        <v/>
      </c>
      <c r="D219" s="33" t="str">
        <f t="shared" si="56"/>
        <v/>
      </c>
      <c r="E219" s="35" t="str">
        <f t="shared" si="57"/>
        <v/>
      </c>
      <c r="F219" s="35" t="str">
        <f t="shared" si="58"/>
        <v/>
      </c>
      <c r="G219" s="33" t="str">
        <f t="shared" si="59"/>
        <v/>
      </c>
      <c r="H219" s="35" t="str">
        <f t="shared" si="60"/>
        <v/>
      </c>
      <c r="I219" s="35" t="str">
        <f t="shared" si="61"/>
        <v/>
      </c>
      <c r="J219" s="35" t="str">
        <f t="shared" si="62"/>
        <v/>
      </c>
      <c r="K219" s="35" t="str">
        <f t="shared" si="63"/>
        <v/>
      </c>
      <c r="L219" s="35" t="str">
        <f t="shared" si="64"/>
        <v/>
      </c>
      <c r="M219" s="35" t="str">
        <f t="shared" si="65"/>
        <v/>
      </c>
      <c r="N219" s="36" t="str">
        <f t="shared" si="66"/>
        <v/>
      </c>
      <c r="O219" s="35" t="str">
        <f t="shared" si="67"/>
        <v/>
      </c>
      <c r="P219" s="35" t="str">
        <f t="shared" si="68"/>
        <v/>
      </c>
      <c r="Q219" s="35" t="str">
        <f t="shared" si="69"/>
        <v/>
      </c>
      <c r="R219" s="35" t="str">
        <f t="shared" si="70"/>
        <v/>
      </c>
      <c r="S219" s="33" t="str">
        <f t="shared" si="71"/>
        <v/>
      </c>
    </row>
    <row r="220" spans="1:19" x14ac:dyDescent="0.3">
      <c r="A220" s="37">
        <f>216</f>
        <v>216</v>
      </c>
      <c r="B220" s="38" t="str">
        <f t="shared" si="54"/>
        <v/>
      </c>
      <c r="C220" s="37" t="str">
        <f t="shared" si="55"/>
        <v/>
      </c>
      <c r="D220" s="37" t="str">
        <f t="shared" si="56"/>
        <v/>
      </c>
      <c r="E220" s="39" t="str">
        <f t="shared" si="57"/>
        <v/>
      </c>
      <c r="F220" s="39" t="str">
        <f t="shared" si="58"/>
        <v/>
      </c>
      <c r="G220" s="37" t="str">
        <f t="shared" si="59"/>
        <v/>
      </c>
      <c r="H220" s="39" t="str">
        <f t="shared" si="60"/>
        <v/>
      </c>
      <c r="I220" s="39" t="str">
        <f t="shared" si="61"/>
        <v/>
      </c>
      <c r="J220" s="39" t="str">
        <f t="shared" si="62"/>
        <v/>
      </c>
      <c r="K220" s="39" t="str">
        <f t="shared" si="63"/>
        <v/>
      </c>
      <c r="L220" s="39" t="str">
        <f t="shared" si="64"/>
        <v/>
      </c>
      <c r="M220" s="39" t="str">
        <f t="shared" si="65"/>
        <v/>
      </c>
      <c r="N220" s="40" t="str">
        <f t="shared" si="66"/>
        <v/>
      </c>
      <c r="O220" s="39" t="str">
        <f t="shared" si="67"/>
        <v/>
      </c>
      <c r="P220" s="39" t="str">
        <f t="shared" si="68"/>
        <v/>
      </c>
      <c r="Q220" s="39" t="str">
        <f t="shared" si="69"/>
        <v/>
      </c>
      <c r="R220" s="39" t="str">
        <f t="shared" si="70"/>
        <v/>
      </c>
      <c r="S220" s="37" t="str">
        <f t="shared" si="71"/>
        <v/>
      </c>
    </row>
    <row r="221" spans="1:19" x14ac:dyDescent="0.3">
      <c r="A221" s="33">
        <f>217</f>
        <v>217</v>
      </c>
      <c r="B221" s="34" t="str">
        <f t="shared" si="54"/>
        <v/>
      </c>
      <c r="C221" s="33" t="str">
        <f t="shared" si="55"/>
        <v/>
      </c>
      <c r="D221" s="33" t="str">
        <f t="shared" si="56"/>
        <v/>
      </c>
      <c r="E221" s="35" t="str">
        <f t="shared" si="57"/>
        <v/>
      </c>
      <c r="F221" s="35" t="str">
        <f t="shared" si="58"/>
        <v/>
      </c>
      <c r="G221" s="33" t="str">
        <f t="shared" si="59"/>
        <v/>
      </c>
      <c r="H221" s="35" t="str">
        <f t="shared" si="60"/>
        <v/>
      </c>
      <c r="I221" s="35" t="str">
        <f t="shared" si="61"/>
        <v/>
      </c>
      <c r="J221" s="35" t="str">
        <f t="shared" si="62"/>
        <v/>
      </c>
      <c r="K221" s="35" t="str">
        <f t="shared" si="63"/>
        <v/>
      </c>
      <c r="L221" s="35" t="str">
        <f t="shared" si="64"/>
        <v/>
      </c>
      <c r="M221" s="35" t="str">
        <f t="shared" si="65"/>
        <v/>
      </c>
      <c r="N221" s="36" t="str">
        <f t="shared" si="66"/>
        <v/>
      </c>
      <c r="O221" s="35" t="str">
        <f t="shared" si="67"/>
        <v/>
      </c>
      <c r="P221" s="35" t="str">
        <f t="shared" si="68"/>
        <v/>
      </c>
      <c r="Q221" s="35" t="str">
        <f t="shared" si="69"/>
        <v/>
      </c>
      <c r="R221" s="35" t="str">
        <f t="shared" si="70"/>
        <v/>
      </c>
      <c r="S221" s="33" t="str">
        <f t="shared" si="71"/>
        <v/>
      </c>
    </row>
    <row r="222" spans="1:19" x14ac:dyDescent="0.3">
      <c r="A222" s="33">
        <f>218</f>
        <v>218</v>
      </c>
      <c r="B222" s="34" t="str">
        <f t="shared" si="54"/>
        <v/>
      </c>
      <c r="C222" s="33" t="str">
        <f t="shared" si="55"/>
        <v/>
      </c>
      <c r="D222" s="33" t="str">
        <f t="shared" si="56"/>
        <v/>
      </c>
      <c r="E222" s="35" t="str">
        <f t="shared" si="57"/>
        <v/>
      </c>
      <c r="F222" s="35" t="str">
        <f t="shared" si="58"/>
        <v/>
      </c>
      <c r="G222" s="33" t="str">
        <f t="shared" si="59"/>
        <v/>
      </c>
      <c r="H222" s="35" t="str">
        <f t="shared" si="60"/>
        <v/>
      </c>
      <c r="I222" s="35" t="str">
        <f t="shared" si="61"/>
        <v/>
      </c>
      <c r="J222" s="35" t="str">
        <f t="shared" si="62"/>
        <v/>
      </c>
      <c r="K222" s="35" t="str">
        <f t="shared" si="63"/>
        <v/>
      </c>
      <c r="L222" s="35" t="str">
        <f t="shared" si="64"/>
        <v/>
      </c>
      <c r="M222" s="35" t="str">
        <f t="shared" si="65"/>
        <v/>
      </c>
      <c r="N222" s="36" t="str">
        <f t="shared" si="66"/>
        <v/>
      </c>
      <c r="O222" s="35" t="str">
        <f t="shared" si="67"/>
        <v/>
      </c>
      <c r="P222" s="35" t="str">
        <f t="shared" si="68"/>
        <v/>
      </c>
      <c r="Q222" s="35" t="str">
        <f t="shared" si="69"/>
        <v/>
      </c>
      <c r="R222" s="35" t="str">
        <f t="shared" si="70"/>
        <v/>
      </c>
      <c r="S222" s="33" t="str">
        <f t="shared" si="71"/>
        <v/>
      </c>
    </row>
    <row r="223" spans="1:19" x14ac:dyDescent="0.3">
      <c r="A223" s="33">
        <f>219</f>
        <v>219</v>
      </c>
      <c r="B223" s="34" t="str">
        <f t="shared" si="54"/>
        <v/>
      </c>
      <c r="C223" s="33" t="str">
        <f t="shared" si="55"/>
        <v/>
      </c>
      <c r="D223" s="33" t="str">
        <f t="shared" si="56"/>
        <v/>
      </c>
      <c r="E223" s="35" t="str">
        <f t="shared" si="57"/>
        <v/>
      </c>
      <c r="F223" s="35" t="str">
        <f t="shared" si="58"/>
        <v/>
      </c>
      <c r="G223" s="33" t="str">
        <f t="shared" si="59"/>
        <v/>
      </c>
      <c r="H223" s="35" t="str">
        <f t="shared" si="60"/>
        <v/>
      </c>
      <c r="I223" s="35" t="str">
        <f t="shared" si="61"/>
        <v/>
      </c>
      <c r="J223" s="35" t="str">
        <f t="shared" si="62"/>
        <v/>
      </c>
      <c r="K223" s="35" t="str">
        <f t="shared" si="63"/>
        <v/>
      </c>
      <c r="L223" s="35" t="str">
        <f t="shared" si="64"/>
        <v/>
      </c>
      <c r="M223" s="35" t="str">
        <f t="shared" si="65"/>
        <v/>
      </c>
      <c r="N223" s="36" t="str">
        <f t="shared" si="66"/>
        <v/>
      </c>
      <c r="O223" s="35" t="str">
        <f t="shared" si="67"/>
        <v/>
      </c>
      <c r="P223" s="35" t="str">
        <f t="shared" si="68"/>
        <v/>
      </c>
      <c r="Q223" s="35" t="str">
        <f t="shared" si="69"/>
        <v/>
      </c>
      <c r="R223" s="35" t="str">
        <f t="shared" si="70"/>
        <v/>
      </c>
      <c r="S223" s="33" t="str">
        <f t="shared" si="71"/>
        <v/>
      </c>
    </row>
    <row r="224" spans="1:19" x14ac:dyDescent="0.3">
      <c r="A224" s="33">
        <f>220</f>
        <v>220</v>
      </c>
      <c r="B224" s="34" t="str">
        <f t="shared" si="54"/>
        <v/>
      </c>
      <c r="C224" s="33" t="str">
        <f t="shared" si="55"/>
        <v/>
      </c>
      <c r="D224" s="33" t="str">
        <f t="shared" si="56"/>
        <v/>
      </c>
      <c r="E224" s="35" t="str">
        <f t="shared" si="57"/>
        <v/>
      </c>
      <c r="F224" s="35" t="str">
        <f t="shared" si="58"/>
        <v/>
      </c>
      <c r="G224" s="33" t="str">
        <f t="shared" si="59"/>
        <v/>
      </c>
      <c r="H224" s="35" t="str">
        <f t="shared" si="60"/>
        <v/>
      </c>
      <c r="I224" s="35" t="str">
        <f t="shared" si="61"/>
        <v/>
      </c>
      <c r="J224" s="35" t="str">
        <f t="shared" si="62"/>
        <v/>
      </c>
      <c r="K224" s="35" t="str">
        <f t="shared" si="63"/>
        <v/>
      </c>
      <c r="L224" s="35" t="str">
        <f t="shared" si="64"/>
        <v/>
      </c>
      <c r="M224" s="35" t="str">
        <f t="shared" si="65"/>
        <v/>
      </c>
      <c r="N224" s="36" t="str">
        <f t="shared" si="66"/>
        <v/>
      </c>
      <c r="O224" s="35" t="str">
        <f t="shared" si="67"/>
        <v/>
      </c>
      <c r="P224" s="35" t="str">
        <f t="shared" si="68"/>
        <v/>
      </c>
      <c r="Q224" s="35" t="str">
        <f t="shared" si="69"/>
        <v/>
      </c>
      <c r="R224" s="35" t="str">
        <f t="shared" si="70"/>
        <v/>
      </c>
      <c r="S224" s="33" t="str">
        <f t="shared" si="71"/>
        <v/>
      </c>
    </row>
    <row r="225" spans="1:19" x14ac:dyDescent="0.3">
      <c r="A225" s="33">
        <f>221</f>
        <v>221</v>
      </c>
      <c r="B225" s="34" t="str">
        <f t="shared" si="54"/>
        <v/>
      </c>
      <c r="C225" s="33" t="str">
        <f t="shared" si="55"/>
        <v/>
      </c>
      <c r="D225" s="33" t="str">
        <f t="shared" si="56"/>
        <v/>
      </c>
      <c r="E225" s="35" t="str">
        <f t="shared" si="57"/>
        <v/>
      </c>
      <c r="F225" s="35" t="str">
        <f t="shared" si="58"/>
        <v/>
      </c>
      <c r="G225" s="33" t="str">
        <f t="shared" si="59"/>
        <v/>
      </c>
      <c r="H225" s="35" t="str">
        <f t="shared" si="60"/>
        <v/>
      </c>
      <c r="I225" s="35" t="str">
        <f t="shared" si="61"/>
        <v/>
      </c>
      <c r="J225" s="35" t="str">
        <f t="shared" si="62"/>
        <v/>
      </c>
      <c r="K225" s="35" t="str">
        <f t="shared" si="63"/>
        <v/>
      </c>
      <c r="L225" s="35" t="str">
        <f t="shared" si="64"/>
        <v/>
      </c>
      <c r="M225" s="35" t="str">
        <f t="shared" si="65"/>
        <v/>
      </c>
      <c r="N225" s="36" t="str">
        <f t="shared" si="66"/>
        <v/>
      </c>
      <c r="O225" s="35" t="str">
        <f t="shared" si="67"/>
        <v/>
      </c>
      <c r="P225" s="35" t="str">
        <f t="shared" si="68"/>
        <v/>
      </c>
      <c r="Q225" s="35" t="str">
        <f t="shared" si="69"/>
        <v/>
      </c>
      <c r="R225" s="35" t="str">
        <f t="shared" si="70"/>
        <v/>
      </c>
      <c r="S225" s="33" t="str">
        <f t="shared" si="71"/>
        <v/>
      </c>
    </row>
    <row r="226" spans="1:19" x14ac:dyDescent="0.3">
      <c r="A226" s="33">
        <f>222</f>
        <v>222</v>
      </c>
      <c r="B226" s="34" t="str">
        <f t="shared" si="54"/>
        <v/>
      </c>
      <c r="C226" s="33" t="str">
        <f t="shared" si="55"/>
        <v/>
      </c>
      <c r="D226" s="33" t="str">
        <f t="shared" si="56"/>
        <v/>
      </c>
      <c r="E226" s="35" t="str">
        <f t="shared" si="57"/>
        <v/>
      </c>
      <c r="F226" s="35" t="str">
        <f t="shared" si="58"/>
        <v/>
      </c>
      <c r="G226" s="33" t="str">
        <f t="shared" si="59"/>
        <v/>
      </c>
      <c r="H226" s="35" t="str">
        <f t="shared" si="60"/>
        <v/>
      </c>
      <c r="I226" s="35" t="str">
        <f t="shared" si="61"/>
        <v/>
      </c>
      <c r="J226" s="35" t="str">
        <f t="shared" si="62"/>
        <v/>
      </c>
      <c r="K226" s="35" t="str">
        <f t="shared" si="63"/>
        <v/>
      </c>
      <c r="L226" s="35" t="str">
        <f t="shared" si="64"/>
        <v/>
      </c>
      <c r="M226" s="35" t="str">
        <f t="shared" si="65"/>
        <v/>
      </c>
      <c r="N226" s="36" t="str">
        <f t="shared" si="66"/>
        <v/>
      </c>
      <c r="O226" s="35" t="str">
        <f t="shared" si="67"/>
        <v/>
      </c>
      <c r="P226" s="35" t="str">
        <f t="shared" si="68"/>
        <v/>
      </c>
      <c r="Q226" s="35" t="str">
        <f t="shared" si="69"/>
        <v/>
      </c>
      <c r="R226" s="35" t="str">
        <f t="shared" si="70"/>
        <v/>
      </c>
      <c r="S226" s="33" t="str">
        <f t="shared" si="71"/>
        <v/>
      </c>
    </row>
    <row r="227" spans="1:19" x14ac:dyDescent="0.3">
      <c r="A227" s="33">
        <f>223</f>
        <v>223</v>
      </c>
      <c r="B227" s="34" t="str">
        <f t="shared" si="54"/>
        <v/>
      </c>
      <c r="C227" s="33" t="str">
        <f t="shared" si="55"/>
        <v/>
      </c>
      <c r="D227" s="33" t="str">
        <f t="shared" si="56"/>
        <v/>
      </c>
      <c r="E227" s="35" t="str">
        <f t="shared" si="57"/>
        <v/>
      </c>
      <c r="F227" s="35" t="str">
        <f t="shared" si="58"/>
        <v/>
      </c>
      <c r="G227" s="33" t="str">
        <f t="shared" si="59"/>
        <v/>
      </c>
      <c r="H227" s="35" t="str">
        <f t="shared" si="60"/>
        <v/>
      </c>
      <c r="I227" s="35" t="str">
        <f t="shared" si="61"/>
        <v/>
      </c>
      <c r="J227" s="35" t="str">
        <f t="shared" si="62"/>
        <v/>
      </c>
      <c r="K227" s="35" t="str">
        <f t="shared" si="63"/>
        <v/>
      </c>
      <c r="L227" s="35" t="str">
        <f t="shared" si="64"/>
        <v/>
      </c>
      <c r="M227" s="35" t="str">
        <f t="shared" si="65"/>
        <v/>
      </c>
      <c r="N227" s="36" t="str">
        <f t="shared" si="66"/>
        <v/>
      </c>
      <c r="O227" s="35" t="str">
        <f t="shared" si="67"/>
        <v/>
      </c>
      <c r="P227" s="35" t="str">
        <f t="shared" si="68"/>
        <v/>
      </c>
      <c r="Q227" s="35" t="str">
        <f t="shared" si="69"/>
        <v/>
      </c>
      <c r="R227" s="35" t="str">
        <f t="shared" si="70"/>
        <v/>
      </c>
      <c r="S227" s="33" t="str">
        <f t="shared" si="71"/>
        <v/>
      </c>
    </row>
    <row r="228" spans="1:19" x14ac:dyDescent="0.3">
      <c r="A228" s="33">
        <f>224</f>
        <v>224</v>
      </c>
      <c r="B228" s="34" t="str">
        <f t="shared" si="54"/>
        <v/>
      </c>
      <c r="C228" s="33" t="str">
        <f t="shared" si="55"/>
        <v/>
      </c>
      <c r="D228" s="33" t="str">
        <f t="shared" si="56"/>
        <v/>
      </c>
      <c r="E228" s="35" t="str">
        <f t="shared" si="57"/>
        <v/>
      </c>
      <c r="F228" s="35" t="str">
        <f t="shared" si="58"/>
        <v/>
      </c>
      <c r="G228" s="33" t="str">
        <f t="shared" si="59"/>
        <v/>
      </c>
      <c r="H228" s="35" t="str">
        <f t="shared" si="60"/>
        <v/>
      </c>
      <c r="I228" s="35" t="str">
        <f t="shared" si="61"/>
        <v/>
      </c>
      <c r="J228" s="35" t="str">
        <f t="shared" si="62"/>
        <v/>
      </c>
      <c r="K228" s="35" t="str">
        <f t="shared" si="63"/>
        <v/>
      </c>
      <c r="L228" s="35" t="str">
        <f t="shared" si="64"/>
        <v/>
      </c>
      <c r="M228" s="35" t="str">
        <f t="shared" si="65"/>
        <v/>
      </c>
      <c r="N228" s="36" t="str">
        <f t="shared" si="66"/>
        <v/>
      </c>
      <c r="O228" s="35" t="str">
        <f t="shared" si="67"/>
        <v/>
      </c>
      <c r="P228" s="35" t="str">
        <f t="shared" si="68"/>
        <v/>
      </c>
      <c r="Q228" s="35" t="str">
        <f t="shared" si="69"/>
        <v/>
      </c>
      <c r="R228" s="35" t="str">
        <f t="shared" si="70"/>
        <v/>
      </c>
      <c r="S228" s="33" t="str">
        <f t="shared" si="71"/>
        <v/>
      </c>
    </row>
    <row r="229" spans="1:19" x14ac:dyDescent="0.3">
      <c r="A229" s="33">
        <f>225</f>
        <v>225</v>
      </c>
      <c r="B229" s="34" t="str">
        <f t="shared" si="54"/>
        <v/>
      </c>
      <c r="C229" s="33" t="str">
        <f t="shared" si="55"/>
        <v/>
      </c>
      <c r="D229" s="33" t="str">
        <f t="shared" si="56"/>
        <v/>
      </c>
      <c r="E229" s="35" t="str">
        <f t="shared" si="57"/>
        <v/>
      </c>
      <c r="F229" s="35" t="str">
        <f t="shared" si="58"/>
        <v/>
      </c>
      <c r="G229" s="33" t="str">
        <f t="shared" si="59"/>
        <v/>
      </c>
      <c r="H229" s="35" t="str">
        <f t="shared" si="60"/>
        <v/>
      </c>
      <c r="I229" s="35" t="str">
        <f t="shared" si="61"/>
        <v/>
      </c>
      <c r="J229" s="35" t="str">
        <f t="shared" si="62"/>
        <v/>
      </c>
      <c r="K229" s="35" t="str">
        <f t="shared" si="63"/>
        <v/>
      </c>
      <c r="L229" s="35" t="str">
        <f t="shared" si="64"/>
        <v/>
      </c>
      <c r="M229" s="35" t="str">
        <f t="shared" si="65"/>
        <v/>
      </c>
      <c r="N229" s="36" t="str">
        <f t="shared" si="66"/>
        <v/>
      </c>
      <c r="O229" s="35" t="str">
        <f t="shared" si="67"/>
        <v/>
      </c>
      <c r="P229" s="35" t="str">
        <f t="shared" si="68"/>
        <v/>
      </c>
      <c r="Q229" s="35" t="str">
        <f t="shared" si="69"/>
        <v/>
      </c>
      <c r="R229" s="35" t="str">
        <f t="shared" si="70"/>
        <v/>
      </c>
      <c r="S229" s="33" t="str">
        <f t="shared" si="71"/>
        <v/>
      </c>
    </row>
    <row r="230" spans="1:19" x14ac:dyDescent="0.3">
      <c r="A230" s="33">
        <f>226</f>
        <v>226</v>
      </c>
      <c r="B230" s="34" t="str">
        <f t="shared" si="54"/>
        <v/>
      </c>
      <c r="C230" s="33" t="str">
        <f t="shared" si="55"/>
        <v/>
      </c>
      <c r="D230" s="33" t="str">
        <f t="shared" si="56"/>
        <v/>
      </c>
      <c r="E230" s="35" t="str">
        <f t="shared" si="57"/>
        <v/>
      </c>
      <c r="F230" s="35" t="str">
        <f t="shared" si="58"/>
        <v/>
      </c>
      <c r="G230" s="33" t="str">
        <f t="shared" si="59"/>
        <v/>
      </c>
      <c r="H230" s="35" t="str">
        <f t="shared" si="60"/>
        <v/>
      </c>
      <c r="I230" s="35" t="str">
        <f t="shared" si="61"/>
        <v/>
      </c>
      <c r="J230" s="35" t="str">
        <f t="shared" si="62"/>
        <v/>
      </c>
      <c r="K230" s="35" t="str">
        <f t="shared" si="63"/>
        <v/>
      </c>
      <c r="L230" s="35" t="str">
        <f t="shared" si="64"/>
        <v/>
      </c>
      <c r="M230" s="35" t="str">
        <f t="shared" si="65"/>
        <v/>
      </c>
      <c r="N230" s="36" t="str">
        <f t="shared" si="66"/>
        <v/>
      </c>
      <c r="O230" s="35" t="str">
        <f t="shared" si="67"/>
        <v/>
      </c>
      <c r="P230" s="35" t="str">
        <f t="shared" si="68"/>
        <v/>
      </c>
      <c r="Q230" s="35" t="str">
        <f t="shared" si="69"/>
        <v/>
      </c>
      <c r="R230" s="35" t="str">
        <f t="shared" si="70"/>
        <v/>
      </c>
      <c r="S230" s="33" t="str">
        <f t="shared" si="71"/>
        <v/>
      </c>
    </row>
    <row r="231" spans="1:19" x14ac:dyDescent="0.3">
      <c r="A231" s="33">
        <f>227</f>
        <v>227</v>
      </c>
      <c r="B231" s="34" t="str">
        <f t="shared" si="54"/>
        <v/>
      </c>
      <c r="C231" s="33" t="str">
        <f t="shared" si="55"/>
        <v/>
      </c>
      <c r="D231" s="33" t="str">
        <f t="shared" si="56"/>
        <v/>
      </c>
      <c r="E231" s="35" t="str">
        <f t="shared" si="57"/>
        <v/>
      </c>
      <c r="F231" s="35" t="str">
        <f t="shared" si="58"/>
        <v/>
      </c>
      <c r="G231" s="33" t="str">
        <f t="shared" si="59"/>
        <v/>
      </c>
      <c r="H231" s="35" t="str">
        <f t="shared" si="60"/>
        <v/>
      </c>
      <c r="I231" s="35" t="str">
        <f t="shared" si="61"/>
        <v/>
      </c>
      <c r="J231" s="35" t="str">
        <f t="shared" si="62"/>
        <v/>
      </c>
      <c r="K231" s="35" t="str">
        <f t="shared" si="63"/>
        <v/>
      </c>
      <c r="L231" s="35" t="str">
        <f t="shared" si="64"/>
        <v/>
      </c>
      <c r="M231" s="35" t="str">
        <f t="shared" si="65"/>
        <v/>
      </c>
      <c r="N231" s="36" t="str">
        <f t="shared" si="66"/>
        <v/>
      </c>
      <c r="O231" s="35" t="str">
        <f t="shared" si="67"/>
        <v/>
      </c>
      <c r="P231" s="35" t="str">
        <f t="shared" si="68"/>
        <v/>
      </c>
      <c r="Q231" s="35" t="str">
        <f t="shared" si="69"/>
        <v/>
      </c>
      <c r="R231" s="35" t="str">
        <f t="shared" si="70"/>
        <v/>
      </c>
      <c r="S231" s="33" t="str">
        <f t="shared" si="71"/>
        <v/>
      </c>
    </row>
    <row r="232" spans="1:19" x14ac:dyDescent="0.3">
      <c r="A232" s="37">
        <f>228</f>
        <v>228</v>
      </c>
      <c r="B232" s="38" t="str">
        <f t="shared" si="54"/>
        <v/>
      </c>
      <c r="C232" s="37" t="str">
        <f t="shared" si="55"/>
        <v/>
      </c>
      <c r="D232" s="37" t="str">
        <f t="shared" si="56"/>
        <v/>
      </c>
      <c r="E232" s="39" t="str">
        <f t="shared" si="57"/>
        <v/>
      </c>
      <c r="F232" s="39" t="str">
        <f t="shared" si="58"/>
        <v/>
      </c>
      <c r="G232" s="37" t="str">
        <f t="shared" si="59"/>
        <v/>
      </c>
      <c r="H232" s="39" t="str">
        <f t="shared" si="60"/>
        <v/>
      </c>
      <c r="I232" s="39" t="str">
        <f t="shared" si="61"/>
        <v/>
      </c>
      <c r="J232" s="39" t="str">
        <f t="shared" si="62"/>
        <v/>
      </c>
      <c r="K232" s="39" t="str">
        <f t="shared" si="63"/>
        <v/>
      </c>
      <c r="L232" s="39" t="str">
        <f t="shared" si="64"/>
        <v/>
      </c>
      <c r="M232" s="39" t="str">
        <f t="shared" si="65"/>
        <v/>
      </c>
      <c r="N232" s="40" t="str">
        <f t="shared" si="66"/>
        <v/>
      </c>
      <c r="O232" s="39" t="str">
        <f t="shared" si="67"/>
        <v/>
      </c>
      <c r="P232" s="39" t="str">
        <f t="shared" si="68"/>
        <v/>
      </c>
      <c r="Q232" s="39" t="str">
        <f t="shared" si="69"/>
        <v/>
      </c>
      <c r="R232" s="39" t="str">
        <f t="shared" si="70"/>
        <v/>
      </c>
      <c r="S232" s="37" t="str">
        <f t="shared" si="71"/>
        <v/>
      </c>
    </row>
    <row r="233" spans="1:19" x14ac:dyDescent="0.3">
      <c r="A233" s="33">
        <f>229</f>
        <v>229</v>
      </c>
      <c r="B233" s="34" t="str">
        <f t="shared" si="54"/>
        <v/>
      </c>
      <c r="C233" s="33" t="str">
        <f t="shared" si="55"/>
        <v/>
      </c>
      <c r="D233" s="33" t="str">
        <f t="shared" si="56"/>
        <v/>
      </c>
      <c r="E233" s="35" t="str">
        <f t="shared" si="57"/>
        <v/>
      </c>
      <c r="F233" s="35" t="str">
        <f t="shared" si="58"/>
        <v/>
      </c>
      <c r="G233" s="33" t="str">
        <f t="shared" si="59"/>
        <v/>
      </c>
      <c r="H233" s="35" t="str">
        <f t="shared" si="60"/>
        <v/>
      </c>
      <c r="I233" s="35" t="str">
        <f t="shared" si="61"/>
        <v/>
      </c>
      <c r="J233" s="35" t="str">
        <f t="shared" si="62"/>
        <v/>
      </c>
      <c r="K233" s="35" t="str">
        <f t="shared" si="63"/>
        <v/>
      </c>
      <c r="L233" s="35" t="str">
        <f t="shared" si="64"/>
        <v/>
      </c>
      <c r="M233" s="35" t="str">
        <f t="shared" si="65"/>
        <v/>
      </c>
      <c r="N233" s="36" t="str">
        <f t="shared" si="66"/>
        <v/>
      </c>
      <c r="O233" s="35" t="str">
        <f t="shared" si="67"/>
        <v/>
      </c>
      <c r="P233" s="35" t="str">
        <f t="shared" si="68"/>
        <v/>
      </c>
      <c r="Q233" s="35" t="str">
        <f t="shared" si="69"/>
        <v/>
      </c>
      <c r="R233" s="35" t="str">
        <f t="shared" si="70"/>
        <v/>
      </c>
      <c r="S233" s="33" t="str">
        <f t="shared" si="71"/>
        <v/>
      </c>
    </row>
    <row r="234" spans="1:19" x14ac:dyDescent="0.3">
      <c r="A234" s="33">
        <f>230</f>
        <v>230</v>
      </c>
      <c r="B234" s="34" t="str">
        <f t="shared" si="54"/>
        <v/>
      </c>
      <c r="C234" s="33" t="str">
        <f t="shared" si="55"/>
        <v/>
      </c>
      <c r="D234" s="33" t="str">
        <f t="shared" si="56"/>
        <v/>
      </c>
      <c r="E234" s="35" t="str">
        <f t="shared" si="57"/>
        <v/>
      </c>
      <c r="F234" s="35" t="str">
        <f t="shared" si="58"/>
        <v/>
      </c>
      <c r="G234" s="33" t="str">
        <f t="shared" si="59"/>
        <v/>
      </c>
      <c r="H234" s="35" t="str">
        <f t="shared" si="60"/>
        <v/>
      </c>
      <c r="I234" s="35" t="str">
        <f t="shared" si="61"/>
        <v/>
      </c>
      <c r="J234" s="35" t="str">
        <f t="shared" si="62"/>
        <v/>
      </c>
      <c r="K234" s="35" t="str">
        <f t="shared" si="63"/>
        <v/>
      </c>
      <c r="L234" s="35" t="str">
        <f t="shared" si="64"/>
        <v/>
      </c>
      <c r="M234" s="35" t="str">
        <f t="shared" si="65"/>
        <v/>
      </c>
      <c r="N234" s="36" t="str">
        <f t="shared" si="66"/>
        <v/>
      </c>
      <c r="O234" s="35" t="str">
        <f t="shared" si="67"/>
        <v/>
      </c>
      <c r="P234" s="35" t="str">
        <f t="shared" si="68"/>
        <v/>
      </c>
      <c r="Q234" s="35" t="str">
        <f t="shared" si="69"/>
        <v/>
      </c>
      <c r="R234" s="35" t="str">
        <f t="shared" si="70"/>
        <v/>
      </c>
      <c r="S234" s="33" t="str">
        <f t="shared" si="71"/>
        <v/>
      </c>
    </row>
    <row r="235" spans="1:19" x14ac:dyDescent="0.3">
      <c r="A235" s="33">
        <f>231</f>
        <v>231</v>
      </c>
      <c r="B235" s="34" t="str">
        <f t="shared" si="54"/>
        <v/>
      </c>
      <c r="C235" s="33" t="str">
        <f t="shared" si="55"/>
        <v/>
      </c>
      <c r="D235" s="33" t="str">
        <f t="shared" si="56"/>
        <v/>
      </c>
      <c r="E235" s="35" t="str">
        <f t="shared" si="57"/>
        <v/>
      </c>
      <c r="F235" s="35" t="str">
        <f t="shared" si="58"/>
        <v/>
      </c>
      <c r="G235" s="33" t="str">
        <f t="shared" si="59"/>
        <v/>
      </c>
      <c r="H235" s="35" t="str">
        <f t="shared" si="60"/>
        <v/>
      </c>
      <c r="I235" s="35" t="str">
        <f t="shared" si="61"/>
        <v/>
      </c>
      <c r="J235" s="35" t="str">
        <f t="shared" si="62"/>
        <v/>
      </c>
      <c r="K235" s="35" t="str">
        <f t="shared" si="63"/>
        <v/>
      </c>
      <c r="L235" s="35" t="str">
        <f t="shared" si="64"/>
        <v/>
      </c>
      <c r="M235" s="35" t="str">
        <f t="shared" si="65"/>
        <v/>
      </c>
      <c r="N235" s="36" t="str">
        <f t="shared" si="66"/>
        <v/>
      </c>
      <c r="O235" s="35" t="str">
        <f t="shared" si="67"/>
        <v/>
      </c>
      <c r="P235" s="35" t="str">
        <f t="shared" si="68"/>
        <v/>
      </c>
      <c r="Q235" s="35" t="str">
        <f t="shared" si="69"/>
        <v/>
      </c>
      <c r="R235" s="35" t="str">
        <f t="shared" si="70"/>
        <v/>
      </c>
      <c r="S235" s="33" t="str">
        <f t="shared" si="71"/>
        <v/>
      </c>
    </row>
    <row r="236" spans="1:19" x14ac:dyDescent="0.3">
      <c r="A236" s="33">
        <f>232</f>
        <v>232</v>
      </c>
      <c r="B236" s="34" t="str">
        <f t="shared" si="54"/>
        <v/>
      </c>
      <c r="C236" s="33" t="str">
        <f t="shared" si="55"/>
        <v/>
      </c>
      <c r="D236" s="33" t="str">
        <f t="shared" si="56"/>
        <v/>
      </c>
      <c r="E236" s="35" t="str">
        <f t="shared" si="57"/>
        <v/>
      </c>
      <c r="F236" s="35" t="str">
        <f t="shared" si="58"/>
        <v/>
      </c>
      <c r="G236" s="33" t="str">
        <f t="shared" si="59"/>
        <v/>
      </c>
      <c r="H236" s="35" t="str">
        <f t="shared" si="60"/>
        <v/>
      </c>
      <c r="I236" s="35" t="str">
        <f t="shared" si="61"/>
        <v/>
      </c>
      <c r="J236" s="35" t="str">
        <f t="shared" si="62"/>
        <v/>
      </c>
      <c r="K236" s="35" t="str">
        <f t="shared" si="63"/>
        <v/>
      </c>
      <c r="L236" s="35" t="str">
        <f t="shared" si="64"/>
        <v/>
      </c>
      <c r="M236" s="35" t="str">
        <f t="shared" si="65"/>
        <v/>
      </c>
      <c r="N236" s="36" t="str">
        <f t="shared" si="66"/>
        <v/>
      </c>
      <c r="O236" s="35" t="str">
        <f t="shared" si="67"/>
        <v/>
      </c>
      <c r="P236" s="35" t="str">
        <f t="shared" si="68"/>
        <v/>
      </c>
      <c r="Q236" s="35" t="str">
        <f t="shared" si="69"/>
        <v/>
      </c>
      <c r="R236" s="35" t="str">
        <f t="shared" si="70"/>
        <v/>
      </c>
      <c r="S236" s="33" t="str">
        <f t="shared" si="71"/>
        <v/>
      </c>
    </row>
    <row r="237" spans="1:19" x14ac:dyDescent="0.3">
      <c r="A237" s="33">
        <f>233</f>
        <v>233</v>
      </c>
      <c r="B237" s="34" t="str">
        <f t="shared" si="54"/>
        <v/>
      </c>
      <c r="C237" s="33" t="str">
        <f t="shared" si="55"/>
        <v/>
      </c>
      <c r="D237" s="33" t="str">
        <f t="shared" si="56"/>
        <v/>
      </c>
      <c r="E237" s="35" t="str">
        <f t="shared" si="57"/>
        <v/>
      </c>
      <c r="F237" s="35" t="str">
        <f t="shared" si="58"/>
        <v/>
      </c>
      <c r="G237" s="33" t="str">
        <f t="shared" si="59"/>
        <v/>
      </c>
      <c r="H237" s="35" t="str">
        <f t="shared" si="60"/>
        <v/>
      </c>
      <c r="I237" s="35" t="str">
        <f t="shared" si="61"/>
        <v/>
      </c>
      <c r="J237" s="35" t="str">
        <f t="shared" si="62"/>
        <v/>
      </c>
      <c r="K237" s="35" t="str">
        <f t="shared" si="63"/>
        <v/>
      </c>
      <c r="L237" s="35" t="str">
        <f t="shared" si="64"/>
        <v/>
      </c>
      <c r="M237" s="35" t="str">
        <f t="shared" si="65"/>
        <v/>
      </c>
      <c r="N237" s="36" t="str">
        <f t="shared" si="66"/>
        <v/>
      </c>
      <c r="O237" s="35" t="str">
        <f t="shared" si="67"/>
        <v/>
      </c>
      <c r="P237" s="35" t="str">
        <f t="shared" si="68"/>
        <v/>
      </c>
      <c r="Q237" s="35" t="str">
        <f t="shared" si="69"/>
        <v/>
      </c>
      <c r="R237" s="35" t="str">
        <f t="shared" si="70"/>
        <v/>
      </c>
      <c r="S237" s="33" t="str">
        <f t="shared" si="71"/>
        <v/>
      </c>
    </row>
    <row r="238" spans="1:19" x14ac:dyDescent="0.3">
      <c r="A238" s="33">
        <f>234</f>
        <v>234</v>
      </c>
      <c r="B238" s="34" t="str">
        <f t="shared" si="54"/>
        <v/>
      </c>
      <c r="C238" s="33" t="str">
        <f t="shared" si="55"/>
        <v/>
      </c>
      <c r="D238" s="33" t="str">
        <f t="shared" si="56"/>
        <v/>
      </c>
      <c r="E238" s="35" t="str">
        <f t="shared" si="57"/>
        <v/>
      </c>
      <c r="F238" s="35" t="str">
        <f t="shared" si="58"/>
        <v/>
      </c>
      <c r="G238" s="33" t="str">
        <f t="shared" si="59"/>
        <v/>
      </c>
      <c r="H238" s="35" t="str">
        <f t="shared" si="60"/>
        <v/>
      </c>
      <c r="I238" s="35" t="str">
        <f t="shared" si="61"/>
        <v/>
      </c>
      <c r="J238" s="35" t="str">
        <f t="shared" si="62"/>
        <v/>
      </c>
      <c r="K238" s="35" t="str">
        <f t="shared" si="63"/>
        <v/>
      </c>
      <c r="L238" s="35" t="str">
        <f t="shared" si="64"/>
        <v/>
      </c>
      <c r="M238" s="35" t="str">
        <f t="shared" si="65"/>
        <v/>
      </c>
      <c r="N238" s="36" t="str">
        <f t="shared" si="66"/>
        <v/>
      </c>
      <c r="O238" s="35" t="str">
        <f t="shared" si="67"/>
        <v/>
      </c>
      <c r="P238" s="35" t="str">
        <f t="shared" si="68"/>
        <v/>
      </c>
      <c r="Q238" s="35" t="str">
        <f t="shared" si="69"/>
        <v/>
      </c>
      <c r="R238" s="35" t="str">
        <f t="shared" si="70"/>
        <v/>
      </c>
      <c r="S238" s="33" t="str">
        <f t="shared" si="71"/>
        <v/>
      </c>
    </row>
    <row r="239" spans="1:19" x14ac:dyDescent="0.3">
      <c r="A239" s="33">
        <f>235</f>
        <v>235</v>
      </c>
      <c r="B239" s="34" t="str">
        <f t="shared" si="54"/>
        <v/>
      </c>
      <c r="C239" s="33" t="str">
        <f t="shared" si="55"/>
        <v/>
      </c>
      <c r="D239" s="33" t="str">
        <f t="shared" si="56"/>
        <v/>
      </c>
      <c r="E239" s="35" t="str">
        <f t="shared" si="57"/>
        <v/>
      </c>
      <c r="F239" s="35" t="str">
        <f t="shared" si="58"/>
        <v/>
      </c>
      <c r="G239" s="33" t="str">
        <f t="shared" si="59"/>
        <v/>
      </c>
      <c r="H239" s="35" t="str">
        <f t="shared" si="60"/>
        <v/>
      </c>
      <c r="I239" s="35" t="str">
        <f t="shared" si="61"/>
        <v/>
      </c>
      <c r="J239" s="35" t="str">
        <f t="shared" si="62"/>
        <v/>
      </c>
      <c r="K239" s="35" t="str">
        <f t="shared" si="63"/>
        <v/>
      </c>
      <c r="L239" s="35" t="str">
        <f t="shared" si="64"/>
        <v/>
      </c>
      <c r="M239" s="35" t="str">
        <f t="shared" si="65"/>
        <v/>
      </c>
      <c r="N239" s="36" t="str">
        <f t="shared" si="66"/>
        <v/>
      </c>
      <c r="O239" s="35" t="str">
        <f t="shared" si="67"/>
        <v/>
      </c>
      <c r="P239" s="35" t="str">
        <f t="shared" si="68"/>
        <v/>
      </c>
      <c r="Q239" s="35" t="str">
        <f t="shared" si="69"/>
        <v/>
      </c>
      <c r="R239" s="35" t="str">
        <f t="shared" si="70"/>
        <v/>
      </c>
      <c r="S239" s="33" t="str">
        <f t="shared" si="71"/>
        <v/>
      </c>
    </row>
    <row r="240" spans="1:19" x14ac:dyDescent="0.3">
      <c r="A240" s="33">
        <f>236</f>
        <v>236</v>
      </c>
      <c r="B240" s="34" t="str">
        <f t="shared" si="54"/>
        <v/>
      </c>
      <c r="C240" s="33" t="str">
        <f t="shared" si="55"/>
        <v/>
      </c>
      <c r="D240" s="33" t="str">
        <f t="shared" si="56"/>
        <v/>
      </c>
      <c r="E240" s="35" t="str">
        <f t="shared" si="57"/>
        <v/>
      </c>
      <c r="F240" s="35" t="str">
        <f t="shared" si="58"/>
        <v/>
      </c>
      <c r="G240" s="33" t="str">
        <f t="shared" si="59"/>
        <v/>
      </c>
      <c r="H240" s="35" t="str">
        <f t="shared" si="60"/>
        <v/>
      </c>
      <c r="I240" s="35" t="str">
        <f t="shared" si="61"/>
        <v/>
      </c>
      <c r="J240" s="35" t="str">
        <f t="shared" si="62"/>
        <v/>
      </c>
      <c r="K240" s="35" t="str">
        <f t="shared" si="63"/>
        <v/>
      </c>
      <c r="L240" s="35" t="str">
        <f t="shared" si="64"/>
        <v/>
      </c>
      <c r="M240" s="35" t="str">
        <f t="shared" si="65"/>
        <v/>
      </c>
      <c r="N240" s="36" t="str">
        <f t="shared" si="66"/>
        <v/>
      </c>
      <c r="O240" s="35" t="str">
        <f t="shared" si="67"/>
        <v/>
      </c>
      <c r="P240" s="35" t="str">
        <f t="shared" si="68"/>
        <v/>
      </c>
      <c r="Q240" s="35" t="str">
        <f t="shared" si="69"/>
        <v/>
      </c>
      <c r="R240" s="35" t="str">
        <f t="shared" si="70"/>
        <v/>
      </c>
      <c r="S240" s="33" t="str">
        <f t="shared" si="71"/>
        <v/>
      </c>
    </row>
    <row r="241" spans="1:19" x14ac:dyDescent="0.3">
      <c r="A241" s="33">
        <f>237</f>
        <v>237</v>
      </c>
      <c r="B241" s="34" t="str">
        <f t="shared" si="54"/>
        <v/>
      </c>
      <c r="C241" s="33" t="str">
        <f t="shared" si="55"/>
        <v/>
      </c>
      <c r="D241" s="33" t="str">
        <f t="shared" si="56"/>
        <v/>
      </c>
      <c r="E241" s="35" t="str">
        <f t="shared" si="57"/>
        <v/>
      </c>
      <c r="F241" s="35" t="str">
        <f t="shared" si="58"/>
        <v/>
      </c>
      <c r="G241" s="33" t="str">
        <f t="shared" si="59"/>
        <v/>
      </c>
      <c r="H241" s="35" t="str">
        <f t="shared" si="60"/>
        <v/>
      </c>
      <c r="I241" s="35" t="str">
        <f t="shared" si="61"/>
        <v/>
      </c>
      <c r="J241" s="35" t="str">
        <f t="shared" si="62"/>
        <v/>
      </c>
      <c r="K241" s="35" t="str">
        <f t="shared" si="63"/>
        <v/>
      </c>
      <c r="L241" s="35" t="str">
        <f t="shared" si="64"/>
        <v/>
      </c>
      <c r="M241" s="35" t="str">
        <f t="shared" si="65"/>
        <v/>
      </c>
      <c r="N241" s="36" t="str">
        <f t="shared" si="66"/>
        <v/>
      </c>
      <c r="O241" s="35" t="str">
        <f t="shared" si="67"/>
        <v/>
      </c>
      <c r="P241" s="35" t="str">
        <f t="shared" si="68"/>
        <v/>
      </c>
      <c r="Q241" s="35" t="str">
        <f t="shared" si="69"/>
        <v/>
      </c>
      <c r="R241" s="35" t="str">
        <f t="shared" si="70"/>
        <v/>
      </c>
      <c r="S241" s="33" t="str">
        <f t="shared" si="71"/>
        <v/>
      </c>
    </row>
    <row r="242" spans="1:19" x14ac:dyDescent="0.3">
      <c r="A242" s="33">
        <f>238</f>
        <v>238</v>
      </c>
      <c r="B242" s="34" t="str">
        <f t="shared" si="54"/>
        <v/>
      </c>
      <c r="C242" s="33" t="str">
        <f t="shared" si="55"/>
        <v/>
      </c>
      <c r="D242" s="33" t="str">
        <f t="shared" si="56"/>
        <v/>
      </c>
      <c r="E242" s="35" t="str">
        <f t="shared" si="57"/>
        <v/>
      </c>
      <c r="F242" s="35" t="str">
        <f t="shared" si="58"/>
        <v/>
      </c>
      <c r="G242" s="33" t="str">
        <f t="shared" si="59"/>
        <v/>
      </c>
      <c r="H242" s="35" t="str">
        <f t="shared" si="60"/>
        <v/>
      </c>
      <c r="I242" s="35" t="str">
        <f t="shared" si="61"/>
        <v/>
      </c>
      <c r="J242" s="35" t="str">
        <f t="shared" si="62"/>
        <v/>
      </c>
      <c r="K242" s="35" t="str">
        <f t="shared" si="63"/>
        <v/>
      </c>
      <c r="L242" s="35" t="str">
        <f t="shared" si="64"/>
        <v/>
      </c>
      <c r="M242" s="35" t="str">
        <f t="shared" si="65"/>
        <v/>
      </c>
      <c r="N242" s="36" t="str">
        <f t="shared" si="66"/>
        <v/>
      </c>
      <c r="O242" s="35" t="str">
        <f t="shared" si="67"/>
        <v/>
      </c>
      <c r="P242" s="35" t="str">
        <f t="shared" si="68"/>
        <v/>
      </c>
      <c r="Q242" s="35" t="str">
        <f t="shared" si="69"/>
        <v/>
      </c>
      <c r="R242" s="35" t="str">
        <f t="shared" si="70"/>
        <v/>
      </c>
      <c r="S242" s="33" t="str">
        <f t="shared" si="71"/>
        <v/>
      </c>
    </row>
    <row r="243" spans="1:19" x14ac:dyDescent="0.3">
      <c r="A243" s="33">
        <f>239</f>
        <v>239</v>
      </c>
      <c r="B243" s="34" t="str">
        <f t="shared" si="54"/>
        <v/>
      </c>
      <c r="C243" s="33" t="str">
        <f t="shared" si="55"/>
        <v/>
      </c>
      <c r="D243" s="33" t="str">
        <f t="shared" si="56"/>
        <v/>
      </c>
      <c r="E243" s="35" t="str">
        <f t="shared" si="57"/>
        <v/>
      </c>
      <c r="F243" s="35" t="str">
        <f t="shared" si="58"/>
        <v/>
      </c>
      <c r="G243" s="33" t="str">
        <f t="shared" si="59"/>
        <v/>
      </c>
      <c r="H243" s="35" t="str">
        <f t="shared" si="60"/>
        <v/>
      </c>
      <c r="I243" s="35" t="str">
        <f t="shared" si="61"/>
        <v/>
      </c>
      <c r="J243" s="35" t="str">
        <f t="shared" si="62"/>
        <v/>
      </c>
      <c r="K243" s="35" t="str">
        <f t="shared" si="63"/>
        <v/>
      </c>
      <c r="L243" s="35" t="str">
        <f t="shared" si="64"/>
        <v/>
      </c>
      <c r="M243" s="35" t="str">
        <f t="shared" si="65"/>
        <v/>
      </c>
      <c r="N243" s="36" t="str">
        <f t="shared" si="66"/>
        <v/>
      </c>
      <c r="O243" s="35" t="str">
        <f t="shared" si="67"/>
        <v/>
      </c>
      <c r="P243" s="35" t="str">
        <f t="shared" si="68"/>
        <v/>
      </c>
      <c r="Q243" s="35" t="str">
        <f t="shared" si="69"/>
        <v/>
      </c>
      <c r="R243" s="35" t="str">
        <f t="shared" si="70"/>
        <v/>
      </c>
      <c r="S243" s="33" t="str">
        <f t="shared" si="71"/>
        <v/>
      </c>
    </row>
    <row r="244" spans="1:19" x14ac:dyDescent="0.3">
      <c r="A244" s="37">
        <f>240</f>
        <v>240</v>
      </c>
      <c r="B244" s="38" t="str">
        <f t="shared" si="54"/>
        <v/>
      </c>
      <c r="C244" s="37" t="str">
        <f t="shared" si="55"/>
        <v/>
      </c>
      <c r="D244" s="37" t="str">
        <f t="shared" si="56"/>
        <v/>
      </c>
      <c r="E244" s="39" t="str">
        <f t="shared" si="57"/>
        <v/>
      </c>
      <c r="F244" s="39" t="str">
        <f t="shared" si="58"/>
        <v/>
      </c>
      <c r="G244" s="37" t="str">
        <f t="shared" si="59"/>
        <v/>
      </c>
      <c r="H244" s="39" t="str">
        <f t="shared" si="60"/>
        <v/>
      </c>
      <c r="I244" s="39" t="str">
        <f t="shared" si="61"/>
        <v/>
      </c>
      <c r="J244" s="39" t="str">
        <f t="shared" si="62"/>
        <v/>
      </c>
      <c r="K244" s="39" t="str">
        <f t="shared" si="63"/>
        <v/>
      </c>
      <c r="L244" s="39" t="str">
        <f t="shared" si="64"/>
        <v/>
      </c>
      <c r="M244" s="39" t="str">
        <f t="shared" si="65"/>
        <v/>
      </c>
      <c r="N244" s="40" t="str">
        <f t="shared" si="66"/>
        <v/>
      </c>
      <c r="O244" s="39" t="str">
        <f t="shared" si="67"/>
        <v/>
      </c>
      <c r="P244" s="39" t="str">
        <f t="shared" si="68"/>
        <v/>
      </c>
      <c r="Q244" s="39" t="str">
        <f t="shared" si="69"/>
        <v/>
      </c>
      <c r="R244" s="39" t="str">
        <f t="shared" si="70"/>
        <v/>
      </c>
      <c r="S244" s="37" t="str">
        <f t="shared" si="71"/>
        <v/>
      </c>
    </row>
    <row r="245" spans="1:19" x14ac:dyDescent="0.3">
      <c r="A245" s="33">
        <f>241</f>
        <v>241</v>
      </c>
      <c r="B245" s="34" t="str">
        <f t="shared" si="54"/>
        <v/>
      </c>
      <c r="C245" s="33" t="str">
        <f t="shared" si="55"/>
        <v/>
      </c>
      <c r="D245" s="33" t="str">
        <f t="shared" si="56"/>
        <v/>
      </c>
      <c r="E245" s="35" t="str">
        <f t="shared" si="57"/>
        <v/>
      </c>
      <c r="F245" s="35" t="str">
        <f t="shared" si="58"/>
        <v/>
      </c>
      <c r="G245" s="33" t="str">
        <f t="shared" si="59"/>
        <v/>
      </c>
      <c r="H245" s="35" t="str">
        <f t="shared" si="60"/>
        <v/>
      </c>
      <c r="I245" s="35" t="str">
        <f t="shared" si="61"/>
        <v/>
      </c>
      <c r="J245" s="35" t="str">
        <f t="shared" si="62"/>
        <v/>
      </c>
      <c r="K245" s="35" t="str">
        <f t="shared" si="63"/>
        <v/>
      </c>
      <c r="L245" s="35" t="str">
        <f t="shared" si="64"/>
        <v/>
      </c>
      <c r="M245" s="35" t="str">
        <f t="shared" si="65"/>
        <v/>
      </c>
      <c r="N245" s="36" t="str">
        <f t="shared" si="66"/>
        <v/>
      </c>
      <c r="O245" s="35" t="str">
        <f t="shared" si="67"/>
        <v/>
      </c>
      <c r="P245" s="35" t="str">
        <f t="shared" si="68"/>
        <v/>
      </c>
      <c r="Q245" s="35" t="str">
        <f t="shared" si="69"/>
        <v/>
      </c>
      <c r="R245" s="35" t="str">
        <f t="shared" si="70"/>
        <v/>
      </c>
      <c r="S245" s="33" t="str">
        <f t="shared" si="71"/>
        <v/>
      </c>
    </row>
    <row r="246" spans="1:19" x14ac:dyDescent="0.3">
      <c r="A246" s="33">
        <f>242</f>
        <v>242</v>
      </c>
      <c r="B246" s="34" t="str">
        <f t="shared" si="54"/>
        <v/>
      </c>
      <c r="C246" s="33" t="str">
        <f t="shared" si="55"/>
        <v/>
      </c>
      <c r="D246" s="33" t="str">
        <f t="shared" si="56"/>
        <v/>
      </c>
      <c r="E246" s="35" t="str">
        <f t="shared" si="57"/>
        <v/>
      </c>
      <c r="F246" s="35" t="str">
        <f t="shared" si="58"/>
        <v/>
      </c>
      <c r="G246" s="33" t="str">
        <f t="shared" si="59"/>
        <v/>
      </c>
      <c r="H246" s="35" t="str">
        <f t="shared" si="60"/>
        <v/>
      </c>
      <c r="I246" s="35" t="str">
        <f t="shared" si="61"/>
        <v/>
      </c>
      <c r="J246" s="35" t="str">
        <f t="shared" si="62"/>
        <v/>
      </c>
      <c r="K246" s="35" t="str">
        <f t="shared" si="63"/>
        <v/>
      </c>
      <c r="L246" s="35" t="str">
        <f t="shared" si="64"/>
        <v/>
      </c>
      <c r="M246" s="35" t="str">
        <f t="shared" si="65"/>
        <v/>
      </c>
      <c r="N246" s="36" t="str">
        <f t="shared" si="66"/>
        <v/>
      </c>
      <c r="O246" s="35" t="str">
        <f t="shared" si="67"/>
        <v/>
      </c>
      <c r="P246" s="35" t="str">
        <f t="shared" si="68"/>
        <v/>
      </c>
      <c r="Q246" s="35" t="str">
        <f t="shared" si="69"/>
        <v/>
      </c>
      <c r="R246" s="35" t="str">
        <f t="shared" si="70"/>
        <v/>
      </c>
      <c r="S246" s="33" t="str">
        <f t="shared" si="71"/>
        <v/>
      </c>
    </row>
    <row r="247" spans="1:19" x14ac:dyDescent="0.3">
      <c r="A247" s="33">
        <f>243</f>
        <v>243</v>
      </c>
      <c r="B247" s="34" t="str">
        <f t="shared" si="54"/>
        <v/>
      </c>
      <c r="C247" s="33" t="str">
        <f t="shared" si="55"/>
        <v/>
      </c>
      <c r="D247" s="33" t="str">
        <f t="shared" si="56"/>
        <v/>
      </c>
      <c r="E247" s="35" t="str">
        <f t="shared" si="57"/>
        <v/>
      </c>
      <c r="F247" s="35" t="str">
        <f t="shared" si="58"/>
        <v/>
      </c>
      <c r="G247" s="33" t="str">
        <f t="shared" si="59"/>
        <v/>
      </c>
      <c r="H247" s="35" t="str">
        <f t="shared" si="60"/>
        <v/>
      </c>
      <c r="I247" s="35" t="str">
        <f t="shared" si="61"/>
        <v/>
      </c>
      <c r="J247" s="35" t="str">
        <f t="shared" si="62"/>
        <v/>
      </c>
      <c r="K247" s="35" t="str">
        <f t="shared" si="63"/>
        <v/>
      </c>
      <c r="L247" s="35" t="str">
        <f t="shared" si="64"/>
        <v/>
      </c>
      <c r="M247" s="35" t="str">
        <f t="shared" si="65"/>
        <v/>
      </c>
      <c r="N247" s="36" t="str">
        <f t="shared" si="66"/>
        <v/>
      </c>
      <c r="O247" s="35" t="str">
        <f t="shared" si="67"/>
        <v/>
      </c>
      <c r="P247" s="35" t="str">
        <f t="shared" si="68"/>
        <v/>
      </c>
      <c r="Q247" s="35" t="str">
        <f t="shared" si="69"/>
        <v/>
      </c>
      <c r="R247" s="35" t="str">
        <f t="shared" si="70"/>
        <v/>
      </c>
      <c r="S247" s="33" t="str">
        <f t="shared" si="71"/>
        <v/>
      </c>
    </row>
    <row r="248" spans="1:19" x14ac:dyDescent="0.3">
      <c r="A248" s="33">
        <f>244</f>
        <v>244</v>
      </c>
      <c r="B248" s="34" t="str">
        <f t="shared" si="54"/>
        <v/>
      </c>
      <c r="C248" s="33" t="str">
        <f t="shared" si="55"/>
        <v/>
      </c>
      <c r="D248" s="33" t="str">
        <f t="shared" si="56"/>
        <v/>
      </c>
      <c r="E248" s="35" t="str">
        <f t="shared" si="57"/>
        <v/>
      </c>
      <c r="F248" s="35" t="str">
        <f t="shared" si="58"/>
        <v/>
      </c>
      <c r="G248" s="33" t="str">
        <f t="shared" si="59"/>
        <v/>
      </c>
      <c r="H248" s="35" t="str">
        <f t="shared" si="60"/>
        <v/>
      </c>
      <c r="I248" s="35" t="str">
        <f t="shared" si="61"/>
        <v/>
      </c>
      <c r="J248" s="35" t="str">
        <f t="shared" si="62"/>
        <v/>
      </c>
      <c r="K248" s="35" t="str">
        <f t="shared" si="63"/>
        <v/>
      </c>
      <c r="L248" s="35" t="str">
        <f t="shared" si="64"/>
        <v/>
      </c>
      <c r="M248" s="35" t="str">
        <f t="shared" si="65"/>
        <v/>
      </c>
      <c r="N248" s="36" t="str">
        <f t="shared" si="66"/>
        <v/>
      </c>
      <c r="O248" s="35" t="str">
        <f t="shared" si="67"/>
        <v/>
      </c>
      <c r="P248" s="35" t="str">
        <f t="shared" si="68"/>
        <v/>
      </c>
      <c r="Q248" s="35" t="str">
        <f t="shared" si="69"/>
        <v/>
      </c>
      <c r="R248" s="35" t="str">
        <f t="shared" si="70"/>
        <v/>
      </c>
      <c r="S248" s="33" t="str">
        <f t="shared" si="71"/>
        <v/>
      </c>
    </row>
    <row r="249" spans="1:19" x14ac:dyDescent="0.3">
      <c r="A249" s="33">
        <f>245</f>
        <v>245</v>
      </c>
      <c r="B249" s="34" t="str">
        <f t="shared" si="54"/>
        <v/>
      </c>
      <c r="C249" s="33" t="str">
        <f t="shared" si="55"/>
        <v/>
      </c>
      <c r="D249" s="33" t="str">
        <f t="shared" si="56"/>
        <v/>
      </c>
      <c r="E249" s="35" t="str">
        <f t="shared" si="57"/>
        <v/>
      </c>
      <c r="F249" s="35" t="str">
        <f t="shared" si="58"/>
        <v/>
      </c>
      <c r="G249" s="33" t="str">
        <f t="shared" si="59"/>
        <v/>
      </c>
      <c r="H249" s="35" t="str">
        <f t="shared" si="60"/>
        <v/>
      </c>
      <c r="I249" s="35" t="str">
        <f t="shared" si="61"/>
        <v/>
      </c>
      <c r="J249" s="35" t="str">
        <f t="shared" si="62"/>
        <v/>
      </c>
      <c r="K249" s="35" t="str">
        <f t="shared" si="63"/>
        <v/>
      </c>
      <c r="L249" s="35" t="str">
        <f t="shared" si="64"/>
        <v/>
      </c>
      <c r="M249" s="35" t="str">
        <f t="shared" si="65"/>
        <v/>
      </c>
      <c r="N249" s="36" t="str">
        <f t="shared" si="66"/>
        <v/>
      </c>
      <c r="O249" s="35" t="str">
        <f t="shared" si="67"/>
        <v/>
      </c>
      <c r="P249" s="35" t="str">
        <f t="shared" si="68"/>
        <v/>
      </c>
      <c r="Q249" s="35" t="str">
        <f t="shared" si="69"/>
        <v/>
      </c>
      <c r="R249" s="35" t="str">
        <f t="shared" si="70"/>
        <v/>
      </c>
      <c r="S249" s="33" t="str">
        <f t="shared" si="71"/>
        <v/>
      </c>
    </row>
    <row r="250" spans="1:19" x14ac:dyDescent="0.3">
      <c r="A250" s="33">
        <f>246</f>
        <v>246</v>
      </c>
      <c r="B250" s="34" t="str">
        <f t="shared" si="54"/>
        <v/>
      </c>
      <c r="C250" s="33" t="str">
        <f t="shared" si="55"/>
        <v/>
      </c>
      <c r="D250" s="33" t="str">
        <f t="shared" si="56"/>
        <v/>
      </c>
      <c r="E250" s="35" t="str">
        <f t="shared" si="57"/>
        <v/>
      </c>
      <c r="F250" s="35" t="str">
        <f t="shared" si="58"/>
        <v/>
      </c>
      <c r="G250" s="33" t="str">
        <f t="shared" si="59"/>
        <v/>
      </c>
      <c r="H250" s="35" t="str">
        <f t="shared" si="60"/>
        <v/>
      </c>
      <c r="I250" s="35" t="str">
        <f t="shared" si="61"/>
        <v/>
      </c>
      <c r="J250" s="35" t="str">
        <f t="shared" si="62"/>
        <v/>
      </c>
      <c r="K250" s="35" t="str">
        <f t="shared" si="63"/>
        <v/>
      </c>
      <c r="L250" s="35" t="str">
        <f t="shared" si="64"/>
        <v/>
      </c>
      <c r="M250" s="35" t="str">
        <f t="shared" si="65"/>
        <v/>
      </c>
      <c r="N250" s="36" t="str">
        <f t="shared" si="66"/>
        <v/>
      </c>
      <c r="O250" s="35" t="str">
        <f t="shared" si="67"/>
        <v/>
      </c>
      <c r="P250" s="35" t="str">
        <f t="shared" si="68"/>
        <v/>
      </c>
      <c r="Q250" s="35" t="str">
        <f t="shared" si="69"/>
        <v/>
      </c>
      <c r="R250" s="35" t="str">
        <f t="shared" si="70"/>
        <v/>
      </c>
      <c r="S250" s="33" t="str">
        <f t="shared" si="71"/>
        <v/>
      </c>
    </row>
    <row r="251" spans="1:19" x14ac:dyDescent="0.3">
      <c r="A251" s="33">
        <f>247</f>
        <v>247</v>
      </c>
      <c r="B251" s="34" t="str">
        <f t="shared" si="54"/>
        <v/>
      </c>
      <c r="C251" s="33" t="str">
        <f t="shared" si="55"/>
        <v/>
      </c>
      <c r="D251" s="33" t="str">
        <f t="shared" si="56"/>
        <v/>
      </c>
      <c r="E251" s="35" t="str">
        <f t="shared" si="57"/>
        <v/>
      </c>
      <c r="F251" s="35" t="str">
        <f t="shared" si="58"/>
        <v/>
      </c>
      <c r="G251" s="33" t="str">
        <f t="shared" si="59"/>
        <v/>
      </c>
      <c r="H251" s="35" t="str">
        <f t="shared" si="60"/>
        <v/>
      </c>
      <c r="I251" s="35" t="str">
        <f t="shared" si="61"/>
        <v/>
      </c>
      <c r="J251" s="35" t="str">
        <f t="shared" si="62"/>
        <v/>
      </c>
      <c r="K251" s="35" t="str">
        <f t="shared" si="63"/>
        <v/>
      </c>
      <c r="L251" s="35" t="str">
        <f t="shared" si="64"/>
        <v/>
      </c>
      <c r="M251" s="35" t="str">
        <f t="shared" si="65"/>
        <v/>
      </c>
      <c r="N251" s="36" t="str">
        <f t="shared" si="66"/>
        <v/>
      </c>
      <c r="O251" s="35" t="str">
        <f t="shared" si="67"/>
        <v/>
      </c>
      <c r="P251" s="35" t="str">
        <f t="shared" si="68"/>
        <v/>
      </c>
      <c r="Q251" s="35" t="str">
        <f t="shared" si="69"/>
        <v/>
      </c>
      <c r="R251" s="35" t="str">
        <f t="shared" si="70"/>
        <v/>
      </c>
      <c r="S251" s="33" t="str">
        <f t="shared" si="71"/>
        <v/>
      </c>
    </row>
    <row r="252" spans="1:19" x14ac:dyDescent="0.3">
      <c r="A252" s="33">
        <f>248</f>
        <v>248</v>
      </c>
      <c r="B252" s="34" t="str">
        <f t="shared" si="54"/>
        <v/>
      </c>
      <c r="C252" s="33" t="str">
        <f t="shared" si="55"/>
        <v/>
      </c>
      <c r="D252" s="33" t="str">
        <f t="shared" si="56"/>
        <v/>
      </c>
      <c r="E252" s="35" t="str">
        <f t="shared" si="57"/>
        <v/>
      </c>
      <c r="F252" s="35" t="str">
        <f t="shared" si="58"/>
        <v/>
      </c>
      <c r="G252" s="33" t="str">
        <f t="shared" si="59"/>
        <v/>
      </c>
      <c r="H252" s="35" t="str">
        <f t="shared" si="60"/>
        <v/>
      </c>
      <c r="I252" s="35" t="str">
        <f t="shared" si="61"/>
        <v/>
      </c>
      <c r="J252" s="35" t="str">
        <f t="shared" si="62"/>
        <v/>
      </c>
      <c r="K252" s="35" t="str">
        <f t="shared" si="63"/>
        <v/>
      </c>
      <c r="L252" s="35" t="str">
        <f t="shared" si="64"/>
        <v/>
      </c>
      <c r="M252" s="35" t="str">
        <f t="shared" si="65"/>
        <v/>
      </c>
      <c r="N252" s="36" t="str">
        <f t="shared" si="66"/>
        <v/>
      </c>
      <c r="O252" s="35" t="str">
        <f t="shared" si="67"/>
        <v/>
      </c>
      <c r="P252" s="35" t="str">
        <f t="shared" si="68"/>
        <v/>
      </c>
      <c r="Q252" s="35" t="str">
        <f t="shared" si="69"/>
        <v/>
      </c>
      <c r="R252" s="35" t="str">
        <f t="shared" si="70"/>
        <v/>
      </c>
      <c r="S252" s="33" t="str">
        <f t="shared" si="71"/>
        <v/>
      </c>
    </row>
    <row r="253" spans="1:19" x14ac:dyDescent="0.3">
      <c r="A253" s="33">
        <f>249</f>
        <v>249</v>
      </c>
      <c r="B253" s="34" t="str">
        <f t="shared" si="54"/>
        <v/>
      </c>
      <c r="C253" s="33" t="str">
        <f t="shared" si="55"/>
        <v/>
      </c>
      <c r="D253" s="33" t="str">
        <f t="shared" si="56"/>
        <v/>
      </c>
      <c r="E253" s="35" t="str">
        <f t="shared" si="57"/>
        <v/>
      </c>
      <c r="F253" s="35" t="str">
        <f t="shared" si="58"/>
        <v/>
      </c>
      <c r="G253" s="33" t="str">
        <f t="shared" si="59"/>
        <v/>
      </c>
      <c r="H253" s="35" t="str">
        <f t="shared" si="60"/>
        <v/>
      </c>
      <c r="I253" s="35" t="str">
        <f t="shared" si="61"/>
        <v/>
      </c>
      <c r="J253" s="35" t="str">
        <f t="shared" si="62"/>
        <v/>
      </c>
      <c r="K253" s="35" t="str">
        <f t="shared" si="63"/>
        <v/>
      </c>
      <c r="L253" s="35" t="str">
        <f t="shared" si="64"/>
        <v/>
      </c>
      <c r="M253" s="35" t="str">
        <f t="shared" si="65"/>
        <v/>
      </c>
      <c r="N253" s="36" t="str">
        <f t="shared" si="66"/>
        <v/>
      </c>
      <c r="O253" s="35" t="str">
        <f t="shared" si="67"/>
        <v/>
      </c>
      <c r="P253" s="35" t="str">
        <f t="shared" si="68"/>
        <v/>
      </c>
      <c r="Q253" s="35" t="str">
        <f t="shared" si="69"/>
        <v/>
      </c>
      <c r="R253" s="35" t="str">
        <f t="shared" si="70"/>
        <v/>
      </c>
      <c r="S253" s="33" t="str">
        <f t="shared" si="71"/>
        <v/>
      </c>
    </row>
    <row r="254" spans="1:19" x14ac:dyDescent="0.3">
      <c r="A254" s="33">
        <f>250</f>
        <v>250</v>
      </c>
      <c r="B254" s="34" t="str">
        <f t="shared" si="54"/>
        <v/>
      </c>
      <c r="C254" s="33" t="str">
        <f t="shared" si="55"/>
        <v/>
      </c>
      <c r="D254" s="33" t="str">
        <f t="shared" si="56"/>
        <v/>
      </c>
      <c r="E254" s="35" t="str">
        <f t="shared" si="57"/>
        <v/>
      </c>
      <c r="F254" s="35" t="str">
        <f t="shared" si="58"/>
        <v/>
      </c>
      <c r="G254" s="33" t="str">
        <f t="shared" si="59"/>
        <v/>
      </c>
      <c r="H254" s="35" t="str">
        <f t="shared" si="60"/>
        <v/>
      </c>
      <c r="I254" s="35" t="str">
        <f t="shared" si="61"/>
        <v/>
      </c>
      <c r="J254" s="35" t="str">
        <f t="shared" si="62"/>
        <v/>
      </c>
      <c r="K254" s="35" t="str">
        <f t="shared" si="63"/>
        <v/>
      </c>
      <c r="L254" s="35" t="str">
        <f t="shared" si="64"/>
        <v/>
      </c>
      <c r="M254" s="35" t="str">
        <f t="shared" si="65"/>
        <v/>
      </c>
      <c r="N254" s="36" t="str">
        <f t="shared" si="66"/>
        <v/>
      </c>
      <c r="O254" s="35" t="str">
        <f t="shared" si="67"/>
        <v/>
      </c>
      <c r="P254" s="35" t="str">
        <f t="shared" si="68"/>
        <v/>
      </c>
      <c r="Q254" s="35" t="str">
        <f t="shared" si="69"/>
        <v/>
      </c>
      <c r="R254" s="35" t="str">
        <f t="shared" si="70"/>
        <v/>
      </c>
      <c r="S254" s="33" t="str">
        <f t="shared" si="71"/>
        <v/>
      </c>
    </row>
    <row r="255" spans="1:19" x14ac:dyDescent="0.3">
      <c r="A255" s="33">
        <f>251</f>
        <v>251</v>
      </c>
      <c r="B255" s="34" t="str">
        <f t="shared" si="54"/>
        <v/>
      </c>
      <c r="C255" s="33" t="str">
        <f t="shared" si="55"/>
        <v/>
      </c>
      <c r="D255" s="33" t="str">
        <f t="shared" si="56"/>
        <v/>
      </c>
      <c r="E255" s="35" t="str">
        <f t="shared" si="57"/>
        <v/>
      </c>
      <c r="F255" s="35" t="str">
        <f t="shared" si="58"/>
        <v/>
      </c>
      <c r="G255" s="33" t="str">
        <f t="shared" si="59"/>
        <v/>
      </c>
      <c r="H255" s="35" t="str">
        <f t="shared" si="60"/>
        <v/>
      </c>
      <c r="I255" s="35" t="str">
        <f t="shared" si="61"/>
        <v/>
      </c>
      <c r="J255" s="35" t="str">
        <f t="shared" si="62"/>
        <v/>
      </c>
      <c r="K255" s="35" t="str">
        <f t="shared" si="63"/>
        <v/>
      </c>
      <c r="L255" s="35" t="str">
        <f t="shared" si="64"/>
        <v/>
      </c>
      <c r="M255" s="35" t="str">
        <f t="shared" si="65"/>
        <v/>
      </c>
      <c r="N255" s="36" t="str">
        <f t="shared" si="66"/>
        <v/>
      </c>
      <c r="O255" s="35" t="str">
        <f t="shared" si="67"/>
        <v/>
      </c>
      <c r="P255" s="35" t="str">
        <f t="shared" si="68"/>
        <v/>
      </c>
      <c r="Q255" s="35" t="str">
        <f t="shared" si="69"/>
        <v/>
      </c>
      <c r="R255" s="35" t="str">
        <f t="shared" si="70"/>
        <v/>
      </c>
      <c r="S255" s="33" t="str">
        <f t="shared" si="71"/>
        <v/>
      </c>
    </row>
    <row r="256" spans="1:19" x14ac:dyDescent="0.3">
      <c r="A256" s="37">
        <f>252</f>
        <v>252</v>
      </c>
      <c r="B256" s="38" t="str">
        <f t="shared" si="54"/>
        <v/>
      </c>
      <c r="C256" s="37" t="str">
        <f t="shared" si="55"/>
        <v/>
      </c>
      <c r="D256" s="37" t="str">
        <f t="shared" si="56"/>
        <v/>
      </c>
      <c r="E256" s="39" t="str">
        <f t="shared" si="57"/>
        <v/>
      </c>
      <c r="F256" s="39" t="str">
        <f t="shared" si="58"/>
        <v/>
      </c>
      <c r="G256" s="37" t="str">
        <f t="shared" si="59"/>
        <v/>
      </c>
      <c r="H256" s="39" t="str">
        <f t="shared" si="60"/>
        <v/>
      </c>
      <c r="I256" s="39" t="str">
        <f t="shared" si="61"/>
        <v/>
      </c>
      <c r="J256" s="39" t="str">
        <f t="shared" si="62"/>
        <v/>
      </c>
      <c r="K256" s="39" t="str">
        <f t="shared" si="63"/>
        <v/>
      </c>
      <c r="L256" s="39" t="str">
        <f t="shared" si="64"/>
        <v/>
      </c>
      <c r="M256" s="39" t="str">
        <f t="shared" si="65"/>
        <v/>
      </c>
      <c r="N256" s="40" t="str">
        <f t="shared" si="66"/>
        <v/>
      </c>
      <c r="O256" s="39" t="str">
        <f t="shared" si="67"/>
        <v/>
      </c>
      <c r="P256" s="39" t="str">
        <f t="shared" si="68"/>
        <v/>
      </c>
      <c r="Q256" s="39" t="str">
        <f t="shared" si="69"/>
        <v/>
      </c>
      <c r="R256" s="39" t="str">
        <f t="shared" si="70"/>
        <v/>
      </c>
      <c r="S256" s="37" t="str">
        <f t="shared" si="71"/>
        <v/>
      </c>
    </row>
    <row r="257" spans="1:19" x14ac:dyDescent="0.3">
      <c r="A257" s="33">
        <f>253</f>
        <v>253</v>
      </c>
      <c r="B257" s="34" t="str">
        <f t="shared" si="54"/>
        <v/>
      </c>
      <c r="C257" s="33" t="str">
        <f t="shared" si="55"/>
        <v/>
      </c>
      <c r="D257" s="33" t="str">
        <f t="shared" si="56"/>
        <v/>
      </c>
      <c r="E257" s="35" t="str">
        <f t="shared" si="57"/>
        <v/>
      </c>
      <c r="F257" s="35" t="str">
        <f t="shared" si="58"/>
        <v/>
      </c>
      <c r="G257" s="33" t="str">
        <f t="shared" si="59"/>
        <v/>
      </c>
      <c r="H257" s="35" t="str">
        <f t="shared" si="60"/>
        <v/>
      </c>
      <c r="I257" s="35" t="str">
        <f t="shared" si="61"/>
        <v/>
      </c>
      <c r="J257" s="35" t="str">
        <f t="shared" si="62"/>
        <v/>
      </c>
      <c r="K257" s="35" t="str">
        <f t="shared" si="63"/>
        <v/>
      </c>
      <c r="L257" s="35" t="str">
        <f t="shared" si="64"/>
        <v/>
      </c>
      <c r="M257" s="35" t="str">
        <f t="shared" si="65"/>
        <v/>
      </c>
      <c r="N257" s="36" t="str">
        <f t="shared" si="66"/>
        <v/>
      </c>
      <c r="O257" s="35" t="str">
        <f t="shared" si="67"/>
        <v/>
      </c>
      <c r="P257" s="35" t="str">
        <f t="shared" si="68"/>
        <v/>
      </c>
      <c r="Q257" s="35" t="str">
        <f t="shared" si="69"/>
        <v/>
      </c>
      <c r="R257" s="35" t="str">
        <f t="shared" si="70"/>
        <v/>
      </c>
      <c r="S257" s="33" t="str">
        <f t="shared" si="71"/>
        <v/>
      </c>
    </row>
    <row r="258" spans="1:19" x14ac:dyDescent="0.3">
      <c r="A258" s="33">
        <f>254</f>
        <v>254</v>
      </c>
      <c r="B258" s="34" t="str">
        <f t="shared" si="54"/>
        <v/>
      </c>
      <c r="C258" s="33" t="str">
        <f t="shared" si="55"/>
        <v/>
      </c>
      <c r="D258" s="33" t="str">
        <f t="shared" si="56"/>
        <v/>
      </c>
      <c r="E258" s="35" t="str">
        <f t="shared" si="57"/>
        <v/>
      </c>
      <c r="F258" s="35" t="str">
        <f t="shared" si="58"/>
        <v/>
      </c>
      <c r="G258" s="33" t="str">
        <f t="shared" si="59"/>
        <v/>
      </c>
      <c r="H258" s="35" t="str">
        <f t="shared" si="60"/>
        <v/>
      </c>
      <c r="I258" s="35" t="str">
        <f t="shared" si="61"/>
        <v/>
      </c>
      <c r="J258" s="35" t="str">
        <f t="shared" si="62"/>
        <v/>
      </c>
      <c r="K258" s="35" t="str">
        <f t="shared" si="63"/>
        <v/>
      </c>
      <c r="L258" s="35" t="str">
        <f t="shared" si="64"/>
        <v/>
      </c>
      <c r="M258" s="35" t="str">
        <f t="shared" si="65"/>
        <v/>
      </c>
      <c r="N258" s="36" t="str">
        <f t="shared" si="66"/>
        <v/>
      </c>
      <c r="O258" s="35" t="str">
        <f t="shared" si="67"/>
        <v/>
      </c>
      <c r="P258" s="35" t="str">
        <f t="shared" si="68"/>
        <v/>
      </c>
      <c r="Q258" s="35" t="str">
        <f t="shared" si="69"/>
        <v/>
      </c>
      <c r="R258" s="35" t="str">
        <f t="shared" si="70"/>
        <v/>
      </c>
      <c r="S258" s="33" t="str">
        <f t="shared" si="71"/>
        <v/>
      </c>
    </row>
    <row r="259" spans="1:19" x14ac:dyDescent="0.3">
      <c r="A259" s="33">
        <f>255</f>
        <v>255</v>
      </c>
      <c r="B259" s="34" t="str">
        <f t="shared" si="54"/>
        <v/>
      </c>
      <c r="C259" s="33" t="str">
        <f t="shared" si="55"/>
        <v/>
      </c>
      <c r="D259" s="33" t="str">
        <f t="shared" si="56"/>
        <v/>
      </c>
      <c r="E259" s="35" t="str">
        <f t="shared" si="57"/>
        <v/>
      </c>
      <c r="F259" s="35" t="str">
        <f t="shared" si="58"/>
        <v/>
      </c>
      <c r="G259" s="33" t="str">
        <f t="shared" si="59"/>
        <v/>
      </c>
      <c r="H259" s="35" t="str">
        <f t="shared" si="60"/>
        <v/>
      </c>
      <c r="I259" s="35" t="str">
        <f t="shared" si="61"/>
        <v/>
      </c>
      <c r="J259" s="35" t="str">
        <f t="shared" si="62"/>
        <v/>
      </c>
      <c r="K259" s="35" t="str">
        <f t="shared" si="63"/>
        <v/>
      </c>
      <c r="L259" s="35" t="str">
        <f t="shared" si="64"/>
        <v/>
      </c>
      <c r="M259" s="35" t="str">
        <f t="shared" si="65"/>
        <v/>
      </c>
      <c r="N259" s="36" t="str">
        <f t="shared" si="66"/>
        <v/>
      </c>
      <c r="O259" s="35" t="str">
        <f t="shared" si="67"/>
        <v/>
      </c>
      <c r="P259" s="35" t="str">
        <f t="shared" si="68"/>
        <v/>
      </c>
      <c r="Q259" s="35" t="str">
        <f t="shared" si="69"/>
        <v/>
      </c>
      <c r="R259" s="35" t="str">
        <f t="shared" si="70"/>
        <v/>
      </c>
      <c r="S259" s="33" t="str">
        <f t="shared" si="71"/>
        <v/>
      </c>
    </row>
    <row r="260" spans="1:19" x14ac:dyDescent="0.3">
      <c r="A260" s="33">
        <f>256</f>
        <v>256</v>
      </c>
      <c r="B260" s="34" t="str">
        <f t="shared" si="54"/>
        <v/>
      </c>
      <c r="C260" s="33" t="str">
        <f t="shared" si="55"/>
        <v/>
      </c>
      <c r="D260" s="33" t="str">
        <f t="shared" si="56"/>
        <v/>
      </c>
      <c r="E260" s="35" t="str">
        <f t="shared" si="57"/>
        <v/>
      </c>
      <c r="F260" s="35" t="str">
        <f t="shared" si="58"/>
        <v/>
      </c>
      <c r="G260" s="33" t="str">
        <f t="shared" si="59"/>
        <v/>
      </c>
      <c r="H260" s="35" t="str">
        <f t="shared" si="60"/>
        <v/>
      </c>
      <c r="I260" s="35" t="str">
        <f t="shared" si="61"/>
        <v/>
      </c>
      <c r="J260" s="35" t="str">
        <f t="shared" si="62"/>
        <v/>
      </c>
      <c r="K260" s="35" t="str">
        <f t="shared" si="63"/>
        <v/>
      </c>
      <c r="L260" s="35" t="str">
        <f t="shared" si="64"/>
        <v/>
      </c>
      <c r="M260" s="35" t="str">
        <f t="shared" si="65"/>
        <v/>
      </c>
      <c r="N260" s="36" t="str">
        <f t="shared" si="66"/>
        <v/>
      </c>
      <c r="O260" s="35" t="str">
        <f t="shared" si="67"/>
        <v/>
      </c>
      <c r="P260" s="35" t="str">
        <f t="shared" si="68"/>
        <v/>
      </c>
      <c r="Q260" s="35" t="str">
        <f t="shared" si="69"/>
        <v/>
      </c>
      <c r="R260" s="35" t="str">
        <f t="shared" si="70"/>
        <v/>
      </c>
      <c r="S260" s="33" t="str">
        <f t="shared" si="71"/>
        <v/>
      </c>
    </row>
    <row r="261" spans="1:19" x14ac:dyDescent="0.3">
      <c r="A261" s="33">
        <f>257</f>
        <v>257</v>
      </c>
      <c r="B261" s="34" t="str">
        <f t="shared" ref="B261:B324" si="72">IF($A261&gt;NYears*12,"",EDATE(StartMonth,$A261-1))</f>
        <v/>
      </c>
      <c r="C261" s="33" t="str">
        <f t="shared" ref="C261:C324" si="73">IF($A261&gt;NYears*12,"",INT(($A261-1)/12)+1)</f>
        <v/>
      </c>
      <c r="D261" s="33" t="str">
        <f t="shared" ref="D261:D324" si="74">IF($A261&gt;NYears*12,"",MOD($A261-1,12)+1)</f>
        <v/>
      </c>
      <c r="E261" s="35" t="str">
        <f t="shared" ref="E261:E324" si="75">IF($A261&gt;NYears*12,"",LotValue0*(1+LotGrowth)^($C261-1))</f>
        <v/>
      </c>
      <c r="F261" s="35" t="str">
        <f t="shared" ref="F261:F324" si="76">IF($A261&gt;NYears*12,"",IF($A261=1,InitInvest,$R260))</f>
        <v/>
      </c>
      <c r="G261" s="33" t="str">
        <f t="shared" ref="G261:G324" si="77">IF($A261&gt;NYears*12,"",INT($F261/$E261))</f>
        <v/>
      </c>
      <c r="H261" s="35" t="str">
        <f t="shared" ref="H261:H324" si="78">IF($A261&gt;NYears*12,"",$G261*$E261)</f>
        <v/>
      </c>
      <c r="I261" s="35" t="str">
        <f t="shared" ref="I261:I324" si="79">IF($A261&gt;NYears*12,"",$F261-$H261)</f>
        <v/>
      </c>
      <c r="J261" s="35" t="str">
        <f t="shared" ref="J261:J324" si="80">IF($A261&gt;NYears*12,"",$H261*RateA)</f>
        <v/>
      </c>
      <c r="K261" s="35" t="str">
        <f t="shared" ref="K261:K324" si="81">IF($A261&gt;NYears*12,"",IF($D261=1,$J261,$K260+$J261))</f>
        <v/>
      </c>
      <c r="L261" s="35" t="str">
        <f t="shared" ref="L261:L324" si="82">IF($A261&gt;NYears*12,"",IF(MOD($D261,3)=0,SUM($J259:$J261),0))</f>
        <v/>
      </c>
      <c r="M261" s="35" t="str">
        <f t="shared" ref="M261:M324" si="83">IF($A261&gt;NYears*12,"",IF(TaxFreq="Quarterly",$K261*12/$D261,$K261))</f>
        <v/>
      </c>
      <c r="N261" s="36" t="str">
        <f t="shared" ref="N261:N324" si="84">IF($A261&gt;NYears*12,"",LOOKUP($M261,TaxLower,TaxRate))</f>
        <v/>
      </c>
      <c r="O261" s="35" t="str">
        <f t="shared" ref="O261:O324" si="85">IF($A261&gt;NYears*12,"",IF(TaxFreq="Quarterly",IF(MOD($D261,3)=0,$L261*$N261,0),IF($D261=12,$K261*$N261,0)))</f>
        <v/>
      </c>
      <c r="P261" s="35" t="str">
        <f t="shared" ref="P261:P324" si="86">IF($A261&gt;NYears*12,"",IF($D261=1,$O261,$P260+$O261))</f>
        <v/>
      </c>
      <c r="Q261" s="35" t="str">
        <f t="shared" ref="Q261:Q324" si="87">IF($A261&gt;NYears*12,"",IF($D261=12,MIN(WdrPct*IF(WdrBase="Post-tax profit",$K261-$P261,$K261),WdrCap),0))</f>
        <v/>
      </c>
      <c r="R261" s="35" t="str">
        <f t="shared" ref="R261:R324" si="88">IF($A261&gt;NYears*12,"",$F261+$J261-$O261-$Q261)</f>
        <v/>
      </c>
      <c r="S261" s="33" t="str">
        <f t="shared" ref="S261:S324" si="89">IF($A261&gt;NYears*12,"",INT($R261/$E261))</f>
        <v/>
      </c>
    </row>
    <row r="262" spans="1:19" x14ac:dyDescent="0.3">
      <c r="A262" s="33">
        <f>258</f>
        <v>258</v>
      </c>
      <c r="B262" s="34" t="str">
        <f t="shared" si="72"/>
        <v/>
      </c>
      <c r="C262" s="33" t="str">
        <f t="shared" si="73"/>
        <v/>
      </c>
      <c r="D262" s="33" t="str">
        <f t="shared" si="74"/>
        <v/>
      </c>
      <c r="E262" s="35" t="str">
        <f t="shared" si="75"/>
        <v/>
      </c>
      <c r="F262" s="35" t="str">
        <f t="shared" si="76"/>
        <v/>
      </c>
      <c r="G262" s="33" t="str">
        <f t="shared" si="77"/>
        <v/>
      </c>
      <c r="H262" s="35" t="str">
        <f t="shared" si="78"/>
        <v/>
      </c>
      <c r="I262" s="35" t="str">
        <f t="shared" si="79"/>
        <v/>
      </c>
      <c r="J262" s="35" t="str">
        <f t="shared" si="80"/>
        <v/>
      </c>
      <c r="K262" s="35" t="str">
        <f t="shared" si="81"/>
        <v/>
      </c>
      <c r="L262" s="35" t="str">
        <f t="shared" si="82"/>
        <v/>
      </c>
      <c r="M262" s="35" t="str">
        <f t="shared" si="83"/>
        <v/>
      </c>
      <c r="N262" s="36" t="str">
        <f t="shared" si="84"/>
        <v/>
      </c>
      <c r="O262" s="35" t="str">
        <f t="shared" si="85"/>
        <v/>
      </c>
      <c r="P262" s="35" t="str">
        <f t="shared" si="86"/>
        <v/>
      </c>
      <c r="Q262" s="35" t="str">
        <f t="shared" si="87"/>
        <v/>
      </c>
      <c r="R262" s="35" t="str">
        <f t="shared" si="88"/>
        <v/>
      </c>
      <c r="S262" s="33" t="str">
        <f t="shared" si="89"/>
        <v/>
      </c>
    </row>
    <row r="263" spans="1:19" x14ac:dyDescent="0.3">
      <c r="A263" s="33">
        <f>259</f>
        <v>259</v>
      </c>
      <c r="B263" s="34" t="str">
        <f t="shared" si="72"/>
        <v/>
      </c>
      <c r="C263" s="33" t="str">
        <f t="shared" si="73"/>
        <v/>
      </c>
      <c r="D263" s="33" t="str">
        <f t="shared" si="74"/>
        <v/>
      </c>
      <c r="E263" s="35" t="str">
        <f t="shared" si="75"/>
        <v/>
      </c>
      <c r="F263" s="35" t="str">
        <f t="shared" si="76"/>
        <v/>
      </c>
      <c r="G263" s="33" t="str">
        <f t="shared" si="77"/>
        <v/>
      </c>
      <c r="H263" s="35" t="str">
        <f t="shared" si="78"/>
        <v/>
      </c>
      <c r="I263" s="35" t="str">
        <f t="shared" si="79"/>
        <v/>
      </c>
      <c r="J263" s="35" t="str">
        <f t="shared" si="80"/>
        <v/>
      </c>
      <c r="K263" s="35" t="str">
        <f t="shared" si="81"/>
        <v/>
      </c>
      <c r="L263" s="35" t="str">
        <f t="shared" si="82"/>
        <v/>
      </c>
      <c r="M263" s="35" t="str">
        <f t="shared" si="83"/>
        <v/>
      </c>
      <c r="N263" s="36" t="str">
        <f t="shared" si="84"/>
        <v/>
      </c>
      <c r="O263" s="35" t="str">
        <f t="shared" si="85"/>
        <v/>
      </c>
      <c r="P263" s="35" t="str">
        <f t="shared" si="86"/>
        <v/>
      </c>
      <c r="Q263" s="35" t="str">
        <f t="shared" si="87"/>
        <v/>
      </c>
      <c r="R263" s="35" t="str">
        <f t="shared" si="88"/>
        <v/>
      </c>
      <c r="S263" s="33" t="str">
        <f t="shared" si="89"/>
        <v/>
      </c>
    </row>
    <row r="264" spans="1:19" x14ac:dyDescent="0.3">
      <c r="A264" s="33">
        <f>260</f>
        <v>260</v>
      </c>
      <c r="B264" s="34" t="str">
        <f t="shared" si="72"/>
        <v/>
      </c>
      <c r="C264" s="33" t="str">
        <f t="shared" si="73"/>
        <v/>
      </c>
      <c r="D264" s="33" t="str">
        <f t="shared" si="74"/>
        <v/>
      </c>
      <c r="E264" s="35" t="str">
        <f t="shared" si="75"/>
        <v/>
      </c>
      <c r="F264" s="35" t="str">
        <f t="shared" si="76"/>
        <v/>
      </c>
      <c r="G264" s="33" t="str">
        <f t="shared" si="77"/>
        <v/>
      </c>
      <c r="H264" s="35" t="str">
        <f t="shared" si="78"/>
        <v/>
      </c>
      <c r="I264" s="35" t="str">
        <f t="shared" si="79"/>
        <v/>
      </c>
      <c r="J264" s="35" t="str">
        <f t="shared" si="80"/>
        <v/>
      </c>
      <c r="K264" s="35" t="str">
        <f t="shared" si="81"/>
        <v/>
      </c>
      <c r="L264" s="35" t="str">
        <f t="shared" si="82"/>
        <v/>
      </c>
      <c r="M264" s="35" t="str">
        <f t="shared" si="83"/>
        <v/>
      </c>
      <c r="N264" s="36" t="str">
        <f t="shared" si="84"/>
        <v/>
      </c>
      <c r="O264" s="35" t="str">
        <f t="shared" si="85"/>
        <v/>
      </c>
      <c r="P264" s="35" t="str">
        <f t="shared" si="86"/>
        <v/>
      </c>
      <c r="Q264" s="35" t="str">
        <f t="shared" si="87"/>
        <v/>
      </c>
      <c r="R264" s="35" t="str">
        <f t="shared" si="88"/>
        <v/>
      </c>
      <c r="S264" s="33" t="str">
        <f t="shared" si="89"/>
        <v/>
      </c>
    </row>
    <row r="265" spans="1:19" x14ac:dyDescent="0.3">
      <c r="A265" s="33">
        <f>261</f>
        <v>261</v>
      </c>
      <c r="B265" s="34" t="str">
        <f t="shared" si="72"/>
        <v/>
      </c>
      <c r="C265" s="33" t="str">
        <f t="shared" si="73"/>
        <v/>
      </c>
      <c r="D265" s="33" t="str">
        <f t="shared" si="74"/>
        <v/>
      </c>
      <c r="E265" s="35" t="str">
        <f t="shared" si="75"/>
        <v/>
      </c>
      <c r="F265" s="35" t="str">
        <f t="shared" si="76"/>
        <v/>
      </c>
      <c r="G265" s="33" t="str">
        <f t="shared" si="77"/>
        <v/>
      </c>
      <c r="H265" s="35" t="str">
        <f t="shared" si="78"/>
        <v/>
      </c>
      <c r="I265" s="35" t="str">
        <f t="shared" si="79"/>
        <v/>
      </c>
      <c r="J265" s="35" t="str">
        <f t="shared" si="80"/>
        <v/>
      </c>
      <c r="K265" s="35" t="str">
        <f t="shared" si="81"/>
        <v/>
      </c>
      <c r="L265" s="35" t="str">
        <f t="shared" si="82"/>
        <v/>
      </c>
      <c r="M265" s="35" t="str">
        <f t="shared" si="83"/>
        <v/>
      </c>
      <c r="N265" s="36" t="str">
        <f t="shared" si="84"/>
        <v/>
      </c>
      <c r="O265" s="35" t="str">
        <f t="shared" si="85"/>
        <v/>
      </c>
      <c r="P265" s="35" t="str">
        <f t="shared" si="86"/>
        <v/>
      </c>
      <c r="Q265" s="35" t="str">
        <f t="shared" si="87"/>
        <v/>
      </c>
      <c r="R265" s="35" t="str">
        <f t="shared" si="88"/>
        <v/>
      </c>
      <c r="S265" s="33" t="str">
        <f t="shared" si="89"/>
        <v/>
      </c>
    </row>
    <row r="266" spans="1:19" x14ac:dyDescent="0.3">
      <c r="A266" s="33">
        <f>262</f>
        <v>262</v>
      </c>
      <c r="B266" s="34" t="str">
        <f t="shared" si="72"/>
        <v/>
      </c>
      <c r="C266" s="33" t="str">
        <f t="shared" si="73"/>
        <v/>
      </c>
      <c r="D266" s="33" t="str">
        <f t="shared" si="74"/>
        <v/>
      </c>
      <c r="E266" s="35" t="str">
        <f t="shared" si="75"/>
        <v/>
      </c>
      <c r="F266" s="35" t="str">
        <f t="shared" si="76"/>
        <v/>
      </c>
      <c r="G266" s="33" t="str">
        <f t="shared" si="77"/>
        <v/>
      </c>
      <c r="H266" s="35" t="str">
        <f t="shared" si="78"/>
        <v/>
      </c>
      <c r="I266" s="35" t="str">
        <f t="shared" si="79"/>
        <v/>
      </c>
      <c r="J266" s="35" t="str">
        <f t="shared" si="80"/>
        <v/>
      </c>
      <c r="K266" s="35" t="str">
        <f t="shared" si="81"/>
        <v/>
      </c>
      <c r="L266" s="35" t="str">
        <f t="shared" si="82"/>
        <v/>
      </c>
      <c r="M266" s="35" t="str">
        <f t="shared" si="83"/>
        <v/>
      </c>
      <c r="N266" s="36" t="str">
        <f t="shared" si="84"/>
        <v/>
      </c>
      <c r="O266" s="35" t="str">
        <f t="shared" si="85"/>
        <v/>
      </c>
      <c r="P266" s="35" t="str">
        <f t="shared" si="86"/>
        <v/>
      </c>
      <c r="Q266" s="35" t="str">
        <f t="shared" si="87"/>
        <v/>
      </c>
      <c r="R266" s="35" t="str">
        <f t="shared" si="88"/>
        <v/>
      </c>
      <c r="S266" s="33" t="str">
        <f t="shared" si="89"/>
        <v/>
      </c>
    </row>
    <row r="267" spans="1:19" x14ac:dyDescent="0.3">
      <c r="A267" s="33">
        <f>263</f>
        <v>263</v>
      </c>
      <c r="B267" s="34" t="str">
        <f t="shared" si="72"/>
        <v/>
      </c>
      <c r="C267" s="33" t="str">
        <f t="shared" si="73"/>
        <v/>
      </c>
      <c r="D267" s="33" t="str">
        <f t="shared" si="74"/>
        <v/>
      </c>
      <c r="E267" s="35" t="str">
        <f t="shared" si="75"/>
        <v/>
      </c>
      <c r="F267" s="35" t="str">
        <f t="shared" si="76"/>
        <v/>
      </c>
      <c r="G267" s="33" t="str">
        <f t="shared" si="77"/>
        <v/>
      </c>
      <c r="H267" s="35" t="str">
        <f t="shared" si="78"/>
        <v/>
      </c>
      <c r="I267" s="35" t="str">
        <f t="shared" si="79"/>
        <v/>
      </c>
      <c r="J267" s="35" t="str">
        <f t="shared" si="80"/>
        <v/>
      </c>
      <c r="K267" s="35" t="str">
        <f t="shared" si="81"/>
        <v/>
      </c>
      <c r="L267" s="35" t="str">
        <f t="shared" si="82"/>
        <v/>
      </c>
      <c r="M267" s="35" t="str">
        <f t="shared" si="83"/>
        <v/>
      </c>
      <c r="N267" s="36" t="str">
        <f t="shared" si="84"/>
        <v/>
      </c>
      <c r="O267" s="35" t="str">
        <f t="shared" si="85"/>
        <v/>
      </c>
      <c r="P267" s="35" t="str">
        <f t="shared" si="86"/>
        <v/>
      </c>
      <c r="Q267" s="35" t="str">
        <f t="shared" si="87"/>
        <v/>
      </c>
      <c r="R267" s="35" t="str">
        <f t="shared" si="88"/>
        <v/>
      </c>
      <c r="S267" s="33" t="str">
        <f t="shared" si="89"/>
        <v/>
      </c>
    </row>
    <row r="268" spans="1:19" x14ac:dyDescent="0.3">
      <c r="A268" s="37">
        <f>264</f>
        <v>264</v>
      </c>
      <c r="B268" s="38" t="str">
        <f t="shared" si="72"/>
        <v/>
      </c>
      <c r="C268" s="37" t="str">
        <f t="shared" si="73"/>
        <v/>
      </c>
      <c r="D268" s="37" t="str">
        <f t="shared" si="74"/>
        <v/>
      </c>
      <c r="E268" s="39" t="str">
        <f t="shared" si="75"/>
        <v/>
      </c>
      <c r="F268" s="39" t="str">
        <f t="shared" si="76"/>
        <v/>
      </c>
      <c r="G268" s="37" t="str">
        <f t="shared" si="77"/>
        <v/>
      </c>
      <c r="H268" s="39" t="str">
        <f t="shared" si="78"/>
        <v/>
      </c>
      <c r="I268" s="39" t="str">
        <f t="shared" si="79"/>
        <v/>
      </c>
      <c r="J268" s="39" t="str">
        <f t="shared" si="80"/>
        <v/>
      </c>
      <c r="K268" s="39" t="str">
        <f t="shared" si="81"/>
        <v/>
      </c>
      <c r="L268" s="39" t="str">
        <f t="shared" si="82"/>
        <v/>
      </c>
      <c r="M268" s="39" t="str">
        <f t="shared" si="83"/>
        <v/>
      </c>
      <c r="N268" s="40" t="str">
        <f t="shared" si="84"/>
        <v/>
      </c>
      <c r="O268" s="39" t="str">
        <f t="shared" si="85"/>
        <v/>
      </c>
      <c r="P268" s="39" t="str">
        <f t="shared" si="86"/>
        <v/>
      </c>
      <c r="Q268" s="39" t="str">
        <f t="shared" si="87"/>
        <v/>
      </c>
      <c r="R268" s="39" t="str">
        <f t="shared" si="88"/>
        <v/>
      </c>
      <c r="S268" s="37" t="str">
        <f t="shared" si="89"/>
        <v/>
      </c>
    </row>
    <row r="269" spans="1:19" x14ac:dyDescent="0.3">
      <c r="A269" s="33">
        <f>265</f>
        <v>265</v>
      </c>
      <c r="B269" s="34" t="str">
        <f t="shared" si="72"/>
        <v/>
      </c>
      <c r="C269" s="33" t="str">
        <f t="shared" si="73"/>
        <v/>
      </c>
      <c r="D269" s="33" t="str">
        <f t="shared" si="74"/>
        <v/>
      </c>
      <c r="E269" s="35" t="str">
        <f t="shared" si="75"/>
        <v/>
      </c>
      <c r="F269" s="35" t="str">
        <f t="shared" si="76"/>
        <v/>
      </c>
      <c r="G269" s="33" t="str">
        <f t="shared" si="77"/>
        <v/>
      </c>
      <c r="H269" s="35" t="str">
        <f t="shared" si="78"/>
        <v/>
      </c>
      <c r="I269" s="35" t="str">
        <f t="shared" si="79"/>
        <v/>
      </c>
      <c r="J269" s="35" t="str">
        <f t="shared" si="80"/>
        <v/>
      </c>
      <c r="K269" s="35" t="str">
        <f t="shared" si="81"/>
        <v/>
      </c>
      <c r="L269" s="35" t="str">
        <f t="shared" si="82"/>
        <v/>
      </c>
      <c r="M269" s="35" t="str">
        <f t="shared" si="83"/>
        <v/>
      </c>
      <c r="N269" s="36" t="str">
        <f t="shared" si="84"/>
        <v/>
      </c>
      <c r="O269" s="35" t="str">
        <f t="shared" si="85"/>
        <v/>
      </c>
      <c r="P269" s="35" t="str">
        <f t="shared" si="86"/>
        <v/>
      </c>
      <c r="Q269" s="35" t="str">
        <f t="shared" si="87"/>
        <v/>
      </c>
      <c r="R269" s="35" t="str">
        <f t="shared" si="88"/>
        <v/>
      </c>
      <c r="S269" s="33" t="str">
        <f t="shared" si="89"/>
        <v/>
      </c>
    </row>
    <row r="270" spans="1:19" x14ac:dyDescent="0.3">
      <c r="A270" s="33">
        <f>266</f>
        <v>266</v>
      </c>
      <c r="B270" s="34" t="str">
        <f t="shared" si="72"/>
        <v/>
      </c>
      <c r="C270" s="33" t="str">
        <f t="shared" si="73"/>
        <v/>
      </c>
      <c r="D270" s="33" t="str">
        <f t="shared" si="74"/>
        <v/>
      </c>
      <c r="E270" s="35" t="str">
        <f t="shared" si="75"/>
        <v/>
      </c>
      <c r="F270" s="35" t="str">
        <f t="shared" si="76"/>
        <v/>
      </c>
      <c r="G270" s="33" t="str">
        <f t="shared" si="77"/>
        <v/>
      </c>
      <c r="H270" s="35" t="str">
        <f t="shared" si="78"/>
        <v/>
      </c>
      <c r="I270" s="35" t="str">
        <f t="shared" si="79"/>
        <v/>
      </c>
      <c r="J270" s="35" t="str">
        <f t="shared" si="80"/>
        <v/>
      </c>
      <c r="K270" s="35" t="str">
        <f t="shared" si="81"/>
        <v/>
      </c>
      <c r="L270" s="35" t="str">
        <f t="shared" si="82"/>
        <v/>
      </c>
      <c r="M270" s="35" t="str">
        <f t="shared" si="83"/>
        <v/>
      </c>
      <c r="N270" s="36" t="str">
        <f t="shared" si="84"/>
        <v/>
      </c>
      <c r="O270" s="35" t="str">
        <f t="shared" si="85"/>
        <v/>
      </c>
      <c r="P270" s="35" t="str">
        <f t="shared" si="86"/>
        <v/>
      </c>
      <c r="Q270" s="35" t="str">
        <f t="shared" si="87"/>
        <v/>
      </c>
      <c r="R270" s="35" t="str">
        <f t="shared" si="88"/>
        <v/>
      </c>
      <c r="S270" s="33" t="str">
        <f t="shared" si="89"/>
        <v/>
      </c>
    </row>
    <row r="271" spans="1:19" x14ac:dyDescent="0.3">
      <c r="A271" s="33">
        <f>267</f>
        <v>267</v>
      </c>
      <c r="B271" s="34" t="str">
        <f t="shared" si="72"/>
        <v/>
      </c>
      <c r="C271" s="33" t="str">
        <f t="shared" si="73"/>
        <v/>
      </c>
      <c r="D271" s="33" t="str">
        <f t="shared" si="74"/>
        <v/>
      </c>
      <c r="E271" s="35" t="str">
        <f t="shared" si="75"/>
        <v/>
      </c>
      <c r="F271" s="35" t="str">
        <f t="shared" si="76"/>
        <v/>
      </c>
      <c r="G271" s="33" t="str">
        <f t="shared" si="77"/>
        <v/>
      </c>
      <c r="H271" s="35" t="str">
        <f t="shared" si="78"/>
        <v/>
      </c>
      <c r="I271" s="35" t="str">
        <f t="shared" si="79"/>
        <v/>
      </c>
      <c r="J271" s="35" t="str">
        <f t="shared" si="80"/>
        <v/>
      </c>
      <c r="K271" s="35" t="str">
        <f t="shared" si="81"/>
        <v/>
      </c>
      <c r="L271" s="35" t="str">
        <f t="shared" si="82"/>
        <v/>
      </c>
      <c r="M271" s="35" t="str">
        <f t="shared" si="83"/>
        <v/>
      </c>
      <c r="N271" s="36" t="str">
        <f t="shared" si="84"/>
        <v/>
      </c>
      <c r="O271" s="35" t="str">
        <f t="shared" si="85"/>
        <v/>
      </c>
      <c r="P271" s="35" t="str">
        <f t="shared" si="86"/>
        <v/>
      </c>
      <c r="Q271" s="35" t="str">
        <f t="shared" si="87"/>
        <v/>
      </c>
      <c r="R271" s="35" t="str">
        <f t="shared" si="88"/>
        <v/>
      </c>
      <c r="S271" s="33" t="str">
        <f t="shared" si="89"/>
        <v/>
      </c>
    </row>
    <row r="272" spans="1:19" x14ac:dyDescent="0.3">
      <c r="A272" s="33">
        <f>268</f>
        <v>268</v>
      </c>
      <c r="B272" s="34" t="str">
        <f t="shared" si="72"/>
        <v/>
      </c>
      <c r="C272" s="33" t="str">
        <f t="shared" si="73"/>
        <v/>
      </c>
      <c r="D272" s="33" t="str">
        <f t="shared" si="74"/>
        <v/>
      </c>
      <c r="E272" s="35" t="str">
        <f t="shared" si="75"/>
        <v/>
      </c>
      <c r="F272" s="35" t="str">
        <f t="shared" si="76"/>
        <v/>
      </c>
      <c r="G272" s="33" t="str">
        <f t="shared" si="77"/>
        <v/>
      </c>
      <c r="H272" s="35" t="str">
        <f t="shared" si="78"/>
        <v/>
      </c>
      <c r="I272" s="35" t="str">
        <f t="shared" si="79"/>
        <v/>
      </c>
      <c r="J272" s="35" t="str">
        <f t="shared" si="80"/>
        <v/>
      </c>
      <c r="K272" s="35" t="str">
        <f t="shared" si="81"/>
        <v/>
      </c>
      <c r="L272" s="35" t="str">
        <f t="shared" si="82"/>
        <v/>
      </c>
      <c r="M272" s="35" t="str">
        <f t="shared" si="83"/>
        <v/>
      </c>
      <c r="N272" s="36" t="str">
        <f t="shared" si="84"/>
        <v/>
      </c>
      <c r="O272" s="35" t="str">
        <f t="shared" si="85"/>
        <v/>
      </c>
      <c r="P272" s="35" t="str">
        <f t="shared" si="86"/>
        <v/>
      </c>
      <c r="Q272" s="35" t="str">
        <f t="shared" si="87"/>
        <v/>
      </c>
      <c r="R272" s="35" t="str">
        <f t="shared" si="88"/>
        <v/>
      </c>
      <c r="S272" s="33" t="str">
        <f t="shared" si="89"/>
        <v/>
      </c>
    </row>
    <row r="273" spans="1:19" x14ac:dyDescent="0.3">
      <c r="A273" s="33">
        <f>269</f>
        <v>269</v>
      </c>
      <c r="B273" s="34" t="str">
        <f t="shared" si="72"/>
        <v/>
      </c>
      <c r="C273" s="33" t="str">
        <f t="shared" si="73"/>
        <v/>
      </c>
      <c r="D273" s="33" t="str">
        <f t="shared" si="74"/>
        <v/>
      </c>
      <c r="E273" s="35" t="str">
        <f t="shared" si="75"/>
        <v/>
      </c>
      <c r="F273" s="35" t="str">
        <f t="shared" si="76"/>
        <v/>
      </c>
      <c r="G273" s="33" t="str">
        <f t="shared" si="77"/>
        <v/>
      </c>
      <c r="H273" s="35" t="str">
        <f t="shared" si="78"/>
        <v/>
      </c>
      <c r="I273" s="35" t="str">
        <f t="shared" si="79"/>
        <v/>
      </c>
      <c r="J273" s="35" t="str">
        <f t="shared" si="80"/>
        <v/>
      </c>
      <c r="K273" s="35" t="str">
        <f t="shared" si="81"/>
        <v/>
      </c>
      <c r="L273" s="35" t="str">
        <f t="shared" si="82"/>
        <v/>
      </c>
      <c r="M273" s="35" t="str">
        <f t="shared" si="83"/>
        <v/>
      </c>
      <c r="N273" s="36" t="str">
        <f t="shared" si="84"/>
        <v/>
      </c>
      <c r="O273" s="35" t="str">
        <f t="shared" si="85"/>
        <v/>
      </c>
      <c r="P273" s="35" t="str">
        <f t="shared" si="86"/>
        <v/>
      </c>
      <c r="Q273" s="35" t="str">
        <f t="shared" si="87"/>
        <v/>
      </c>
      <c r="R273" s="35" t="str">
        <f t="shared" si="88"/>
        <v/>
      </c>
      <c r="S273" s="33" t="str">
        <f t="shared" si="89"/>
        <v/>
      </c>
    </row>
    <row r="274" spans="1:19" x14ac:dyDescent="0.3">
      <c r="A274" s="33">
        <f>270</f>
        <v>270</v>
      </c>
      <c r="B274" s="34" t="str">
        <f t="shared" si="72"/>
        <v/>
      </c>
      <c r="C274" s="33" t="str">
        <f t="shared" si="73"/>
        <v/>
      </c>
      <c r="D274" s="33" t="str">
        <f t="shared" si="74"/>
        <v/>
      </c>
      <c r="E274" s="35" t="str">
        <f t="shared" si="75"/>
        <v/>
      </c>
      <c r="F274" s="35" t="str">
        <f t="shared" si="76"/>
        <v/>
      </c>
      <c r="G274" s="33" t="str">
        <f t="shared" si="77"/>
        <v/>
      </c>
      <c r="H274" s="35" t="str">
        <f t="shared" si="78"/>
        <v/>
      </c>
      <c r="I274" s="35" t="str">
        <f t="shared" si="79"/>
        <v/>
      </c>
      <c r="J274" s="35" t="str">
        <f t="shared" si="80"/>
        <v/>
      </c>
      <c r="K274" s="35" t="str">
        <f t="shared" si="81"/>
        <v/>
      </c>
      <c r="L274" s="35" t="str">
        <f t="shared" si="82"/>
        <v/>
      </c>
      <c r="M274" s="35" t="str">
        <f t="shared" si="83"/>
        <v/>
      </c>
      <c r="N274" s="36" t="str">
        <f t="shared" si="84"/>
        <v/>
      </c>
      <c r="O274" s="35" t="str">
        <f t="shared" si="85"/>
        <v/>
      </c>
      <c r="P274" s="35" t="str">
        <f t="shared" si="86"/>
        <v/>
      </c>
      <c r="Q274" s="35" t="str">
        <f t="shared" si="87"/>
        <v/>
      </c>
      <c r="R274" s="35" t="str">
        <f t="shared" si="88"/>
        <v/>
      </c>
      <c r="S274" s="33" t="str">
        <f t="shared" si="89"/>
        <v/>
      </c>
    </row>
    <row r="275" spans="1:19" x14ac:dyDescent="0.3">
      <c r="A275" s="33">
        <f>271</f>
        <v>271</v>
      </c>
      <c r="B275" s="34" t="str">
        <f t="shared" si="72"/>
        <v/>
      </c>
      <c r="C275" s="33" t="str">
        <f t="shared" si="73"/>
        <v/>
      </c>
      <c r="D275" s="33" t="str">
        <f t="shared" si="74"/>
        <v/>
      </c>
      <c r="E275" s="35" t="str">
        <f t="shared" si="75"/>
        <v/>
      </c>
      <c r="F275" s="35" t="str">
        <f t="shared" si="76"/>
        <v/>
      </c>
      <c r="G275" s="33" t="str">
        <f t="shared" si="77"/>
        <v/>
      </c>
      <c r="H275" s="35" t="str">
        <f t="shared" si="78"/>
        <v/>
      </c>
      <c r="I275" s="35" t="str">
        <f t="shared" si="79"/>
        <v/>
      </c>
      <c r="J275" s="35" t="str">
        <f t="shared" si="80"/>
        <v/>
      </c>
      <c r="K275" s="35" t="str">
        <f t="shared" si="81"/>
        <v/>
      </c>
      <c r="L275" s="35" t="str">
        <f t="shared" si="82"/>
        <v/>
      </c>
      <c r="M275" s="35" t="str">
        <f t="shared" si="83"/>
        <v/>
      </c>
      <c r="N275" s="36" t="str">
        <f t="shared" si="84"/>
        <v/>
      </c>
      <c r="O275" s="35" t="str">
        <f t="shared" si="85"/>
        <v/>
      </c>
      <c r="P275" s="35" t="str">
        <f t="shared" si="86"/>
        <v/>
      </c>
      <c r="Q275" s="35" t="str">
        <f t="shared" si="87"/>
        <v/>
      </c>
      <c r="R275" s="35" t="str">
        <f t="shared" si="88"/>
        <v/>
      </c>
      <c r="S275" s="33" t="str">
        <f t="shared" si="89"/>
        <v/>
      </c>
    </row>
    <row r="276" spans="1:19" x14ac:dyDescent="0.3">
      <c r="A276" s="33">
        <f>272</f>
        <v>272</v>
      </c>
      <c r="B276" s="34" t="str">
        <f t="shared" si="72"/>
        <v/>
      </c>
      <c r="C276" s="33" t="str">
        <f t="shared" si="73"/>
        <v/>
      </c>
      <c r="D276" s="33" t="str">
        <f t="shared" si="74"/>
        <v/>
      </c>
      <c r="E276" s="35" t="str">
        <f t="shared" si="75"/>
        <v/>
      </c>
      <c r="F276" s="35" t="str">
        <f t="shared" si="76"/>
        <v/>
      </c>
      <c r="G276" s="33" t="str">
        <f t="shared" si="77"/>
        <v/>
      </c>
      <c r="H276" s="35" t="str">
        <f t="shared" si="78"/>
        <v/>
      </c>
      <c r="I276" s="35" t="str">
        <f t="shared" si="79"/>
        <v/>
      </c>
      <c r="J276" s="35" t="str">
        <f t="shared" si="80"/>
        <v/>
      </c>
      <c r="K276" s="35" t="str">
        <f t="shared" si="81"/>
        <v/>
      </c>
      <c r="L276" s="35" t="str">
        <f t="shared" si="82"/>
        <v/>
      </c>
      <c r="M276" s="35" t="str">
        <f t="shared" si="83"/>
        <v/>
      </c>
      <c r="N276" s="36" t="str">
        <f t="shared" si="84"/>
        <v/>
      </c>
      <c r="O276" s="35" t="str">
        <f t="shared" si="85"/>
        <v/>
      </c>
      <c r="P276" s="35" t="str">
        <f t="shared" si="86"/>
        <v/>
      </c>
      <c r="Q276" s="35" t="str">
        <f t="shared" si="87"/>
        <v/>
      </c>
      <c r="R276" s="35" t="str">
        <f t="shared" si="88"/>
        <v/>
      </c>
      <c r="S276" s="33" t="str">
        <f t="shared" si="89"/>
        <v/>
      </c>
    </row>
    <row r="277" spans="1:19" x14ac:dyDescent="0.3">
      <c r="A277" s="33">
        <f>273</f>
        <v>273</v>
      </c>
      <c r="B277" s="34" t="str">
        <f t="shared" si="72"/>
        <v/>
      </c>
      <c r="C277" s="33" t="str">
        <f t="shared" si="73"/>
        <v/>
      </c>
      <c r="D277" s="33" t="str">
        <f t="shared" si="74"/>
        <v/>
      </c>
      <c r="E277" s="35" t="str">
        <f t="shared" si="75"/>
        <v/>
      </c>
      <c r="F277" s="35" t="str">
        <f t="shared" si="76"/>
        <v/>
      </c>
      <c r="G277" s="33" t="str">
        <f t="shared" si="77"/>
        <v/>
      </c>
      <c r="H277" s="35" t="str">
        <f t="shared" si="78"/>
        <v/>
      </c>
      <c r="I277" s="35" t="str">
        <f t="shared" si="79"/>
        <v/>
      </c>
      <c r="J277" s="35" t="str">
        <f t="shared" si="80"/>
        <v/>
      </c>
      <c r="K277" s="35" t="str">
        <f t="shared" si="81"/>
        <v/>
      </c>
      <c r="L277" s="35" t="str">
        <f t="shared" si="82"/>
        <v/>
      </c>
      <c r="M277" s="35" t="str">
        <f t="shared" si="83"/>
        <v/>
      </c>
      <c r="N277" s="36" t="str">
        <f t="shared" si="84"/>
        <v/>
      </c>
      <c r="O277" s="35" t="str">
        <f t="shared" si="85"/>
        <v/>
      </c>
      <c r="P277" s="35" t="str">
        <f t="shared" si="86"/>
        <v/>
      </c>
      <c r="Q277" s="35" t="str">
        <f t="shared" si="87"/>
        <v/>
      </c>
      <c r="R277" s="35" t="str">
        <f t="shared" si="88"/>
        <v/>
      </c>
      <c r="S277" s="33" t="str">
        <f t="shared" si="89"/>
        <v/>
      </c>
    </row>
    <row r="278" spans="1:19" x14ac:dyDescent="0.3">
      <c r="A278" s="33">
        <f>274</f>
        <v>274</v>
      </c>
      <c r="B278" s="34" t="str">
        <f t="shared" si="72"/>
        <v/>
      </c>
      <c r="C278" s="33" t="str">
        <f t="shared" si="73"/>
        <v/>
      </c>
      <c r="D278" s="33" t="str">
        <f t="shared" si="74"/>
        <v/>
      </c>
      <c r="E278" s="35" t="str">
        <f t="shared" si="75"/>
        <v/>
      </c>
      <c r="F278" s="35" t="str">
        <f t="shared" si="76"/>
        <v/>
      </c>
      <c r="G278" s="33" t="str">
        <f t="shared" si="77"/>
        <v/>
      </c>
      <c r="H278" s="35" t="str">
        <f t="shared" si="78"/>
        <v/>
      </c>
      <c r="I278" s="35" t="str">
        <f t="shared" si="79"/>
        <v/>
      </c>
      <c r="J278" s="35" t="str">
        <f t="shared" si="80"/>
        <v/>
      </c>
      <c r="K278" s="35" t="str">
        <f t="shared" si="81"/>
        <v/>
      </c>
      <c r="L278" s="35" t="str">
        <f t="shared" si="82"/>
        <v/>
      </c>
      <c r="M278" s="35" t="str">
        <f t="shared" si="83"/>
        <v/>
      </c>
      <c r="N278" s="36" t="str">
        <f t="shared" si="84"/>
        <v/>
      </c>
      <c r="O278" s="35" t="str">
        <f t="shared" si="85"/>
        <v/>
      </c>
      <c r="P278" s="35" t="str">
        <f t="shared" si="86"/>
        <v/>
      </c>
      <c r="Q278" s="35" t="str">
        <f t="shared" si="87"/>
        <v/>
      </c>
      <c r="R278" s="35" t="str">
        <f t="shared" si="88"/>
        <v/>
      </c>
      <c r="S278" s="33" t="str">
        <f t="shared" si="89"/>
        <v/>
      </c>
    </row>
    <row r="279" spans="1:19" x14ac:dyDescent="0.3">
      <c r="A279" s="33">
        <f>275</f>
        <v>275</v>
      </c>
      <c r="B279" s="34" t="str">
        <f t="shared" si="72"/>
        <v/>
      </c>
      <c r="C279" s="33" t="str">
        <f t="shared" si="73"/>
        <v/>
      </c>
      <c r="D279" s="33" t="str">
        <f t="shared" si="74"/>
        <v/>
      </c>
      <c r="E279" s="35" t="str">
        <f t="shared" si="75"/>
        <v/>
      </c>
      <c r="F279" s="35" t="str">
        <f t="shared" si="76"/>
        <v/>
      </c>
      <c r="G279" s="33" t="str">
        <f t="shared" si="77"/>
        <v/>
      </c>
      <c r="H279" s="35" t="str">
        <f t="shared" si="78"/>
        <v/>
      </c>
      <c r="I279" s="35" t="str">
        <f t="shared" si="79"/>
        <v/>
      </c>
      <c r="J279" s="35" t="str">
        <f t="shared" si="80"/>
        <v/>
      </c>
      <c r="K279" s="35" t="str">
        <f t="shared" si="81"/>
        <v/>
      </c>
      <c r="L279" s="35" t="str">
        <f t="shared" si="82"/>
        <v/>
      </c>
      <c r="M279" s="35" t="str">
        <f t="shared" si="83"/>
        <v/>
      </c>
      <c r="N279" s="36" t="str">
        <f t="shared" si="84"/>
        <v/>
      </c>
      <c r="O279" s="35" t="str">
        <f t="shared" si="85"/>
        <v/>
      </c>
      <c r="P279" s="35" t="str">
        <f t="shared" si="86"/>
        <v/>
      </c>
      <c r="Q279" s="35" t="str">
        <f t="shared" si="87"/>
        <v/>
      </c>
      <c r="R279" s="35" t="str">
        <f t="shared" si="88"/>
        <v/>
      </c>
      <c r="S279" s="33" t="str">
        <f t="shared" si="89"/>
        <v/>
      </c>
    </row>
    <row r="280" spans="1:19" x14ac:dyDescent="0.3">
      <c r="A280" s="37">
        <f>276</f>
        <v>276</v>
      </c>
      <c r="B280" s="38" t="str">
        <f t="shared" si="72"/>
        <v/>
      </c>
      <c r="C280" s="37" t="str">
        <f t="shared" si="73"/>
        <v/>
      </c>
      <c r="D280" s="37" t="str">
        <f t="shared" si="74"/>
        <v/>
      </c>
      <c r="E280" s="39" t="str">
        <f t="shared" si="75"/>
        <v/>
      </c>
      <c r="F280" s="39" t="str">
        <f t="shared" si="76"/>
        <v/>
      </c>
      <c r="G280" s="37" t="str">
        <f t="shared" si="77"/>
        <v/>
      </c>
      <c r="H280" s="39" t="str">
        <f t="shared" si="78"/>
        <v/>
      </c>
      <c r="I280" s="39" t="str">
        <f t="shared" si="79"/>
        <v/>
      </c>
      <c r="J280" s="39" t="str">
        <f t="shared" si="80"/>
        <v/>
      </c>
      <c r="K280" s="39" t="str">
        <f t="shared" si="81"/>
        <v/>
      </c>
      <c r="L280" s="39" t="str">
        <f t="shared" si="82"/>
        <v/>
      </c>
      <c r="M280" s="39" t="str">
        <f t="shared" si="83"/>
        <v/>
      </c>
      <c r="N280" s="40" t="str">
        <f t="shared" si="84"/>
        <v/>
      </c>
      <c r="O280" s="39" t="str">
        <f t="shared" si="85"/>
        <v/>
      </c>
      <c r="P280" s="39" t="str">
        <f t="shared" si="86"/>
        <v/>
      </c>
      <c r="Q280" s="39" t="str">
        <f t="shared" si="87"/>
        <v/>
      </c>
      <c r="R280" s="39" t="str">
        <f t="shared" si="88"/>
        <v/>
      </c>
      <c r="S280" s="37" t="str">
        <f t="shared" si="89"/>
        <v/>
      </c>
    </row>
    <row r="281" spans="1:19" x14ac:dyDescent="0.3">
      <c r="A281" s="33">
        <f>277</f>
        <v>277</v>
      </c>
      <c r="B281" s="34" t="str">
        <f t="shared" si="72"/>
        <v/>
      </c>
      <c r="C281" s="33" t="str">
        <f t="shared" si="73"/>
        <v/>
      </c>
      <c r="D281" s="33" t="str">
        <f t="shared" si="74"/>
        <v/>
      </c>
      <c r="E281" s="35" t="str">
        <f t="shared" si="75"/>
        <v/>
      </c>
      <c r="F281" s="35" t="str">
        <f t="shared" si="76"/>
        <v/>
      </c>
      <c r="G281" s="33" t="str">
        <f t="shared" si="77"/>
        <v/>
      </c>
      <c r="H281" s="35" t="str">
        <f t="shared" si="78"/>
        <v/>
      </c>
      <c r="I281" s="35" t="str">
        <f t="shared" si="79"/>
        <v/>
      </c>
      <c r="J281" s="35" t="str">
        <f t="shared" si="80"/>
        <v/>
      </c>
      <c r="K281" s="35" t="str">
        <f t="shared" si="81"/>
        <v/>
      </c>
      <c r="L281" s="35" t="str">
        <f t="shared" si="82"/>
        <v/>
      </c>
      <c r="M281" s="35" t="str">
        <f t="shared" si="83"/>
        <v/>
      </c>
      <c r="N281" s="36" t="str">
        <f t="shared" si="84"/>
        <v/>
      </c>
      <c r="O281" s="35" t="str">
        <f t="shared" si="85"/>
        <v/>
      </c>
      <c r="P281" s="35" t="str">
        <f t="shared" si="86"/>
        <v/>
      </c>
      <c r="Q281" s="35" t="str">
        <f t="shared" si="87"/>
        <v/>
      </c>
      <c r="R281" s="35" t="str">
        <f t="shared" si="88"/>
        <v/>
      </c>
      <c r="S281" s="33" t="str">
        <f t="shared" si="89"/>
        <v/>
      </c>
    </row>
    <row r="282" spans="1:19" x14ac:dyDescent="0.3">
      <c r="A282" s="33">
        <f>278</f>
        <v>278</v>
      </c>
      <c r="B282" s="34" t="str">
        <f t="shared" si="72"/>
        <v/>
      </c>
      <c r="C282" s="33" t="str">
        <f t="shared" si="73"/>
        <v/>
      </c>
      <c r="D282" s="33" t="str">
        <f t="shared" si="74"/>
        <v/>
      </c>
      <c r="E282" s="35" t="str">
        <f t="shared" si="75"/>
        <v/>
      </c>
      <c r="F282" s="35" t="str">
        <f t="shared" si="76"/>
        <v/>
      </c>
      <c r="G282" s="33" t="str">
        <f t="shared" si="77"/>
        <v/>
      </c>
      <c r="H282" s="35" t="str">
        <f t="shared" si="78"/>
        <v/>
      </c>
      <c r="I282" s="35" t="str">
        <f t="shared" si="79"/>
        <v/>
      </c>
      <c r="J282" s="35" t="str">
        <f t="shared" si="80"/>
        <v/>
      </c>
      <c r="K282" s="35" t="str">
        <f t="shared" si="81"/>
        <v/>
      </c>
      <c r="L282" s="35" t="str">
        <f t="shared" si="82"/>
        <v/>
      </c>
      <c r="M282" s="35" t="str">
        <f t="shared" si="83"/>
        <v/>
      </c>
      <c r="N282" s="36" t="str">
        <f t="shared" si="84"/>
        <v/>
      </c>
      <c r="O282" s="35" t="str">
        <f t="shared" si="85"/>
        <v/>
      </c>
      <c r="P282" s="35" t="str">
        <f t="shared" si="86"/>
        <v/>
      </c>
      <c r="Q282" s="35" t="str">
        <f t="shared" si="87"/>
        <v/>
      </c>
      <c r="R282" s="35" t="str">
        <f t="shared" si="88"/>
        <v/>
      </c>
      <c r="S282" s="33" t="str">
        <f t="shared" si="89"/>
        <v/>
      </c>
    </row>
    <row r="283" spans="1:19" x14ac:dyDescent="0.3">
      <c r="A283" s="33">
        <f>279</f>
        <v>279</v>
      </c>
      <c r="B283" s="34" t="str">
        <f t="shared" si="72"/>
        <v/>
      </c>
      <c r="C283" s="33" t="str">
        <f t="shared" si="73"/>
        <v/>
      </c>
      <c r="D283" s="33" t="str">
        <f t="shared" si="74"/>
        <v/>
      </c>
      <c r="E283" s="35" t="str">
        <f t="shared" si="75"/>
        <v/>
      </c>
      <c r="F283" s="35" t="str">
        <f t="shared" si="76"/>
        <v/>
      </c>
      <c r="G283" s="33" t="str">
        <f t="shared" si="77"/>
        <v/>
      </c>
      <c r="H283" s="35" t="str">
        <f t="shared" si="78"/>
        <v/>
      </c>
      <c r="I283" s="35" t="str">
        <f t="shared" si="79"/>
        <v/>
      </c>
      <c r="J283" s="35" t="str">
        <f t="shared" si="80"/>
        <v/>
      </c>
      <c r="K283" s="35" t="str">
        <f t="shared" si="81"/>
        <v/>
      </c>
      <c r="L283" s="35" t="str">
        <f t="shared" si="82"/>
        <v/>
      </c>
      <c r="M283" s="35" t="str">
        <f t="shared" si="83"/>
        <v/>
      </c>
      <c r="N283" s="36" t="str">
        <f t="shared" si="84"/>
        <v/>
      </c>
      <c r="O283" s="35" t="str">
        <f t="shared" si="85"/>
        <v/>
      </c>
      <c r="P283" s="35" t="str">
        <f t="shared" si="86"/>
        <v/>
      </c>
      <c r="Q283" s="35" t="str">
        <f t="shared" si="87"/>
        <v/>
      </c>
      <c r="R283" s="35" t="str">
        <f t="shared" si="88"/>
        <v/>
      </c>
      <c r="S283" s="33" t="str">
        <f t="shared" si="89"/>
        <v/>
      </c>
    </row>
    <row r="284" spans="1:19" x14ac:dyDescent="0.3">
      <c r="A284" s="33">
        <f>280</f>
        <v>280</v>
      </c>
      <c r="B284" s="34" t="str">
        <f t="shared" si="72"/>
        <v/>
      </c>
      <c r="C284" s="33" t="str">
        <f t="shared" si="73"/>
        <v/>
      </c>
      <c r="D284" s="33" t="str">
        <f t="shared" si="74"/>
        <v/>
      </c>
      <c r="E284" s="35" t="str">
        <f t="shared" si="75"/>
        <v/>
      </c>
      <c r="F284" s="35" t="str">
        <f t="shared" si="76"/>
        <v/>
      </c>
      <c r="G284" s="33" t="str">
        <f t="shared" si="77"/>
        <v/>
      </c>
      <c r="H284" s="35" t="str">
        <f t="shared" si="78"/>
        <v/>
      </c>
      <c r="I284" s="35" t="str">
        <f t="shared" si="79"/>
        <v/>
      </c>
      <c r="J284" s="35" t="str">
        <f t="shared" si="80"/>
        <v/>
      </c>
      <c r="K284" s="35" t="str">
        <f t="shared" si="81"/>
        <v/>
      </c>
      <c r="L284" s="35" t="str">
        <f t="shared" si="82"/>
        <v/>
      </c>
      <c r="M284" s="35" t="str">
        <f t="shared" si="83"/>
        <v/>
      </c>
      <c r="N284" s="36" t="str">
        <f t="shared" si="84"/>
        <v/>
      </c>
      <c r="O284" s="35" t="str">
        <f t="shared" si="85"/>
        <v/>
      </c>
      <c r="P284" s="35" t="str">
        <f t="shared" si="86"/>
        <v/>
      </c>
      <c r="Q284" s="35" t="str">
        <f t="shared" si="87"/>
        <v/>
      </c>
      <c r="R284" s="35" t="str">
        <f t="shared" si="88"/>
        <v/>
      </c>
      <c r="S284" s="33" t="str">
        <f t="shared" si="89"/>
        <v/>
      </c>
    </row>
    <row r="285" spans="1:19" x14ac:dyDescent="0.3">
      <c r="A285" s="33">
        <f>281</f>
        <v>281</v>
      </c>
      <c r="B285" s="34" t="str">
        <f t="shared" si="72"/>
        <v/>
      </c>
      <c r="C285" s="33" t="str">
        <f t="shared" si="73"/>
        <v/>
      </c>
      <c r="D285" s="33" t="str">
        <f t="shared" si="74"/>
        <v/>
      </c>
      <c r="E285" s="35" t="str">
        <f t="shared" si="75"/>
        <v/>
      </c>
      <c r="F285" s="35" t="str">
        <f t="shared" si="76"/>
        <v/>
      </c>
      <c r="G285" s="33" t="str">
        <f t="shared" si="77"/>
        <v/>
      </c>
      <c r="H285" s="35" t="str">
        <f t="shared" si="78"/>
        <v/>
      </c>
      <c r="I285" s="35" t="str">
        <f t="shared" si="79"/>
        <v/>
      </c>
      <c r="J285" s="35" t="str">
        <f t="shared" si="80"/>
        <v/>
      </c>
      <c r="K285" s="35" t="str">
        <f t="shared" si="81"/>
        <v/>
      </c>
      <c r="L285" s="35" t="str">
        <f t="shared" si="82"/>
        <v/>
      </c>
      <c r="M285" s="35" t="str">
        <f t="shared" si="83"/>
        <v/>
      </c>
      <c r="N285" s="36" t="str">
        <f t="shared" si="84"/>
        <v/>
      </c>
      <c r="O285" s="35" t="str">
        <f t="shared" si="85"/>
        <v/>
      </c>
      <c r="P285" s="35" t="str">
        <f t="shared" si="86"/>
        <v/>
      </c>
      <c r="Q285" s="35" t="str">
        <f t="shared" si="87"/>
        <v/>
      </c>
      <c r="R285" s="35" t="str">
        <f t="shared" si="88"/>
        <v/>
      </c>
      <c r="S285" s="33" t="str">
        <f t="shared" si="89"/>
        <v/>
      </c>
    </row>
    <row r="286" spans="1:19" x14ac:dyDescent="0.3">
      <c r="A286" s="33">
        <f>282</f>
        <v>282</v>
      </c>
      <c r="B286" s="34" t="str">
        <f t="shared" si="72"/>
        <v/>
      </c>
      <c r="C286" s="33" t="str">
        <f t="shared" si="73"/>
        <v/>
      </c>
      <c r="D286" s="33" t="str">
        <f t="shared" si="74"/>
        <v/>
      </c>
      <c r="E286" s="35" t="str">
        <f t="shared" si="75"/>
        <v/>
      </c>
      <c r="F286" s="35" t="str">
        <f t="shared" si="76"/>
        <v/>
      </c>
      <c r="G286" s="33" t="str">
        <f t="shared" si="77"/>
        <v/>
      </c>
      <c r="H286" s="35" t="str">
        <f t="shared" si="78"/>
        <v/>
      </c>
      <c r="I286" s="35" t="str">
        <f t="shared" si="79"/>
        <v/>
      </c>
      <c r="J286" s="35" t="str">
        <f t="shared" si="80"/>
        <v/>
      </c>
      <c r="K286" s="35" t="str">
        <f t="shared" si="81"/>
        <v/>
      </c>
      <c r="L286" s="35" t="str">
        <f t="shared" si="82"/>
        <v/>
      </c>
      <c r="M286" s="35" t="str">
        <f t="shared" si="83"/>
        <v/>
      </c>
      <c r="N286" s="36" t="str">
        <f t="shared" si="84"/>
        <v/>
      </c>
      <c r="O286" s="35" t="str">
        <f t="shared" si="85"/>
        <v/>
      </c>
      <c r="P286" s="35" t="str">
        <f t="shared" si="86"/>
        <v/>
      </c>
      <c r="Q286" s="35" t="str">
        <f t="shared" si="87"/>
        <v/>
      </c>
      <c r="R286" s="35" t="str">
        <f t="shared" si="88"/>
        <v/>
      </c>
      <c r="S286" s="33" t="str">
        <f t="shared" si="89"/>
        <v/>
      </c>
    </row>
    <row r="287" spans="1:19" x14ac:dyDescent="0.3">
      <c r="A287" s="33">
        <f>283</f>
        <v>283</v>
      </c>
      <c r="B287" s="34" t="str">
        <f t="shared" si="72"/>
        <v/>
      </c>
      <c r="C287" s="33" t="str">
        <f t="shared" si="73"/>
        <v/>
      </c>
      <c r="D287" s="33" t="str">
        <f t="shared" si="74"/>
        <v/>
      </c>
      <c r="E287" s="35" t="str">
        <f t="shared" si="75"/>
        <v/>
      </c>
      <c r="F287" s="35" t="str">
        <f t="shared" si="76"/>
        <v/>
      </c>
      <c r="G287" s="33" t="str">
        <f t="shared" si="77"/>
        <v/>
      </c>
      <c r="H287" s="35" t="str">
        <f t="shared" si="78"/>
        <v/>
      </c>
      <c r="I287" s="35" t="str">
        <f t="shared" si="79"/>
        <v/>
      </c>
      <c r="J287" s="35" t="str">
        <f t="shared" si="80"/>
        <v/>
      </c>
      <c r="K287" s="35" t="str">
        <f t="shared" si="81"/>
        <v/>
      </c>
      <c r="L287" s="35" t="str">
        <f t="shared" si="82"/>
        <v/>
      </c>
      <c r="M287" s="35" t="str">
        <f t="shared" si="83"/>
        <v/>
      </c>
      <c r="N287" s="36" t="str">
        <f t="shared" si="84"/>
        <v/>
      </c>
      <c r="O287" s="35" t="str">
        <f t="shared" si="85"/>
        <v/>
      </c>
      <c r="P287" s="35" t="str">
        <f t="shared" si="86"/>
        <v/>
      </c>
      <c r="Q287" s="35" t="str">
        <f t="shared" si="87"/>
        <v/>
      </c>
      <c r="R287" s="35" t="str">
        <f t="shared" si="88"/>
        <v/>
      </c>
      <c r="S287" s="33" t="str">
        <f t="shared" si="89"/>
        <v/>
      </c>
    </row>
    <row r="288" spans="1:19" x14ac:dyDescent="0.3">
      <c r="A288" s="33">
        <f>284</f>
        <v>284</v>
      </c>
      <c r="B288" s="34" t="str">
        <f t="shared" si="72"/>
        <v/>
      </c>
      <c r="C288" s="33" t="str">
        <f t="shared" si="73"/>
        <v/>
      </c>
      <c r="D288" s="33" t="str">
        <f t="shared" si="74"/>
        <v/>
      </c>
      <c r="E288" s="35" t="str">
        <f t="shared" si="75"/>
        <v/>
      </c>
      <c r="F288" s="35" t="str">
        <f t="shared" si="76"/>
        <v/>
      </c>
      <c r="G288" s="33" t="str">
        <f t="shared" si="77"/>
        <v/>
      </c>
      <c r="H288" s="35" t="str">
        <f t="shared" si="78"/>
        <v/>
      </c>
      <c r="I288" s="35" t="str">
        <f t="shared" si="79"/>
        <v/>
      </c>
      <c r="J288" s="35" t="str">
        <f t="shared" si="80"/>
        <v/>
      </c>
      <c r="K288" s="35" t="str">
        <f t="shared" si="81"/>
        <v/>
      </c>
      <c r="L288" s="35" t="str">
        <f t="shared" si="82"/>
        <v/>
      </c>
      <c r="M288" s="35" t="str">
        <f t="shared" si="83"/>
        <v/>
      </c>
      <c r="N288" s="36" t="str">
        <f t="shared" si="84"/>
        <v/>
      </c>
      <c r="O288" s="35" t="str">
        <f t="shared" si="85"/>
        <v/>
      </c>
      <c r="P288" s="35" t="str">
        <f t="shared" si="86"/>
        <v/>
      </c>
      <c r="Q288" s="35" t="str">
        <f t="shared" si="87"/>
        <v/>
      </c>
      <c r="R288" s="35" t="str">
        <f t="shared" si="88"/>
        <v/>
      </c>
      <c r="S288" s="33" t="str">
        <f t="shared" si="89"/>
        <v/>
      </c>
    </row>
    <row r="289" spans="1:19" x14ac:dyDescent="0.3">
      <c r="A289" s="33">
        <f>285</f>
        <v>285</v>
      </c>
      <c r="B289" s="34" t="str">
        <f t="shared" si="72"/>
        <v/>
      </c>
      <c r="C289" s="33" t="str">
        <f t="shared" si="73"/>
        <v/>
      </c>
      <c r="D289" s="33" t="str">
        <f t="shared" si="74"/>
        <v/>
      </c>
      <c r="E289" s="35" t="str">
        <f t="shared" si="75"/>
        <v/>
      </c>
      <c r="F289" s="35" t="str">
        <f t="shared" si="76"/>
        <v/>
      </c>
      <c r="G289" s="33" t="str">
        <f t="shared" si="77"/>
        <v/>
      </c>
      <c r="H289" s="35" t="str">
        <f t="shared" si="78"/>
        <v/>
      </c>
      <c r="I289" s="35" t="str">
        <f t="shared" si="79"/>
        <v/>
      </c>
      <c r="J289" s="35" t="str">
        <f t="shared" si="80"/>
        <v/>
      </c>
      <c r="K289" s="35" t="str">
        <f t="shared" si="81"/>
        <v/>
      </c>
      <c r="L289" s="35" t="str">
        <f t="shared" si="82"/>
        <v/>
      </c>
      <c r="M289" s="35" t="str">
        <f t="shared" si="83"/>
        <v/>
      </c>
      <c r="N289" s="36" t="str">
        <f t="shared" si="84"/>
        <v/>
      </c>
      <c r="O289" s="35" t="str">
        <f t="shared" si="85"/>
        <v/>
      </c>
      <c r="P289" s="35" t="str">
        <f t="shared" si="86"/>
        <v/>
      </c>
      <c r="Q289" s="35" t="str">
        <f t="shared" si="87"/>
        <v/>
      </c>
      <c r="R289" s="35" t="str">
        <f t="shared" si="88"/>
        <v/>
      </c>
      <c r="S289" s="33" t="str">
        <f t="shared" si="89"/>
        <v/>
      </c>
    </row>
    <row r="290" spans="1:19" x14ac:dyDescent="0.3">
      <c r="A290" s="33">
        <f>286</f>
        <v>286</v>
      </c>
      <c r="B290" s="34" t="str">
        <f t="shared" si="72"/>
        <v/>
      </c>
      <c r="C290" s="33" t="str">
        <f t="shared" si="73"/>
        <v/>
      </c>
      <c r="D290" s="33" t="str">
        <f t="shared" si="74"/>
        <v/>
      </c>
      <c r="E290" s="35" t="str">
        <f t="shared" si="75"/>
        <v/>
      </c>
      <c r="F290" s="35" t="str">
        <f t="shared" si="76"/>
        <v/>
      </c>
      <c r="G290" s="33" t="str">
        <f t="shared" si="77"/>
        <v/>
      </c>
      <c r="H290" s="35" t="str">
        <f t="shared" si="78"/>
        <v/>
      </c>
      <c r="I290" s="35" t="str">
        <f t="shared" si="79"/>
        <v/>
      </c>
      <c r="J290" s="35" t="str">
        <f t="shared" si="80"/>
        <v/>
      </c>
      <c r="K290" s="35" t="str">
        <f t="shared" si="81"/>
        <v/>
      </c>
      <c r="L290" s="35" t="str">
        <f t="shared" si="82"/>
        <v/>
      </c>
      <c r="M290" s="35" t="str">
        <f t="shared" si="83"/>
        <v/>
      </c>
      <c r="N290" s="36" t="str">
        <f t="shared" si="84"/>
        <v/>
      </c>
      <c r="O290" s="35" t="str">
        <f t="shared" si="85"/>
        <v/>
      </c>
      <c r="P290" s="35" t="str">
        <f t="shared" si="86"/>
        <v/>
      </c>
      <c r="Q290" s="35" t="str">
        <f t="shared" si="87"/>
        <v/>
      </c>
      <c r="R290" s="35" t="str">
        <f t="shared" si="88"/>
        <v/>
      </c>
      <c r="S290" s="33" t="str">
        <f t="shared" si="89"/>
        <v/>
      </c>
    </row>
    <row r="291" spans="1:19" x14ac:dyDescent="0.3">
      <c r="A291" s="33">
        <f>287</f>
        <v>287</v>
      </c>
      <c r="B291" s="34" t="str">
        <f t="shared" si="72"/>
        <v/>
      </c>
      <c r="C291" s="33" t="str">
        <f t="shared" si="73"/>
        <v/>
      </c>
      <c r="D291" s="33" t="str">
        <f t="shared" si="74"/>
        <v/>
      </c>
      <c r="E291" s="35" t="str">
        <f t="shared" si="75"/>
        <v/>
      </c>
      <c r="F291" s="35" t="str">
        <f t="shared" si="76"/>
        <v/>
      </c>
      <c r="G291" s="33" t="str">
        <f t="shared" si="77"/>
        <v/>
      </c>
      <c r="H291" s="35" t="str">
        <f t="shared" si="78"/>
        <v/>
      </c>
      <c r="I291" s="35" t="str">
        <f t="shared" si="79"/>
        <v/>
      </c>
      <c r="J291" s="35" t="str">
        <f t="shared" si="80"/>
        <v/>
      </c>
      <c r="K291" s="35" t="str">
        <f t="shared" si="81"/>
        <v/>
      </c>
      <c r="L291" s="35" t="str">
        <f t="shared" si="82"/>
        <v/>
      </c>
      <c r="M291" s="35" t="str">
        <f t="shared" si="83"/>
        <v/>
      </c>
      <c r="N291" s="36" t="str">
        <f t="shared" si="84"/>
        <v/>
      </c>
      <c r="O291" s="35" t="str">
        <f t="shared" si="85"/>
        <v/>
      </c>
      <c r="P291" s="35" t="str">
        <f t="shared" si="86"/>
        <v/>
      </c>
      <c r="Q291" s="35" t="str">
        <f t="shared" si="87"/>
        <v/>
      </c>
      <c r="R291" s="35" t="str">
        <f t="shared" si="88"/>
        <v/>
      </c>
      <c r="S291" s="33" t="str">
        <f t="shared" si="89"/>
        <v/>
      </c>
    </row>
    <row r="292" spans="1:19" x14ac:dyDescent="0.3">
      <c r="A292" s="37">
        <f>288</f>
        <v>288</v>
      </c>
      <c r="B292" s="38" t="str">
        <f t="shared" si="72"/>
        <v/>
      </c>
      <c r="C292" s="37" t="str">
        <f t="shared" si="73"/>
        <v/>
      </c>
      <c r="D292" s="37" t="str">
        <f t="shared" si="74"/>
        <v/>
      </c>
      <c r="E292" s="39" t="str">
        <f t="shared" si="75"/>
        <v/>
      </c>
      <c r="F292" s="39" t="str">
        <f t="shared" si="76"/>
        <v/>
      </c>
      <c r="G292" s="37" t="str">
        <f t="shared" si="77"/>
        <v/>
      </c>
      <c r="H292" s="39" t="str">
        <f t="shared" si="78"/>
        <v/>
      </c>
      <c r="I292" s="39" t="str">
        <f t="shared" si="79"/>
        <v/>
      </c>
      <c r="J292" s="39" t="str">
        <f t="shared" si="80"/>
        <v/>
      </c>
      <c r="K292" s="39" t="str">
        <f t="shared" si="81"/>
        <v/>
      </c>
      <c r="L292" s="39" t="str">
        <f t="shared" si="82"/>
        <v/>
      </c>
      <c r="M292" s="39" t="str">
        <f t="shared" si="83"/>
        <v/>
      </c>
      <c r="N292" s="40" t="str">
        <f t="shared" si="84"/>
        <v/>
      </c>
      <c r="O292" s="39" t="str">
        <f t="shared" si="85"/>
        <v/>
      </c>
      <c r="P292" s="39" t="str">
        <f t="shared" si="86"/>
        <v/>
      </c>
      <c r="Q292" s="39" t="str">
        <f t="shared" si="87"/>
        <v/>
      </c>
      <c r="R292" s="39" t="str">
        <f t="shared" si="88"/>
        <v/>
      </c>
      <c r="S292" s="37" t="str">
        <f t="shared" si="89"/>
        <v/>
      </c>
    </row>
    <row r="293" spans="1:19" x14ac:dyDescent="0.3">
      <c r="A293" s="33">
        <f>289</f>
        <v>289</v>
      </c>
      <c r="B293" s="34" t="str">
        <f t="shared" si="72"/>
        <v/>
      </c>
      <c r="C293" s="33" t="str">
        <f t="shared" si="73"/>
        <v/>
      </c>
      <c r="D293" s="33" t="str">
        <f t="shared" si="74"/>
        <v/>
      </c>
      <c r="E293" s="35" t="str">
        <f t="shared" si="75"/>
        <v/>
      </c>
      <c r="F293" s="35" t="str">
        <f t="shared" si="76"/>
        <v/>
      </c>
      <c r="G293" s="33" t="str">
        <f t="shared" si="77"/>
        <v/>
      </c>
      <c r="H293" s="35" t="str">
        <f t="shared" si="78"/>
        <v/>
      </c>
      <c r="I293" s="35" t="str">
        <f t="shared" si="79"/>
        <v/>
      </c>
      <c r="J293" s="35" t="str">
        <f t="shared" si="80"/>
        <v/>
      </c>
      <c r="K293" s="35" t="str">
        <f t="shared" si="81"/>
        <v/>
      </c>
      <c r="L293" s="35" t="str">
        <f t="shared" si="82"/>
        <v/>
      </c>
      <c r="M293" s="35" t="str">
        <f t="shared" si="83"/>
        <v/>
      </c>
      <c r="N293" s="36" t="str">
        <f t="shared" si="84"/>
        <v/>
      </c>
      <c r="O293" s="35" t="str">
        <f t="shared" si="85"/>
        <v/>
      </c>
      <c r="P293" s="35" t="str">
        <f t="shared" si="86"/>
        <v/>
      </c>
      <c r="Q293" s="35" t="str">
        <f t="shared" si="87"/>
        <v/>
      </c>
      <c r="R293" s="35" t="str">
        <f t="shared" si="88"/>
        <v/>
      </c>
      <c r="S293" s="33" t="str">
        <f t="shared" si="89"/>
        <v/>
      </c>
    </row>
    <row r="294" spans="1:19" x14ac:dyDescent="0.3">
      <c r="A294" s="33">
        <f>290</f>
        <v>290</v>
      </c>
      <c r="B294" s="34" t="str">
        <f t="shared" si="72"/>
        <v/>
      </c>
      <c r="C294" s="33" t="str">
        <f t="shared" si="73"/>
        <v/>
      </c>
      <c r="D294" s="33" t="str">
        <f t="shared" si="74"/>
        <v/>
      </c>
      <c r="E294" s="35" t="str">
        <f t="shared" si="75"/>
        <v/>
      </c>
      <c r="F294" s="35" t="str">
        <f t="shared" si="76"/>
        <v/>
      </c>
      <c r="G294" s="33" t="str">
        <f t="shared" si="77"/>
        <v/>
      </c>
      <c r="H294" s="35" t="str">
        <f t="shared" si="78"/>
        <v/>
      </c>
      <c r="I294" s="35" t="str">
        <f t="shared" si="79"/>
        <v/>
      </c>
      <c r="J294" s="35" t="str">
        <f t="shared" si="80"/>
        <v/>
      </c>
      <c r="K294" s="35" t="str">
        <f t="shared" si="81"/>
        <v/>
      </c>
      <c r="L294" s="35" t="str">
        <f t="shared" si="82"/>
        <v/>
      </c>
      <c r="M294" s="35" t="str">
        <f t="shared" si="83"/>
        <v/>
      </c>
      <c r="N294" s="36" t="str">
        <f t="shared" si="84"/>
        <v/>
      </c>
      <c r="O294" s="35" t="str">
        <f t="shared" si="85"/>
        <v/>
      </c>
      <c r="P294" s="35" t="str">
        <f t="shared" si="86"/>
        <v/>
      </c>
      <c r="Q294" s="35" t="str">
        <f t="shared" si="87"/>
        <v/>
      </c>
      <c r="R294" s="35" t="str">
        <f t="shared" si="88"/>
        <v/>
      </c>
      <c r="S294" s="33" t="str">
        <f t="shared" si="89"/>
        <v/>
      </c>
    </row>
    <row r="295" spans="1:19" x14ac:dyDescent="0.3">
      <c r="A295" s="33">
        <f>291</f>
        <v>291</v>
      </c>
      <c r="B295" s="34" t="str">
        <f t="shared" si="72"/>
        <v/>
      </c>
      <c r="C295" s="33" t="str">
        <f t="shared" si="73"/>
        <v/>
      </c>
      <c r="D295" s="33" t="str">
        <f t="shared" si="74"/>
        <v/>
      </c>
      <c r="E295" s="35" t="str">
        <f t="shared" si="75"/>
        <v/>
      </c>
      <c r="F295" s="35" t="str">
        <f t="shared" si="76"/>
        <v/>
      </c>
      <c r="G295" s="33" t="str">
        <f t="shared" si="77"/>
        <v/>
      </c>
      <c r="H295" s="35" t="str">
        <f t="shared" si="78"/>
        <v/>
      </c>
      <c r="I295" s="35" t="str">
        <f t="shared" si="79"/>
        <v/>
      </c>
      <c r="J295" s="35" t="str">
        <f t="shared" si="80"/>
        <v/>
      </c>
      <c r="K295" s="35" t="str">
        <f t="shared" si="81"/>
        <v/>
      </c>
      <c r="L295" s="35" t="str">
        <f t="shared" si="82"/>
        <v/>
      </c>
      <c r="M295" s="35" t="str">
        <f t="shared" si="83"/>
        <v/>
      </c>
      <c r="N295" s="36" t="str">
        <f t="shared" si="84"/>
        <v/>
      </c>
      <c r="O295" s="35" t="str">
        <f t="shared" si="85"/>
        <v/>
      </c>
      <c r="P295" s="35" t="str">
        <f t="shared" si="86"/>
        <v/>
      </c>
      <c r="Q295" s="35" t="str">
        <f t="shared" si="87"/>
        <v/>
      </c>
      <c r="R295" s="35" t="str">
        <f t="shared" si="88"/>
        <v/>
      </c>
      <c r="S295" s="33" t="str">
        <f t="shared" si="89"/>
        <v/>
      </c>
    </row>
    <row r="296" spans="1:19" x14ac:dyDescent="0.3">
      <c r="A296" s="33">
        <f>292</f>
        <v>292</v>
      </c>
      <c r="B296" s="34" t="str">
        <f t="shared" si="72"/>
        <v/>
      </c>
      <c r="C296" s="33" t="str">
        <f t="shared" si="73"/>
        <v/>
      </c>
      <c r="D296" s="33" t="str">
        <f t="shared" si="74"/>
        <v/>
      </c>
      <c r="E296" s="35" t="str">
        <f t="shared" si="75"/>
        <v/>
      </c>
      <c r="F296" s="35" t="str">
        <f t="shared" si="76"/>
        <v/>
      </c>
      <c r="G296" s="33" t="str">
        <f t="shared" si="77"/>
        <v/>
      </c>
      <c r="H296" s="35" t="str">
        <f t="shared" si="78"/>
        <v/>
      </c>
      <c r="I296" s="35" t="str">
        <f t="shared" si="79"/>
        <v/>
      </c>
      <c r="J296" s="35" t="str">
        <f t="shared" si="80"/>
        <v/>
      </c>
      <c r="K296" s="35" t="str">
        <f t="shared" si="81"/>
        <v/>
      </c>
      <c r="L296" s="35" t="str">
        <f t="shared" si="82"/>
        <v/>
      </c>
      <c r="M296" s="35" t="str">
        <f t="shared" si="83"/>
        <v/>
      </c>
      <c r="N296" s="36" t="str">
        <f t="shared" si="84"/>
        <v/>
      </c>
      <c r="O296" s="35" t="str">
        <f t="shared" si="85"/>
        <v/>
      </c>
      <c r="P296" s="35" t="str">
        <f t="shared" si="86"/>
        <v/>
      </c>
      <c r="Q296" s="35" t="str">
        <f t="shared" si="87"/>
        <v/>
      </c>
      <c r="R296" s="35" t="str">
        <f t="shared" si="88"/>
        <v/>
      </c>
      <c r="S296" s="33" t="str">
        <f t="shared" si="89"/>
        <v/>
      </c>
    </row>
    <row r="297" spans="1:19" x14ac:dyDescent="0.3">
      <c r="A297" s="33">
        <f>293</f>
        <v>293</v>
      </c>
      <c r="B297" s="34" t="str">
        <f t="shared" si="72"/>
        <v/>
      </c>
      <c r="C297" s="33" t="str">
        <f t="shared" si="73"/>
        <v/>
      </c>
      <c r="D297" s="33" t="str">
        <f t="shared" si="74"/>
        <v/>
      </c>
      <c r="E297" s="35" t="str">
        <f t="shared" si="75"/>
        <v/>
      </c>
      <c r="F297" s="35" t="str">
        <f t="shared" si="76"/>
        <v/>
      </c>
      <c r="G297" s="33" t="str">
        <f t="shared" si="77"/>
        <v/>
      </c>
      <c r="H297" s="35" t="str">
        <f t="shared" si="78"/>
        <v/>
      </c>
      <c r="I297" s="35" t="str">
        <f t="shared" si="79"/>
        <v/>
      </c>
      <c r="J297" s="35" t="str">
        <f t="shared" si="80"/>
        <v/>
      </c>
      <c r="K297" s="35" t="str">
        <f t="shared" si="81"/>
        <v/>
      </c>
      <c r="L297" s="35" t="str">
        <f t="shared" si="82"/>
        <v/>
      </c>
      <c r="M297" s="35" t="str">
        <f t="shared" si="83"/>
        <v/>
      </c>
      <c r="N297" s="36" t="str">
        <f t="shared" si="84"/>
        <v/>
      </c>
      <c r="O297" s="35" t="str">
        <f t="shared" si="85"/>
        <v/>
      </c>
      <c r="P297" s="35" t="str">
        <f t="shared" si="86"/>
        <v/>
      </c>
      <c r="Q297" s="35" t="str">
        <f t="shared" si="87"/>
        <v/>
      </c>
      <c r="R297" s="35" t="str">
        <f t="shared" si="88"/>
        <v/>
      </c>
      <c r="S297" s="33" t="str">
        <f t="shared" si="89"/>
        <v/>
      </c>
    </row>
    <row r="298" spans="1:19" x14ac:dyDescent="0.3">
      <c r="A298" s="33">
        <f>294</f>
        <v>294</v>
      </c>
      <c r="B298" s="34" t="str">
        <f t="shared" si="72"/>
        <v/>
      </c>
      <c r="C298" s="33" t="str">
        <f t="shared" si="73"/>
        <v/>
      </c>
      <c r="D298" s="33" t="str">
        <f t="shared" si="74"/>
        <v/>
      </c>
      <c r="E298" s="35" t="str">
        <f t="shared" si="75"/>
        <v/>
      </c>
      <c r="F298" s="35" t="str">
        <f t="shared" si="76"/>
        <v/>
      </c>
      <c r="G298" s="33" t="str">
        <f t="shared" si="77"/>
        <v/>
      </c>
      <c r="H298" s="35" t="str">
        <f t="shared" si="78"/>
        <v/>
      </c>
      <c r="I298" s="35" t="str">
        <f t="shared" si="79"/>
        <v/>
      </c>
      <c r="J298" s="35" t="str">
        <f t="shared" si="80"/>
        <v/>
      </c>
      <c r="K298" s="35" t="str">
        <f t="shared" si="81"/>
        <v/>
      </c>
      <c r="L298" s="35" t="str">
        <f t="shared" si="82"/>
        <v/>
      </c>
      <c r="M298" s="35" t="str">
        <f t="shared" si="83"/>
        <v/>
      </c>
      <c r="N298" s="36" t="str">
        <f t="shared" si="84"/>
        <v/>
      </c>
      <c r="O298" s="35" t="str">
        <f t="shared" si="85"/>
        <v/>
      </c>
      <c r="P298" s="35" t="str">
        <f t="shared" si="86"/>
        <v/>
      </c>
      <c r="Q298" s="35" t="str">
        <f t="shared" si="87"/>
        <v/>
      </c>
      <c r="R298" s="35" t="str">
        <f t="shared" si="88"/>
        <v/>
      </c>
      <c r="S298" s="33" t="str">
        <f t="shared" si="89"/>
        <v/>
      </c>
    </row>
    <row r="299" spans="1:19" x14ac:dyDescent="0.3">
      <c r="A299" s="33">
        <f>295</f>
        <v>295</v>
      </c>
      <c r="B299" s="34" t="str">
        <f t="shared" si="72"/>
        <v/>
      </c>
      <c r="C299" s="33" t="str">
        <f t="shared" si="73"/>
        <v/>
      </c>
      <c r="D299" s="33" t="str">
        <f t="shared" si="74"/>
        <v/>
      </c>
      <c r="E299" s="35" t="str">
        <f t="shared" si="75"/>
        <v/>
      </c>
      <c r="F299" s="35" t="str">
        <f t="shared" si="76"/>
        <v/>
      </c>
      <c r="G299" s="33" t="str">
        <f t="shared" si="77"/>
        <v/>
      </c>
      <c r="H299" s="35" t="str">
        <f t="shared" si="78"/>
        <v/>
      </c>
      <c r="I299" s="35" t="str">
        <f t="shared" si="79"/>
        <v/>
      </c>
      <c r="J299" s="35" t="str">
        <f t="shared" si="80"/>
        <v/>
      </c>
      <c r="K299" s="35" t="str">
        <f t="shared" si="81"/>
        <v/>
      </c>
      <c r="L299" s="35" t="str">
        <f t="shared" si="82"/>
        <v/>
      </c>
      <c r="M299" s="35" t="str">
        <f t="shared" si="83"/>
        <v/>
      </c>
      <c r="N299" s="36" t="str">
        <f t="shared" si="84"/>
        <v/>
      </c>
      <c r="O299" s="35" t="str">
        <f t="shared" si="85"/>
        <v/>
      </c>
      <c r="P299" s="35" t="str">
        <f t="shared" si="86"/>
        <v/>
      </c>
      <c r="Q299" s="35" t="str">
        <f t="shared" si="87"/>
        <v/>
      </c>
      <c r="R299" s="35" t="str">
        <f t="shared" si="88"/>
        <v/>
      </c>
      <c r="S299" s="33" t="str">
        <f t="shared" si="89"/>
        <v/>
      </c>
    </row>
    <row r="300" spans="1:19" x14ac:dyDescent="0.3">
      <c r="A300" s="33">
        <f>296</f>
        <v>296</v>
      </c>
      <c r="B300" s="34" t="str">
        <f t="shared" si="72"/>
        <v/>
      </c>
      <c r="C300" s="33" t="str">
        <f t="shared" si="73"/>
        <v/>
      </c>
      <c r="D300" s="33" t="str">
        <f t="shared" si="74"/>
        <v/>
      </c>
      <c r="E300" s="35" t="str">
        <f t="shared" si="75"/>
        <v/>
      </c>
      <c r="F300" s="35" t="str">
        <f t="shared" si="76"/>
        <v/>
      </c>
      <c r="G300" s="33" t="str">
        <f t="shared" si="77"/>
        <v/>
      </c>
      <c r="H300" s="35" t="str">
        <f t="shared" si="78"/>
        <v/>
      </c>
      <c r="I300" s="35" t="str">
        <f t="shared" si="79"/>
        <v/>
      </c>
      <c r="J300" s="35" t="str">
        <f t="shared" si="80"/>
        <v/>
      </c>
      <c r="K300" s="35" t="str">
        <f t="shared" si="81"/>
        <v/>
      </c>
      <c r="L300" s="35" t="str">
        <f t="shared" si="82"/>
        <v/>
      </c>
      <c r="M300" s="35" t="str">
        <f t="shared" si="83"/>
        <v/>
      </c>
      <c r="N300" s="36" t="str">
        <f t="shared" si="84"/>
        <v/>
      </c>
      <c r="O300" s="35" t="str">
        <f t="shared" si="85"/>
        <v/>
      </c>
      <c r="P300" s="35" t="str">
        <f t="shared" si="86"/>
        <v/>
      </c>
      <c r="Q300" s="35" t="str">
        <f t="shared" si="87"/>
        <v/>
      </c>
      <c r="R300" s="35" t="str">
        <f t="shared" si="88"/>
        <v/>
      </c>
      <c r="S300" s="33" t="str">
        <f t="shared" si="89"/>
        <v/>
      </c>
    </row>
    <row r="301" spans="1:19" x14ac:dyDescent="0.3">
      <c r="A301" s="33">
        <f>297</f>
        <v>297</v>
      </c>
      <c r="B301" s="34" t="str">
        <f t="shared" si="72"/>
        <v/>
      </c>
      <c r="C301" s="33" t="str">
        <f t="shared" si="73"/>
        <v/>
      </c>
      <c r="D301" s="33" t="str">
        <f t="shared" si="74"/>
        <v/>
      </c>
      <c r="E301" s="35" t="str">
        <f t="shared" si="75"/>
        <v/>
      </c>
      <c r="F301" s="35" t="str">
        <f t="shared" si="76"/>
        <v/>
      </c>
      <c r="G301" s="33" t="str">
        <f t="shared" si="77"/>
        <v/>
      </c>
      <c r="H301" s="35" t="str">
        <f t="shared" si="78"/>
        <v/>
      </c>
      <c r="I301" s="35" t="str">
        <f t="shared" si="79"/>
        <v/>
      </c>
      <c r="J301" s="35" t="str">
        <f t="shared" si="80"/>
        <v/>
      </c>
      <c r="K301" s="35" t="str">
        <f t="shared" si="81"/>
        <v/>
      </c>
      <c r="L301" s="35" t="str">
        <f t="shared" si="82"/>
        <v/>
      </c>
      <c r="M301" s="35" t="str">
        <f t="shared" si="83"/>
        <v/>
      </c>
      <c r="N301" s="36" t="str">
        <f t="shared" si="84"/>
        <v/>
      </c>
      <c r="O301" s="35" t="str">
        <f t="shared" si="85"/>
        <v/>
      </c>
      <c r="P301" s="35" t="str">
        <f t="shared" si="86"/>
        <v/>
      </c>
      <c r="Q301" s="35" t="str">
        <f t="shared" si="87"/>
        <v/>
      </c>
      <c r="R301" s="35" t="str">
        <f t="shared" si="88"/>
        <v/>
      </c>
      <c r="S301" s="33" t="str">
        <f t="shared" si="89"/>
        <v/>
      </c>
    </row>
    <row r="302" spans="1:19" x14ac:dyDescent="0.3">
      <c r="A302" s="33">
        <f>298</f>
        <v>298</v>
      </c>
      <c r="B302" s="34" t="str">
        <f t="shared" si="72"/>
        <v/>
      </c>
      <c r="C302" s="33" t="str">
        <f t="shared" si="73"/>
        <v/>
      </c>
      <c r="D302" s="33" t="str">
        <f t="shared" si="74"/>
        <v/>
      </c>
      <c r="E302" s="35" t="str">
        <f t="shared" si="75"/>
        <v/>
      </c>
      <c r="F302" s="35" t="str">
        <f t="shared" si="76"/>
        <v/>
      </c>
      <c r="G302" s="33" t="str">
        <f t="shared" si="77"/>
        <v/>
      </c>
      <c r="H302" s="35" t="str">
        <f t="shared" si="78"/>
        <v/>
      </c>
      <c r="I302" s="35" t="str">
        <f t="shared" si="79"/>
        <v/>
      </c>
      <c r="J302" s="35" t="str">
        <f t="shared" si="80"/>
        <v/>
      </c>
      <c r="K302" s="35" t="str">
        <f t="shared" si="81"/>
        <v/>
      </c>
      <c r="L302" s="35" t="str">
        <f t="shared" si="82"/>
        <v/>
      </c>
      <c r="M302" s="35" t="str">
        <f t="shared" si="83"/>
        <v/>
      </c>
      <c r="N302" s="36" t="str">
        <f t="shared" si="84"/>
        <v/>
      </c>
      <c r="O302" s="35" t="str">
        <f t="shared" si="85"/>
        <v/>
      </c>
      <c r="P302" s="35" t="str">
        <f t="shared" si="86"/>
        <v/>
      </c>
      <c r="Q302" s="35" t="str">
        <f t="shared" si="87"/>
        <v/>
      </c>
      <c r="R302" s="35" t="str">
        <f t="shared" si="88"/>
        <v/>
      </c>
      <c r="S302" s="33" t="str">
        <f t="shared" si="89"/>
        <v/>
      </c>
    </row>
    <row r="303" spans="1:19" x14ac:dyDescent="0.3">
      <c r="A303" s="33">
        <f>299</f>
        <v>299</v>
      </c>
      <c r="B303" s="34" t="str">
        <f t="shared" si="72"/>
        <v/>
      </c>
      <c r="C303" s="33" t="str">
        <f t="shared" si="73"/>
        <v/>
      </c>
      <c r="D303" s="33" t="str">
        <f t="shared" si="74"/>
        <v/>
      </c>
      <c r="E303" s="35" t="str">
        <f t="shared" si="75"/>
        <v/>
      </c>
      <c r="F303" s="35" t="str">
        <f t="shared" si="76"/>
        <v/>
      </c>
      <c r="G303" s="33" t="str">
        <f t="shared" si="77"/>
        <v/>
      </c>
      <c r="H303" s="35" t="str">
        <f t="shared" si="78"/>
        <v/>
      </c>
      <c r="I303" s="35" t="str">
        <f t="shared" si="79"/>
        <v/>
      </c>
      <c r="J303" s="35" t="str">
        <f t="shared" si="80"/>
        <v/>
      </c>
      <c r="K303" s="35" t="str">
        <f t="shared" si="81"/>
        <v/>
      </c>
      <c r="L303" s="35" t="str">
        <f t="shared" si="82"/>
        <v/>
      </c>
      <c r="M303" s="35" t="str">
        <f t="shared" si="83"/>
        <v/>
      </c>
      <c r="N303" s="36" t="str">
        <f t="shared" si="84"/>
        <v/>
      </c>
      <c r="O303" s="35" t="str">
        <f t="shared" si="85"/>
        <v/>
      </c>
      <c r="P303" s="35" t="str">
        <f t="shared" si="86"/>
        <v/>
      </c>
      <c r="Q303" s="35" t="str">
        <f t="shared" si="87"/>
        <v/>
      </c>
      <c r="R303" s="35" t="str">
        <f t="shared" si="88"/>
        <v/>
      </c>
      <c r="S303" s="33" t="str">
        <f t="shared" si="89"/>
        <v/>
      </c>
    </row>
    <row r="304" spans="1:19" x14ac:dyDescent="0.3">
      <c r="A304" s="37">
        <f>300</f>
        <v>300</v>
      </c>
      <c r="B304" s="38" t="str">
        <f t="shared" si="72"/>
        <v/>
      </c>
      <c r="C304" s="37" t="str">
        <f t="shared" si="73"/>
        <v/>
      </c>
      <c r="D304" s="37" t="str">
        <f t="shared" si="74"/>
        <v/>
      </c>
      <c r="E304" s="39" t="str">
        <f t="shared" si="75"/>
        <v/>
      </c>
      <c r="F304" s="39" t="str">
        <f t="shared" si="76"/>
        <v/>
      </c>
      <c r="G304" s="37" t="str">
        <f t="shared" si="77"/>
        <v/>
      </c>
      <c r="H304" s="39" t="str">
        <f t="shared" si="78"/>
        <v/>
      </c>
      <c r="I304" s="39" t="str">
        <f t="shared" si="79"/>
        <v/>
      </c>
      <c r="J304" s="39" t="str">
        <f t="shared" si="80"/>
        <v/>
      </c>
      <c r="K304" s="39" t="str">
        <f t="shared" si="81"/>
        <v/>
      </c>
      <c r="L304" s="39" t="str">
        <f t="shared" si="82"/>
        <v/>
      </c>
      <c r="M304" s="39" t="str">
        <f t="shared" si="83"/>
        <v/>
      </c>
      <c r="N304" s="40" t="str">
        <f t="shared" si="84"/>
        <v/>
      </c>
      <c r="O304" s="39" t="str">
        <f t="shared" si="85"/>
        <v/>
      </c>
      <c r="P304" s="39" t="str">
        <f t="shared" si="86"/>
        <v/>
      </c>
      <c r="Q304" s="39" t="str">
        <f t="shared" si="87"/>
        <v/>
      </c>
      <c r="R304" s="39" t="str">
        <f t="shared" si="88"/>
        <v/>
      </c>
      <c r="S304" s="37" t="str">
        <f t="shared" si="89"/>
        <v/>
      </c>
    </row>
    <row r="305" spans="1:19" x14ac:dyDescent="0.3">
      <c r="A305" s="33">
        <f>301</f>
        <v>301</v>
      </c>
      <c r="B305" s="34" t="str">
        <f t="shared" si="72"/>
        <v/>
      </c>
      <c r="C305" s="33" t="str">
        <f t="shared" si="73"/>
        <v/>
      </c>
      <c r="D305" s="33" t="str">
        <f t="shared" si="74"/>
        <v/>
      </c>
      <c r="E305" s="35" t="str">
        <f t="shared" si="75"/>
        <v/>
      </c>
      <c r="F305" s="35" t="str">
        <f t="shared" si="76"/>
        <v/>
      </c>
      <c r="G305" s="33" t="str">
        <f t="shared" si="77"/>
        <v/>
      </c>
      <c r="H305" s="35" t="str">
        <f t="shared" si="78"/>
        <v/>
      </c>
      <c r="I305" s="35" t="str">
        <f t="shared" si="79"/>
        <v/>
      </c>
      <c r="J305" s="35" t="str">
        <f t="shared" si="80"/>
        <v/>
      </c>
      <c r="K305" s="35" t="str">
        <f t="shared" si="81"/>
        <v/>
      </c>
      <c r="L305" s="35" t="str">
        <f t="shared" si="82"/>
        <v/>
      </c>
      <c r="M305" s="35" t="str">
        <f t="shared" si="83"/>
        <v/>
      </c>
      <c r="N305" s="36" t="str">
        <f t="shared" si="84"/>
        <v/>
      </c>
      <c r="O305" s="35" t="str">
        <f t="shared" si="85"/>
        <v/>
      </c>
      <c r="P305" s="35" t="str">
        <f t="shared" si="86"/>
        <v/>
      </c>
      <c r="Q305" s="35" t="str">
        <f t="shared" si="87"/>
        <v/>
      </c>
      <c r="R305" s="35" t="str">
        <f t="shared" si="88"/>
        <v/>
      </c>
      <c r="S305" s="33" t="str">
        <f t="shared" si="89"/>
        <v/>
      </c>
    </row>
    <row r="306" spans="1:19" x14ac:dyDescent="0.3">
      <c r="A306" s="33">
        <f>302</f>
        <v>302</v>
      </c>
      <c r="B306" s="34" t="str">
        <f t="shared" si="72"/>
        <v/>
      </c>
      <c r="C306" s="33" t="str">
        <f t="shared" si="73"/>
        <v/>
      </c>
      <c r="D306" s="33" t="str">
        <f t="shared" si="74"/>
        <v/>
      </c>
      <c r="E306" s="35" t="str">
        <f t="shared" si="75"/>
        <v/>
      </c>
      <c r="F306" s="35" t="str">
        <f t="shared" si="76"/>
        <v/>
      </c>
      <c r="G306" s="33" t="str">
        <f t="shared" si="77"/>
        <v/>
      </c>
      <c r="H306" s="35" t="str">
        <f t="shared" si="78"/>
        <v/>
      </c>
      <c r="I306" s="35" t="str">
        <f t="shared" si="79"/>
        <v/>
      </c>
      <c r="J306" s="35" t="str">
        <f t="shared" si="80"/>
        <v/>
      </c>
      <c r="K306" s="35" t="str">
        <f t="shared" si="81"/>
        <v/>
      </c>
      <c r="L306" s="35" t="str">
        <f t="shared" si="82"/>
        <v/>
      </c>
      <c r="M306" s="35" t="str">
        <f t="shared" si="83"/>
        <v/>
      </c>
      <c r="N306" s="36" t="str">
        <f t="shared" si="84"/>
        <v/>
      </c>
      <c r="O306" s="35" t="str">
        <f t="shared" si="85"/>
        <v/>
      </c>
      <c r="P306" s="35" t="str">
        <f t="shared" si="86"/>
        <v/>
      </c>
      <c r="Q306" s="35" t="str">
        <f t="shared" si="87"/>
        <v/>
      </c>
      <c r="R306" s="35" t="str">
        <f t="shared" si="88"/>
        <v/>
      </c>
      <c r="S306" s="33" t="str">
        <f t="shared" si="89"/>
        <v/>
      </c>
    </row>
    <row r="307" spans="1:19" x14ac:dyDescent="0.3">
      <c r="A307" s="33">
        <f>303</f>
        <v>303</v>
      </c>
      <c r="B307" s="34" t="str">
        <f t="shared" si="72"/>
        <v/>
      </c>
      <c r="C307" s="33" t="str">
        <f t="shared" si="73"/>
        <v/>
      </c>
      <c r="D307" s="33" t="str">
        <f t="shared" si="74"/>
        <v/>
      </c>
      <c r="E307" s="35" t="str">
        <f t="shared" si="75"/>
        <v/>
      </c>
      <c r="F307" s="35" t="str">
        <f t="shared" si="76"/>
        <v/>
      </c>
      <c r="G307" s="33" t="str">
        <f t="shared" si="77"/>
        <v/>
      </c>
      <c r="H307" s="35" t="str">
        <f t="shared" si="78"/>
        <v/>
      </c>
      <c r="I307" s="35" t="str">
        <f t="shared" si="79"/>
        <v/>
      </c>
      <c r="J307" s="35" t="str">
        <f t="shared" si="80"/>
        <v/>
      </c>
      <c r="K307" s="35" t="str">
        <f t="shared" si="81"/>
        <v/>
      </c>
      <c r="L307" s="35" t="str">
        <f t="shared" si="82"/>
        <v/>
      </c>
      <c r="M307" s="35" t="str">
        <f t="shared" si="83"/>
        <v/>
      </c>
      <c r="N307" s="36" t="str">
        <f t="shared" si="84"/>
        <v/>
      </c>
      <c r="O307" s="35" t="str">
        <f t="shared" si="85"/>
        <v/>
      </c>
      <c r="P307" s="35" t="str">
        <f t="shared" si="86"/>
        <v/>
      </c>
      <c r="Q307" s="35" t="str">
        <f t="shared" si="87"/>
        <v/>
      </c>
      <c r="R307" s="35" t="str">
        <f t="shared" si="88"/>
        <v/>
      </c>
      <c r="S307" s="33" t="str">
        <f t="shared" si="89"/>
        <v/>
      </c>
    </row>
    <row r="308" spans="1:19" x14ac:dyDescent="0.3">
      <c r="A308" s="33">
        <f>304</f>
        <v>304</v>
      </c>
      <c r="B308" s="34" t="str">
        <f t="shared" si="72"/>
        <v/>
      </c>
      <c r="C308" s="33" t="str">
        <f t="shared" si="73"/>
        <v/>
      </c>
      <c r="D308" s="33" t="str">
        <f t="shared" si="74"/>
        <v/>
      </c>
      <c r="E308" s="35" t="str">
        <f t="shared" si="75"/>
        <v/>
      </c>
      <c r="F308" s="35" t="str">
        <f t="shared" si="76"/>
        <v/>
      </c>
      <c r="G308" s="33" t="str">
        <f t="shared" si="77"/>
        <v/>
      </c>
      <c r="H308" s="35" t="str">
        <f t="shared" si="78"/>
        <v/>
      </c>
      <c r="I308" s="35" t="str">
        <f t="shared" si="79"/>
        <v/>
      </c>
      <c r="J308" s="35" t="str">
        <f t="shared" si="80"/>
        <v/>
      </c>
      <c r="K308" s="35" t="str">
        <f t="shared" si="81"/>
        <v/>
      </c>
      <c r="L308" s="35" t="str">
        <f t="shared" si="82"/>
        <v/>
      </c>
      <c r="M308" s="35" t="str">
        <f t="shared" si="83"/>
        <v/>
      </c>
      <c r="N308" s="36" t="str">
        <f t="shared" si="84"/>
        <v/>
      </c>
      <c r="O308" s="35" t="str">
        <f t="shared" si="85"/>
        <v/>
      </c>
      <c r="P308" s="35" t="str">
        <f t="shared" si="86"/>
        <v/>
      </c>
      <c r="Q308" s="35" t="str">
        <f t="shared" si="87"/>
        <v/>
      </c>
      <c r="R308" s="35" t="str">
        <f t="shared" si="88"/>
        <v/>
      </c>
      <c r="S308" s="33" t="str">
        <f t="shared" si="89"/>
        <v/>
      </c>
    </row>
    <row r="309" spans="1:19" x14ac:dyDescent="0.3">
      <c r="A309" s="33">
        <f>305</f>
        <v>305</v>
      </c>
      <c r="B309" s="34" t="str">
        <f t="shared" si="72"/>
        <v/>
      </c>
      <c r="C309" s="33" t="str">
        <f t="shared" si="73"/>
        <v/>
      </c>
      <c r="D309" s="33" t="str">
        <f t="shared" si="74"/>
        <v/>
      </c>
      <c r="E309" s="35" t="str">
        <f t="shared" si="75"/>
        <v/>
      </c>
      <c r="F309" s="35" t="str">
        <f t="shared" si="76"/>
        <v/>
      </c>
      <c r="G309" s="33" t="str">
        <f t="shared" si="77"/>
        <v/>
      </c>
      <c r="H309" s="35" t="str">
        <f t="shared" si="78"/>
        <v/>
      </c>
      <c r="I309" s="35" t="str">
        <f t="shared" si="79"/>
        <v/>
      </c>
      <c r="J309" s="35" t="str">
        <f t="shared" si="80"/>
        <v/>
      </c>
      <c r="K309" s="35" t="str">
        <f t="shared" si="81"/>
        <v/>
      </c>
      <c r="L309" s="35" t="str">
        <f t="shared" si="82"/>
        <v/>
      </c>
      <c r="M309" s="35" t="str">
        <f t="shared" si="83"/>
        <v/>
      </c>
      <c r="N309" s="36" t="str">
        <f t="shared" si="84"/>
        <v/>
      </c>
      <c r="O309" s="35" t="str">
        <f t="shared" si="85"/>
        <v/>
      </c>
      <c r="P309" s="35" t="str">
        <f t="shared" si="86"/>
        <v/>
      </c>
      <c r="Q309" s="35" t="str">
        <f t="shared" si="87"/>
        <v/>
      </c>
      <c r="R309" s="35" t="str">
        <f t="shared" si="88"/>
        <v/>
      </c>
      <c r="S309" s="33" t="str">
        <f t="shared" si="89"/>
        <v/>
      </c>
    </row>
    <row r="310" spans="1:19" x14ac:dyDescent="0.3">
      <c r="A310" s="33">
        <f>306</f>
        <v>306</v>
      </c>
      <c r="B310" s="34" t="str">
        <f t="shared" si="72"/>
        <v/>
      </c>
      <c r="C310" s="33" t="str">
        <f t="shared" si="73"/>
        <v/>
      </c>
      <c r="D310" s="33" t="str">
        <f t="shared" si="74"/>
        <v/>
      </c>
      <c r="E310" s="35" t="str">
        <f t="shared" si="75"/>
        <v/>
      </c>
      <c r="F310" s="35" t="str">
        <f t="shared" si="76"/>
        <v/>
      </c>
      <c r="G310" s="33" t="str">
        <f t="shared" si="77"/>
        <v/>
      </c>
      <c r="H310" s="35" t="str">
        <f t="shared" si="78"/>
        <v/>
      </c>
      <c r="I310" s="35" t="str">
        <f t="shared" si="79"/>
        <v/>
      </c>
      <c r="J310" s="35" t="str">
        <f t="shared" si="80"/>
        <v/>
      </c>
      <c r="K310" s="35" t="str">
        <f t="shared" si="81"/>
        <v/>
      </c>
      <c r="L310" s="35" t="str">
        <f t="shared" si="82"/>
        <v/>
      </c>
      <c r="M310" s="35" t="str">
        <f t="shared" si="83"/>
        <v/>
      </c>
      <c r="N310" s="36" t="str">
        <f t="shared" si="84"/>
        <v/>
      </c>
      <c r="O310" s="35" t="str">
        <f t="shared" si="85"/>
        <v/>
      </c>
      <c r="P310" s="35" t="str">
        <f t="shared" si="86"/>
        <v/>
      </c>
      <c r="Q310" s="35" t="str">
        <f t="shared" si="87"/>
        <v/>
      </c>
      <c r="R310" s="35" t="str">
        <f t="shared" si="88"/>
        <v/>
      </c>
      <c r="S310" s="33" t="str">
        <f t="shared" si="89"/>
        <v/>
      </c>
    </row>
    <row r="311" spans="1:19" x14ac:dyDescent="0.3">
      <c r="A311" s="33">
        <f>307</f>
        <v>307</v>
      </c>
      <c r="B311" s="34" t="str">
        <f t="shared" si="72"/>
        <v/>
      </c>
      <c r="C311" s="33" t="str">
        <f t="shared" si="73"/>
        <v/>
      </c>
      <c r="D311" s="33" t="str">
        <f t="shared" si="74"/>
        <v/>
      </c>
      <c r="E311" s="35" t="str">
        <f t="shared" si="75"/>
        <v/>
      </c>
      <c r="F311" s="35" t="str">
        <f t="shared" si="76"/>
        <v/>
      </c>
      <c r="G311" s="33" t="str">
        <f t="shared" si="77"/>
        <v/>
      </c>
      <c r="H311" s="35" t="str">
        <f t="shared" si="78"/>
        <v/>
      </c>
      <c r="I311" s="35" t="str">
        <f t="shared" si="79"/>
        <v/>
      </c>
      <c r="J311" s="35" t="str">
        <f t="shared" si="80"/>
        <v/>
      </c>
      <c r="K311" s="35" t="str">
        <f t="shared" si="81"/>
        <v/>
      </c>
      <c r="L311" s="35" t="str">
        <f t="shared" si="82"/>
        <v/>
      </c>
      <c r="M311" s="35" t="str">
        <f t="shared" si="83"/>
        <v/>
      </c>
      <c r="N311" s="36" t="str">
        <f t="shared" si="84"/>
        <v/>
      </c>
      <c r="O311" s="35" t="str">
        <f t="shared" si="85"/>
        <v/>
      </c>
      <c r="P311" s="35" t="str">
        <f t="shared" si="86"/>
        <v/>
      </c>
      <c r="Q311" s="35" t="str">
        <f t="shared" si="87"/>
        <v/>
      </c>
      <c r="R311" s="35" t="str">
        <f t="shared" si="88"/>
        <v/>
      </c>
      <c r="S311" s="33" t="str">
        <f t="shared" si="89"/>
        <v/>
      </c>
    </row>
    <row r="312" spans="1:19" x14ac:dyDescent="0.3">
      <c r="A312" s="33">
        <f>308</f>
        <v>308</v>
      </c>
      <c r="B312" s="34" t="str">
        <f t="shared" si="72"/>
        <v/>
      </c>
      <c r="C312" s="33" t="str">
        <f t="shared" si="73"/>
        <v/>
      </c>
      <c r="D312" s="33" t="str">
        <f t="shared" si="74"/>
        <v/>
      </c>
      <c r="E312" s="35" t="str">
        <f t="shared" si="75"/>
        <v/>
      </c>
      <c r="F312" s="35" t="str">
        <f t="shared" si="76"/>
        <v/>
      </c>
      <c r="G312" s="33" t="str">
        <f t="shared" si="77"/>
        <v/>
      </c>
      <c r="H312" s="35" t="str">
        <f t="shared" si="78"/>
        <v/>
      </c>
      <c r="I312" s="35" t="str">
        <f t="shared" si="79"/>
        <v/>
      </c>
      <c r="J312" s="35" t="str">
        <f t="shared" si="80"/>
        <v/>
      </c>
      <c r="K312" s="35" t="str">
        <f t="shared" si="81"/>
        <v/>
      </c>
      <c r="L312" s="35" t="str">
        <f t="shared" si="82"/>
        <v/>
      </c>
      <c r="M312" s="35" t="str">
        <f t="shared" si="83"/>
        <v/>
      </c>
      <c r="N312" s="36" t="str">
        <f t="shared" si="84"/>
        <v/>
      </c>
      <c r="O312" s="35" t="str">
        <f t="shared" si="85"/>
        <v/>
      </c>
      <c r="P312" s="35" t="str">
        <f t="shared" si="86"/>
        <v/>
      </c>
      <c r="Q312" s="35" t="str">
        <f t="shared" si="87"/>
        <v/>
      </c>
      <c r="R312" s="35" t="str">
        <f t="shared" si="88"/>
        <v/>
      </c>
      <c r="S312" s="33" t="str">
        <f t="shared" si="89"/>
        <v/>
      </c>
    </row>
    <row r="313" spans="1:19" x14ac:dyDescent="0.3">
      <c r="A313" s="33">
        <f>309</f>
        <v>309</v>
      </c>
      <c r="B313" s="34" t="str">
        <f t="shared" si="72"/>
        <v/>
      </c>
      <c r="C313" s="33" t="str">
        <f t="shared" si="73"/>
        <v/>
      </c>
      <c r="D313" s="33" t="str">
        <f t="shared" si="74"/>
        <v/>
      </c>
      <c r="E313" s="35" t="str">
        <f t="shared" si="75"/>
        <v/>
      </c>
      <c r="F313" s="35" t="str">
        <f t="shared" si="76"/>
        <v/>
      </c>
      <c r="G313" s="33" t="str">
        <f t="shared" si="77"/>
        <v/>
      </c>
      <c r="H313" s="35" t="str">
        <f t="shared" si="78"/>
        <v/>
      </c>
      <c r="I313" s="35" t="str">
        <f t="shared" si="79"/>
        <v/>
      </c>
      <c r="J313" s="35" t="str">
        <f t="shared" si="80"/>
        <v/>
      </c>
      <c r="K313" s="35" t="str">
        <f t="shared" si="81"/>
        <v/>
      </c>
      <c r="L313" s="35" t="str">
        <f t="shared" si="82"/>
        <v/>
      </c>
      <c r="M313" s="35" t="str">
        <f t="shared" si="83"/>
        <v/>
      </c>
      <c r="N313" s="36" t="str">
        <f t="shared" si="84"/>
        <v/>
      </c>
      <c r="O313" s="35" t="str">
        <f t="shared" si="85"/>
        <v/>
      </c>
      <c r="P313" s="35" t="str">
        <f t="shared" si="86"/>
        <v/>
      </c>
      <c r="Q313" s="35" t="str">
        <f t="shared" si="87"/>
        <v/>
      </c>
      <c r="R313" s="35" t="str">
        <f t="shared" si="88"/>
        <v/>
      </c>
      <c r="S313" s="33" t="str">
        <f t="shared" si="89"/>
        <v/>
      </c>
    </row>
    <row r="314" spans="1:19" x14ac:dyDescent="0.3">
      <c r="A314" s="33">
        <f>310</f>
        <v>310</v>
      </c>
      <c r="B314" s="34" t="str">
        <f t="shared" si="72"/>
        <v/>
      </c>
      <c r="C314" s="33" t="str">
        <f t="shared" si="73"/>
        <v/>
      </c>
      <c r="D314" s="33" t="str">
        <f t="shared" si="74"/>
        <v/>
      </c>
      <c r="E314" s="35" t="str">
        <f t="shared" si="75"/>
        <v/>
      </c>
      <c r="F314" s="35" t="str">
        <f t="shared" si="76"/>
        <v/>
      </c>
      <c r="G314" s="33" t="str">
        <f t="shared" si="77"/>
        <v/>
      </c>
      <c r="H314" s="35" t="str">
        <f t="shared" si="78"/>
        <v/>
      </c>
      <c r="I314" s="35" t="str">
        <f t="shared" si="79"/>
        <v/>
      </c>
      <c r="J314" s="35" t="str">
        <f t="shared" si="80"/>
        <v/>
      </c>
      <c r="K314" s="35" t="str">
        <f t="shared" si="81"/>
        <v/>
      </c>
      <c r="L314" s="35" t="str">
        <f t="shared" si="82"/>
        <v/>
      </c>
      <c r="M314" s="35" t="str">
        <f t="shared" si="83"/>
        <v/>
      </c>
      <c r="N314" s="36" t="str">
        <f t="shared" si="84"/>
        <v/>
      </c>
      <c r="O314" s="35" t="str">
        <f t="shared" si="85"/>
        <v/>
      </c>
      <c r="P314" s="35" t="str">
        <f t="shared" si="86"/>
        <v/>
      </c>
      <c r="Q314" s="35" t="str">
        <f t="shared" si="87"/>
        <v/>
      </c>
      <c r="R314" s="35" t="str">
        <f t="shared" si="88"/>
        <v/>
      </c>
      <c r="S314" s="33" t="str">
        <f t="shared" si="89"/>
        <v/>
      </c>
    </row>
    <row r="315" spans="1:19" x14ac:dyDescent="0.3">
      <c r="A315" s="33">
        <f>311</f>
        <v>311</v>
      </c>
      <c r="B315" s="34" t="str">
        <f t="shared" si="72"/>
        <v/>
      </c>
      <c r="C315" s="33" t="str">
        <f t="shared" si="73"/>
        <v/>
      </c>
      <c r="D315" s="33" t="str">
        <f t="shared" si="74"/>
        <v/>
      </c>
      <c r="E315" s="35" t="str">
        <f t="shared" si="75"/>
        <v/>
      </c>
      <c r="F315" s="35" t="str">
        <f t="shared" si="76"/>
        <v/>
      </c>
      <c r="G315" s="33" t="str">
        <f t="shared" si="77"/>
        <v/>
      </c>
      <c r="H315" s="35" t="str">
        <f t="shared" si="78"/>
        <v/>
      </c>
      <c r="I315" s="35" t="str">
        <f t="shared" si="79"/>
        <v/>
      </c>
      <c r="J315" s="35" t="str">
        <f t="shared" si="80"/>
        <v/>
      </c>
      <c r="K315" s="35" t="str">
        <f t="shared" si="81"/>
        <v/>
      </c>
      <c r="L315" s="35" t="str">
        <f t="shared" si="82"/>
        <v/>
      </c>
      <c r="M315" s="35" t="str">
        <f t="shared" si="83"/>
        <v/>
      </c>
      <c r="N315" s="36" t="str">
        <f t="shared" si="84"/>
        <v/>
      </c>
      <c r="O315" s="35" t="str">
        <f t="shared" si="85"/>
        <v/>
      </c>
      <c r="P315" s="35" t="str">
        <f t="shared" si="86"/>
        <v/>
      </c>
      <c r="Q315" s="35" t="str">
        <f t="shared" si="87"/>
        <v/>
      </c>
      <c r="R315" s="35" t="str">
        <f t="shared" si="88"/>
        <v/>
      </c>
      <c r="S315" s="33" t="str">
        <f t="shared" si="89"/>
        <v/>
      </c>
    </row>
    <row r="316" spans="1:19" x14ac:dyDescent="0.3">
      <c r="A316" s="37">
        <f>312</f>
        <v>312</v>
      </c>
      <c r="B316" s="38" t="str">
        <f t="shared" si="72"/>
        <v/>
      </c>
      <c r="C316" s="37" t="str">
        <f t="shared" si="73"/>
        <v/>
      </c>
      <c r="D316" s="37" t="str">
        <f t="shared" si="74"/>
        <v/>
      </c>
      <c r="E316" s="39" t="str">
        <f t="shared" si="75"/>
        <v/>
      </c>
      <c r="F316" s="39" t="str">
        <f t="shared" si="76"/>
        <v/>
      </c>
      <c r="G316" s="37" t="str">
        <f t="shared" si="77"/>
        <v/>
      </c>
      <c r="H316" s="39" t="str">
        <f t="shared" si="78"/>
        <v/>
      </c>
      <c r="I316" s="39" t="str">
        <f t="shared" si="79"/>
        <v/>
      </c>
      <c r="J316" s="39" t="str">
        <f t="shared" si="80"/>
        <v/>
      </c>
      <c r="K316" s="39" t="str">
        <f t="shared" si="81"/>
        <v/>
      </c>
      <c r="L316" s="39" t="str">
        <f t="shared" si="82"/>
        <v/>
      </c>
      <c r="M316" s="39" t="str">
        <f t="shared" si="83"/>
        <v/>
      </c>
      <c r="N316" s="40" t="str">
        <f t="shared" si="84"/>
        <v/>
      </c>
      <c r="O316" s="39" t="str">
        <f t="shared" si="85"/>
        <v/>
      </c>
      <c r="P316" s="39" t="str">
        <f t="shared" si="86"/>
        <v/>
      </c>
      <c r="Q316" s="39" t="str">
        <f t="shared" si="87"/>
        <v/>
      </c>
      <c r="R316" s="39" t="str">
        <f t="shared" si="88"/>
        <v/>
      </c>
      <c r="S316" s="37" t="str">
        <f t="shared" si="89"/>
        <v/>
      </c>
    </row>
    <row r="317" spans="1:19" x14ac:dyDescent="0.3">
      <c r="A317" s="33">
        <f>313</f>
        <v>313</v>
      </c>
      <c r="B317" s="34" t="str">
        <f t="shared" si="72"/>
        <v/>
      </c>
      <c r="C317" s="33" t="str">
        <f t="shared" si="73"/>
        <v/>
      </c>
      <c r="D317" s="33" t="str">
        <f t="shared" si="74"/>
        <v/>
      </c>
      <c r="E317" s="35" t="str">
        <f t="shared" si="75"/>
        <v/>
      </c>
      <c r="F317" s="35" t="str">
        <f t="shared" si="76"/>
        <v/>
      </c>
      <c r="G317" s="33" t="str">
        <f t="shared" si="77"/>
        <v/>
      </c>
      <c r="H317" s="35" t="str">
        <f t="shared" si="78"/>
        <v/>
      </c>
      <c r="I317" s="35" t="str">
        <f t="shared" si="79"/>
        <v/>
      </c>
      <c r="J317" s="35" t="str">
        <f t="shared" si="80"/>
        <v/>
      </c>
      <c r="K317" s="35" t="str">
        <f t="shared" si="81"/>
        <v/>
      </c>
      <c r="L317" s="35" t="str">
        <f t="shared" si="82"/>
        <v/>
      </c>
      <c r="M317" s="35" t="str">
        <f t="shared" si="83"/>
        <v/>
      </c>
      <c r="N317" s="36" t="str">
        <f t="shared" si="84"/>
        <v/>
      </c>
      <c r="O317" s="35" t="str">
        <f t="shared" si="85"/>
        <v/>
      </c>
      <c r="P317" s="35" t="str">
        <f t="shared" si="86"/>
        <v/>
      </c>
      <c r="Q317" s="35" t="str">
        <f t="shared" si="87"/>
        <v/>
      </c>
      <c r="R317" s="35" t="str">
        <f t="shared" si="88"/>
        <v/>
      </c>
      <c r="S317" s="33" t="str">
        <f t="shared" si="89"/>
        <v/>
      </c>
    </row>
    <row r="318" spans="1:19" x14ac:dyDescent="0.3">
      <c r="A318" s="33">
        <f>314</f>
        <v>314</v>
      </c>
      <c r="B318" s="34" t="str">
        <f t="shared" si="72"/>
        <v/>
      </c>
      <c r="C318" s="33" t="str">
        <f t="shared" si="73"/>
        <v/>
      </c>
      <c r="D318" s="33" t="str">
        <f t="shared" si="74"/>
        <v/>
      </c>
      <c r="E318" s="35" t="str">
        <f t="shared" si="75"/>
        <v/>
      </c>
      <c r="F318" s="35" t="str">
        <f t="shared" si="76"/>
        <v/>
      </c>
      <c r="G318" s="33" t="str">
        <f t="shared" si="77"/>
        <v/>
      </c>
      <c r="H318" s="35" t="str">
        <f t="shared" si="78"/>
        <v/>
      </c>
      <c r="I318" s="35" t="str">
        <f t="shared" si="79"/>
        <v/>
      </c>
      <c r="J318" s="35" t="str">
        <f t="shared" si="80"/>
        <v/>
      </c>
      <c r="K318" s="35" t="str">
        <f t="shared" si="81"/>
        <v/>
      </c>
      <c r="L318" s="35" t="str">
        <f t="shared" si="82"/>
        <v/>
      </c>
      <c r="M318" s="35" t="str">
        <f t="shared" si="83"/>
        <v/>
      </c>
      <c r="N318" s="36" t="str">
        <f t="shared" si="84"/>
        <v/>
      </c>
      <c r="O318" s="35" t="str">
        <f t="shared" si="85"/>
        <v/>
      </c>
      <c r="P318" s="35" t="str">
        <f t="shared" si="86"/>
        <v/>
      </c>
      <c r="Q318" s="35" t="str">
        <f t="shared" si="87"/>
        <v/>
      </c>
      <c r="R318" s="35" t="str">
        <f t="shared" si="88"/>
        <v/>
      </c>
      <c r="S318" s="33" t="str">
        <f t="shared" si="89"/>
        <v/>
      </c>
    </row>
    <row r="319" spans="1:19" x14ac:dyDescent="0.3">
      <c r="A319" s="33">
        <f>315</f>
        <v>315</v>
      </c>
      <c r="B319" s="34" t="str">
        <f t="shared" si="72"/>
        <v/>
      </c>
      <c r="C319" s="33" t="str">
        <f t="shared" si="73"/>
        <v/>
      </c>
      <c r="D319" s="33" t="str">
        <f t="shared" si="74"/>
        <v/>
      </c>
      <c r="E319" s="35" t="str">
        <f t="shared" si="75"/>
        <v/>
      </c>
      <c r="F319" s="35" t="str">
        <f t="shared" si="76"/>
        <v/>
      </c>
      <c r="G319" s="33" t="str">
        <f t="shared" si="77"/>
        <v/>
      </c>
      <c r="H319" s="35" t="str">
        <f t="shared" si="78"/>
        <v/>
      </c>
      <c r="I319" s="35" t="str">
        <f t="shared" si="79"/>
        <v/>
      </c>
      <c r="J319" s="35" t="str">
        <f t="shared" si="80"/>
        <v/>
      </c>
      <c r="K319" s="35" t="str">
        <f t="shared" si="81"/>
        <v/>
      </c>
      <c r="L319" s="35" t="str">
        <f t="shared" si="82"/>
        <v/>
      </c>
      <c r="M319" s="35" t="str">
        <f t="shared" si="83"/>
        <v/>
      </c>
      <c r="N319" s="36" t="str">
        <f t="shared" si="84"/>
        <v/>
      </c>
      <c r="O319" s="35" t="str">
        <f t="shared" si="85"/>
        <v/>
      </c>
      <c r="P319" s="35" t="str">
        <f t="shared" si="86"/>
        <v/>
      </c>
      <c r="Q319" s="35" t="str">
        <f t="shared" si="87"/>
        <v/>
      </c>
      <c r="R319" s="35" t="str">
        <f t="shared" si="88"/>
        <v/>
      </c>
      <c r="S319" s="33" t="str">
        <f t="shared" si="89"/>
        <v/>
      </c>
    </row>
    <row r="320" spans="1:19" x14ac:dyDescent="0.3">
      <c r="A320" s="33">
        <f>316</f>
        <v>316</v>
      </c>
      <c r="B320" s="34" t="str">
        <f t="shared" si="72"/>
        <v/>
      </c>
      <c r="C320" s="33" t="str">
        <f t="shared" si="73"/>
        <v/>
      </c>
      <c r="D320" s="33" t="str">
        <f t="shared" si="74"/>
        <v/>
      </c>
      <c r="E320" s="35" t="str">
        <f t="shared" si="75"/>
        <v/>
      </c>
      <c r="F320" s="35" t="str">
        <f t="shared" si="76"/>
        <v/>
      </c>
      <c r="G320" s="33" t="str">
        <f t="shared" si="77"/>
        <v/>
      </c>
      <c r="H320" s="35" t="str">
        <f t="shared" si="78"/>
        <v/>
      </c>
      <c r="I320" s="35" t="str">
        <f t="shared" si="79"/>
        <v/>
      </c>
      <c r="J320" s="35" t="str">
        <f t="shared" si="80"/>
        <v/>
      </c>
      <c r="K320" s="35" t="str">
        <f t="shared" si="81"/>
        <v/>
      </c>
      <c r="L320" s="35" t="str">
        <f t="shared" si="82"/>
        <v/>
      </c>
      <c r="M320" s="35" t="str">
        <f t="shared" si="83"/>
        <v/>
      </c>
      <c r="N320" s="36" t="str">
        <f t="shared" si="84"/>
        <v/>
      </c>
      <c r="O320" s="35" t="str">
        <f t="shared" si="85"/>
        <v/>
      </c>
      <c r="P320" s="35" t="str">
        <f t="shared" si="86"/>
        <v/>
      </c>
      <c r="Q320" s="35" t="str">
        <f t="shared" si="87"/>
        <v/>
      </c>
      <c r="R320" s="35" t="str">
        <f t="shared" si="88"/>
        <v/>
      </c>
      <c r="S320" s="33" t="str">
        <f t="shared" si="89"/>
        <v/>
      </c>
    </row>
    <row r="321" spans="1:19" x14ac:dyDescent="0.3">
      <c r="A321" s="33">
        <f>317</f>
        <v>317</v>
      </c>
      <c r="B321" s="34" t="str">
        <f t="shared" si="72"/>
        <v/>
      </c>
      <c r="C321" s="33" t="str">
        <f t="shared" si="73"/>
        <v/>
      </c>
      <c r="D321" s="33" t="str">
        <f t="shared" si="74"/>
        <v/>
      </c>
      <c r="E321" s="35" t="str">
        <f t="shared" si="75"/>
        <v/>
      </c>
      <c r="F321" s="35" t="str">
        <f t="shared" si="76"/>
        <v/>
      </c>
      <c r="G321" s="33" t="str">
        <f t="shared" si="77"/>
        <v/>
      </c>
      <c r="H321" s="35" t="str">
        <f t="shared" si="78"/>
        <v/>
      </c>
      <c r="I321" s="35" t="str">
        <f t="shared" si="79"/>
        <v/>
      </c>
      <c r="J321" s="35" t="str">
        <f t="shared" si="80"/>
        <v/>
      </c>
      <c r="K321" s="35" t="str">
        <f t="shared" si="81"/>
        <v/>
      </c>
      <c r="L321" s="35" t="str">
        <f t="shared" si="82"/>
        <v/>
      </c>
      <c r="M321" s="35" t="str">
        <f t="shared" si="83"/>
        <v/>
      </c>
      <c r="N321" s="36" t="str">
        <f t="shared" si="84"/>
        <v/>
      </c>
      <c r="O321" s="35" t="str">
        <f t="shared" si="85"/>
        <v/>
      </c>
      <c r="P321" s="35" t="str">
        <f t="shared" si="86"/>
        <v/>
      </c>
      <c r="Q321" s="35" t="str">
        <f t="shared" si="87"/>
        <v/>
      </c>
      <c r="R321" s="35" t="str">
        <f t="shared" si="88"/>
        <v/>
      </c>
      <c r="S321" s="33" t="str">
        <f t="shared" si="89"/>
        <v/>
      </c>
    </row>
    <row r="322" spans="1:19" x14ac:dyDescent="0.3">
      <c r="A322" s="33">
        <f>318</f>
        <v>318</v>
      </c>
      <c r="B322" s="34" t="str">
        <f t="shared" si="72"/>
        <v/>
      </c>
      <c r="C322" s="33" t="str">
        <f t="shared" si="73"/>
        <v/>
      </c>
      <c r="D322" s="33" t="str">
        <f t="shared" si="74"/>
        <v/>
      </c>
      <c r="E322" s="35" t="str">
        <f t="shared" si="75"/>
        <v/>
      </c>
      <c r="F322" s="35" t="str">
        <f t="shared" si="76"/>
        <v/>
      </c>
      <c r="G322" s="33" t="str">
        <f t="shared" si="77"/>
        <v/>
      </c>
      <c r="H322" s="35" t="str">
        <f t="shared" si="78"/>
        <v/>
      </c>
      <c r="I322" s="35" t="str">
        <f t="shared" si="79"/>
        <v/>
      </c>
      <c r="J322" s="35" t="str">
        <f t="shared" si="80"/>
        <v/>
      </c>
      <c r="K322" s="35" t="str">
        <f t="shared" si="81"/>
        <v/>
      </c>
      <c r="L322" s="35" t="str">
        <f t="shared" si="82"/>
        <v/>
      </c>
      <c r="M322" s="35" t="str">
        <f t="shared" si="83"/>
        <v/>
      </c>
      <c r="N322" s="36" t="str">
        <f t="shared" si="84"/>
        <v/>
      </c>
      <c r="O322" s="35" t="str">
        <f t="shared" si="85"/>
        <v/>
      </c>
      <c r="P322" s="35" t="str">
        <f t="shared" si="86"/>
        <v/>
      </c>
      <c r="Q322" s="35" t="str">
        <f t="shared" si="87"/>
        <v/>
      </c>
      <c r="R322" s="35" t="str">
        <f t="shared" si="88"/>
        <v/>
      </c>
      <c r="S322" s="33" t="str">
        <f t="shared" si="89"/>
        <v/>
      </c>
    </row>
    <row r="323" spans="1:19" x14ac:dyDescent="0.3">
      <c r="A323" s="33">
        <f>319</f>
        <v>319</v>
      </c>
      <c r="B323" s="34" t="str">
        <f t="shared" si="72"/>
        <v/>
      </c>
      <c r="C323" s="33" t="str">
        <f t="shared" si="73"/>
        <v/>
      </c>
      <c r="D323" s="33" t="str">
        <f t="shared" si="74"/>
        <v/>
      </c>
      <c r="E323" s="35" t="str">
        <f t="shared" si="75"/>
        <v/>
      </c>
      <c r="F323" s="35" t="str">
        <f t="shared" si="76"/>
        <v/>
      </c>
      <c r="G323" s="33" t="str">
        <f t="shared" si="77"/>
        <v/>
      </c>
      <c r="H323" s="35" t="str">
        <f t="shared" si="78"/>
        <v/>
      </c>
      <c r="I323" s="35" t="str">
        <f t="shared" si="79"/>
        <v/>
      </c>
      <c r="J323" s="35" t="str">
        <f t="shared" si="80"/>
        <v/>
      </c>
      <c r="K323" s="35" t="str">
        <f t="shared" si="81"/>
        <v/>
      </c>
      <c r="L323" s="35" t="str">
        <f t="shared" si="82"/>
        <v/>
      </c>
      <c r="M323" s="35" t="str">
        <f t="shared" si="83"/>
        <v/>
      </c>
      <c r="N323" s="36" t="str">
        <f t="shared" si="84"/>
        <v/>
      </c>
      <c r="O323" s="35" t="str">
        <f t="shared" si="85"/>
        <v/>
      </c>
      <c r="P323" s="35" t="str">
        <f t="shared" si="86"/>
        <v/>
      </c>
      <c r="Q323" s="35" t="str">
        <f t="shared" si="87"/>
        <v/>
      </c>
      <c r="R323" s="35" t="str">
        <f t="shared" si="88"/>
        <v/>
      </c>
      <c r="S323" s="33" t="str">
        <f t="shared" si="89"/>
        <v/>
      </c>
    </row>
    <row r="324" spans="1:19" x14ac:dyDescent="0.3">
      <c r="A324" s="33">
        <f>320</f>
        <v>320</v>
      </c>
      <c r="B324" s="34" t="str">
        <f t="shared" si="72"/>
        <v/>
      </c>
      <c r="C324" s="33" t="str">
        <f t="shared" si="73"/>
        <v/>
      </c>
      <c r="D324" s="33" t="str">
        <f t="shared" si="74"/>
        <v/>
      </c>
      <c r="E324" s="35" t="str">
        <f t="shared" si="75"/>
        <v/>
      </c>
      <c r="F324" s="35" t="str">
        <f t="shared" si="76"/>
        <v/>
      </c>
      <c r="G324" s="33" t="str">
        <f t="shared" si="77"/>
        <v/>
      </c>
      <c r="H324" s="35" t="str">
        <f t="shared" si="78"/>
        <v/>
      </c>
      <c r="I324" s="35" t="str">
        <f t="shared" si="79"/>
        <v/>
      </c>
      <c r="J324" s="35" t="str">
        <f t="shared" si="80"/>
        <v/>
      </c>
      <c r="K324" s="35" t="str">
        <f t="shared" si="81"/>
        <v/>
      </c>
      <c r="L324" s="35" t="str">
        <f t="shared" si="82"/>
        <v/>
      </c>
      <c r="M324" s="35" t="str">
        <f t="shared" si="83"/>
        <v/>
      </c>
      <c r="N324" s="36" t="str">
        <f t="shared" si="84"/>
        <v/>
      </c>
      <c r="O324" s="35" t="str">
        <f t="shared" si="85"/>
        <v/>
      </c>
      <c r="P324" s="35" t="str">
        <f t="shared" si="86"/>
        <v/>
      </c>
      <c r="Q324" s="35" t="str">
        <f t="shared" si="87"/>
        <v/>
      </c>
      <c r="R324" s="35" t="str">
        <f t="shared" si="88"/>
        <v/>
      </c>
      <c r="S324" s="33" t="str">
        <f t="shared" si="89"/>
        <v/>
      </c>
    </row>
    <row r="325" spans="1:19" x14ac:dyDescent="0.3">
      <c r="A325" s="33">
        <f>321</f>
        <v>321</v>
      </c>
      <c r="B325" s="34" t="str">
        <f t="shared" ref="B325:B364" si="90">IF($A325&gt;NYears*12,"",EDATE(StartMonth,$A325-1))</f>
        <v/>
      </c>
      <c r="C325" s="33" t="str">
        <f t="shared" ref="C325:C364" si="91">IF($A325&gt;NYears*12,"",INT(($A325-1)/12)+1)</f>
        <v/>
      </c>
      <c r="D325" s="33" t="str">
        <f t="shared" ref="D325:D364" si="92">IF($A325&gt;NYears*12,"",MOD($A325-1,12)+1)</f>
        <v/>
      </c>
      <c r="E325" s="35" t="str">
        <f t="shared" ref="E325:E364" si="93">IF($A325&gt;NYears*12,"",LotValue0*(1+LotGrowth)^($C325-1))</f>
        <v/>
      </c>
      <c r="F325" s="35" t="str">
        <f t="shared" ref="F325:F364" si="94">IF($A325&gt;NYears*12,"",IF($A325=1,InitInvest,$R324))</f>
        <v/>
      </c>
      <c r="G325" s="33" t="str">
        <f t="shared" ref="G325:G364" si="95">IF($A325&gt;NYears*12,"",INT($F325/$E325))</f>
        <v/>
      </c>
      <c r="H325" s="35" t="str">
        <f t="shared" ref="H325:H364" si="96">IF($A325&gt;NYears*12,"",$G325*$E325)</f>
        <v/>
      </c>
      <c r="I325" s="35" t="str">
        <f t="shared" ref="I325:I364" si="97">IF($A325&gt;NYears*12,"",$F325-$H325)</f>
        <v/>
      </c>
      <c r="J325" s="35" t="str">
        <f t="shared" ref="J325:J364" si="98">IF($A325&gt;NYears*12,"",$H325*RateA)</f>
        <v/>
      </c>
      <c r="K325" s="35" t="str">
        <f t="shared" ref="K325:K364" si="99">IF($A325&gt;NYears*12,"",IF($D325=1,$J325,$K324+$J325))</f>
        <v/>
      </c>
      <c r="L325" s="35" t="str">
        <f t="shared" ref="L325:L364" si="100">IF($A325&gt;NYears*12,"",IF(MOD($D325,3)=0,SUM($J323:$J325),0))</f>
        <v/>
      </c>
      <c r="M325" s="35" t="str">
        <f t="shared" ref="M325:M364" si="101">IF($A325&gt;NYears*12,"",IF(TaxFreq="Quarterly",$K325*12/$D325,$K325))</f>
        <v/>
      </c>
      <c r="N325" s="36" t="str">
        <f t="shared" ref="N325:N364" si="102">IF($A325&gt;NYears*12,"",LOOKUP($M325,TaxLower,TaxRate))</f>
        <v/>
      </c>
      <c r="O325" s="35" t="str">
        <f t="shared" ref="O325:O364" si="103">IF($A325&gt;NYears*12,"",IF(TaxFreq="Quarterly",IF(MOD($D325,3)=0,$L325*$N325,0),IF($D325=12,$K325*$N325,0)))</f>
        <v/>
      </c>
      <c r="P325" s="35" t="str">
        <f t="shared" ref="P325:P364" si="104">IF($A325&gt;NYears*12,"",IF($D325=1,$O325,$P324+$O325))</f>
        <v/>
      </c>
      <c r="Q325" s="35" t="str">
        <f t="shared" ref="Q325:Q364" si="105">IF($A325&gt;NYears*12,"",IF($D325=12,MIN(WdrPct*IF(WdrBase="Post-tax profit",$K325-$P325,$K325),WdrCap),0))</f>
        <v/>
      </c>
      <c r="R325" s="35" t="str">
        <f t="shared" ref="R325:R364" si="106">IF($A325&gt;NYears*12,"",$F325+$J325-$O325-$Q325)</f>
        <v/>
      </c>
      <c r="S325" s="33" t="str">
        <f t="shared" ref="S325:S364" si="107">IF($A325&gt;NYears*12,"",INT($R325/$E325))</f>
        <v/>
      </c>
    </row>
    <row r="326" spans="1:19" x14ac:dyDescent="0.3">
      <c r="A326" s="33">
        <f>322</f>
        <v>322</v>
      </c>
      <c r="B326" s="34" t="str">
        <f t="shared" si="90"/>
        <v/>
      </c>
      <c r="C326" s="33" t="str">
        <f t="shared" si="91"/>
        <v/>
      </c>
      <c r="D326" s="33" t="str">
        <f t="shared" si="92"/>
        <v/>
      </c>
      <c r="E326" s="35" t="str">
        <f t="shared" si="93"/>
        <v/>
      </c>
      <c r="F326" s="35" t="str">
        <f t="shared" si="94"/>
        <v/>
      </c>
      <c r="G326" s="33" t="str">
        <f t="shared" si="95"/>
        <v/>
      </c>
      <c r="H326" s="35" t="str">
        <f t="shared" si="96"/>
        <v/>
      </c>
      <c r="I326" s="35" t="str">
        <f t="shared" si="97"/>
        <v/>
      </c>
      <c r="J326" s="35" t="str">
        <f t="shared" si="98"/>
        <v/>
      </c>
      <c r="K326" s="35" t="str">
        <f t="shared" si="99"/>
        <v/>
      </c>
      <c r="L326" s="35" t="str">
        <f t="shared" si="100"/>
        <v/>
      </c>
      <c r="M326" s="35" t="str">
        <f t="shared" si="101"/>
        <v/>
      </c>
      <c r="N326" s="36" t="str">
        <f t="shared" si="102"/>
        <v/>
      </c>
      <c r="O326" s="35" t="str">
        <f t="shared" si="103"/>
        <v/>
      </c>
      <c r="P326" s="35" t="str">
        <f t="shared" si="104"/>
        <v/>
      </c>
      <c r="Q326" s="35" t="str">
        <f t="shared" si="105"/>
        <v/>
      </c>
      <c r="R326" s="35" t="str">
        <f t="shared" si="106"/>
        <v/>
      </c>
      <c r="S326" s="33" t="str">
        <f t="shared" si="107"/>
        <v/>
      </c>
    </row>
    <row r="327" spans="1:19" x14ac:dyDescent="0.3">
      <c r="A327" s="33">
        <f>323</f>
        <v>323</v>
      </c>
      <c r="B327" s="34" t="str">
        <f t="shared" si="90"/>
        <v/>
      </c>
      <c r="C327" s="33" t="str">
        <f t="shared" si="91"/>
        <v/>
      </c>
      <c r="D327" s="33" t="str">
        <f t="shared" si="92"/>
        <v/>
      </c>
      <c r="E327" s="35" t="str">
        <f t="shared" si="93"/>
        <v/>
      </c>
      <c r="F327" s="35" t="str">
        <f t="shared" si="94"/>
        <v/>
      </c>
      <c r="G327" s="33" t="str">
        <f t="shared" si="95"/>
        <v/>
      </c>
      <c r="H327" s="35" t="str">
        <f t="shared" si="96"/>
        <v/>
      </c>
      <c r="I327" s="35" t="str">
        <f t="shared" si="97"/>
        <v/>
      </c>
      <c r="J327" s="35" t="str">
        <f t="shared" si="98"/>
        <v/>
      </c>
      <c r="K327" s="35" t="str">
        <f t="shared" si="99"/>
        <v/>
      </c>
      <c r="L327" s="35" t="str">
        <f t="shared" si="100"/>
        <v/>
      </c>
      <c r="M327" s="35" t="str">
        <f t="shared" si="101"/>
        <v/>
      </c>
      <c r="N327" s="36" t="str">
        <f t="shared" si="102"/>
        <v/>
      </c>
      <c r="O327" s="35" t="str">
        <f t="shared" si="103"/>
        <v/>
      </c>
      <c r="P327" s="35" t="str">
        <f t="shared" si="104"/>
        <v/>
      </c>
      <c r="Q327" s="35" t="str">
        <f t="shared" si="105"/>
        <v/>
      </c>
      <c r="R327" s="35" t="str">
        <f t="shared" si="106"/>
        <v/>
      </c>
      <c r="S327" s="33" t="str">
        <f t="shared" si="107"/>
        <v/>
      </c>
    </row>
    <row r="328" spans="1:19" x14ac:dyDescent="0.3">
      <c r="A328" s="37">
        <f>324</f>
        <v>324</v>
      </c>
      <c r="B328" s="38" t="str">
        <f t="shared" si="90"/>
        <v/>
      </c>
      <c r="C328" s="37" t="str">
        <f t="shared" si="91"/>
        <v/>
      </c>
      <c r="D328" s="37" t="str">
        <f t="shared" si="92"/>
        <v/>
      </c>
      <c r="E328" s="39" t="str">
        <f t="shared" si="93"/>
        <v/>
      </c>
      <c r="F328" s="39" t="str">
        <f t="shared" si="94"/>
        <v/>
      </c>
      <c r="G328" s="37" t="str">
        <f t="shared" si="95"/>
        <v/>
      </c>
      <c r="H328" s="39" t="str">
        <f t="shared" si="96"/>
        <v/>
      </c>
      <c r="I328" s="39" t="str">
        <f t="shared" si="97"/>
        <v/>
      </c>
      <c r="J328" s="39" t="str">
        <f t="shared" si="98"/>
        <v/>
      </c>
      <c r="K328" s="39" t="str">
        <f t="shared" si="99"/>
        <v/>
      </c>
      <c r="L328" s="39" t="str">
        <f t="shared" si="100"/>
        <v/>
      </c>
      <c r="M328" s="39" t="str">
        <f t="shared" si="101"/>
        <v/>
      </c>
      <c r="N328" s="40" t="str">
        <f t="shared" si="102"/>
        <v/>
      </c>
      <c r="O328" s="39" t="str">
        <f t="shared" si="103"/>
        <v/>
      </c>
      <c r="P328" s="39" t="str">
        <f t="shared" si="104"/>
        <v/>
      </c>
      <c r="Q328" s="39" t="str">
        <f t="shared" si="105"/>
        <v/>
      </c>
      <c r="R328" s="39" t="str">
        <f t="shared" si="106"/>
        <v/>
      </c>
      <c r="S328" s="37" t="str">
        <f t="shared" si="107"/>
        <v/>
      </c>
    </row>
    <row r="329" spans="1:19" x14ac:dyDescent="0.3">
      <c r="A329" s="33">
        <f>325</f>
        <v>325</v>
      </c>
      <c r="B329" s="34" t="str">
        <f t="shared" si="90"/>
        <v/>
      </c>
      <c r="C329" s="33" t="str">
        <f t="shared" si="91"/>
        <v/>
      </c>
      <c r="D329" s="33" t="str">
        <f t="shared" si="92"/>
        <v/>
      </c>
      <c r="E329" s="35" t="str">
        <f t="shared" si="93"/>
        <v/>
      </c>
      <c r="F329" s="35" t="str">
        <f t="shared" si="94"/>
        <v/>
      </c>
      <c r="G329" s="33" t="str">
        <f t="shared" si="95"/>
        <v/>
      </c>
      <c r="H329" s="35" t="str">
        <f t="shared" si="96"/>
        <v/>
      </c>
      <c r="I329" s="35" t="str">
        <f t="shared" si="97"/>
        <v/>
      </c>
      <c r="J329" s="35" t="str">
        <f t="shared" si="98"/>
        <v/>
      </c>
      <c r="K329" s="35" t="str">
        <f t="shared" si="99"/>
        <v/>
      </c>
      <c r="L329" s="35" t="str">
        <f t="shared" si="100"/>
        <v/>
      </c>
      <c r="M329" s="35" t="str">
        <f t="shared" si="101"/>
        <v/>
      </c>
      <c r="N329" s="36" t="str">
        <f t="shared" si="102"/>
        <v/>
      </c>
      <c r="O329" s="35" t="str">
        <f t="shared" si="103"/>
        <v/>
      </c>
      <c r="P329" s="35" t="str">
        <f t="shared" si="104"/>
        <v/>
      </c>
      <c r="Q329" s="35" t="str">
        <f t="shared" si="105"/>
        <v/>
      </c>
      <c r="R329" s="35" t="str">
        <f t="shared" si="106"/>
        <v/>
      </c>
      <c r="S329" s="33" t="str">
        <f t="shared" si="107"/>
        <v/>
      </c>
    </row>
    <row r="330" spans="1:19" x14ac:dyDescent="0.3">
      <c r="A330" s="33">
        <f>326</f>
        <v>326</v>
      </c>
      <c r="B330" s="34" t="str">
        <f t="shared" si="90"/>
        <v/>
      </c>
      <c r="C330" s="33" t="str">
        <f t="shared" si="91"/>
        <v/>
      </c>
      <c r="D330" s="33" t="str">
        <f t="shared" si="92"/>
        <v/>
      </c>
      <c r="E330" s="35" t="str">
        <f t="shared" si="93"/>
        <v/>
      </c>
      <c r="F330" s="35" t="str">
        <f t="shared" si="94"/>
        <v/>
      </c>
      <c r="G330" s="33" t="str">
        <f t="shared" si="95"/>
        <v/>
      </c>
      <c r="H330" s="35" t="str">
        <f t="shared" si="96"/>
        <v/>
      </c>
      <c r="I330" s="35" t="str">
        <f t="shared" si="97"/>
        <v/>
      </c>
      <c r="J330" s="35" t="str">
        <f t="shared" si="98"/>
        <v/>
      </c>
      <c r="K330" s="35" t="str">
        <f t="shared" si="99"/>
        <v/>
      </c>
      <c r="L330" s="35" t="str">
        <f t="shared" si="100"/>
        <v/>
      </c>
      <c r="M330" s="35" t="str">
        <f t="shared" si="101"/>
        <v/>
      </c>
      <c r="N330" s="36" t="str">
        <f t="shared" si="102"/>
        <v/>
      </c>
      <c r="O330" s="35" t="str">
        <f t="shared" si="103"/>
        <v/>
      </c>
      <c r="P330" s="35" t="str">
        <f t="shared" si="104"/>
        <v/>
      </c>
      <c r="Q330" s="35" t="str">
        <f t="shared" si="105"/>
        <v/>
      </c>
      <c r="R330" s="35" t="str">
        <f t="shared" si="106"/>
        <v/>
      </c>
      <c r="S330" s="33" t="str">
        <f t="shared" si="107"/>
        <v/>
      </c>
    </row>
    <row r="331" spans="1:19" x14ac:dyDescent="0.3">
      <c r="A331" s="33">
        <f>327</f>
        <v>327</v>
      </c>
      <c r="B331" s="34" t="str">
        <f t="shared" si="90"/>
        <v/>
      </c>
      <c r="C331" s="33" t="str">
        <f t="shared" si="91"/>
        <v/>
      </c>
      <c r="D331" s="33" t="str">
        <f t="shared" si="92"/>
        <v/>
      </c>
      <c r="E331" s="35" t="str">
        <f t="shared" si="93"/>
        <v/>
      </c>
      <c r="F331" s="35" t="str">
        <f t="shared" si="94"/>
        <v/>
      </c>
      <c r="G331" s="33" t="str">
        <f t="shared" si="95"/>
        <v/>
      </c>
      <c r="H331" s="35" t="str">
        <f t="shared" si="96"/>
        <v/>
      </c>
      <c r="I331" s="35" t="str">
        <f t="shared" si="97"/>
        <v/>
      </c>
      <c r="J331" s="35" t="str">
        <f t="shared" si="98"/>
        <v/>
      </c>
      <c r="K331" s="35" t="str">
        <f t="shared" si="99"/>
        <v/>
      </c>
      <c r="L331" s="35" t="str">
        <f t="shared" si="100"/>
        <v/>
      </c>
      <c r="M331" s="35" t="str">
        <f t="shared" si="101"/>
        <v/>
      </c>
      <c r="N331" s="36" t="str">
        <f t="shared" si="102"/>
        <v/>
      </c>
      <c r="O331" s="35" t="str">
        <f t="shared" si="103"/>
        <v/>
      </c>
      <c r="P331" s="35" t="str">
        <f t="shared" si="104"/>
        <v/>
      </c>
      <c r="Q331" s="35" t="str">
        <f t="shared" si="105"/>
        <v/>
      </c>
      <c r="R331" s="35" t="str">
        <f t="shared" si="106"/>
        <v/>
      </c>
      <c r="S331" s="33" t="str">
        <f t="shared" si="107"/>
        <v/>
      </c>
    </row>
    <row r="332" spans="1:19" x14ac:dyDescent="0.3">
      <c r="A332" s="33">
        <f>328</f>
        <v>328</v>
      </c>
      <c r="B332" s="34" t="str">
        <f t="shared" si="90"/>
        <v/>
      </c>
      <c r="C332" s="33" t="str">
        <f t="shared" si="91"/>
        <v/>
      </c>
      <c r="D332" s="33" t="str">
        <f t="shared" si="92"/>
        <v/>
      </c>
      <c r="E332" s="35" t="str">
        <f t="shared" si="93"/>
        <v/>
      </c>
      <c r="F332" s="35" t="str">
        <f t="shared" si="94"/>
        <v/>
      </c>
      <c r="G332" s="33" t="str">
        <f t="shared" si="95"/>
        <v/>
      </c>
      <c r="H332" s="35" t="str">
        <f t="shared" si="96"/>
        <v/>
      </c>
      <c r="I332" s="35" t="str">
        <f t="shared" si="97"/>
        <v/>
      </c>
      <c r="J332" s="35" t="str">
        <f t="shared" si="98"/>
        <v/>
      </c>
      <c r="K332" s="35" t="str">
        <f t="shared" si="99"/>
        <v/>
      </c>
      <c r="L332" s="35" t="str">
        <f t="shared" si="100"/>
        <v/>
      </c>
      <c r="M332" s="35" t="str">
        <f t="shared" si="101"/>
        <v/>
      </c>
      <c r="N332" s="36" t="str">
        <f t="shared" si="102"/>
        <v/>
      </c>
      <c r="O332" s="35" t="str">
        <f t="shared" si="103"/>
        <v/>
      </c>
      <c r="P332" s="35" t="str">
        <f t="shared" si="104"/>
        <v/>
      </c>
      <c r="Q332" s="35" t="str">
        <f t="shared" si="105"/>
        <v/>
      </c>
      <c r="R332" s="35" t="str">
        <f t="shared" si="106"/>
        <v/>
      </c>
      <c r="S332" s="33" t="str">
        <f t="shared" si="107"/>
        <v/>
      </c>
    </row>
    <row r="333" spans="1:19" x14ac:dyDescent="0.3">
      <c r="A333" s="33">
        <f>329</f>
        <v>329</v>
      </c>
      <c r="B333" s="34" t="str">
        <f t="shared" si="90"/>
        <v/>
      </c>
      <c r="C333" s="33" t="str">
        <f t="shared" si="91"/>
        <v/>
      </c>
      <c r="D333" s="33" t="str">
        <f t="shared" si="92"/>
        <v/>
      </c>
      <c r="E333" s="35" t="str">
        <f t="shared" si="93"/>
        <v/>
      </c>
      <c r="F333" s="35" t="str">
        <f t="shared" si="94"/>
        <v/>
      </c>
      <c r="G333" s="33" t="str">
        <f t="shared" si="95"/>
        <v/>
      </c>
      <c r="H333" s="35" t="str">
        <f t="shared" si="96"/>
        <v/>
      </c>
      <c r="I333" s="35" t="str">
        <f t="shared" si="97"/>
        <v/>
      </c>
      <c r="J333" s="35" t="str">
        <f t="shared" si="98"/>
        <v/>
      </c>
      <c r="K333" s="35" t="str">
        <f t="shared" si="99"/>
        <v/>
      </c>
      <c r="L333" s="35" t="str">
        <f t="shared" si="100"/>
        <v/>
      </c>
      <c r="M333" s="35" t="str">
        <f t="shared" si="101"/>
        <v/>
      </c>
      <c r="N333" s="36" t="str">
        <f t="shared" si="102"/>
        <v/>
      </c>
      <c r="O333" s="35" t="str">
        <f t="shared" si="103"/>
        <v/>
      </c>
      <c r="P333" s="35" t="str">
        <f t="shared" si="104"/>
        <v/>
      </c>
      <c r="Q333" s="35" t="str">
        <f t="shared" si="105"/>
        <v/>
      </c>
      <c r="R333" s="35" t="str">
        <f t="shared" si="106"/>
        <v/>
      </c>
      <c r="S333" s="33" t="str">
        <f t="shared" si="107"/>
        <v/>
      </c>
    </row>
    <row r="334" spans="1:19" x14ac:dyDescent="0.3">
      <c r="A334" s="33">
        <f>330</f>
        <v>330</v>
      </c>
      <c r="B334" s="34" t="str">
        <f t="shared" si="90"/>
        <v/>
      </c>
      <c r="C334" s="33" t="str">
        <f t="shared" si="91"/>
        <v/>
      </c>
      <c r="D334" s="33" t="str">
        <f t="shared" si="92"/>
        <v/>
      </c>
      <c r="E334" s="35" t="str">
        <f t="shared" si="93"/>
        <v/>
      </c>
      <c r="F334" s="35" t="str">
        <f t="shared" si="94"/>
        <v/>
      </c>
      <c r="G334" s="33" t="str">
        <f t="shared" si="95"/>
        <v/>
      </c>
      <c r="H334" s="35" t="str">
        <f t="shared" si="96"/>
        <v/>
      </c>
      <c r="I334" s="35" t="str">
        <f t="shared" si="97"/>
        <v/>
      </c>
      <c r="J334" s="35" t="str">
        <f t="shared" si="98"/>
        <v/>
      </c>
      <c r="K334" s="35" t="str">
        <f t="shared" si="99"/>
        <v/>
      </c>
      <c r="L334" s="35" t="str">
        <f t="shared" si="100"/>
        <v/>
      </c>
      <c r="M334" s="35" t="str">
        <f t="shared" si="101"/>
        <v/>
      </c>
      <c r="N334" s="36" t="str">
        <f t="shared" si="102"/>
        <v/>
      </c>
      <c r="O334" s="35" t="str">
        <f t="shared" si="103"/>
        <v/>
      </c>
      <c r="P334" s="35" t="str">
        <f t="shared" si="104"/>
        <v/>
      </c>
      <c r="Q334" s="35" t="str">
        <f t="shared" si="105"/>
        <v/>
      </c>
      <c r="R334" s="35" t="str">
        <f t="shared" si="106"/>
        <v/>
      </c>
      <c r="S334" s="33" t="str">
        <f t="shared" si="107"/>
        <v/>
      </c>
    </row>
    <row r="335" spans="1:19" x14ac:dyDescent="0.3">
      <c r="A335" s="33">
        <f>331</f>
        <v>331</v>
      </c>
      <c r="B335" s="34" t="str">
        <f t="shared" si="90"/>
        <v/>
      </c>
      <c r="C335" s="33" t="str">
        <f t="shared" si="91"/>
        <v/>
      </c>
      <c r="D335" s="33" t="str">
        <f t="shared" si="92"/>
        <v/>
      </c>
      <c r="E335" s="35" t="str">
        <f t="shared" si="93"/>
        <v/>
      </c>
      <c r="F335" s="35" t="str">
        <f t="shared" si="94"/>
        <v/>
      </c>
      <c r="G335" s="33" t="str">
        <f t="shared" si="95"/>
        <v/>
      </c>
      <c r="H335" s="35" t="str">
        <f t="shared" si="96"/>
        <v/>
      </c>
      <c r="I335" s="35" t="str">
        <f t="shared" si="97"/>
        <v/>
      </c>
      <c r="J335" s="35" t="str">
        <f t="shared" si="98"/>
        <v/>
      </c>
      <c r="K335" s="35" t="str">
        <f t="shared" si="99"/>
        <v/>
      </c>
      <c r="L335" s="35" t="str">
        <f t="shared" si="100"/>
        <v/>
      </c>
      <c r="M335" s="35" t="str">
        <f t="shared" si="101"/>
        <v/>
      </c>
      <c r="N335" s="36" t="str">
        <f t="shared" si="102"/>
        <v/>
      </c>
      <c r="O335" s="35" t="str">
        <f t="shared" si="103"/>
        <v/>
      </c>
      <c r="P335" s="35" t="str">
        <f t="shared" si="104"/>
        <v/>
      </c>
      <c r="Q335" s="35" t="str">
        <f t="shared" si="105"/>
        <v/>
      </c>
      <c r="R335" s="35" t="str">
        <f t="shared" si="106"/>
        <v/>
      </c>
      <c r="S335" s="33" t="str">
        <f t="shared" si="107"/>
        <v/>
      </c>
    </row>
    <row r="336" spans="1:19" x14ac:dyDescent="0.3">
      <c r="A336" s="33">
        <f>332</f>
        <v>332</v>
      </c>
      <c r="B336" s="34" t="str">
        <f t="shared" si="90"/>
        <v/>
      </c>
      <c r="C336" s="33" t="str">
        <f t="shared" si="91"/>
        <v/>
      </c>
      <c r="D336" s="33" t="str">
        <f t="shared" si="92"/>
        <v/>
      </c>
      <c r="E336" s="35" t="str">
        <f t="shared" si="93"/>
        <v/>
      </c>
      <c r="F336" s="35" t="str">
        <f t="shared" si="94"/>
        <v/>
      </c>
      <c r="G336" s="33" t="str">
        <f t="shared" si="95"/>
        <v/>
      </c>
      <c r="H336" s="35" t="str">
        <f t="shared" si="96"/>
        <v/>
      </c>
      <c r="I336" s="35" t="str">
        <f t="shared" si="97"/>
        <v/>
      </c>
      <c r="J336" s="35" t="str">
        <f t="shared" si="98"/>
        <v/>
      </c>
      <c r="K336" s="35" t="str">
        <f t="shared" si="99"/>
        <v/>
      </c>
      <c r="L336" s="35" t="str">
        <f t="shared" si="100"/>
        <v/>
      </c>
      <c r="M336" s="35" t="str">
        <f t="shared" si="101"/>
        <v/>
      </c>
      <c r="N336" s="36" t="str">
        <f t="shared" si="102"/>
        <v/>
      </c>
      <c r="O336" s="35" t="str">
        <f t="shared" si="103"/>
        <v/>
      </c>
      <c r="P336" s="35" t="str">
        <f t="shared" si="104"/>
        <v/>
      </c>
      <c r="Q336" s="35" t="str">
        <f t="shared" si="105"/>
        <v/>
      </c>
      <c r="R336" s="35" t="str">
        <f t="shared" si="106"/>
        <v/>
      </c>
      <c r="S336" s="33" t="str">
        <f t="shared" si="107"/>
        <v/>
      </c>
    </row>
    <row r="337" spans="1:19" x14ac:dyDescent="0.3">
      <c r="A337" s="33">
        <f>333</f>
        <v>333</v>
      </c>
      <c r="B337" s="34" t="str">
        <f t="shared" si="90"/>
        <v/>
      </c>
      <c r="C337" s="33" t="str">
        <f t="shared" si="91"/>
        <v/>
      </c>
      <c r="D337" s="33" t="str">
        <f t="shared" si="92"/>
        <v/>
      </c>
      <c r="E337" s="35" t="str">
        <f t="shared" si="93"/>
        <v/>
      </c>
      <c r="F337" s="35" t="str">
        <f t="shared" si="94"/>
        <v/>
      </c>
      <c r="G337" s="33" t="str">
        <f t="shared" si="95"/>
        <v/>
      </c>
      <c r="H337" s="35" t="str">
        <f t="shared" si="96"/>
        <v/>
      </c>
      <c r="I337" s="35" t="str">
        <f t="shared" si="97"/>
        <v/>
      </c>
      <c r="J337" s="35" t="str">
        <f t="shared" si="98"/>
        <v/>
      </c>
      <c r="K337" s="35" t="str">
        <f t="shared" si="99"/>
        <v/>
      </c>
      <c r="L337" s="35" t="str">
        <f t="shared" si="100"/>
        <v/>
      </c>
      <c r="M337" s="35" t="str">
        <f t="shared" si="101"/>
        <v/>
      </c>
      <c r="N337" s="36" t="str">
        <f t="shared" si="102"/>
        <v/>
      </c>
      <c r="O337" s="35" t="str">
        <f t="shared" si="103"/>
        <v/>
      </c>
      <c r="P337" s="35" t="str">
        <f t="shared" si="104"/>
        <v/>
      </c>
      <c r="Q337" s="35" t="str">
        <f t="shared" si="105"/>
        <v/>
      </c>
      <c r="R337" s="35" t="str">
        <f t="shared" si="106"/>
        <v/>
      </c>
      <c r="S337" s="33" t="str">
        <f t="shared" si="107"/>
        <v/>
      </c>
    </row>
    <row r="338" spans="1:19" x14ac:dyDescent="0.3">
      <c r="A338" s="33">
        <f>334</f>
        <v>334</v>
      </c>
      <c r="B338" s="34" t="str">
        <f t="shared" si="90"/>
        <v/>
      </c>
      <c r="C338" s="33" t="str">
        <f t="shared" si="91"/>
        <v/>
      </c>
      <c r="D338" s="33" t="str">
        <f t="shared" si="92"/>
        <v/>
      </c>
      <c r="E338" s="35" t="str">
        <f t="shared" si="93"/>
        <v/>
      </c>
      <c r="F338" s="35" t="str">
        <f t="shared" si="94"/>
        <v/>
      </c>
      <c r="G338" s="33" t="str">
        <f t="shared" si="95"/>
        <v/>
      </c>
      <c r="H338" s="35" t="str">
        <f t="shared" si="96"/>
        <v/>
      </c>
      <c r="I338" s="35" t="str">
        <f t="shared" si="97"/>
        <v/>
      </c>
      <c r="J338" s="35" t="str">
        <f t="shared" si="98"/>
        <v/>
      </c>
      <c r="K338" s="35" t="str">
        <f t="shared" si="99"/>
        <v/>
      </c>
      <c r="L338" s="35" t="str">
        <f t="shared" si="100"/>
        <v/>
      </c>
      <c r="M338" s="35" t="str">
        <f t="shared" si="101"/>
        <v/>
      </c>
      <c r="N338" s="36" t="str">
        <f t="shared" si="102"/>
        <v/>
      </c>
      <c r="O338" s="35" t="str">
        <f t="shared" si="103"/>
        <v/>
      </c>
      <c r="P338" s="35" t="str">
        <f t="shared" si="104"/>
        <v/>
      </c>
      <c r="Q338" s="35" t="str">
        <f t="shared" si="105"/>
        <v/>
      </c>
      <c r="R338" s="35" t="str">
        <f t="shared" si="106"/>
        <v/>
      </c>
      <c r="S338" s="33" t="str">
        <f t="shared" si="107"/>
        <v/>
      </c>
    </row>
    <row r="339" spans="1:19" x14ac:dyDescent="0.3">
      <c r="A339" s="33">
        <f>335</f>
        <v>335</v>
      </c>
      <c r="B339" s="34" t="str">
        <f t="shared" si="90"/>
        <v/>
      </c>
      <c r="C339" s="33" t="str">
        <f t="shared" si="91"/>
        <v/>
      </c>
      <c r="D339" s="33" t="str">
        <f t="shared" si="92"/>
        <v/>
      </c>
      <c r="E339" s="35" t="str">
        <f t="shared" si="93"/>
        <v/>
      </c>
      <c r="F339" s="35" t="str">
        <f t="shared" si="94"/>
        <v/>
      </c>
      <c r="G339" s="33" t="str">
        <f t="shared" si="95"/>
        <v/>
      </c>
      <c r="H339" s="35" t="str">
        <f t="shared" si="96"/>
        <v/>
      </c>
      <c r="I339" s="35" t="str">
        <f t="shared" si="97"/>
        <v/>
      </c>
      <c r="J339" s="35" t="str">
        <f t="shared" si="98"/>
        <v/>
      </c>
      <c r="K339" s="35" t="str">
        <f t="shared" si="99"/>
        <v/>
      </c>
      <c r="L339" s="35" t="str">
        <f t="shared" si="100"/>
        <v/>
      </c>
      <c r="M339" s="35" t="str">
        <f t="shared" si="101"/>
        <v/>
      </c>
      <c r="N339" s="36" t="str">
        <f t="shared" si="102"/>
        <v/>
      </c>
      <c r="O339" s="35" t="str">
        <f t="shared" si="103"/>
        <v/>
      </c>
      <c r="P339" s="35" t="str">
        <f t="shared" si="104"/>
        <v/>
      </c>
      <c r="Q339" s="35" t="str">
        <f t="shared" si="105"/>
        <v/>
      </c>
      <c r="R339" s="35" t="str">
        <f t="shared" si="106"/>
        <v/>
      </c>
      <c r="S339" s="33" t="str">
        <f t="shared" si="107"/>
        <v/>
      </c>
    </row>
    <row r="340" spans="1:19" x14ac:dyDescent="0.3">
      <c r="A340" s="37">
        <f>336</f>
        <v>336</v>
      </c>
      <c r="B340" s="38" t="str">
        <f t="shared" si="90"/>
        <v/>
      </c>
      <c r="C340" s="37" t="str">
        <f t="shared" si="91"/>
        <v/>
      </c>
      <c r="D340" s="37" t="str">
        <f t="shared" si="92"/>
        <v/>
      </c>
      <c r="E340" s="39" t="str">
        <f t="shared" si="93"/>
        <v/>
      </c>
      <c r="F340" s="39" t="str">
        <f t="shared" si="94"/>
        <v/>
      </c>
      <c r="G340" s="37" t="str">
        <f t="shared" si="95"/>
        <v/>
      </c>
      <c r="H340" s="39" t="str">
        <f t="shared" si="96"/>
        <v/>
      </c>
      <c r="I340" s="39" t="str">
        <f t="shared" si="97"/>
        <v/>
      </c>
      <c r="J340" s="39" t="str">
        <f t="shared" si="98"/>
        <v/>
      </c>
      <c r="K340" s="39" t="str">
        <f t="shared" si="99"/>
        <v/>
      </c>
      <c r="L340" s="39" t="str">
        <f t="shared" si="100"/>
        <v/>
      </c>
      <c r="M340" s="39" t="str">
        <f t="shared" si="101"/>
        <v/>
      </c>
      <c r="N340" s="40" t="str">
        <f t="shared" si="102"/>
        <v/>
      </c>
      <c r="O340" s="39" t="str">
        <f t="shared" si="103"/>
        <v/>
      </c>
      <c r="P340" s="39" t="str">
        <f t="shared" si="104"/>
        <v/>
      </c>
      <c r="Q340" s="39" t="str">
        <f t="shared" si="105"/>
        <v/>
      </c>
      <c r="R340" s="39" t="str">
        <f t="shared" si="106"/>
        <v/>
      </c>
      <c r="S340" s="37" t="str">
        <f t="shared" si="107"/>
        <v/>
      </c>
    </row>
    <row r="341" spans="1:19" x14ac:dyDescent="0.3">
      <c r="A341" s="33">
        <f>337</f>
        <v>337</v>
      </c>
      <c r="B341" s="34" t="str">
        <f t="shared" si="90"/>
        <v/>
      </c>
      <c r="C341" s="33" t="str">
        <f t="shared" si="91"/>
        <v/>
      </c>
      <c r="D341" s="33" t="str">
        <f t="shared" si="92"/>
        <v/>
      </c>
      <c r="E341" s="35" t="str">
        <f t="shared" si="93"/>
        <v/>
      </c>
      <c r="F341" s="35" t="str">
        <f t="shared" si="94"/>
        <v/>
      </c>
      <c r="G341" s="33" t="str">
        <f t="shared" si="95"/>
        <v/>
      </c>
      <c r="H341" s="35" t="str">
        <f t="shared" si="96"/>
        <v/>
      </c>
      <c r="I341" s="35" t="str">
        <f t="shared" si="97"/>
        <v/>
      </c>
      <c r="J341" s="35" t="str">
        <f t="shared" si="98"/>
        <v/>
      </c>
      <c r="K341" s="35" t="str">
        <f t="shared" si="99"/>
        <v/>
      </c>
      <c r="L341" s="35" t="str">
        <f t="shared" si="100"/>
        <v/>
      </c>
      <c r="M341" s="35" t="str">
        <f t="shared" si="101"/>
        <v/>
      </c>
      <c r="N341" s="36" t="str">
        <f t="shared" si="102"/>
        <v/>
      </c>
      <c r="O341" s="35" t="str">
        <f t="shared" si="103"/>
        <v/>
      </c>
      <c r="P341" s="35" t="str">
        <f t="shared" si="104"/>
        <v/>
      </c>
      <c r="Q341" s="35" t="str">
        <f t="shared" si="105"/>
        <v/>
      </c>
      <c r="R341" s="35" t="str">
        <f t="shared" si="106"/>
        <v/>
      </c>
      <c r="S341" s="33" t="str">
        <f t="shared" si="107"/>
        <v/>
      </c>
    </row>
    <row r="342" spans="1:19" x14ac:dyDescent="0.3">
      <c r="A342" s="33">
        <f>338</f>
        <v>338</v>
      </c>
      <c r="B342" s="34" t="str">
        <f t="shared" si="90"/>
        <v/>
      </c>
      <c r="C342" s="33" t="str">
        <f t="shared" si="91"/>
        <v/>
      </c>
      <c r="D342" s="33" t="str">
        <f t="shared" si="92"/>
        <v/>
      </c>
      <c r="E342" s="35" t="str">
        <f t="shared" si="93"/>
        <v/>
      </c>
      <c r="F342" s="35" t="str">
        <f t="shared" si="94"/>
        <v/>
      </c>
      <c r="G342" s="33" t="str">
        <f t="shared" si="95"/>
        <v/>
      </c>
      <c r="H342" s="35" t="str">
        <f t="shared" si="96"/>
        <v/>
      </c>
      <c r="I342" s="35" t="str">
        <f t="shared" si="97"/>
        <v/>
      </c>
      <c r="J342" s="35" t="str">
        <f t="shared" si="98"/>
        <v/>
      </c>
      <c r="K342" s="35" t="str">
        <f t="shared" si="99"/>
        <v/>
      </c>
      <c r="L342" s="35" t="str">
        <f t="shared" si="100"/>
        <v/>
      </c>
      <c r="M342" s="35" t="str">
        <f t="shared" si="101"/>
        <v/>
      </c>
      <c r="N342" s="36" t="str">
        <f t="shared" si="102"/>
        <v/>
      </c>
      <c r="O342" s="35" t="str">
        <f t="shared" si="103"/>
        <v/>
      </c>
      <c r="P342" s="35" t="str">
        <f t="shared" si="104"/>
        <v/>
      </c>
      <c r="Q342" s="35" t="str">
        <f t="shared" si="105"/>
        <v/>
      </c>
      <c r="R342" s="35" t="str">
        <f t="shared" si="106"/>
        <v/>
      </c>
      <c r="S342" s="33" t="str">
        <f t="shared" si="107"/>
        <v/>
      </c>
    </row>
    <row r="343" spans="1:19" x14ac:dyDescent="0.3">
      <c r="A343" s="33">
        <f>339</f>
        <v>339</v>
      </c>
      <c r="B343" s="34" t="str">
        <f t="shared" si="90"/>
        <v/>
      </c>
      <c r="C343" s="33" t="str">
        <f t="shared" si="91"/>
        <v/>
      </c>
      <c r="D343" s="33" t="str">
        <f t="shared" si="92"/>
        <v/>
      </c>
      <c r="E343" s="35" t="str">
        <f t="shared" si="93"/>
        <v/>
      </c>
      <c r="F343" s="35" t="str">
        <f t="shared" si="94"/>
        <v/>
      </c>
      <c r="G343" s="33" t="str">
        <f t="shared" si="95"/>
        <v/>
      </c>
      <c r="H343" s="35" t="str">
        <f t="shared" si="96"/>
        <v/>
      </c>
      <c r="I343" s="35" t="str">
        <f t="shared" si="97"/>
        <v/>
      </c>
      <c r="J343" s="35" t="str">
        <f t="shared" si="98"/>
        <v/>
      </c>
      <c r="K343" s="35" t="str">
        <f t="shared" si="99"/>
        <v/>
      </c>
      <c r="L343" s="35" t="str">
        <f t="shared" si="100"/>
        <v/>
      </c>
      <c r="M343" s="35" t="str">
        <f t="shared" si="101"/>
        <v/>
      </c>
      <c r="N343" s="36" t="str">
        <f t="shared" si="102"/>
        <v/>
      </c>
      <c r="O343" s="35" t="str">
        <f t="shared" si="103"/>
        <v/>
      </c>
      <c r="P343" s="35" t="str">
        <f t="shared" si="104"/>
        <v/>
      </c>
      <c r="Q343" s="35" t="str">
        <f t="shared" si="105"/>
        <v/>
      </c>
      <c r="R343" s="35" t="str">
        <f t="shared" si="106"/>
        <v/>
      </c>
      <c r="S343" s="33" t="str">
        <f t="shared" si="107"/>
        <v/>
      </c>
    </row>
    <row r="344" spans="1:19" x14ac:dyDescent="0.3">
      <c r="A344" s="33">
        <f>340</f>
        <v>340</v>
      </c>
      <c r="B344" s="34" t="str">
        <f t="shared" si="90"/>
        <v/>
      </c>
      <c r="C344" s="33" t="str">
        <f t="shared" si="91"/>
        <v/>
      </c>
      <c r="D344" s="33" t="str">
        <f t="shared" si="92"/>
        <v/>
      </c>
      <c r="E344" s="35" t="str">
        <f t="shared" si="93"/>
        <v/>
      </c>
      <c r="F344" s="35" t="str">
        <f t="shared" si="94"/>
        <v/>
      </c>
      <c r="G344" s="33" t="str">
        <f t="shared" si="95"/>
        <v/>
      </c>
      <c r="H344" s="35" t="str">
        <f t="shared" si="96"/>
        <v/>
      </c>
      <c r="I344" s="35" t="str">
        <f t="shared" si="97"/>
        <v/>
      </c>
      <c r="J344" s="35" t="str">
        <f t="shared" si="98"/>
        <v/>
      </c>
      <c r="K344" s="35" t="str">
        <f t="shared" si="99"/>
        <v/>
      </c>
      <c r="L344" s="35" t="str">
        <f t="shared" si="100"/>
        <v/>
      </c>
      <c r="M344" s="35" t="str">
        <f t="shared" si="101"/>
        <v/>
      </c>
      <c r="N344" s="36" t="str">
        <f t="shared" si="102"/>
        <v/>
      </c>
      <c r="O344" s="35" t="str">
        <f t="shared" si="103"/>
        <v/>
      </c>
      <c r="P344" s="35" t="str">
        <f t="shared" si="104"/>
        <v/>
      </c>
      <c r="Q344" s="35" t="str">
        <f t="shared" si="105"/>
        <v/>
      </c>
      <c r="R344" s="35" t="str">
        <f t="shared" si="106"/>
        <v/>
      </c>
      <c r="S344" s="33" t="str">
        <f t="shared" si="107"/>
        <v/>
      </c>
    </row>
    <row r="345" spans="1:19" x14ac:dyDescent="0.3">
      <c r="A345" s="33">
        <f>341</f>
        <v>341</v>
      </c>
      <c r="B345" s="34" t="str">
        <f t="shared" si="90"/>
        <v/>
      </c>
      <c r="C345" s="33" t="str">
        <f t="shared" si="91"/>
        <v/>
      </c>
      <c r="D345" s="33" t="str">
        <f t="shared" si="92"/>
        <v/>
      </c>
      <c r="E345" s="35" t="str">
        <f t="shared" si="93"/>
        <v/>
      </c>
      <c r="F345" s="35" t="str">
        <f t="shared" si="94"/>
        <v/>
      </c>
      <c r="G345" s="33" t="str">
        <f t="shared" si="95"/>
        <v/>
      </c>
      <c r="H345" s="35" t="str">
        <f t="shared" si="96"/>
        <v/>
      </c>
      <c r="I345" s="35" t="str">
        <f t="shared" si="97"/>
        <v/>
      </c>
      <c r="J345" s="35" t="str">
        <f t="shared" si="98"/>
        <v/>
      </c>
      <c r="K345" s="35" t="str">
        <f t="shared" si="99"/>
        <v/>
      </c>
      <c r="L345" s="35" t="str">
        <f t="shared" si="100"/>
        <v/>
      </c>
      <c r="M345" s="35" t="str">
        <f t="shared" si="101"/>
        <v/>
      </c>
      <c r="N345" s="36" t="str">
        <f t="shared" si="102"/>
        <v/>
      </c>
      <c r="O345" s="35" t="str">
        <f t="shared" si="103"/>
        <v/>
      </c>
      <c r="P345" s="35" t="str">
        <f t="shared" si="104"/>
        <v/>
      </c>
      <c r="Q345" s="35" t="str">
        <f t="shared" si="105"/>
        <v/>
      </c>
      <c r="R345" s="35" t="str">
        <f t="shared" si="106"/>
        <v/>
      </c>
      <c r="S345" s="33" t="str">
        <f t="shared" si="107"/>
        <v/>
      </c>
    </row>
    <row r="346" spans="1:19" x14ac:dyDescent="0.3">
      <c r="A346" s="33">
        <f>342</f>
        <v>342</v>
      </c>
      <c r="B346" s="34" t="str">
        <f t="shared" si="90"/>
        <v/>
      </c>
      <c r="C346" s="33" t="str">
        <f t="shared" si="91"/>
        <v/>
      </c>
      <c r="D346" s="33" t="str">
        <f t="shared" si="92"/>
        <v/>
      </c>
      <c r="E346" s="35" t="str">
        <f t="shared" si="93"/>
        <v/>
      </c>
      <c r="F346" s="35" t="str">
        <f t="shared" si="94"/>
        <v/>
      </c>
      <c r="G346" s="33" t="str">
        <f t="shared" si="95"/>
        <v/>
      </c>
      <c r="H346" s="35" t="str">
        <f t="shared" si="96"/>
        <v/>
      </c>
      <c r="I346" s="35" t="str">
        <f t="shared" si="97"/>
        <v/>
      </c>
      <c r="J346" s="35" t="str">
        <f t="shared" si="98"/>
        <v/>
      </c>
      <c r="K346" s="35" t="str">
        <f t="shared" si="99"/>
        <v/>
      </c>
      <c r="L346" s="35" t="str">
        <f t="shared" si="100"/>
        <v/>
      </c>
      <c r="M346" s="35" t="str">
        <f t="shared" si="101"/>
        <v/>
      </c>
      <c r="N346" s="36" t="str">
        <f t="shared" si="102"/>
        <v/>
      </c>
      <c r="O346" s="35" t="str">
        <f t="shared" si="103"/>
        <v/>
      </c>
      <c r="P346" s="35" t="str">
        <f t="shared" si="104"/>
        <v/>
      </c>
      <c r="Q346" s="35" t="str">
        <f t="shared" si="105"/>
        <v/>
      </c>
      <c r="R346" s="35" t="str">
        <f t="shared" si="106"/>
        <v/>
      </c>
      <c r="S346" s="33" t="str">
        <f t="shared" si="107"/>
        <v/>
      </c>
    </row>
    <row r="347" spans="1:19" x14ac:dyDescent="0.3">
      <c r="A347" s="33">
        <f>343</f>
        <v>343</v>
      </c>
      <c r="B347" s="34" t="str">
        <f t="shared" si="90"/>
        <v/>
      </c>
      <c r="C347" s="33" t="str">
        <f t="shared" si="91"/>
        <v/>
      </c>
      <c r="D347" s="33" t="str">
        <f t="shared" si="92"/>
        <v/>
      </c>
      <c r="E347" s="35" t="str">
        <f t="shared" si="93"/>
        <v/>
      </c>
      <c r="F347" s="35" t="str">
        <f t="shared" si="94"/>
        <v/>
      </c>
      <c r="G347" s="33" t="str">
        <f t="shared" si="95"/>
        <v/>
      </c>
      <c r="H347" s="35" t="str">
        <f t="shared" si="96"/>
        <v/>
      </c>
      <c r="I347" s="35" t="str">
        <f t="shared" si="97"/>
        <v/>
      </c>
      <c r="J347" s="35" t="str">
        <f t="shared" si="98"/>
        <v/>
      </c>
      <c r="K347" s="35" t="str">
        <f t="shared" si="99"/>
        <v/>
      </c>
      <c r="L347" s="35" t="str">
        <f t="shared" si="100"/>
        <v/>
      </c>
      <c r="M347" s="35" t="str">
        <f t="shared" si="101"/>
        <v/>
      </c>
      <c r="N347" s="36" t="str">
        <f t="shared" si="102"/>
        <v/>
      </c>
      <c r="O347" s="35" t="str">
        <f t="shared" si="103"/>
        <v/>
      </c>
      <c r="P347" s="35" t="str">
        <f t="shared" si="104"/>
        <v/>
      </c>
      <c r="Q347" s="35" t="str">
        <f t="shared" si="105"/>
        <v/>
      </c>
      <c r="R347" s="35" t="str">
        <f t="shared" si="106"/>
        <v/>
      </c>
      <c r="S347" s="33" t="str">
        <f t="shared" si="107"/>
        <v/>
      </c>
    </row>
    <row r="348" spans="1:19" x14ac:dyDescent="0.3">
      <c r="A348" s="33">
        <f>344</f>
        <v>344</v>
      </c>
      <c r="B348" s="34" t="str">
        <f t="shared" si="90"/>
        <v/>
      </c>
      <c r="C348" s="33" t="str">
        <f t="shared" si="91"/>
        <v/>
      </c>
      <c r="D348" s="33" t="str">
        <f t="shared" si="92"/>
        <v/>
      </c>
      <c r="E348" s="35" t="str">
        <f t="shared" si="93"/>
        <v/>
      </c>
      <c r="F348" s="35" t="str">
        <f t="shared" si="94"/>
        <v/>
      </c>
      <c r="G348" s="33" t="str">
        <f t="shared" si="95"/>
        <v/>
      </c>
      <c r="H348" s="35" t="str">
        <f t="shared" si="96"/>
        <v/>
      </c>
      <c r="I348" s="35" t="str">
        <f t="shared" si="97"/>
        <v/>
      </c>
      <c r="J348" s="35" t="str">
        <f t="shared" si="98"/>
        <v/>
      </c>
      <c r="K348" s="35" t="str">
        <f t="shared" si="99"/>
        <v/>
      </c>
      <c r="L348" s="35" t="str">
        <f t="shared" si="100"/>
        <v/>
      </c>
      <c r="M348" s="35" t="str">
        <f t="shared" si="101"/>
        <v/>
      </c>
      <c r="N348" s="36" t="str">
        <f t="shared" si="102"/>
        <v/>
      </c>
      <c r="O348" s="35" t="str">
        <f t="shared" si="103"/>
        <v/>
      </c>
      <c r="P348" s="35" t="str">
        <f t="shared" si="104"/>
        <v/>
      </c>
      <c r="Q348" s="35" t="str">
        <f t="shared" si="105"/>
        <v/>
      </c>
      <c r="R348" s="35" t="str">
        <f t="shared" si="106"/>
        <v/>
      </c>
      <c r="S348" s="33" t="str">
        <f t="shared" si="107"/>
        <v/>
      </c>
    </row>
    <row r="349" spans="1:19" x14ac:dyDescent="0.3">
      <c r="A349" s="33">
        <f>345</f>
        <v>345</v>
      </c>
      <c r="B349" s="34" t="str">
        <f t="shared" si="90"/>
        <v/>
      </c>
      <c r="C349" s="33" t="str">
        <f t="shared" si="91"/>
        <v/>
      </c>
      <c r="D349" s="33" t="str">
        <f t="shared" si="92"/>
        <v/>
      </c>
      <c r="E349" s="35" t="str">
        <f t="shared" si="93"/>
        <v/>
      </c>
      <c r="F349" s="35" t="str">
        <f t="shared" si="94"/>
        <v/>
      </c>
      <c r="G349" s="33" t="str">
        <f t="shared" si="95"/>
        <v/>
      </c>
      <c r="H349" s="35" t="str">
        <f t="shared" si="96"/>
        <v/>
      </c>
      <c r="I349" s="35" t="str">
        <f t="shared" si="97"/>
        <v/>
      </c>
      <c r="J349" s="35" t="str">
        <f t="shared" si="98"/>
        <v/>
      </c>
      <c r="K349" s="35" t="str">
        <f t="shared" si="99"/>
        <v/>
      </c>
      <c r="L349" s="35" t="str">
        <f t="shared" si="100"/>
        <v/>
      </c>
      <c r="M349" s="35" t="str">
        <f t="shared" si="101"/>
        <v/>
      </c>
      <c r="N349" s="36" t="str">
        <f t="shared" si="102"/>
        <v/>
      </c>
      <c r="O349" s="35" t="str">
        <f t="shared" si="103"/>
        <v/>
      </c>
      <c r="P349" s="35" t="str">
        <f t="shared" si="104"/>
        <v/>
      </c>
      <c r="Q349" s="35" t="str">
        <f t="shared" si="105"/>
        <v/>
      </c>
      <c r="R349" s="35" t="str">
        <f t="shared" si="106"/>
        <v/>
      </c>
      <c r="S349" s="33" t="str">
        <f t="shared" si="107"/>
        <v/>
      </c>
    </row>
    <row r="350" spans="1:19" x14ac:dyDescent="0.3">
      <c r="A350" s="33">
        <f>346</f>
        <v>346</v>
      </c>
      <c r="B350" s="34" t="str">
        <f t="shared" si="90"/>
        <v/>
      </c>
      <c r="C350" s="33" t="str">
        <f t="shared" si="91"/>
        <v/>
      </c>
      <c r="D350" s="33" t="str">
        <f t="shared" si="92"/>
        <v/>
      </c>
      <c r="E350" s="35" t="str">
        <f t="shared" si="93"/>
        <v/>
      </c>
      <c r="F350" s="35" t="str">
        <f t="shared" si="94"/>
        <v/>
      </c>
      <c r="G350" s="33" t="str">
        <f t="shared" si="95"/>
        <v/>
      </c>
      <c r="H350" s="35" t="str">
        <f t="shared" si="96"/>
        <v/>
      </c>
      <c r="I350" s="35" t="str">
        <f t="shared" si="97"/>
        <v/>
      </c>
      <c r="J350" s="35" t="str">
        <f t="shared" si="98"/>
        <v/>
      </c>
      <c r="K350" s="35" t="str">
        <f t="shared" si="99"/>
        <v/>
      </c>
      <c r="L350" s="35" t="str">
        <f t="shared" si="100"/>
        <v/>
      </c>
      <c r="M350" s="35" t="str">
        <f t="shared" si="101"/>
        <v/>
      </c>
      <c r="N350" s="36" t="str">
        <f t="shared" si="102"/>
        <v/>
      </c>
      <c r="O350" s="35" t="str">
        <f t="shared" si="103"/>
        <v/>
      </c>
      <c r="P350" s="35" t="str">
        <f t="shared" si="104"/>
        <v/>
      </c>
      <c r="Q350" s="35" t="str">
        <f t="shared" si="105"/>
        <v/>
      </c>
      <c r="R350" s="35" t="str">
        <f t="shared" si="106"/>
        <v/>
      </c>
      <c r="S350" s="33" t="str">
        <f t="shared" si="107"/>
        <v/>
      </c>
    </row>
    <row r="351" spans="1:19" x14ac:dyDescent="0.3">
      <c r="A351" s="33">
        <f>347</f>
        <v>347</v>
      </c>
      <c r="B351" s="34" t="str">
        <f t="shared" si="90"/>
        <v/>
      </c>
      <c r="C351" s="33" t="str">
        <f t="shared" si="91"/>
        <v/>
      </c>
      <c r="D351" s="33" t="str">
        <f t="shared" si="92"/>
        <v/>
      </c>
      <c r="E351" s="35" t="str">
        <f t="shared" si="93"/>
        <v/>
      </c>
      <c r="F351" s="35" t="str">
        <f t="shared" si="94"/>
        <v/>
      </c>
      <c r="G351" s="33" t="str">
        <f t="shared" si="95"/>
        <v/>
      </c>
      <c r="H351" s="35" t="str">
        <f t="shared" si="96"/>
        <v/>
      </c>
      <c r="I351" s="35" t="str">
        <f t="shared" si="97"/>
        <v/>
      </c>
      <c r="J351" s="35" t="str">
        <f t="shared" si="98"/>
        <v/>
      </c>
      <c r="K351" s="35" t="str">
        <f t="shared" si="99"/>
        <v/>
      </c>
      <c r="L351" s="35" t="str">
        <f t="shared" si="100"/>
        <v/>
      </c>
      <c r="M351" s="35" t="str">
        <f t="shared" si="101"/>
        <v/>
      </c>
      <c r="N351" s="36" t="str">
        <f t="shared" si="102"/>
        <v/>
      </c>
      <c r="O351" s="35" t="str">
        <f t="shared" si="103"/>
        <v/>
      </c>
      <c r="P351" s="35" t="str">
        <f t="shared" si="104"/>
        <v/>
      </c>
      <c r="Q351" s="35" t="str">
        <f t="shared" si="105"/>
        <v/>
      </c>
      <c r="R351" s="35" t="str">
        <f t="shared" si="106"/>
        <v/>
      </c>
      <c r="S351" s="33" t="str">
        <f t="shared" si="107"/>
        <v/>
      </c>
    </row>
    <row r="352" spans="1:19" x14ac:dyDescent="0.3">
      <c r="A352" s="37">
        <f>348</f>
        <v>348</v>
      </c>
      <c r="B352" s="38" t="str">
        <f t="shared" si="90"/>
        <v/>
      </c>
      <c r="C352" s="37" t="str">
        <f t="shared" si="91"/>
        <v/>
      </c>
      <c r="D352" s="37" t="str">
        <f t="shared" si="92"/>
        <v/>
      </c>
      <c r="E352" s="39" t="str">
        <f t="shared" si="93"/>
        <v/>
      </c>
      <c r="F352" s="39" t="str">
        <f t="shared" si="94"/>
        <v/>
      </c>
      <c r="G352" s="37" t="str">
        <f t="shared" si="95"/>
        <v/>
      </c>
      <c r="H352" s="39" t="str">
        <f t="shared" si="96"/>
        <v/>
      </c>
      <c r="I352" s="39" t="str">
        <f t="shared" si="97"/>
        <v/>
      </c>
      <c r="J352" s="39" t="str">
        <f t="shared" si="98"/>
        <v/>
      </c>
      <c r="K352" s="39" t="str">
        <f t="shared" si="99"/>
        <v/>
      </c>
      <c r="L352" s="39" t="str">
        <f t="shared" si="100"/>
        <v/>
      </c>
      <c r="M352" s="39" t="str">
        <f t="shared" si="101"/>
        <v/>
      </c>
      <c r="N352" s="40" t="str">
        <f t="shared" si="102"/>
        <v/>
      </c>
      <c r="O352" s="39" t="str">
        <f t="shared" si="103"/>
        <v/>
      </c>
      <c r="P352" s="39" t="str">
        <f t="shared" si="104"/>
        <v/>
      </c>
      <c r="Q352" s="39" t="str">
        <f t="shared" si="105"/>
        <v/>
      </c>
      <c r="R352" s="39" t="str">
        <f t="shared" si="106"/>
        <v/>
      </c>
      <c r="S352" s="37" t="str">
        <f t="shared" si="107"/>
        <v/>
      </c>
    </row>
    <row r="353" spans="1:19" x14ac:dyDescent="0.3">
      <c r="A353" s="33">
        <f>349</f>
        <v>349</v>
      </c>
      <c r="B353" s="34" t="str">
        <f t="shared" si="90"/>
        <v/>
      </c>
      <c r="C353" s="33" t="str">
        <f t="shared" si="91"/>
        <v/>
      </c>
      <c r="D353" s="33" t="str">
        <f t="shared" si="92"/>
        <v/>
      </c>
      <c r="E353" s="35" t="str">
        <f t="shared" si="93"/>
        <v/>
      </c>
      <c r="F353" s="35" t="str">
        <f t="shared" si="94"/>
        <v/>
      </c>
      <c r="G353" s="33" t="str">
        <f t="shared" si="95"/>
        <v/>
      </c>
      <c r="H353" s="35" t="str">
        <f t="shared" si="96"/>
        <v/>
      </c>
      <c r="I353" s="35" t="str">
        <f t="shared" si="97"/>
        <v/>
      </c>
      <c r="J353" s="35" t="str">
        <f t="shared" si="98"/>
        <v/>
      </c>
      <c r="K353" s="35" t="str">
        <f t="shared" si="99"/>
        <v/>
      </c>
      <c r="L353" s="35" t="str">
        <f t="shared" si="100"/>
        <v/>
      </c>
      <c r="M353" s="35" t="str">
        <f t="shared" si="101"/>
        <v/>
      </c>
      <c r="N353" s="36" t="str">
        <f t="shared" si="102"/>
        <v/>
      </c>
      <c r="O353" s="35" t="str">
        <f t="shared" si="103"/>
        <v/>
      </c>
      <c r="P353" s="35" t="str">
        <f t="shared" si="104"/>
        <v/>
      </c>
      <c r="Q353" s="35" t="str">
        <f t="shared" si="105"/>
        <v/>
      </c>
      <c r="R353" s="35" t="str">
        <f t="shared" si="106"/>
        <v/>
      </c>
      <c r="S353" s="33" t="str">
        <f t="shared" si="107"/>
        <v/>
      </c>
    </row>
    <row r="354" spans="1:19" x14ac:dyDescent="0.3">
      <c r="A354" s="33">
        <f>350</f>
        <v>350</v>
      </c>
      <c r="B354" s="34" t="str">
        <f t="shared" si="90"/>
        <v/>
      </c>
      <c r="C354" s="33" t="str">
        <f t="shared" si="91"/>
        <v/>
      </c>
      <c r="D354" s="33" t="str">
        <f t="shared" si="92"/>
        <v/>
      </c>
      <c r="E354" s="35" t="str">
        <f t="shared" si="93"/>
        <v/>
      </c>
      <c r="F354" s="35" t="str">
        <f t="shared" si="94"/>
        <v/>
      </c>
      <c r="G354" s="33" t="str">
        <f t="shared" si="95"/>
        <v/>
      </c>
      <c r="H354" s="35" t="str">
        <f t="shared" si="96"/>
        <v/>
      </c>
      <c r="I354" s="35" t="str">
        <f t="shared" si="97"/>
        <v/>
      </c>
      <c r="J354" s="35" t="str">
        <f t="shared" si="98"/>
        <v/>
      </c>
      <c r="K354" s="35" t="str">
        <f t="shared" si="99"/>
        <v/>
      </c>
      <c r="L354" s="35" t="str">
        <f t="shared" si="100"/>
        <v/>
      </c>
      <c r="M354" s="35" t="str">
        <f t="shared" si="101"/>
        <v/>
      </c>
      <c r="N354" s="36" t="str">
        <f t="shared" si="102"/>
        <v/>
      </c>
      <c r="O354" s="35" t="str">
        <f t="shared" si="103"/>
        <v/>
      </c>
      <c r="P354" s="35" t="str">
        <f t="shared" si="104"/>
        <v/>
      </c>
      <c r="Q354" s="35" t="str">
        <f t="shared" si="105"/>
        <v/>
      </c>
      <c r="R354" s="35" t="str">
        <f t="shared" si="106"/>
        <v/>
      </c>
      <c r="S354" s="33" t="str">
        <f t="shared" si="107"/>
        <v/>
      </c>
    </row>
    <row r="355" spans="1:19" x14ac:dyDescent="0.3">
      <c r="A355" s="33">
        <f>351</f>
        <v>351</v>
      </c>
      <c r="B355" s="34" t="str">
        <f t="shared" si="90"/>
        <v/>
      </c>
      <c r="C355" s="33" t="str">
        <f t="shared" si="91"/>
        <v/>
      </c>
      <c r="D355" s="33" t="str">
        <f t="shared" si="92"/>
        <v/>
      </c>
      <c r="E355" s="35" t="str">
        <f t="shared" si="93"/>
        <v/>
      </c>
      <c r="F355" s="35" t="str">
        <f t="shared" si="94"/>
        <v/>
      </c>
      <c r="G355" s="33" t="str">
        <f t="shared" si="95"/>
        <v/>
      </c>
      <c r="H355" s="35" t="str">
        <f t="shared" si="96"/>
        <v/>
      </c>
      <c r="I355" s="35" t="str">
        <f t="shared" si="97"/>
        <v/>
      </c>
      <c r="J355" s="35" t="str">
        <f t="shared" si="98"/>
        <v/>
      </c>
      <c r="K355" s="35" t="str">
        <f t="shared" si="99"/>
        <v/>
      </c>
      <c r="L355" s="35" t="str">
        <f t="shared" si="100"/>
        <v/>
      </c>
      <c r="M355" s="35" t="str">
        <f t="shared" si="101"/>
        <v/>
      </c>
      <c r="N355" s="36" t="str">
        <f t="shared" si="102"/>
        <v/>
      </c>
      <c r="O355" s="35" t="str">
        <f t="shared" si="103"/>
        <v/>
      </c>
      <c r="P355" s="35" t="str">
        <f t="shared" si="104"/>
        <v/>
      </c>
      <c r="Q355" s="35" t="str">
        <f t="shared" si="105"/>
        <v/>
      </c>
      <c r="R355" s="35" t="str">
        <f t="shared" si="106"/>
        <v/>
      </c>
      <c r="S355" s="33" t="str">
        <f t="shared" si="107"/>
        <v/>
      </c>
    </row>
    <row r="356" spans="1:19" x14ac:dyDescent="0.3">
      <c r="A356" s="33">
        <f>352</f>
        <v>352</v>
      </c>
      <c r="B356" s="34" t="str">
        <f t="shared" si="90"/>
        <v/>
      </c>
      <c r="C356" s="33" t="str">
        <f t="shared" si="91"/>
        <v/>
      </c>
      <c r="D356" s="33" t="str">
        <f t="shared" si="92"/>
        <v/>
      </c>
      <c r="E356" s="35" t="str">
        <f t="shared" si="93"/>
        <v/>
      </c>
      <c r="F356" s="35" t="str">
        <f t="shared" si="94"/>
        <v/>
      </c>
      <c r="G356" s="33" t="str">
        <f t="shared" si="95"/>
        <v/>
      </c>
      <c r="H356" s="35" t="str">
        <f t="shared" si="96"/>
        <v/>
      </c>
      <c r="I356" s="35" t="str">
        <f t="shared" si="97"/>
        <v/>
      </c>
      <c r="J356" s="35" t="str">
        <f t="shared" si="98"/>
        <v/>
      </c>
      <c r="K356" s="35" t="str">
        <f t="shared" si="99"/>
        <v/>
      </c>
      <c r="L356" s="35" t="str">
        <f t="shared" si="100"/>
        <v/>
      </c>
      <c r="M356" s="35" t="str">
        <f t="shared" si="101"/>
        <v/>
      </c>
      <c r="N356" s="36" t="str">
        <f t="shared" si="102"/>
        <v/>
      </c>
      <c r="O356" s="35" t="str">
        <f t="shared" si="103"/>
        <v/>
      </c>
      <c r="P356" s="35" t="str">
        <f t="shared" si="104"/>
        <v/>
      </c>
      <c r="Q356" s="35" t="str">
        <f t="shared" si="105"/>
        <v/>
      </c>
      <c r="R356" s="35" t="str">
        <f t="shared" si="106"/>
        <v/>
      </c>
      <c r="S356" s="33" t="str">
        <f t="shared" si="107"/>
        <v/>
      </c>
    </row>
    <row r="357" spans="1:19" x14ac:dyDescent="0.3">
      <c r="A357" s="33">
        <f>353</f>
        <v>353</v>
      </c>
      <c r="B357" s="34" t="str">
        <f t="shared" si="90"/>
        <v/>
      </c>
      <c r="C357" s="33" t="str">
        <f t="shared" si="91"/>
        <v/>
      </c>
      <c r="D357" s="33" t="str">
        <f t="shared" si="92"/>
        <v/>
      </c>
      <c r="E357" s="35" t="str">
        <f t="shared" si="93"/>
        <v/>
      </c>
      <c r="F357" s="35" t="str">
        <f t="shared" si="94"/>
        <v/>
      </c>
      <c r="G357" s="33" t="str">
        <f t="shared" si="95"/>
        <v/>
      </c>
      <c r="H357" s="35" t="str">
        <f t="shared" si="96"/>
        <v/>
      </c>
      <c r="I357" s="35" t="str">
        <f t="shared" si="97"/>
        <v/>
      </c>
      <c r="J357" s="35" t="str">
        <f t="shared" si="98"/>
        <v/>
      </c>
      <c r="K357" s="35" t="str">
        <f t="shared" si="99"/>
        <v/>
      </c>
      <c r="L357" s="35" t="str">
        <f t="shared" si="100"/>
        <v/>
      </c>
      <c r="M357" s="35" t="str">
        <f t="shared" si="101"/>
        <v/>
      </c>
      <c r="N357" s="36" t="str">
        <f t="shared" si="102"/>
        <v/>
      </c>
      <c r="O357" s="35" t="str">
        <f t="shared" si="103"/>
        <v/>
      </c>
      <c r="P357" s="35" t="str">
        <f t="shared" si="104"/>
        <v/>
      </c>
      <c r="Q357" s="35" t="str">
        <f t="shared" si="105"/>
        <v/>
      </c>
      <c r="R357" s="35" t="str">
        <f t="shared" si="106"/>
        <v/>
      </c>
      <c r="S357" s="33" t="str">
        <f t="shared" si="107"/>
        <v/>
      </c>
    </row>
    <row r="358" spans="1:19" x14ac:dyDescent="0.3">
      <c r="A358" s="33">
        <f>354</f>
        <v>354</v>
      </c>
      <c r="B358" s="34" t="str">
        <f t="shared" si="90"/>
        <v/>
      </c>
      <c r="C358" s="33" t="str">
        <f t="shared" si="91"/>
        <v/>
      </c>
      <c r="D358" s="33" t="str">
        <f t="shared" si="92"/>
        <v/>
      </c>
      <c r="E358" s="35" t="str">
        <f t="shared" si="93"/>
        <v/>
      </c>
      <c r="F358" s="35" t="str">
        <f t="shared" si="94"/>
        <v/>
      </c>
      <c r="G358" s="33" t="str">
        <f t="shared" si="95"/>
        <v/>
      </c>
      <c r="H358" s="35" t="str">
        <f t="shared" si="96"/>
        <v/>
      </c>
      <c r="I358" s="35" t="str">
        <f t="shared" si="97"/>
        <v/>
      </c>
      <c r="J358" s="35" t="str">
        <f t="shared" si="98"/>
        <v/>
      </c>
      <c r="K358" s="35" t="str">
        <f t="shared" si="99"/>
        <v/>
      </c>
      <c r="L358" s="35" t="str">
        <f t="shared" si="100"/>
        <v/>
      </c>
      <c r="M358" s="35" t="str">
        <f t="shared" si="101"/>
        <v/>
      </c>
      <c r="N358" s="36" t="str">
        <f t="shared" si="102"/>
        <v/>
      </c>
      <c r="O358" s="35" t="str">
        <f t="shared" si="103"/>
        <v/>
      </c>
      <c r="P358" s="35" t="str">
        <f t="shared" si="104"/>
        <v/>
      </c>
      <c r="Q358" s="35" t="str">
        <f t="shared" si="105"/>
        <v/>
      </c>
      <c r="R358" s="35" t="str">
        <f t="shared" si="106"/>
        <v/>
      </c>
      <c r="S358" s="33" t="str">
        <f t="shared" si="107"/>
        <v/>
      </c>
    </row>
    <row r="359" spans="1:19" x14ac:dyDescent="0.3">
      <c r="A359" s="33">
        <f>355</f>
        <v>355</v>
      </c>
      <c r="B359" s="34" t="str">
        <f t="shared" si="90"/>
        <v/>
      </c>
      <c r="C359" s="33" t="str">
        <f t="shared" si="91"/>
        <v/>
      </c>
      <c r="D359" s="33" t="str">
        <f t="shared" si="92"/>
        <v/>
      </c>
      <c r="E359" s="35" t="str">
        <f t="shared" si="93"/>
        <v/>
      </c>
      <c r="F359" s="35" t="str">
        <f t="shared" si="94"/>
        <v/>
      </c>
      <c r="G359" s="33" t="str">
        <f t="shared" si="95"/>
        <v/>
      </c>
      <c r="H359" s="35" t="str">
        <f t="shared" si="96"/>
        <v/>
      </c>
      <c r="I359" s="35" t="str">
        <f t="shared" si="97"/>
        <v/>
      </c>
      <c r="J359" s="35" t="str">
        <f t="shared" si="98"/>
        <v/>
      </c>
      <c r="K359" s="35" t="str">
        <f t="shared" si="99"/>
        <v/>
      </c>
      <c r="L359" s="35" t="str">
        <f t="shared" si="100"/>
        <v/>
      </c>
      <c r="M359" s="35" t="str">
        <f t="shared" si="101"/>
        <v/>
      </c>
      <c r="N359" s="36" t="str">
        <f t="shared" si="102"/>
        <v/>
      </c>
      <c r="O359" s="35" t="str">
        <f t="shared" si="103"/>
        <v/>
      </c>
      <c r="P359" s="35" t="str">
        <f t="shared" si="104"/>
        <v/>
      </c>
      <c r="Q359" s="35" t="str">
        <f t="shared" si="105"/>
        <v/>
      </c>
      <c r="R359" s="35" t="str">
        <f t="shared" si="106"/>
        <v/>
      </c>
      <c r="S359" s="33" t="str">
        <f t="shared" si="107"/>
        <v/>
      </c>
    </row>
    <row r="360" spans="1:19" x14ac:dyDescent="0.3">
      <c r="A360" s="33">
        <f>356</f>
        <v>356</v>
      </c>
      <c r="B360" s="34" t="str">
        <f t="shared" si="90"/>
        <v/>
      </c>
      <c r="C360" s="33" t="str">
        <f t="shared" si="91"/>
        <v/>
      </c>
      <c r="D360" s="33" t="str">
        <f t="shared" si="92"/>
        <v/>
      </c>
      <c r="E360" s="35" t="str">
        <f t="shared" si="93"/>
        <v/>
      </c>
      <c r="F360" s="35" t="str">
        <f t="shared" si="94"/>
        <v/>
      </c>
      <c r="G360" s="33" t="str">
        <f t="shared" si="95"/>
        <v/>
      </c>
      <c r="H360" s="35" t="str">
        <f t="shared" si="96"/>
        <v/>
      </c>
      <c r="I360" s="35" t="str">
        <f t="shared" si="97"/>
        <v/>
      </c>
      <c r="J360" s="35" t="str">
        <f t="shared" si="98"/>
        <v/>
      </c>
      <c r="K360" s="35" t="str">
        <f t="shared" si="99"/>
        <v/>
      </c>
      <c r="L360" s="35" t="str">
        <f t="shared" si="100"/>
        <v/>
      </c>
      <c r="M360" s="35" t="str">
        <f t="shared" si="101"/>
        <v/>
      </c>
      <c r="N360" s="36" t="str">
        <f t="shared" si="102"/>
        <v/>
      </c>
      <c r="O360" s="35" t="str">
        <f t="shared" si="103"/>
        <v/>
      </c>
      <c r="P360" s="35" t="str">
        <f t="shared" si="104"/>
        <v/>
      </c>
      <c r="Q360" s="35" t="str">
        <f t="shared" si="105"/>
        <v/>
      </c>
      <c r="R360" s="35" t="str">
        <f t="shared" si="106"/>
        <v/>
      </c>
      <c r="S360" s="33" t="str">
        <f t="shared" si="107"/>
        <v/>
      </c>
    </row>
    <row r="361" spans="1:19" x14ac:dyDescent="0.3">
      <c r="A361" s="33">
        <f>357</f>
        <v>357</v>
      </c>
      <c r="B361" s="34" t="str">
        <f t="shared" si="90"/>
        <v/>
      </c>
      <c r="C361" s="33" t="str">
        <f t="shared" si="91"/>
        <v/>
      </c>
      <c r="D361" s="33" t="str">
        <f t="shared" si="92"/>
        <v/>
      </c>
      <c r="E361" s="35" t="str">
        <f t="shared" si="93"/>
        <v/>
      </c>
      <c r="F361" s="35" t="str">
        <f t="shared" si="94"/>
        <v/>
      </c>
      <c r="G361" s="33" t="str">
        <f t="shared" si="95"/>
        <v/>
      </c>
      <c r="H361" s="35" t="str">
        <f t="shared" si="96"/>
        <v/>
      </c>
      <c r="I361" s="35" t="str">
        <f t="shared" si="97"/>
        <v/>
      </c>
      <c r="J361" s="35" t="str">
        <f t="shared" si="98"/>
        <v/>
      </c>
      <c r="K361" s="35" t="str">
        <f t="shared" si="99"/>
        <v/>
      </c>
      <c r="L361" s="35" t="str">
        <f t="shared" si="100"/>
        <v/>
      </c>
      <c r="M361" s="35" t="str">
        <f t="shared" si="101"/>
        <v/>
      </c>
      <c r="N361" s="36" t="str">
        <f t="shared" si="102"/>
        <v/>
      </c>
      <c r="O361" s="35" t="str">
        <f t="shared" si="103"/>
        <v/>
      </c>
      <c r="P361" s="35" t="str">
        <f t="shared" si="104"/>
        <v/>
      </c>
      <c r="Q361" s="35" t="str">
        <f t="shared" si="105"/>
        <v/>
      </c>
      <c r="R361" s="35" t="str">
        <f t="shared" si="106"/>
        <v/>
      </c>
      <c r="S361" s="33" t="str">
        <f t="shared" si="107"/>
        <v/>
      </c>
    </row>
    <row r="362" spans="1:19" x14ac:dyDescent="0.3">
      <c r="A362" s="33">
        <f>358</f>
        <v>358</v>
      </c>
      <c r="B362" s="34" t="str">
        <f t="shared" si="90"/>
        <v/>
      </c>
      <c r="C362" s="33" t="str">
        <f t="shared" si="91"/>
        <v/>
      </c>
      <c r="D362" s="33" t="str">
        <f t="shared" si="92"/>
        <v/>
      </c>
      <c r="E362" s="35" t="str">
        <f t="shared" si="93"/>
        <v/>
      </c>
      <c r="F362" s="35" t="str">
        <f t="shared" si="94"/>
        <v/>
      </c>
      <c r="G362" s="33" t="str">
        <f t="shared" si="95"/>
        <v/>
      </c>
      <c r="H362" s="35" t="str">
        <f t="shared" si="96"/>
        <v/>
      </c>
      <c r="I362" s="35" t="str">
        <f t="shared" si="97"/>
        <v/>
      </c>
      <c r="J362" s="35" t="str">
        <f t="shared" si="98"/>
        <v/>
      </c>
      <c r="K362" s="35" t="str">
        <f t="shared" si="99"/>
        <v/>
      </c>
      <c r="L362" s="35" t="str">
        <f t="shared" si="100"/>
        <v/>
      </c>
      <c r="M362" s="35" t="str">
        <f t="shared" si="101"/>
        <v/>
      </c>
      <c r="N362" s="36" t="str">
        <f t="shared" si="102"/>
        <v/>
      </c>
      <c r="O362" s="35" t="str">
        <f t="shared" si="103"/>
        <v/>
      </c>
      <c r="P362" s="35" t="str">
        <f t="shared" si="104"/>
        <v/>
      </c>
      <c r="Q362" s="35" t="str">
        <f t="shared" si="105"/>
        <v/>
      </c>
      <c r="R362" s="35" t="str">
        <f t="shared" si="106"/>
        <v/>
      </c>
      <c r="S362" s="33" t="str">
        <f t="shared" si="107"/>
        <v/>
      </c>
    </row>
    <row r="363" spans="1:19" x14ac:dyDescent="0.3">
      <c r="A363" s="33">
        <f>359</f>
        <v>359</v>
      </c>
      <c r="B363" s="34" t="str">
        <f t="shared" si="90"/>
        <v/>
      </c>
      <c r="C363" s="33" t="str">
        <f t="shared" si="91"/>
        <v/>
      </c>
      <c r="D363" s="33" t="str">
        <f t="shared" si="92"/>
        <v/>
      </c>
      <c r="E363" s="35" t="str">
        <f t="shared" si="93"/>
        <v/>
      </c>
      <c r="F363" s="35" t="str">
        <f t="shared" si="94"/>
        <v/>
      </c>
      <c r="G363" s="33" t="str">
        <f t="shared" si="95"/>
        <v/>
      </c>
      <c r="H363" s="35" t="str">
        <f t="shared" si="96"/>
        <v/>
      </c>
      <c r="I363" s="35" t="str">
        <f t="shared" si="97"/>
        <v/>
      </c>
      <c r="J363" s="35" t="str">
        <f t="shared" si="98"/>
        <v/>
      </c>
      <c r="K363" s="35" t="str">
        <f t="shared" si="99"/>
        <v/>
      </c>
      <c r="L363" s="35" t="str">
        <f t="shared" si="100"/>
        <v/>
      </c>
      <c r="M363" s="35" t="str">
        <f t="shared" si="101"/>
        <v/>
      </c>
      <c r="N363" s="36" t="str">
        <f t="shared" si="102"/>
        <v/>
      </c>
      <c r="O363" s="35" t="str">
        <f t="shared" si="103"/>
        <v/>
      </c>
      <c r="P363" s="35" t="str">
        <f t="shared" si="104"/>
        <v/>
      </c>
      <c r="Q363" s="35" t="str">
        <f t="shared" si="105"/>
        <v/>
      </c>
      <c r="R363" s="35" t="str">
        <f t="shared" si="106"/>
        <v/>
      </c>
      <c r="S363" s="33" t="str">
        <f t="shared" si="107"/>
        <v/>
      </c>
    </row>
    <row r="364" spans="1:19" x14ac:dyDescent="0.3">
      <c r="A364" s="37">
        <f>360</f>
        <v>360</v>
      </c>
      <c r="B364" s="38" t="str">
        <f t="shared" si="90"/>
        <v/>
      </c>
      <c r="C364" s="37" t="str">
        <f t="shared" si="91"/>
        <v/>
      </c>
      <c r="D364" s="37" t="str">
        <f t="shared" si="92"/>
        <v/>
      </c>
      <c r="E364" s="39" t="str">
        <f t="shared" si="93"/>
        <v/>
      </c>
      <c r="F364" s="39" t="str">
        <f t="shared" si="94"/>
        <v/>
      </c>
      <c r="G364" s="37" t="str">
        <f t="shared" si="95"/>
        <v/>
      </c>
      <c r="H364" s="39" t="str">
        <f t="shared" si="96"/>
        <v/>
      </c>
      <c r="I364" s="39" t="str">
        <f t="shared" si="97"/>
        <v/>
      </c>
      <c r="J364" s="39" t="str">
        <f t="shared" si="98"/>
        <v/>
      </c>
      <c r="K364" s="39" t="str">
        <f t="shared" si="99"/>
        <v/>
      </c>
      <c r="L364" s="39" t="str">
        <f t="shared" si="100"/>
        <v/>
      </c>
      <c r="M364" s="39" t="str">
        <f t="shared" si="101"/>
        <v/>
      </c>
      <c r="N364" s="40" t="str">
        <f t="shared" si="102"/>
        <v/>
      </c>
      <c r="O364" s="39" t="str">
        <f t="shared" si="103"/>
        <v/>
      </c>
      <c r="P364" s="39" t="str">
        <f t="shared" si="104"/>
        <v/>
      </c>
      <c r="Q364" s="39" t="str">
        <f t="shared" si="105"/>
        <v/>
      </c>
      <c r="R364" s="39" t="str">
        <f t="shared" si="106"/>
        <v/>
      </c>
      <c r="S364" s="37" t="str">
        <f t="shared" si="107"/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364"/>
  <sheetViews>
    <sheetView showGridLines="0" workbookViewId="0">
      <pane ySplit="4" topLeftCell="A5" activePane="bottomLeft" state="frozen"/>
      <selection pane="bottomLeft"/>
    </sheetView>
  </sheetViews>
  <sheetFormatPr defaultRowHeight="14.4" x14ac:dyDescent="0.3"/>
  <cols>
    <col min="1" max="1" width="8" customWidth="1"/>
    <col min="2" max="2" width="11" customWidth="1"/>
    <col min="3" max="3" width="5" customWidth="1"/>
    <col min="4" max="4" width="8" customWidth="1"/>
    <col min="5" max="5" width="14" customWidth="1"/>
    <col min="6" max="6" width="16" customWidth="1"/>
    <col min="7" max="7" width="7" customWidth="1"/>
    <col min="8" max="8" width="16" customWidth="1"/>
    <col min="9" max="9" width="13" customWidth="1"/>
    <col min="10" max="13" width="15" customWidth="1"/>
    <col min="14" max="14" width="10" customWidth="1"/>
    <col min="15" max="17" width="14" customWidth="1"/>
    <col min="18" max="18" width="17" customWidth="1"/>
    <col min="19" max="19" width="12" customWidth="1"/>
  </cols>
  <sheetData>
    <row r="1" spans="1:19" ht="18" x14ac:dyDescent="0.35">
      <c r="A1" s="1" t="s">
        <v>93</v>
      </c>
    </row>
    <row r="2" spans="1:19" x14ac:dyDescent="0.3">
      <c r="A2" s="5" t="s">
        <v>78</v>
      </c>
      <c r="B2" s="32">
        <f>RateB</f>
        <v>0.08</v>
      </c>
      <c r="D2" s="2" t="s">
        <v>79</v>
      </c>
    </row>
    <row r="4" spans="1:19" ht="28.8" x14ac:dyDescent="0.3">
      <c r="A4" s="18" t="s">
        <v>80</v>
      </c>
      <c r="B4" s="18" t="s">
        <v>81</v>
      </c>
      <c r="C4" s="18" t="s">
        <v>82</v>
      </c>
      <c r="D4" s="18" t="s">
        <v>83</v>
      </c>
      <c r="E4" s="18" t="s">
        <v>63</v>
      </c>
      <c r="F4" s="18" t="s">
        <v>64</v>
      </c>
      <c r="G4" s="18" t="s">
        <v>84</v>
      </c>
      <c r="H4" s="18" t="s">
        <v>68</v>
      </c>
      <c r="I4" s="18" t="s">
        <v>85</v>
      </c>
      <c r="J4" s="18" t="s">
        <v>86</v>
      </c>
      <c r="K4" s="18" t="s">
        <v>87</v>
      </c>
      <c r="L4" s="18" t="s">
        <v>88</v>
      </c>
      <c r="M4" s="18" t="s">
        <v>89</v>
      </c>
      <c r="N4" s="18" t="s">
        <v>90</v>
      </c>
      <c r="O4" s="18" t="s">
        <v>30</v>
      </c>
      <c r="P4" s="18" t="s">
        <v>91</v>
      </c>
      <c r="Q4" s="18" t="s">
        <v>71</v>
      </c>
      <c r="R4" s="18" t="s">
        <v>73</v>
      </c>
      <c r="S4" s="18" t="s">
        <v>92</v>
      </c>
    </row>
    <row r="5" spans="1:19" x14ac:dyDescent="0.3">
      <c r="A5" s="33">
        <f>1</f>
        <v>1</v>
      </c>
      <c r="B5" s="34">
        <f t="shared" ref="B5:B68" si="0">IF($A5&gt;NYears*12,"",EDATE(StartMonth,$A5-1))</f>
        <v>46388</v>
      </c>
      <c r="C5" s="33">
        <f t="shared" ref="C5:C68" si="1">IF($A5&gt;NYears*12,"",INT(($A5-1)/12)+1)</f>
        <v>1</v>
      </c>
      <c r="D5" s="33">
        <f t="shared" ref="D5:D68" si="2">IF($A5&gt;NYears*12,"",MOD($A5-1,12)+1)</f>
        <v>1</v>
      </c>
      <c r="E5" s="35">
        <f t="shared" ref="E5:E68" si="3">IF($A5&gt;NYears*12,"",LotValue0*(1+LotGrowth)^($C5-1))</f>
        <v>83333</v>
      </c>
      <c r="F5" s="35">
        <f t="shared" ref="F5:F68" si="4">IF($A5&gt;NYears*12,"",IF($A5=1,InitInvest,$R4))</f>
        <v>5000000</v>
      </c>
      <c r="G5" s="33">
        <f t="shared" ref="G5:G68" si="5">IF($A5&gt;NYears*12,"",INT($F5/$E5))</f>
        <v>60</v>
      </c>
      <c r="H5" s="35">
        <f t="shared" ref="H5:H68" si="6">IF($A5&gt;NYears*12,"",$G5*$E5)</f>
        <v>4999980</v>
      </c>
      <c r="I5" s="35">
        <f t="shared" ref="I5:I68" si="7">IF($A5&gt;NYears*12,"",$F5-$H5)</f>
        <v>20</v>
      </c>
      <c r="J5" s="35">
        <f t="shared" ref="J5:J68" si="8">IF($A5&gt;NYears*12,"",$H5*RateB)</f>
        <v>399998.4</v>
      </c>
      <c r="K5" s="35">
        <f t="shared" ref="K5:K68" si="9">IF($A5&gt;NYears*12,"",IF($D5=1,$J5,$K4+$J5))</f>
        <v>399998.4</v>
      </c>
      <c r="L5" s="35">
        <f t="shared" ref="L5:L68" si="10">IF($A5&gt;NYears*12,"",IF(MOD($D5,3)=0,SUM($J3:$J5),0))</f>
        <v>0</v>
      </c>
      <c r="M5" s="35">
        <f t="shared" ref="M5:M68" si="11">IF($A5&gt;NYears*12,"",IF(TaxFreq="Quarterly",$K5*12/$D5,$K5))</f>
        <v>4799980.8000000007</v>
      </c>
      <c r="N5" s="36">
        <f t="shared" ref="N5:N68" si="12">IF($A5&gt;NYears*12,"",LOOKUP($M5,TaxLower,TaxRate))</f>
        <v>0.312</v>
      </c>
      <c r="O5" s="35">
        <f t="shared" ref="O5:O68" si="13">IF($A5&gt;NYears*12,"",IF(TaxFreq="Quarterly",IF(MOD($D5,3)=0,$L5*$N5,0),IF($D5=12,$K5*$N5,0)))</f>
        <v>0</v>
      </c>
      <c r="P5" s="35">
        <f t="shared" ref="P5:P68" si="14">IF($A5&gt;NYears*12,"",IF($D5=1,$O5,$P4+$O5))</f>
        <v>0</v>
      </c>
      <c r="Q5" s="35">
        <f t="shared" ref="Q5:Q68" si="15">IF($A5&gt;NYears*12,"",IF($D5=12,MIN(WdrPct*IF(WdrBase="Post-tax profit",$K5-$P5,$K5),WdrCap),0))</f>
        <v>0</v>
      </c>
      <c r="R5" s="35">
        <f t="shared" ref="R5:R68" si="16">IF($A5&gt;NYears*12,"",$F5+$J5-$O5-$Q5)</f>
        <v>5399998.4000000004</v>
      </c>
      <c r="S5" s="33">
        <f t="shared" ref="S5:S68" si="17">IF($A5&gt;NYears*12,"",INT($R5/$E5))</f>
        <v>64</v>
      </c>
    </row>
    <row r="6" spans="1:19" x14ac:dyDescent="0.3">
      <c r="A6" s="33">
        <f>2</f>
        <v>2</v>
      </c>
      <c r="B6" s="34">
        <f t="shared" si="0"/>
        <v>46419</v>
      </c>
      <c r="C6" s="33">
        <f t="shared" si="1"/>
        <v>1</v>
      </c>
      <c r="D6" s="33">
        <f t="shared" si="2"/>
        <v>2</v>
      </c>
      <c r="E6" s="35">
        <f t="shared" si="3"/>
        <v>83333</v>
      </c>
      <c r="F6" s="35">
        <f t="shared" si="4"/>
        <v>5399998.4000000004</v>
      </c>
      <c r="G6" s="33">
        <f t="shared" si="5"/>
        <v>64</v>
      </c>
      <c r="H6" s="35">
        <f t="shared" si="6"/>
        <v>5333312</v>
      </c>
      <c r="I6" s="35">
        <f t="shared" si="7"/>
        <v>66686.400000000373</v>
      </c>
      <c r="J6" s="35">
        <f t="shared" si="8"/>
        <v>426664.96000000002</v>
      </c>
      <c r="K6" s="35">
        <f t="shared" si="9"/>
        <v>826663.3600000001</v>
      </c>
      <c r="L6" s="35">
        <f t="shared" si="10"/>
        <v>0</v>
      </c>
      <c r="M6" s="35">
        <f t="shared" si="11"/>
        <v>4959980.16</v>
      </c>
      <c r="N6" s="36">
        <f t="shared" si="12"/>
        <v>0.312</v>
      </c>
      <c r="O6" s="35">
        <f t="shared" si="13"/>
        <v>0</v>
      </c>
      <c r="P6" s="35">
        <f t="shared" si="14"/>
        <v>0</v>
      </c>
      <c r="Q6" s="35">
        <f t="shared" si="15"/>
        <v>0</v>
      </c>
      <c r="R6" s="35">
        <f t="shared" si="16"/>
        <v>5826663.3600000003</v>
      </c>
      <c r="S6" s="33">
        <f t="shared" si="17"/>
        <v>69</v>
      </c>
    </row>
    <row r="7" spans="1:19" x14ac:dyDescent="0.3">
      <c r="A7" s="33">
        <f>3</f>
        <v>3</v>
      </c>
      <c r="B7" s="34">
        <f t="shared" si="0"/>
        <v>46447</v>
      </c>
      <c r="C7" s="33">
        <f t="shared" si="1"/>
        <v>1</v>
      </c>
      <c r="D7" s="33">
        <f t="shared" si="2"/>
        <v>3</v>
      </c>
      <c r="E7" s="35">
        <f t="shared" si="3"/>
        <v>83333</v>
      </c>
      <c r="F7" s="35">
        <f t="shared" si="4"/>
        <v>5826663.3600000003</v>
      </c>
      <c r="G7" s="33">
        <f t="shared" si="5"/>
        <v>69</v>
      </c>
      <c r="H7" s="35">
        <f t="shared" si="6"/>
        <v>5749977</v>
      </c>
      <c r="I7" s="35">
        <f t="shared" si="7"/>
        <v>76686.360000000335</v>
      </c>
      <c r="J7" s="35">
        <f t="shared" si="8"/>
        <v>459998.16000000003</v>
      </c>
      <c r="K7" s="35">
        <f t="shared" si="9"/>
        <v>1286661.52</v>
      </c>
      <c r="L7" s="35">
        <f t="shared" si="10"/>
        <v>1286661.52</v>
      </c>
      <c r="M7" s="35">
        <f t="shared" si="11"/>
        <v>5146646.08</v>
      </c>
      <c r="N7" s="36">
        <f t="shared" si="12"/>
        <v>0.34320000000000001</v>
      </c>
      <c r="O7" s="35">
        <f t="shared" si="13"/>
        <v>441582.233664</v>
      </c>
      <c r="P7" s="35">
        <f t="shared" si="14"/>
        <v>441582.233664</v>
      </c>
      <c r="Q7" s="35">
        <f t="shared" si="15"/>
        <v>0</v>
      </c>
      <c r="R7" s="35">
        <f t="shared" si="16"/>
        <v>5845079.2863360001</v>
      </c>
      <c r="S7" s="33">
        <f t="shared" si="17"/>
        <v>70</v>
      </c>
    </row>
    <row r="8" spans="1:19" x14ac:dyDescent="0.3">
      <c r="A8" s="33">
        <f>4</f>
        <v>4</v>
      </c>
      <c r="B8" s="34">
        <f t="shared" si="0"/>
        <v>46478</v>
      </c>
      <c r="C8" s="33">
        <f t="shared" si="1"/>
        <v>1</v>
      </c>
      <c r="D8" s="33">
        <f t="shared" si="2"/>
        <v>4</v>
      </c>
      <c r="E8" s="35">
        <f t="shared" si="3"/>
        <v>83333</v>
      </c>
      <c r="F8" s="35">
        <f t="shared" si="4"/>
        <v>5845079.2863360001</v>
      </c>
      <c r="G8" s="33">
        <f t="shared" si="5"/>
        <v>70</v>
      </c>
      <c r="H8" s="35">
        <f t="shared" si="6"/>
        <v>5833310</v>
      </c>
      <c r="I8" s="35">
        <f t="shared" si="7"/>
        <v>11769.286336000077</v>
      </c>
      <c r="J8" s="35">
        <f t="shared" si="8"/>
        <v>466664.8</v>
      </c>
      <c r="K8" s="35">
        <f t="shared" si="9"/>
        <v>1753326.32</v>
      </c>
      <c r="L8" s="35">
        <f t="shared" si="10"/>
        <v>0</v>
      </c>
      <c r="M8" s="35">
        <f t="shared" si="11"/>
        <v>5259978.96</v>
      </c>
      <c r="N8" s="36">
        <f t="shared" si="12"/>
        <v>0.34320000000000001</v>
      </c>
      <c r="O8" s="35">
        <f t="shared" si="13"/>
        <v>0</v>
      </c>
      <c r="P8" s="35">
        <f t="shared" si="14"/>
        <v>441582.233664</v>
      </c>
      <c r="Q8" s="35">
        <f t="shared" si="15"/>
        <v>0</v>
      </c>
      <c r="R8" s="35">
        <f t="shared" si="16"/>
        <v>6311744.0863359999</v>
      </c>
      <c r="S8" s="33">
        <f t="shared" si="17"/>
        <v>75</v>
      </c>
    </row>
    <row r="9" spans="1:19" x14ac:dyDescent="0.3">
      <c r="A9" s="33">
        <f>5</f>
        <v>5</v>
      </c>
      <c r="B9" s="34">
        <f t="shared" si="0"/>
        <v>46508</v>
      </c>
      <c r="C9" s="33">
        <f t="shared" si="1"/>
        <v>1</v>
      </c>
      <c r="D9" s="33">
        <f t="shared" si="2"/>
        <v>5</v>
      </c>
      <c r="E9" s="35">
        <f t="shared" si="3"/>
        <v>83333</v>
      </c>
      <c r="F9" s="35">
        <f t="shared" si="4"/>
        <v>6311744.0863359999</v>
      </c>
      <c r="G9" s="33">
        <f t="shared" si="5"/>
        <v>75</v>
      </c>
      <c r="H9" s="35">
        <f t="shared" si="6"/>
        <v>6249975</v>
      </c>
      <c r="I9" s="35">
        <f t="shared" si="7"/>
        <v>61769.086335999891</v>
      </c>
      <c r="J9" s="35">
        <f t="shared" si="8"/>
        <v>499998</v>
      </c>
      <c r="K9" s="35">
        <f t="shared" si="9"/>
        <v>2253324.3200000003</v>
      </c>
      <c r="L9" s="35">
        <f t="shared" si="10"/>
        <v>0</v>
      </c>
      <c r="M9" s="35">
        <f t="shared" si="11"/>
        <v>5407978.3680000007</v>
      </c>
      <c r="N9" s="36">
        <f t="shared" si="12"/>
        <v>0.34320000000000001</v>
      </c>
      <c r="O9" s="35">
        <f t="shared" si="13"/>
        <v>0</v>
      </c>
      <c r="P9" s="35">
        <f t="shared" si="14"/>
        <v>441582.233664</v>
      </c>
      <c r="Q9" s="35">
        <f t="shared" si="15"/>
        <v>0</v>
      </c>
      <c r="R9" s="35">
        <f t="shared" si="16"/>
        <v>6811742.0863359999</v>
      </c>
      <c r="S9" s="33">
        <f t="shared" si="17"/>
        <v>81</v>
      </c>
    </row>
    <row r="10" spans="1:19" x14ac:dyDescent="0.3">
      <c r="A10" s="33">
        <f>6</f>
        <v>6</v>
      </c>
      <c r="B10" s="34">
        <f t="shared" si="0"/>
        <v>46539</v>
      </c>
      <c r="C10" s="33">
        <f t="shared" si="1"/>
        <v>1</v>
      </c>
      <c r="D10" s="33">
        <f t="shared" si="2"/>
        <v>6</v>
      </c>
      <c r="E10" s="35">
        <f t="shared" si="3"/>
        <v>83333</v>
      </c>
      <c r="F10" s="35">
        <f t="shared" si="4"/>
        <v>6811742.0863359999</v>
      </c>
      <c r="G10" s="33">
        <f t="shared" si="5"/>
        <v>81</v>
      </c>
      <c r="H10" s="35">
        <f t="shared" si="6"/>
        <v>6749973</v>
      </c>
      <c r="I10" s="35">
        <f t="shared" si="7"/>
        <v>61769.086335999891</v>
      </c>
      <c r="J10" s="35">
        <f t="shared" si="8"/>
        <v>539997.84</v>
      </c>
      <c r="K10" s="35">
        <f t="shared" si="9"/>
        <v>2793322.16</v>
      </c>
      <c r="L10" s="35">
        <f t="shared" si="10"/>
        <v>1506660.6400000001</v>
      </c>
      <c r="M10" s="35">
        <f t="shared" si="11"/>
        <v>5586644.3200000003</v>
      </c>
      <c r="N10" s="36">
        <f t="shared" si="12"/>
        <v>0.34320000000000001</v>
      </c>
      <c r="O10" s="35">
        <f t="shared" si="13"/>
        <v>517085.93164800003</v>
      </c>
      <c r="P10" s="35">
        <f t="shared" si="14"/>
        <v>958668.16531200008</v>
      </c>
      <c r="Q10" s="35">
        <f t="shared" si="15"/>
        <v>0</v>
      </c>
      <c r="R10" s="35">
        <f t="shared" si="16"/>
        <v>6834653.9946879996</v>
      </c>
      <c r="S10" s="33">
        <f t="shared" si="17"/>
        <v>82</v>
      </c>
    </row>
    <row r="11" spans="1:19" x14ac:dyDescent="0.3">
      <c r="A11" s="33">
        <f>7</f>
        <v>7</v>
      </c>
      <c r="B11" s="34">
        <f t="shared" si="0"/>
        <v>46569</v>
      </c>
      <c r="C11" s="33">
        <f t="shared" si="1"/>
        <v>1</v>
      </c>
      <c r="D11" s="33">
        <f t="shared" si="2"/>
        <v>7</v>
      </c>
      <c r="E11" s="35">
        <f t="shared" si="3"/>
        <v>83333</v>
      </c>
      <c r="F11" s="35">
        <f t="shared" si="4"/>
        <v>6834653.9946879996</v>
      </c>
      <c r="G11" s="33">
        <f t="shared" si="5"/>
        <v>82</v>
      </c>
      <c r="H11" s="35">
        <f t="shared" si="6"/>
        <v>6833306</v>
      </c>
      <c r="I11" s="35">
        <f t="shared" si="7"/>
        <v>1347.9946879995987</v>
      </c>
      <c r="J11" s="35">
        <f t="shared" si="8"/>
        <v>546664.48</v>
      </c>
      <c r="K11" s="35">
        <f t="shared" si="9"/>
        <v>3339986.64</v>
      </c>
      <c r="L11" s="35">
        <f t="shared" si="10"/>
        <v>0</v>
      </c>
      <c r="M11" s="35">
        <f t="shared" si="11"/>
        <v>5725691.3828571429</v>
      </c>
      <c r="N11" s="36">
        <f t="shared" si="12"/>
        <v>0.34320000000000001</v>
      </c>
      <c r="O11" s="35">
        <f t="shared" si="13"/>
        <v>0</v>
      </c>
      <c r="P11" s="35">
        <f t="shared" si="14"/>
        <v>958668.16531200008</v>
      </c>
      <c r="Q11" s="35">
        <f t="shared" si="15"/>
        <v>0</v>
      </c>
      <c r="R11" s="35">
        <f t="shared" si="16"/>
        <v>7381318.4746879991</v>
      </c>
      <c r="S11" s="33">
        <f t="shared" si="17"/>
        <v>88</v>
      </c>
    </row>
    <row r="12" spans="1:19" x14ac:dyDescent="0.3">
      <c r="A12" s="33">
        <f>8</f>
        <v>8</v>
      </c>
      <c r="B12" s="34">
        <f t="shared" si="0"/>
        <v>46600</v>
      </c>
      <c r="C12" s="33">
        <f t="shared" si="1"/>
        <v>1</v>
      </c>
      <c r="D12" s="33">
        <f t="shared" si="2"/>
        <v>8</v>
      </c>
      <c r="E12" s="35">
        <f t="shared" si="3"/>
        <v>83333</v>
      </c>
      <c r="F12" s="35">
        <f t="shared" si="4"/>
        <v>7381318.4746879991</v>
      </c>
      <c r="G12" s="33">
        <f t="shared" si="5"/>
        <v>88</v>
      </c>
      <c r="H12" s="35">
        <f t="shared" si="6"/>
        <v>7333304</v>
      </c>
      <c r="I12" s="35">
        <f t="shared" si="7"/>
        <v>48014.474687999114</v>
      </c>
      <c r="J12" s="35">
        <f t="shared" si="8"/>
        <v>586664.32000000007</v>
      </c>
      <c r="K12" s="35">
        <f t="shared" si="9"/>
        <v>3926650.96</v>
      </c>
      <c r="L12" s="35">
        <f t="shared" si="10"/>
        <v>0</v>
      </c>
      <c r="M12" s="35">
        <f t="shared" si="11"/>
        <v>5889976.4399999995</v>
      </c>
      <c r="N12" s="36">
        <f t="shared" si="12"/>
        <v>0.34320000000000001</v>
      </c>
      <c r="O12" s="35">
        <f t="shared" si="13"/>
        <v>0</v>
      </c>
      <c r="P12" s="35">
        <f t="shared" si="14"/>
        <v>958668.16531200008</v>
      </c>
      <c r="Q12" s="35">
        <f t="shared" si="15"/>
        <v>0</v>
      </c>
      <c r="R12" s="35">
        <f t="shared" si="16"/>
        <v>7967982.7946879994</v>
      </c>
      <c r="S12" s="33">
        <f t="shared" si="17"/>
        <v>95</v>
      </c>
    </row>
    <row r="13" spans="1:19" x14ac:dyDescent="0.3">
      <c r="A13" s="33">
        <f>9</f>
        <v>9</v>
      </c>
      <c r="B13" s="34">
        <f t="shared" si="0"/>
        <v>46631</v>
      </c>
      <c r="C13" s="33">
        <f t="shared" si="1"/>
        <v>1</v>
      </c>
      <c r="D13" s="33">
        <f t="shared" si="2"/>
        <v>9</v>
      </c>
      <c r="E13" s="35">
        <f t="shared" si="3"/>
        <v>83333</v>
      </c>
      <c r="F13" s="35">
        <f t="shared" si="4"/>
        <v>7967982.7946879994</v>
      </c>
      <c r="G13" s="33">
        <f t="shared" si="5"/>
        <v>95</v>
      </c>
      <c r="H13" s="35">
        <f t="shared" si="6"/>
        <v>7916635</v>
      </c>
      <c r="I13" s="35">
        <f t="shared" si="7"/>
        <v>51347.794687999412</v>
      </c>
      <c r="J13" s="35">
        <f t="shared" si="8"/>
        <v>633330.80000000005</v>
      </c>
      <c r="K13" s="35">
        <f t="shared" si="9"/>
        <v>4559981.76</v>
      </c>
      <c r="L13" s="35">
        <f t="shared" si="10"/>
        <v>1766659.6</v>
      </c>
      <c r="M13" s="35">
        <f t="shared" si="11"/>
        <v>6079975.6799999997</v>
      </c>
      <c r="N13" s="36">
        <f t="shared" si="12"/>
        <v>0.34320000000000001</v>
      </c>
      <c r="O13" s="35">
        <f t="shared" si="13"/>
        <v>606317.57472000003</v>
      </c>
      <c r="P13" s="35">
        <f t="shared" si="14"/>
        <v>1564985.740032</v>
      </c>
      <c r="Q13" s="35">
        <f t="shared" si="15"/>
        <v>0</v>
      </c>
      <c r="R13" s="35">
        <f t="shared" si="16"/>
        <v>7994996.0199680002</v>
      </c>
      <c r="S13" s="33">
        <f t="shared" si="17"/>
        <v>95</v>
      </c>
    </row>
    <row r="14" spans="1:19" x14ac:dyDescent="0.3">
      <c r="A14" s="33">
        <f>10</f>
        <v>10</v>
      </c>
      <c r="B14" s="34">
        <f t="shared" si="0"/>
        <v>46661</v>
      </c>
      <c r="C14" s="33">
        <f t="shared" si="1"/>
        <v>1</v>
      </c>
      <c r="D14" s="33">
        <f t="shared" si="2"/>
        <v>10</v>
      </c>
      <c r="E14" s="35">
        <f t="shared" si="3"/>
        <v>83333</v>
      </c>
      <c r="F14" s="35">
        <f t="shared" si="4"/>
        <v>7994996.0199680002</v>
      </c>
      <c r="G14" s="33">
        <f t="shared" si="5"/>
        <v>95</v>
      </c>
      <c r="H14" s="35">
        <f t="shared" si="6"/>
        <v>7916635</v>
      </c>
      <c r="I14" s="35">
        <f t="shared" si="7"/>
        <v>78361.019968000241</v>
      </c>
      <c r="J14" s="35">
        <f t="shared" si="8"/>
        <v>633330.80000000005</v>
      </c>
      <c r="K14" s="35">
        <f t="shared" si="9"/>
        <v>5193312.5599999996</v>
      </c>
      <c r="L14" s="35">
        <f t="shared" si="10"/>
        <v>0</v>
      </c>
      <c r="M14" s="35">
        <f t="shared" si="11"/>
        <v>6231975.0719999997</v>
      </c>
      <c r="N14" s="36">
        <f t="shared" si="12"/>
        <v>0.34320000000000001</v>
      </c>
      <c r="O14" s="35">
        <f t="shared" si="13"/>
        <v>0</v>
      </c>
      <c r="P14" s="35">
        <f t="shared" si="14"/>
        <v>1564985.740032</v>
      </c>
      <c r="Q14" s="35">
        <f t="shared" si="15"/>
        <v>0</v>
      </c>
      <c r="R14" s="35">
        <f t="shared" si="16"/>
        <v>8628326.8199680001</v>
      </c>
      <c r="S14" s="33">
        <f t="shared" si="17"/>
        <v>103</v>
      </c>
    </row>
    <row r="15" spans="1:19" x14ac:dyDescent="0.3">
      <c r="A15" s="33">
        <f>11</f>
        <v>11</v>
      </c>
      <c r="B15" s="34">
        <f t="shared" si="0"/>
        <v>46692</v>
      </c>
      <c r="C15" s="33">
        <f t="shared" si="1"/>
        <v>1</v>
      </c>
      <c r="D15" s="33">
        <f t="shared" si="2"/>
        <v>11</v>
      </c>
      <c r="E15" s="35">
        <f t="shared" si="3"/>
        <v>83333</v>
      </c>
      <c r="F15" s="35">
        <f t="shared" si="4"/>
        <v>8628326.8199680001</v>
      </c>
      <c r="G15" s="33">
        <f t="shared" si="5"/>
        <v>103</v>
      </c>
      <c r="H15" s="35">
        <f t="shared" si="6"/>
        <v>8583299</v>
      </c>
      <c r="I15" s="35">
        <f t="shared" si="7"/>
        <v>45027.819968000054</v>
      </c>
      <c r="J15" s="35">
        <f t="shared" si="8"/>
        <v>686663.92</v>
      </c>
      <c r="K15" s="35">
        <f t="shared" si="9"/>
        <v>5879976.4799999995</v>
      </c>
      <c r="L15" s="35">
        <f t="shared" si="10"/>
        <v>0</v>
      </c>
      <c r="M15" s="35">
        <f t="shared" si="11"/>
        <v>6414519.7963636359</v>
      </c>
      <c r="N15" s="36">
        <f t="shared" si="12"/>
        <v>0.34320000000000001</v>
      </c>
      <c r="O15" s="35">
        <f t="shared" si="13"/>
        <v>0</v>
      </c>
      <c r="P15" s="35">
        <f t="shared" si="14"/>
        <v>1564985.740032</v>
      </c>
      <c r="Q15" s="35">
        <f t="shared" si="15"/>
        <v>0</v>
      </c>
      <c r="R15" s="35">
        <f t="shared" si="16"/>
        <v>9314990.739968</v>
      </c>
      <c r="S15" s="33">
        <f t="shared" si="17"/>
        <v>111</v>
      </c>
    </row>
    <row r="16" spans="1:19" x14ac:dyDescent="0.3">
      <c r="A16" s="37">
        <f>12</f>
        <v>12</v>
      </c>
      <c r="B16" s="38">
        <f t="shared" si="0"/>
        <v>46722</v>
      </c>
      <c r="C16" s="37">
        <f t="shared" si="1"/>
        <v>1</v>
      </c>
      <c r="D16" s="37">
        <f t="shared" si="2"/>
        <v>12</v>
      </c>
      <c r="E16" s="39">
        <f t="shared" si="3"/>
        <v>83333</v>
      </c>
      <c r="F16" s="39">
        <f t="shared" si="4"/>
        <v>9314990.739968</v>
      </c>
      <c r="G16" s="37">
        <f t="shared" si="5"/>
        <v>111</v>
      </c>
      <c r="H16" s="39">
        <f t="shared" si="6"/>
        <v>9249963</v>
      </c>
      <c r="I16" s="39">
        <f t="shared" si="7"/>
        <v>65027.73996799998</v>
      </c>
      <c r="J16" s="39">
        <f t="shared" si="8"/>
        <v>739997.04</v>
      </c>
      <c r="K16" s="39">
        <f t="shared" si="9"/>
        <v>6619973.5199999996</v>
      </c>
      <c r="L16" s="39">
        <f t="shared" si="10"/>
        <v>2059991.7600000002</v>
      </c>
      <c r="M16" s="39">
        <f t="shared" si="11"/>
        <v>6619973.5199999996</v>
      </c>
      <c r="N16" s="40">
        <f t="shared" si="12"/>
        <v>0.34320000000000001</v>
      </c>
      <c r="O16" s="39">
        <f t="shared" si="13"/>
        <v>706989.17203200015</v>
      </c>
      <c r="P16" s="39">
        <f t="shared" si="14"/>
        <v>2271974.912064</v>
      </c>
      <c r="Q16" s="39">
        <f t="shared" si="15"/>
        <v>434799.86079359998</v>
      </c>
      <c r="R16" s="39">
        <f t="shared" si="16"/>
        <v>8913198.7471424006</v>
      </c>
      <c r="S16" s="37">
        <f t="shared" si="17"/>
        <v>106</v>
      </c>
    </row>
    <row r="17" spans="1:19" x14ac:dyDescent="0.3">
      <c r="A17" s="33">
        <f>13</f>
        <v>13</v>
      </c>
      <c r="B17" s="34">
        <f t="shared" si="0"/>
        <v>46753</v>
      </c>
      <c r="C17" s="33">
        <f t="shared" si="1"/>
        <v>2</v>
      </c>
      <c r="D17" s="33">
        <f t="shared" si="2"/>
        <v>1</v>
      </c>
      <c r="E17" s="35">
        <f t="shared" si="3"/>
        <v>87499.650000000009</v>
      </c>
      <c r="F17" s="35">
        <f t="shared" si="4"/>
        <v>8913198.7471424006</v>
      </c>
      <c r="G17" s="33">
        <f t="shared" si="5"/>
        <v>101</v>
      </c>
      <c r="H17" s="35">
        <f t="shared" si="6"/>
        <v>8837464.6500000004</v>
      </c>
      <c r="I17" s="35">
        <f t="shared" si="7"/>
        <v>75734.09714240022</v>
      </c>
      <c r="J17" s="35">
        <f t="shared" si="8"/>
        <v>706997.17200000002</v>
      </c>
      <c r="K17" s="35">
        <f t="shared" si="9"/>
        <v>706997.17200000002</v>
      </c>
      <c r="L17" s="35">
        <f t="shared" si="10"/>
        <v>0</v>
      </c>
      <c r="M17" s="35">
        <f t="shared" si="11"/>
        <v>8483966.0639999993</v>
      </c>
      <c r="N17" s="36">
        <f t="shared" si="12"/>
        <v>0.34320000000000001</v>
      </c>
      <c r="O17" s="35">
        <f t="shared" si="13"/>
        <v>0</v>
      </c>
      <c r="P17" s="35">
        <f t="shared" si="14"/>
        <v>0</v>
      </c>
      <c r="Q17" s="35">
        <f t="shared" si="15"/>
        <v>0</v>
      </c>
      <c r="R17" s="35">
        <f t="shared" si="16"/>
        <v>9620195.9191424008</v>
      </c>
      <c r="S17" s="33">
        <f t="shared" si="17"/>
        <v>109</v>
      </c>
    </row>
    <row r="18" spans="1:19" x14ac:dyDescent="0.3">
      <c r="A18" s="33">
        <f>14</f>
        <v>14</v>
      </c>
      <c r="B18" s="34">
        <f t="shared" si="0"/>
        <v>46784</v>
      </c>
      <c r="C18" s="33">
        <f t="shared" si="1"/>
        <v>2</v>
      </c>
      <c r="D18" s="33">
        <f t="shared" si="2"/>
        <v>2</v>
      </c>
      <c r="E18" s="35">
        <f t="shared" si="3"/>
        <v>87499.650000000009</v>
      </c>
      <c r="F18" s="35">
        <f t="shared" si="4"/>
        <v>9620195.9191424008</v>
      </c>
      <c r="G18" s="33">
        <f t="shared" si="5"/>
        <v>109</v>
      </c>
      <c r="H18" s="35">
        <f t="shared" si="6"/>
        <v>9537461.8500000015</v>
      </c>
      <c r="I18" s="35">
        <f t="shared" si="7"/>
        <v>82734.069142399356</v>
      </c>
      <c r="J18" s="35">
        <f t="shared" si="8"/>
        <v>762996.94800000009</v>
      </c>
      <c r="K18" s="35">
        <f t="shared" si="9"/>
        <v>1469994.12</v>
      </c>
      <c r="L18" s="35">
        <f t="shared" si="10"/>
        <v>0</v>
      </c>
      <c r="M18" s="35">
        <f t="shared" si="11"/>
        <v>8819964.7200000007</v>
      </c>
      <c r="N18" s="36">
        <f t="shared" si="12"/>
        <v>0.34320000000000001</v>
      </c>
      <c r="O18" s="35">
        <f t="shared" si="13"/>
        <v>0</v>
      </c>
      <c r="P18" s="35">
        <f t="shared" si="14"/>
        <v>0</v>
      </c>
      <c r="Q18" s="35">
        <f t="shared" si="15"/>
        <v>0</v>
      </c>
      <c r="R18" s="35">
        <f t="shared" si="16"/>
        <v>10383192.867142402</v>
      </c>
      <c r="S18" s="33">
        <f t="shared" si="17"/>
        <v>118</v>
      </c>
    </row>
    <row r="19" spans="1:19" x14ac:dyDescent="0.3">
      <c r="A19" s="33">
        <f>15</f>
        <v>15</v>
      </c>
      <c r="B19" s="34">
        <f t="shared" si="0"/>
        <v>46813</v>
      </c>
      <c r="C19" s="33">
        <f t="shared" si="1"/>
        <v>2</v>
      </c>
      <c r="D19" s="33">
        <f t="shared" si="2"/>
        <v>3</v>
      </c>
      <c r="E19" s="35">
        <f t="shared" si="3"/>
        <v>87499.650000000009</v>
      </c>
      <c r="F19" s="35">
        <f t="shared" si="4"/>
        <v>10383192.867142402</v>
      </c>
      <c r="G19" s="33">
        <f t="shared" si="5"/>
        <v>118</v>
      </c>
      <c r="H19" s="35">
        <f t="shared" si="6"/>
        <v>10324958.700000001</v>
      </c>
      <c r="I19" s="35">
        <f t="shared" si="7"/>
        <v>58234.167142400518</v>
      </c>
      <c r="J19" s="35">
        <f t="shared" si="8"/>
        <v>825996.69600000011</v>
      </c>
      <c r="K19" s="35">
        <f t="shared" si="9"/>
        <v>2295990.8160000001</v>
      </c>
      <c r="L19" s="35">
        <f t="shared" si="10"/>
        <v>2295990.8160000001</v>
      </c>
      <c r="M19" s="35">
        <f t="shared" si="11"/>
        <v>9183963.2640000004</v>
      </c>
      <c r="N19" s="36">
        <f t="shared" si="12"/>
        <v>0.34320000000000001</v>
      </c>
      <c r="O19" s="35">
        <f t="shared" si="13"/>
        <v>787984.04805119999</v>
      </c>
      <c r="P19" s="35">
        <f t="shared" si="14"/>
        <v>787984.04805119999</v>
      </c>
      <c r="Q19" s="35">
        <f t="shared" si="15"/>
        <v>0</v>
      </c>
      <c r="R19" s="35">
        <f t="shared" si="16"/>
        <v>10421205.515091201</v>
      </c>
      <c r="S19" s="33">
        <f t="shared" si="17"/>
        <v>119</v>
      </c>
    </row>
    <row r="20" spans="1:19" x14ac:dyDescent="0.3">
      <c r="A20" s="33">
        <f>16</f>
        <v>16</v>
      </c>
      <c r="B20" s="34">
        <f t="shared" si="0"/>
        <v>46844</v>
      </c>
      <c r="C20" s="33">
        <f t="shared" si="1"/>
        <v>2</v>
      </c>
      <c r="D20" s="33">
        <f t="shared" si="2"/>
        <v>4</v>
      </c>
      <c r="E20" s="35">
        <f t="shared" si="3"/>
        <v>87499.650000000009</v>
      </c>
      <c r="F20" s="35">
        <f t="shared" si="4"/>
        <v>10421205.515091201</v>
      </c>
      <c r="G20" s="33">
        <f t="shared" si="5"/>
        <v>119</v>
      </c>
      <c r="H20" s="35">
        <f t="shared" si="6"/>
        <v>10412458.350000001</v>
      </c>
      <c r="I20" s="35">
        <f t="shared" si="7"/>
        <v>8747.1650911998004</v>
      </c>
      <c r="J20" s="35">
        <f t="shared" si="8"/>
        <v>832996.66800000018</v>
      </c>
      <c r="K20" s="35">
        <f t="shared" si="9"/>
        <v>3128987.4840000002</v>
      </c>
      <c r="L20" s="35">
        <f t="shared" si="10"/>
        <v>0</v>
      </c>
      <c r="M20" s="35">
        <f t="shared" si="11"/>
        <v>9386962.4519999996</v>
      </c>
      <c r="N20" s="36">
        <f t="shared" si="12"/>
        <v>0.34320000000000001</v>
      </c>
      <c r="O20" s="35">
        <f t="shared" si="13"/>
        <v>0</v>
      </c>
      <c r="P20" s="35">
        <f t="shared" si="14"/>
        <v>787984.04805119999</v>
      </c>
      <c r="Q20" s="35">
        <f t="shared" si="15"/>
        <v>0</v>
      </c>
      <c r="R20" s="35">
        <f t="shared" si="16"/>
        <v>11254202.183091201</v>
      </c>
      <c r="S20" s="33">
        <f t="shared" si="17"/>
        <v>128</v>
      </c>
    </row>
    <row r="21" spans="1:19" x14ac:dyDescent="0.3">
      <c r="A21" s="33">
        <f>17</f>
        <v>17</v>
      </c>
      <c r="B21" s="34">
        <f t="shared" si="0"/>
        <v>46874</v>
      </c>
      <c r="C21" s="33">
        <f t="shared" si="1"/>
        <v>2</v>
      </c>
      <c r="D21" s="33">
        <f t="shared" si="2"/>
        <v>5</v>
      </c>
      <c r="E21" s="35">
        <f t="shared" si="3"/>
        <v>87499.650000000009</v>
      </c>
      <c r="F21" s="35">
        <f t="shared" si="4"/>
        <v>11254202.183091201</v>
      </c>
      <c r="G21" s="33">
        <f t="shared" si="5"/>
        <v>128</v>
      </c>
      <c r="H21" s="35">
        <f t="shared" si="6"/>
        <v>11199955.200000001</v>
      </c>
      <c r="I21" s="35">
        <f t="shared" si="7"/>
        <v>54246.983091199771</v>
      </c>
      <c r="J21" s="35">
        <f t="shared" si="8"/>
        <v>895996.41600000008</v>
      </c>
      <c r="K21" s="35">
        <f t="shared" si="9"/>
        <v>4024983.9000000004</v>
      </c>
      <c r="L21" s="35">
        <f t="shared" si="10"/>
        <v>0</v>
      </c>
      <c r="M21" s="35">
        <f t="shared" si="11"/>
        <v>9659961.3600000013</v>
      </c>
      <c r="N21" s="36">
        <f t="shared" si="12"/>
        <v>0.34320000000000001</v>
      </c>
      <c r="O21" s="35">
        <f t="shared" si="13"/>
        <v>0</v>
      </c>
      <c r="P21" s="35">
        <f t="shared" si="14"/>
        <v>787984.04805119999</v>
      </c>
      <c r="Q21" s="35">
        <f t="shared" si="15"/>
        <v>0</v>
      </c>
      <c r="R21" s="35">
        <f t="shared" si="16"/>
        <v>12150198.5990912</v>
      </c>
      <c r="S21" s="33">
        <f t="shared" si="17"/>
        <v>138</v>
      </c>
    </row>
    <row r="22" spans="1:19" x14ac:dyDescent="0.3">
      <c r="A22" s="33">
        <f>18</f>
        <v>18</v>
      </c>
      <c r="B22" s="34">
        <f t="shared" si="0"/>
        <v>46905</v>
      </c>
      <c r="C22" s="33">
        <f t="shared" si="1"/>
        <v>2</v>
      </c>
      <c r="D22" s="33">
        <f t="shared" si="2"/>
        <v>6</v>
      </c>
      <c r="E22" s="35">
        <f t="shared" si="3"/>
        <v>87499.650000000009</v>
      </c>
      <c r="F22" s="35">
        <f t="shared" si="4"/>
        <v>12150198.5990912</v>
      </c>
      <c r="G22" s="33">
        <f t="shared" si="5"/>
        <v>138</v>
      </c>
      <c r="H22" s="35">
        <f t="shared" si="6"/>
        <v>12074951.700000001</v>
      </c>
      <c r="I22" s="35">
        <f t="shared" si="7"/>
        <v>75246.89909119904</v>
      </c>
      <c r="J22" s="35">
        <f t="shared" si="8"/>
        <v>965996.13600000006</v>
      </c>
      <c r="K22" s="35">
        <f t="shared" si="9"/>
        <v>4990980.0360000003</v>
      </c>
      <c r="L22" s="35">
        <f t="shared" si="10"/>
        <v>2694989.22</v>
      </c>
      <c r="M22" s="35">
        <f t="shared" si="11"/>
        <v>9981960.0720000006</v>
      </c>
      <c r="N22" s="36">
        <f t="shared" si="12"/>
        <v>0.34320000000000001</v>
      </c>
      <c r="O22" s="35">
        <f t="shared" si="13"/>
        <v>924920.30030400003</v>
      </c>
      <c r="P22" s="35">
        <f t="shared" si="14"/>
        <v>1712904.3483552001</v>
      </c>
      <c r="Q22" s="35">
        <f t="shared" si="15"/>
        <v>0</v>
      </c>
      <c r="R22" s="35">
        <f t="shared" si="16"/>
        <v>12191274.434787201</v>
      </c>
      <c r="S22" s="33">
        <f t="shared" si="17"/>
        <v>139</v>
      </c>
    </row>
    <row r="23" spans="1:19" x14ac:dyDescent="0.3">
      <c r="A23" s="33">
        <f>19</f>
        <v>19</v>
      </c>
      <c r="B23" s="34">
        <f t="shared" si="0"/>
        <v>46935</v>
      </c>
      <c r="C23" s="33">
        <f t="shared" si="1"/>
        <v>2</v>
      </c>
      <c r="D23" s="33">
        <f t="shared" si="2"/>
        <v>7</v>
      </c>
      <c r="E23" s="35">
        <f t="shared" si="3"/>
        <v>87499.650000000009</v>
      </c>
      <c r="F23" s="35">
        <f t="shared" si="4"/>
        <v>12191274.434787201</v>
      </c>
      <c r="G23" s="33">
        <f t="shared" si="5"/>
        <v>139</v>
      </c>
      <c r="H23" s="35">
        <f t="shared" si="6"/>
        <v>12162451.350000001</v>
      </c>
      <c r="I23" s="35">
        <f t="shared" si="7"/>
        <v>28823.084787199274</v>
      </c>
      <c r="J23" s="35">
        <f t="shared" si="8"/>
        <v>972996.10800000012</v>
      </c>
      <c r="K23" s="35">
        <f t="shared" si="9"/>
        <v>5963976.1440000003</v>
      </c>
      <c r="L23" s="35">
        <f t="shared" si="10"/>
        <v>0</v>
      </c>
      <c r="M23" s="35">
        <f t="shared" si="11"/>
        <v>10223959.104</v>
      </c>
      <c r="N23" s="36">
        <f t="shared" si="12"/>
        <v>0.35880000000000001</v>
      </c>
      <c r="O23" s="35">
        <f t="shared" si="13"/>
        <v>0</v>
      </c>
      <c r="P23" s="35">
        <f t="shared" si="14"/>
        <v>1712904.3483552001</v>
      </c>
      <c r="Q23" s="35">
        <f t="shared" si="15"/>
        <v>0</v>
      </c>
      <c r="R23" s="35">
        <f t="shared" si="16"/>
        <v>13164270.542787202</v>
      </c>
      <c r="S23" s="33">
        <f t="shared" si="17"/>
        <v>150</v>
      </c>
    </row>
    <row r="24" spans="1:19" x14ac:dyDescent="0.3">
      <c r="A24" s="33">
        <f>20</f>
        <v>20</v>
      </c>
      <c r="B24" s="34">
        <f t="shared" si="0"/>
        <v>46966</v>
      </c>
      <c r="C24" s="33">
        <f t="shared" si="1"/>
        <v>2</v>
      </c>
      <c r="D24" s="33">
        <f t="shared" si="2"/>
        <v>8</v>
      </c>
      <c r="E24" s="35">
        <f t="shared" si="3"/>
        <v>87499.650000000009</v>
      </c>
      <c r="F24" s="35">
        <f t="shared" si="4"/>
        <v>13164270.542787202</v>
      </c>
      <c r="G24" s="33">
        <f t="shared" si="5"/>
        <v>150</v>
      </c>
      <c r="H24" s="35">
        <f t="shared" si="6"/>
        <v>13124947.500000002</v>
      </c>
      <c r="I24" s="35">
        <f t="shared" si="7"/>
        <v>39323.04278719984</v>
      </c>
      <c r="J24" s="35">
        <f t="shared" si="8"/>
        <v>1049995.8000000003</v>
      </c>
      <c r="K24" s="35">
        <f t="shared" si="9"/>
        <v>7013971.9440000001</v>
      </c>
      <c r="L24" s="35">
        <f t="shared" si="10"/>
        <v>0</v>
      </c>
      <c r="M24" s="35">
        <f t="shared" si="11"/>
        <v>10520957.916000001</v>
      </c>
      <c r="N24" s="36">
        <f t="shared" si="12"/>
        <v>0.35880000000000001</v>
      </c>
      <c r="O24" s="35">
        <f t="shared" si="13"/>
        <v>0</v>
      </c>
      <c r="P24" s="35">
        <f t="shared" si="14"/>
        <v>1712904.3483552001</v>
      </c>
      <c r="Q24" s="35">
        <f t="shared" si="15"/>
        <v>0</v>
      </c>
      <c r="R24" s="35">
        <f t="shared" si="16"/>
        <v>14214266.342787202</v>
      </c>
      <c r="S24" s="33">
        <f t="shared" si="17"/>
        <v>162</v>
      </c>
    </row>
    <row r="25" spans="1:19" x14ac:dyDescent="0.3">
      <c r="A25" s="33">
        <f>21</f>
        <v>21</v>
      </c>
      <c r="B25" s="34">
        <f t="shared" si="0"/>
        <v>46997</v>
      </c>
      <c r="C25" s="33">
        <f t="shared" si="1"/>
        <v>2</v>
      </c>
      <c r="D25" s="33">
        <f t="shared" si="2"/>
        <v>9</v>
      </c>
      <c r="E25" s="35">
        <f t="shared" si="3"/>
        <v>87499.650000000009</v>
      </c>
      <c r="F25" s="35">
        <f t="shared" si="4"/>
        <v>14214266.342787202</v>
      </c>
      <c r="G25" s="33">
        <f t="shared" si="5"/>
        <v>162</v>
      </c>
      <c r="H25" s="35">
        <f t="shared" si="6"/>
        <v>14174943.300000001</v>
      </c>
      <c r="I25" s="35">
        <f t="shared" si="7"/>
        <v>39323.042787201703</v>
      </c>
      <c r="J25" s="35">
        <f t="shared" si="8"/>
        <v>1133995.4640000002</v>
      </c>
      <c r="K25" s="35">
        <f t="shared" si="9"/>
        <v>8147967.4079999998</v>
      </c>
      <c r="L25" s="35">
        <f t="shared" si="10"/>
        <v>3156987.3720000004</v>
      </c>
      <c r="M25" s="35">
        <f t="shared" si="11"/>
        <v>10863956.544</v>
      </c>
      <c r="N25" s="36">
        <f t="shared" si="12"/>
        <v>0.35880000000000001</v>
      </c>
      <c r="O25" s="35">
        <f t="shared" si="13"/>
        <v>1132727.0690736002</v>
      </c>
      <c r="P25" s="35">
        <f t="shared" si="14"/>
        <v>2845631.4174288004</v>
      </c>
      <c r="Q25" s="35">
        <f t="shared" si="15"/>
        <v>0</v>
      </c>
      <c r="R25" s="35">
        <f t="shared" si="16"/>
        <v>14215534.737713601</v>
      </c>
      <c r="S25" s="33">
        <f t="shared" si="17"/>
        <v>162</v>
      </c>
    </row>
    <row r="26" spans="1:19" x14ac:dyDescent="0.3">
      <c r="A26" s="33">
        <f>22</f>
        <v>22</v>
      </c>
      <c r="B26" s="34">
        <f t="shared" si="0"/>
        <v>47027</v>
      </c>
      <c r="C26" s="33">
        <f t="shared" si="1"/>
        <v>2</v>
      </c>
      <c r="D26" s="33">
        <f t="shared" si="2"/>
        <v>10</v>
      </c>
      <c r="E26" s="35">
        <f t="shared" si="3"/>
        <v>87499.650000000009</v>
      </c>
      <c r="F26" s="35">
        <f t="shared" si="4"/>
        <v>14215534.737713601</v>
      </c>
      <c r="G26" s="33">
        <f t="shared" si="5"/>
        <v>162</v>
      </c>
      <c r="H26" s="35">
        <f t="shared" si="6"/>
        <v>14174943.300000001</v>
      </c>
      <c r="I26" s="35">
        <f t="shared" si="7"/>
        <v>40591.437713600695</v>
      </c>
      <c r="J26" s="35">
        <f t="shared" si="8"/>
        <v>1133995.4640000002</v>
      </c>
      <c r="K26" s="35">
        <f t="shared" si="9"/>
        <v>9281962.8719999995</v>
      </c>
      <c r="L26" s="35">
        <f t="shared" si="10"/>
        <v>0</v>
      </c>
      <c r="M26" s="35">
        <f t="shared" si="11"/>
        <v>11138355.446399998</v>
      </c>
      <c r="N26" s="36">
        <f t="shared" si="12"/>
        <v>0.35880000000000001</v>
      </c>
      <c r="O26" s="35">
        <f t="shared" si="13"/>
        <v>0</v>
      </c>
      <c r="P26" s="35">
        <f t="shared" si="14"/>
        <v>2845631.4174288004</v>
      </c>
      <c r="Q26" s="35">
        <f t="shared" si="15"/>
        <v>0</v>
      </c>
      <c r="R26" s="35">
        <f t="shared" si="16"/>
        <v>15349530.201713601</v>
      </c>
      <c r="S26" s="33">
        <f t="shared" si="17"/>
        <v>175</v>
      </c>
    </row>
    <row r="27" spans="1:19" x14ac:dyDescent="0.3">
      <c r="A27" s="33">
        <f>23</f>
        <v>23</v>
      </c>
      <c r="B27" s="34">
        <f t="shared" si="0"/>
        <v>47058</v>
      </c>
      <c r="C27" s="33">
        <f t="shared" si="1"/>
        <v>2</v>
      </c>
      <c r="D27" s="33">
        <f t="shared" si="2"/>
        <v>11</v>
      </c>
      <c r="E27" s="35">
        <f t="shared" si="3"/>
        <v>87499.650000000009</v>
      </c>
      <c r="F27" s="35">
        <f t="shared" si="4"/>
        <v>15349530.201713601</v>
      </c>
      <c r="G27" s="33">
        <f t="shared" si="5"/>
        <v>175</v>
      </c>
      <c r="H27" s="35">
        <f t="shared" si="6"/>
        <v>15312438.750000002</v>
      </c>
      <c r="I27" s="35">
        <f t="shared" si="7"/>
        <v>37091.451713599265</v>
      </c>
      <c r="J27" s="35">
        <f t="shared" si="8"/>
        <v>1224995.1000000001</v>
      </c>
      <c r="K27" s="35">
        <f t="shared" si="9"/>
        <v>10506957.971999999</v>
      </c>
      <c r="L27" s="35">
        <f t="shared" si="10"/>
        <v>0</v>
      </c>
      <c r="M27" s="35">
        <f t="shared" si="11"/>
        <v>11462135.969454544</v>
      </c>
      <c r="N27" s="36">
        <f t="shared" si="12"/>
        <v>0.35880000000000001</v>
      </c>
      <c r="O27" s="35">
        <f t="shared" si="13"/>
        <v>0</v>
      </c>
      <c r="P27" s="35">
        <f t="shared" si="14"/>
        <v>2845631.4174288004</v>
      </c>
      <c r="Q27" s="35">
        <f t="shared" si="15"/>
        <v>0</v>
      </c>
      <c r="R27" s="35">
        <f t="shared" si="16"/>
        <v>16574525.301713601</v>
      </c>
      <c r="S27" s="33">
        <f t="shared" si="17"/>
        <v>189</v>
      </c>
    </row>
    <row r="28" spans="1:19" x14ac:dyDescent="0.3">
      <c r="A28" s="37">
        <f>24</f>
        <v>24</v>
      </c>
      <c r="B28" s="38">
        <f t="shared" si="0"/>
        <v>47088</v>
      </c>
      <c r="C28" s="37">
        <f t="shared" si="1"/>
        <v>2</v>
      </c>
      <c r="D28" s="37">
        <f t="shared" si="2"/>
        <v>12</v>
      </c>
      <c r="E28" s="39">
        <f t="shared" si="3"/>
        <v>87499.650000000009</v>
      </c>
      <c r="F28" s="39">
        <f t="shared" si="4"/>
        <v>16574525.301713601</v>
      </c>
      <c r="G28" s="37">
        <f t="shared" si="5"/>
        <v>189</v>
      </c>
      <c r="H28" s="39">
        <f t="shared" si="6"/>
        <v>16537433.850000001</v>
      </c>
      <c r="I28" s="39">
        <f t="shared" si="7"/>
        <v>37091.451713599265</v>
      </c>
      <c r="J28" s="39">
        <f t="shared" si="8"/>
        <v>1322994.7080000001</v>
      </c>
      <c r="K28" s="39">
        <f t="shared" si="9"/>
        <v>11829952.68</v>
      </c>
      <c r="L28" s="39">
        <f t="shared" si="10"/>
        <v>3681985.2720000003</v>
      </c>
      <c r="M28" s="39">
        <f t="shared" si="11"/>
        <v>11829952.68</v>
      </c>
      <c r="N28" s="40">
        <f t="shared" si="12"/>
        <v>0.35880000000000001</v>
      </c>
      <c r="O28" s="39">
        <f t="shared" si="13"/>
        <v>1321096.3155936</v>
      </c>
      <c r="P28" s="39">
        <f t="shared" si="14"/>
        <v>4166727.7330224002</v>
      </c>
      <c r="Q28" s="39">
        <f t="shared" si="15"/>
        <v>766322.49469775998</v>
      </c>
      <c r="R28" s="39">
        <f t="shared" si="16"/>
        <v>15810101.19942224</v>
      </c>
      <c r="S28" s="37">
        <f t="shared" si="17"/>
        <v>180</v>
      </c>
    </row>
    <row r="29" spans="1:19" x14ac:dyDescent="0.3">
      <c r="A29" s="33">
        <f>25</f>
        <v>25</v>
      </c>
      <c r="B29" s="34">
        <f t="shared" si="0"/>
        <v>47119</v>
      </c>
      <c r="C29" s="33">
        <f t="shared" si="1"/>
        <v>3</v>
      </c>
      <c r="D29" s="33">
        <f t="shared" si="2"/>
        <v>1</v>
      </c>
      <c r="E29" s="35">
        <f t="shared" si="3"/>
        <v>91874.632500000007</v>
      </c>
      <c r="F29" s="35">
        <f t="shared" si="4"/>
        <v>15810101.19942224</v>
      </c>
      <c r="G29" s="33">
        <f t="shared" si="5"/>
        <v>172</v>
      </c>
      <c r="H29" s="35">
        <f t="shared" si="6"/>
        <v>15802436.790000001</v>
      </c>
      <c r="I29" s="35">
        <f t="shared" si="7"/>
        <v>7664.4094222392887</v>
      </c>
      <c r="J29" s="35">
        <f t="shared" si="8"/>
        <v>1264194.9432000001</v>
      </c>
      <c r="K29" s="35">
        <f t="shared" si="9"/>
        <v>1264194.9432000001</v>
      </c>
      <c r="L29" s="35">
        <f t="shared" si="10"/>
        <v>0</v>
      </c>
      <c r="M29" s="35">
        <f t="shared" si="11"/>
        <v>15170339.318400001</v>
      </c>
      <c r="N29" s="36">
        <f t="shared" si="12"/>
        <v>0.35880000000000001</v>
      </c>
      <c r="O29" s="35">
        <f t="shared" si="13"/>
        <v>0</v>
      </c>
      <c r="P29" s="35">
        <f t="shared" si="14"/>
        <v>0</v>
      </c>
      <c r="Q29" s="35">
        <f t="shared" si="15"/>
        <v>0</v>
      </c>
      <c r="R29" s="35">
        <f t="shared" si="16"/>
        <v>17074296.14262224</v>
      </c>
      <c r="S29" s="33">
        <f t="shared" si="17"/>
        <v>185</v>
      </c>
    </row>
    <row r="30" spans="1:19" x14ac:dyDescent="0.3">
      <c r="A30" s="33">
        <f>26</f>
        <v>26</v>
      </c>
      <c r="B30" s="34">
        <f t="shared" si="0"/>
        <v>47150</v>
      </c>
      <c r="C30" s="33">
        <f t="shared" si="1"/>
        <v>3</v>
      </c>
      <c r="D30" s="33">
        <f t="shared" si="2"/>
        <v>2</v>
      </c>
      <c r="E30" s="35">
        <f t="shared" si="3"/>
        <v>91874.632500000007</v>
      </c>
      <c r="F30" s="35">
        <f t="shared" si="4"/>
        <v>17074296.14262224</v>
      </c>
      <c r="G30" s="33">
        <f t="shared" si="5"/>
        <v>185</v>
      </c>
      <c r="H30" s="35">
        <f t="shared" si="6"/>
        <v>16996807.012500003</v>
      </c>
      <c r="I30" s="35">
        <f t="shared" si="7"/>
        <v>77489.130122236907</v>
      </c>
      <c r="J30" s="35">
        <f t="shared" si="8"/>
        <v>1359744.5610000002</v>
      </c>
      <c r="K30" s="35">
        <f t="shared" si="9"/>
        <v>2623939.5042000003</v>
      </c>
      <c r="L30" s="35">
        <f t="shared" si="10"/>
        <v>0</v>
      </c>
      <c r="M30" s="35">
        <f t="shared" si="11"/>
        <v>15743637.025200002</v>
      </c>
      <c r="N30" s="36">
        <f t="shared" si="12"/>
        <v>0.35880000000000001</v>
      </c>
      <c r="O30" s="35">
        <f t="shared" si="13"/>
        <v>0</v>
      </c>
      <c r="P30" s="35">
        <f t="shared" si="14"/>
        <v>0</v>
      </c>
      <c r="Q30" s="35">
        <f t="shared" si="15"/>
        <v>0</v>
      </c>
      <c r="R30" s="35">
        <f t="shared" si="16"/>
        <v>18434040.703622241</v>
      </c>
      <c r="S30" s="33">
        <f t="shared" si="17"/>
        <v>200</v>
      </c>
    </row>
    <row r="31" spans="1:19" x14ac:dyDescent="0.3">
      <c r="A31" s="33">
        <f>27</f>
        <v>27</v>
      </c>
      <c r="B31" s="34">
        <f t="shared" si="0"/>
        <v>47178</v>
      </c>
      <c r="C31" s="33">
        <f t="shared" si="1"/>
        <v>3</v>
      </c>
      <c r="D31" s="33">
        <f t="shared" si="2"/>
        <v>3</v>
      </c>
      <c r="E31" s="35">
        <f t="shared" si="3"/>
        <v>91874.632500000007</v>
      </c>
      <c r="F31" s="35">
        <f t="shared" si="4"/>
        <v>18434040.703622241</v>
      </c>
      <c r="G31" s="33">
        <f t="shared" si="5"/>
        <v>200</v>
      </c>
      <c r="H31" s="35">
        <f t="shared" si="6"/>
        <v>18374926.5</v>
      </c>
      <c r="I31" s="35">
        <f t="shared" si="7"/>
        <v>59114.203622240573</v>
      </c>
      <c r="J31" s="35">
        <f t="shared" si="8"/>
        <v>1469994.12</v>
      </c>
      <c r="K31" s="35">
        <f t="shared" si="9"/>
        <v>4093933.6242000004</v>
      </c>
      <c r="L31" s="35">
        <f t="shared" si="10"/>
        <v>4093933.6242000004</v>
      </c>
      <c r="M31" s="35">
        <f t="shared" si="11"/>
        <v>16375734.4968</v>
      </c>
      <c r="N31" s="36">
        <f t="shared" si="12"/>
        <v>0.35880000000000001</v>
      </c>
      <c r="O31" s="35">
        <f t="shared" si="13"/>
        <v>1468903.3843629602</v>
      </c>
      <c r="P31" s="35">
        <f t="shared" si="14"/>
        <v>1468903.3843629602</v>
      </c>
      <c r="Q31" s="35">
        <f t="shared" si="15"/>
        <v>0</v>
      </c>
      <c r="R31" s="35">
        <f t="shared" si="16"/>
        <v>18435131.439259283</v>
      </c>
      <c r="S31" s="33">
        <f t="shared" si="17"/>
        <v>200</v>
      </c>
    </row>
    <row r="32" spans="1:19" x14ac:dyDescent="0.3">
      <c r="A32" s="33">
        <f>28</f>
        <v>28</v>
      </c>
      <c r="B32" s="34">
        <f t="shared" si="0"/>
        <v>47209</v>
      </c>
      <c r="C32" s="33">
        <f t="shared" si="1"/>
        <v>3</v>
      </c>
      <c r="D32" s="33">
        <f t="shared" si="2"/>
        <v>4</v>
      </c>
      <c r="E32" s="35">
        <f t="shared" si="3"/>
        <v>91874.632500000007</v>
      </c>
      <c r="F32" s="35">
        <f t="shared" si="4"/>
        <v>18435131.439259283</v>
      </c>
      <c r="G32" s="33">
        <f t="shared" si="5"/>
        <v>200</v>
      </c>
      <c r="H32" s="35">
        <f t="shared" si="6"/>
        <v>18374926.5</v>
      </c>
      <c r="I32" s="35">
        <f t="shared" si="7"/>
        <v>60204.939259283245</v>
      </c>
      <c r="J32" s="35">
        <f t="shared" si="8"/>
        <v>1469994.12</v>
      </c>
      <c r="K32" s="35">
        <f t="shared" si="9"/>
        <v>5563927.7442000005</v>
      </c>
      <c r="L32" s="35">
        <f t="shared" si="10"/>
        <v>0</v>
      </c>
      <c r="M32" s="35">
        <f t="shared" si="11"/>
        <v>16691783.232600002</v>
      </c>
      <c r="N32" s="36">
        <f t="shared" si="12"/>
        <v>0.35880000000000001</v>
      </c>
      <c r="O32" s="35">
        <f t="shared" si="13"/>
        <v>0</v>
      </c>
      <c r="P32" s="35">
        <f t="shared" si="14"/>
        <v>1468903.3843629602</v>
      </c>
      <c r="Q32" s="35">
        <f t="shared" si="15"/>
        <v>0</v>
      </c>
      <c r="R32" s="35">
        <f t="shared" si="16"/>
        <v>19905125.559259284</v>
      </c>
      <c r="S32" s="33">
        <f t="shared" si="17"/>
        <v>216</v>
      </c>
    </row>
    <row r="33" spans="1:19" x14ac:dyDescent="0.3">
      <c r="A33" s="33">
        <f>29</f>
        <v>29</v>
      </c>
      <c r="B33" s="34">
        <f t="shared" si="0"/>
        <v>47239</v>
      </c>
      <c r="C33" s="33">
        <f t="shared" si="1"/>
        <v>3</v>
      </c>
      <c r="D33" s="33">
        <f t="shared" si="2"/>
        <v>5</v>
      </c>
      <c r="E33" s="35">
        <f t="shared" si="3"/>
        <v>91874.632500000007</v>
      </c>
      <c r="F33" s="35">
        <f t="shared" si="4"/>
        <v>19905125.559259284</v>
      </c>
      <c r="G33" s="33">
        <f t="shared" si="5"/>
        <v>216</v>
      </c>
      <c r="H33" s="35">
        <f t="shared" si="6"/>
        <v>19844920.620000001</v>
      </c>
      <c r="I33" s="35">
        <f t="shared" si="7"/>
        <v>60204.939259283245</v>
      </c>
      <c r="J33" s="35">
        <f t="shared" si="8"/>
        <v>1587593.6496000001</v>
      </c>
      <c r="K33" s="35">
        <f t="shared" si="9"/>
        <v>7151521.3938000007</v>
      </c>
      <c r="L33" s="35">
        <f t="shared" si="10"/>
        <v>0</v>
      </c>
      <c r="M33" s="35">
        <f t="shared" si="11"/>
        <v>17163651.345120002</v>
      </c>
      <c r="N33" s="36">
        <f t="shared" si="12"/>
        <v>0.35880000000000001</v>
      </c>
      <c r="O33" s="35">
        <f t="shared" si="13"/>
        <v>0</v>
      </c>
      <c r="P33" s="35">
        <f t="shared" si="14"/>
        <v>1468903.3843629602</v>
      </c>
      <c r="Q33" s="35">
        <f t="shared" si="15"/>
        <v>0</v>
      </c>
      <c r="R33" s="35">
        <f t="shared" si="16"/>
        <v>21492719.208859283</v>
      </c>
      <c r="S33" s="33">
        <f t="shared" si="17"/>
        <v>233</v>
      </c>
    </row>
    <row r="34" spans="1:19" x14ac:dyDescent="0.3">
      <c r="A34" s="33">
        <f>30</f>
        <v>30</v>
      </c>
      <c r="B34" s="34">
        <f t="shared" si="0"/>
        <v>47270</v>
      </c>
      <c r="C34" s="33">
        <f t="shared" si="1"/>
        <v>3</v>
      </c>
      <c r="D34" s="33">
        <f t="shared" si="2"/>
        <v>6</v>
      </c>
      <c r="E34" s="35">
        <f t="shared" si="3"/>
        <v>91874.632500000007</v>
      </c>
      <c r="F34" s="35">
        <f t="shared" si="4"/>
        <v>21492719.208859283</v>
      </c>
      <c r="G34" s="33">
        <f t="shared" si="5"/>
        <v>233</v>
      </c>
      <c r="H34" s="35">
        <f t="shared" si="6"/>
        <v>21406789.372500002</v>
      </c>
      <c r="I34" s="35">
        <f t="shared" si="7"/>
        <v>85929.836359281093</v>
      </c>
      <c r="J34" s="35">
        <f t="shared" si="8"/>
        <v>1712543.1498000002</v>
      </c>
      <c r="K34" s="35">
        <f t="shared" si="9"/>
        <v>8864064.5436000004</v>
      </c>
      <c r="L34" s="35">
        <f t="shared" si="10"/>
        <v>4770130.9194000009</v>
      </c>
      <c r="M34" s="35">
        <f t="shared" si="11"/>
        <v>17728129.087200001</v>
      </c>
      <c r="N34" s="36">
        <f t="shared" si="12"/>
        <v>0.35880000000000001</v>
      </c>
      <c r="O34" s="35">
        <f t="shared" si="13"/>
        <v>1711522.9738807203</v>
      </c>
      <c r="P34" s="35">
        <f t="shared" si="14"/>
        <v>3180426.3582436806</v>
      </c>
      <c r="Q34" s="35">
        <f t="shared" si="15"/>
        <v>0</v>
      </c>
      <c r="R34" s="35">
        <f t="shared" si="16"/>
        <v>21493739.384778563</v>
      </c>
      <c r="S34" s="33">
        <f t="shared" si="17"/>
        <v>233</v>
      </c>
    </row>
    <row r="35" spans="1:19" x14ac:dyDescent="0.3">
      <c r="A35" s="33">
        <f>31</f>
        <v>31</v>
      </c>
      <c r="B35" s="34">
        <f t="shared" si="0"/>
        <v>47300</v>
      </c>
      <c r="C35" s="33">
        <f t="shared" si="1"/>
        <v>3</v>
      </c>
      <c r="D35" s="33">
        <f t="shared" si="2"/>
        <v>7</v>
      </c>
      <c r="E35" s="35">
        <f t="shared" si="3"/>
        <v>91874.632500000007</v>
      </c>
      <c r="F35" s="35">
        <f t="shared" si="4"/>
        <v>21493739.384778563</v>
      </c>
      <c r="G35" s="33">
        <f t="shared" si="5"/>
        <v>233</v>
      </c>
      <c r="H35" s="35">
        <f t="shared" si="6"/>
        <v>21406789.372500002</v>
      </c>
      <c r="I35" s="35">
        <f t="shared" si="7"/>
        <v>86950.012278560549</v>
      </c>
      <c r="J35" s="35">
        <f t="shared" si="8"/>
        <v>1712543.1498000002</v>
      </c>
      <c r="K35" s="35">
        <f t="shared" si="9"/>
        <v>10576607.693400001</v>
      </c>
      <c r="L35" s="35">
        <f t="shared" si="10"/>
        <v>0</v>
      </c>
      <c r="M35" s="35">
        <f t="shared" si="11"/>
        <v>18131327.474400003</v>
      </c>
      <c r="N35" s="36">
        <f t="shared" si="12"/>
        <v>0.35880000000000001</v>
      </c>
      <c r="O35" s="35">
        <f t="shared" si="13"/>
        <v>0</v>
      </c>
      <c r="P35" s="35">
        <f t="shared" si="14"/>
        <v>3180426.3582436806</v>
      </c>
      <c r="Q35" s="35">
        <f t="shared" si="15"/>
        <v>0</v>
      </c>
      <c r="R35" s="35">
        <f t="shared" si="16"/>
        <v>23206282.534578562</v>
      </c>
      <c r="S35" s="33">
        <f t="shared" si="17"/>
        <v>252</v>
      </c>
    </row>
    <row r="36" spans="1:19" x14ac:dyDescent="0.3">
      <c r="A36" s="33">
        <f>32</f>
        <v>32</v>
      </c>
      <c r="B36" s="34">
        <f t="shared" si="0"/>
        <v>47331</v>
      </c>
      <c r="C36" s="33">
        <f t="shared" si="1"/>
        <v>3</v>
      </c>
      <c r="D36" s="33">
        <f t="shared" si="2"/>
        <v>8</v>
      </c>
      <c r="E36" s="35">
        <f t="shared" si="3"/>
        <v>91874.632500000007</v>
      </c>
      <c r="F36" s="35">
        <f t="shared" si="4"/>
        <v>23206282.534578562</v>
      </c>
      <c r="G36" s="33">
        <f t="shared" si="5"/>
        <v>252</v>
      </c>
      <c r="H36" s="35">
        <f t="shared" si="6"/>
        <v>23152407.390000001</v>
      </c>
      <c r="I36" s="35">
        <f t="shared" si="7"/>
        <v>53875.144578561187</v>
      </c>
      <c r="J36" s="35">
        <f t="shared" si="8"/>
        <v>1852192.5912000001</v>
      </c>
      <c r="K36" s="35">
        <f t="shared" si="9"/>
        <v>12428800.284600001</v>
      </c>
      <c r="L36" s="35">
        <f t="shared" si="10"/>
        <v>0</v>
      </c>
      <c r="M36" s="35">
        <f t="shared" si="11"/>
        <v>18643200.426899999</v>
      </c>
      <c r="N36" s="36">
        <f t="shared" si="12"/>
        <v>0.35880000000000001</v>
      </c>
      <c r="O36" s="35">
        <f t="shared" si="13"/>
        <v>0</v>
      </c>
      <c r="P36" s="35">
        <f t="shared" si="14"/>
        <v>3180426.3582436806</v>
      </c>
      <c r="Q36" s="35">
        <f t="shared" si="15"/>
        <v>0</v>
      </c>
      <c r="R36" s="35">
        <f t="shared" si="16"/>
        <v>25058475.125778563</v>
      </c>
      <c r="S36" s="33">
        <f t="shared" si="17"/>
        <v>272</v>
      </c>
    </row>
    <row r="37" spans="1:19" x14ac:dyDescent="0.3">
      <c r="A37" s="33">
        <f>33</f>
        <v>33</v>
      </c>
      <c r="B37" s="34">
        <f t="shared" si="0"/>
        <v>47362</v>
      </c>
      <c r="C37" s="33">
        <f t="shared" si="1"/>
        <v>3</v>
      </c>
      <c r="D37" s="33">
        <f t="shared" si="2"/>
        <v>9</v>
      </c>
      <c r="E37" s="35">
        <f t="shared" si="3"/>
        <v>91874.632500000007</v>
      </c>
      <c r="F37" s="35">
        <f t="shared" si="4"/>
        <v>25058475.125778563</v>
      </c>
      <c r="G37" s="33">
        <f t="shared" si="5"/>
        <v>272</v>
      </c>
      <c r="H37" s="35">
        <f t="shared" si="6"/>
        <v>24989900.040000003</v>
      </c>
      <c r="I37" s="35">
        <f t="shared" si="7"/>
        <v>68575.085778560489</v>
      </c>
      <c r="J37" s="35">
        <f t="shared" si="8"/>
        <v>1999192.0032000002</v>
      </c>
      <c r="K37" s="35">
        <f t="shared" si="9"/>
        <v>14427992.287800001</v>
      </c>
      <c r="L37" s="35">
        <f t="shared" si="10"/>
        <v>5563927.7442000005</v>
      </c>
      <c r="M37" s="35">
        <f t="shared" si="11"/>
        <v>19237323.050400004</v>
      </c>
      <c r="N37" s="36">
        <f t="shared" si="12"/>
        <v>0.35880000000000001</v>
      </c>
      <c r="O37" s="35">
        <f t="shared" si="13"/>
        <v>1996337.2746189602</v>
      </c>
      <c r="P37" s="35">
        <f t="shared" si="14"/>
        <v>5176763.6328626405</v>
      </c>
      <c r="Q37" s="35">
        <f t="shared" si="15"/>
        <v>0</v>
      </c>
      <c r="R37" s="35">
        <f t="shared" si="16"/>
        <v>25061329.854359604</v>
      </c>
      <c r="S37" s="33">
        <f t="shared" si="17"/>
        <v>272</v>
      </c>
    </row>
    <row r="38" spans="1:19" x14ac:dyDescent="0.3">
      <c r="A38" s="33">
        <f>34</f>
        <v>34</v>
      </c>
      <c r="B38" s="34">
        <f t="shared" si="0"/>
        <v>47392</v>
      </c>
      <c r="C38" s="33">
        <f t="shared" si="1"/>
        <v>3</v>
      </c>
      <c r="D38" s="33">
        <f t="shared" si="2"/>
        <v>10</v>
      </c>
      <c r="E38" s="35">
        <f t="shared" si="3"/>
        <v>91874.632500000007</v>
      </c>
      <c r="F38" s="35">
        <f t="shared" si="4"/>
        <v>25061329.854359604</v>
      </c>
      <c r="G38" s="33">
        <f t="shared" si="5"/>
        <v>272</v>
      </c>
      <c r="H38" s="35">
        <f t="shared" si="6"/>
        <v>24989900.040000003</v>
      </c>
      <c r="I38" s="35">
        <f t="shared" si="7"/>
        <v>71429.814359601587</v>
      </c>
      <c r="J38" s="35">
        <f t="shared" si="8"/>
        <v>1999192.0032000002</v>
      </c>
      <c r="K38" s="35">
        <f t="shared" si="9"/>
        <v>16427184.291000001</v>
      </c>
      <c r="L38" s="35">
        <f t="shared" si="10"/>
        <v>0</v>
      </c>
      <c r="M38" s="35">
        <f t="shared" si="11"/>
        <v>19712621.1492</v>
      </c>
      <c r="N38" s="36">
        <f t="shared" si="12"/>
        <v>0.35880000000000001</v>
      </c>
      <c r="O38" s="35">
        <f t="shared" si="13"/>
        <v>0</v>
      </c>
      <c r="P38" s="35">
        <f t="shared" si="14"/>
        <v>5176763.6328626405</v>
      </c>
      <c r="Q38" s="35">
        <f t="shared" si="15"/>
        <v>0</v>
      </c>
      <c r="R38" s="35">
        <f t="shared" si="16"/>
        <v>27060521.857559606</v>
      </c>
      <c r="S38" s="33">
        <f t="shared" si="17"/>
        <v>294</v>
      </c>
    </row>
    <row r="39" spans="1:19" x14ac:dyDescent="0.3">
      <c r="A39" s="33">
        <f>35</f>
        <v>35</v>
      </c>
      <c r="B39" s="34">
        <f t="shared" si="0"/>
        <v>47423</v>
      </c>
      <c r="C39" s="33">
        <f t="shared" si="1"/>
        <v>3</v>
      </c>
      <c r="D39" s="33">
        <f t="shared" si="2"/>
        <v>11</v>
      </c>
      <c r="E39" s="35">
        <f t="shared" si="3"/>
        <v>91874.632500000007</v>
      </c>
      <c r="F39" s="35">
        <f t="shared" si="4"/>
        <v>27060521.857559606</v>
      </c>
      <c r="G39" s="33">
        <f t="shared" si="5"/>
        <v>294</v>
      </c>
      <c r="H39" s="35">
        <f t="shared" si="6"/>
        <v>27011141.955000002</v>
      </c>
      <c r="I39" s="35">
        <f t="shared" si="7"/>
        <v>49379.902559604496</v>
      </c>
      <c r="J39" s="35">
        <f t="shared" si="8"/>
        <v>2160891.3564000004</v>
      </c>
      <c r="K39" s="35">
        <f t="shared" si="9"/>
        <v>18588075.647400003</v>
      </c>
      <c r="L39" s="35">
        <f t="shared" si="10"/>
        <v>0</v>
      </c>
      <c r="M39" s="35">
        <f t="shared" si="11"/>
        <v>20277900.706254546</v>
      </c>
      <c r="N39" s="36">
        <f t="shared" si="12"/>
        <v>0.39</v>
      </c>
      <c r="O39" s="35">
        <f t="shared" si="13"/>
        <v>0</v>
      </c>
      <c r="P39" s="35">
        <f t="shared" si="14"/>
        <v>5176763.6328626405</v>
      </c>
      <c r="Q39" s="35">
        <f t="shared" si="15"/>
        <v>0</v>
      </c>
      <c r="R39" s="35">
        <f t="shared" si="16"/>
        <v>29221413.213959608</v>
      </c>
      <c r="S39" s="33">
        <f t="shared" si="17"/>
        <v>318</v>
      </c>
    </row>
    <row r="40" spans="1:19" x14ac:dyDescent="0.3">
      <c r="A40" s="37">
        <f>36</f>
        <v>36</v>
      </c>
      <c r="B40" s="38">
        <f t="shared" si="0"/>
        <v>47453</v>
      </c>
      <c r="C40" s="37">
        <f t="shared" si="1"/>
        <v>3</v>
      </c>
      <c r="D40" s="37">
        <f t="shared" si="2"/>
        <v>12</v>
      </c>
      <c r="E40" s="39">
        <f t="shared" si="3"/>
        <v>91874.632500000007</v>
      </c>
      <c r="F40" s="39">
        <f t="shared" si="4"/>
        <v>29221413.213959608</v>
      </c>
      <c r="G40" s="37">
        <f t="shared" si="5"/>
        <v>318</v>
      </c>
      <c r="H40" s="39">
        <f t="shared" si="6"/>
        <v>29216133.135000002</v>
      </c>
      <c r="I40" s="39">
        <f t="shared" si="7"/>
        <v>5280.0789596065879</v>
      </c>
      <c r="J40" s="39">
        <f t="shared" si="8"/>
        <v>2337290.6508000004</v>
      </c>
      <c r="K40" s="39">
        <f t="shared" si="9"/>
        <v>20925366.298200004</v>
      </c>
      <c r="L40" s="39">
        <f t="shared" si="10"/>
        <v>6497374.010400001</v>
      </c>
      <c r="M40" s="39">
        <f t="shared" si="11"/>
        <v>20925366.298200004</v>
      </c>
      <c r="N40" s="40">
        <f t="shared" si="12"/>
        <v>0.39</v>
      </c>
      <c r="O40" s="39">
        <f t="shared" si="13"/>
        <v>2533975.8640560005</v>
      </c>
      <c r="P40" s="39">
        <f t="shared" si="14"/>
        <v>7710739.496918641</v>
      </c>
      <c r="Q40" s="39">
        <f t="shared" si="15"/>
        <v>1321462.6801281364</v>
      </c>
      <c r="R40" s="39">
        <f t="shared" si="16"/>
        <v>27703265.320575476</v>
      </c>
      <c r="S40" s="37">
        <f t="shared" si="17"/>
        <v>301</v>
      </c>
    </row>
    <row r="41" spans="1:19" x14ac:dyDescent="0.3">
      <c r="A41" s="33">
        <f>37</f>
        <v>37</v>
      </c>
      <c r="B41" s="34">
        <f t="shared" si="0"/>
        <v>47484</v>
      </c>
      <c r="C41" s="33">
        <f t="shared" si="1"/>
        <v>4</v>
      </c>
      <c r="D41" s="33">
        <f t="shared" si="2"/>
        <v>1</v>
      </c>
      <c r="E41" s="35">
        <f t="shared" si="3"/>
        <v>96468.364125000007</v>
      </c>
      <c r="F41" s="35">
        <f t="shared" si="4"/>
        <v>27703265.320575476</v>
      </c>
      <c r="G41" s="33">
        <f t="shared" si="5"/>
        <v>287</v>
      </c>
      <c r="H41" s="35">
        <f t="shared" si="6"/>
        <v>27686420.503875002</v>
      </c>
      <c r="I41" s="35">
        <f t="shared" si="7"/>
        <v>16844.816700473428</v>
      </c>
      <c r="J41" s="35">
        <f t="shared" si="8"/>
        <v>2214913.6403100002</v>
      </c>
      <c r="K41" s="35">
        <f t="shared" si="9"/>
        <v>2214913.6403100002</v>
      </c>
      <c r="L41" s="35">
        <f t="shared" si="10"/>
        <v>0</v>
      </c>
      <c r="M41" s="35">
        <f t="shared" si="11"/>
        <v>26578963.68372</v>
      </c>
      <c r="N41" s="36">
        <f t="shared" si="12"/>
        <v>0.39</v>
      </c>
      <c r="O41" s="35">
        <f t="shared" si="13"/>
        <v>0</v>
      </c>
      <c r="P41" s="35">
        <f t="shared" si="14"/>
        <v>0</v>
      </c>
      <c r="Q41" s="35">
        <f t="shared" si="15"/>
        <v>0</v>
      </c>
      <c r="R41" s="35">
        <f t="shared" si="16"/>
        <v>29918178.960885476</v>
      </c>
      <c r="S41" s="33">
        <f t="shared" si="17"/>
        <v>310</v>
      </c>
    </row>
    <row r="42" spans="1:19" x14ac:dyDescent="0.3">
      <c r="A42" s="33">
        <f>38</f>
        <v>38</v>
      </c>
      <c r="B42" s="34">
        <f t="shared" si="0"/>
        <v>47515</v>
      </c>
      <c r="C42" s="33">
        <f t="shared" si="1"/>
        <v>4</v>
      </c>
      <c r="D42" s="33">
        <f t="shared" si="2"/>
        <v>2</v>
      </c>
      <c r="E42" s="35">
        <f t="shared" si="3"/>
        <v>96468.364125000007</v>
      </c>
      <c r="F42" s="35">
        <f t="shared" si="4"/>
        <v>29918178.960885476</v>
      </c>
      <c r="G42" s="33">
        <f t="shared" si="5"/>
        <v>310</v>
      </c>
      <c r="H42" s="35">
        <f t="shared" si="6"/>
        <v>29905192.878750004</v>
      </c>
      <c r="I42" s="35">
        <f t="shared" si="7"/>
        <v>12986.082135472447</v>
      </c>
      <c r="J42" s="35">
        <f t="shared" si="8"/>
        <v>2392415.4303000006</v>
      </c>
      <c r="K42" s="35">
        <f t="shared" si="9"/>
        <v>4607329.0706100008</v>
      </c>
      <c r="L42" s="35">
        <f t="shared" si="10"/>
        <v>0</v>
      </c>
      <c r="M42" s="35">
        <f t="shared" si="11"/>
        <v>27643974.423660003</v>
      </c>
      <c r="N42" s="36">
        <f t="shared" si="12"/>
        <v>0.39</v>
      </c>
      <c r="O42" s="35">
        <f t="shared" si="13"/>
        <v>0</v>
      </c>
      <c r="P42" s="35">
        <f t="shared" si="14"/>
        <v>0</v>
      </c>
      <c r="Q42" s="35">
        <f t="shared" si="15"/>
        <v>0</v>
      </c>
      <c r="R42" s="35">
        <f t="shared" si="16"/>
        <v>32310594.391185477</v>
      </c>
      <c r="S42" s="33">
        <f t="shared" si="17"/>
        <v>334</v>
      </c>
    </row>
    <row r="43" spans="1:19" x14ac:dyDescent="0.3">
      <c r="A43" s="33">
        <f>39</f>
        <v>39</v>
      </c>
      <c r="B43" s="34">
        <f t="shared" si="0"/>
        <v>47543</v>
      </c>
      <c r="C43" s="33">
        <f t="shared" si="1"/>
        <v>4</v>
      </c>
      <c r="D43" s="33">
        <f t="shared" si="2"/>
        <v>3</v>
      </c>
      <c r="E43" s="35">
        <f t="shared" si="3"/>
        <v>96468.364125000007</v>
      </c>
      <c r="F43" s="35">
        <f t="shared" si="4"/>
        <v>32310594.391185477</v>
      </c>
      <c r="G43" s="33">
        <f t="shared" si="5"/>
        <v>334</v>
      </c>
      <c r="H43" s="35">
        <f t="shared" si="6"/>
        <v>32220433.617750004</v>
      </c>
      <c r="I43" s="35">
        <f t="shared" si="7"/>
        <v>90160.773435473442</v>
      </c>
      <c r="J43" s="35">
        <f t="shared" si="8"/>
        <v>2577634.6894200002</v>
      </c>
      <c r="K43" s="35">
        <f t="shared" si="9"/>
        <v>7184963.7600300014</v>
      </c>
      <c r="L43" s="35">
        <f t="shared" si="10"/>
        <v>7184963.7600300014</v>
      </c>
      <c r="M43" s="35">
        <f t="shared" si="11"/>
        <v>28739855.040120006</v>
      </c>
      <c r="N43" s="36">
        <f t="shared" si="12"/>
        <v>0.39</v>
      </c>
      <c r="O43" s="35">
        <f t="shared" si="13"/>
        <v>2802135.8664117008</v>
      </c>
      <c r="P43" s="35">
        <f t="shared" si="14"/>
        <v>2802135.8664117008</v>
      </c>
      <c r="Q43" s="35">
        <f t="shared" si="15"/>
        <v>0</v>
      </c>
      <c r="R43" s="35">
        <f t="shared" si="16"/>
        <v>32086093.214193776</v>
      </c>
      <c r="S43" s="33">
        <f t="shared" si="17"/>
        <v>332</v>
      </c>
    </row>
    <row r="44" spans="1:19" x14ac:dyDescent="0.3">
      <c r="A44" s="33">
        <f>40</f>
        <v>40</v>
      </c>
      <c r="B44" s="34">
        <f t="shared" si="0"/>
        <v>47574</v>
      </c>
      <c r="C44" s="33">
        <f t="shared" si="1"/>
        <v>4</v>
      </c>
      <c r="D44" s="33">
        <f t="shared" si="2"/>
        <v>4</v>
      </c>
      <c r="E44" s="35">
        <f t="shared" si="3"/>
        <v>96468.364125000007</v>
      </c>
      <c r="F44" s="35">
        <f t="shared" si="4"/>
        <v>32086093.214193776</v>
      </c>
      <c r="G44" s="33">
        <f t="shared" si="5"/>
        <v>332</v>
      </c>
      <c r="H44" s="35">
        <f t="shared" si="6"/>
        <v>32027496.889500003</v>
      </c>
      <c r="I44" s="35">
        <f t="shared" si="7"/>
        <v>58596.324693772942</v>
      </c>
      <c r="J44" s="35">
        <f t="shared" si="8"/>
        <v>2562199.7511600005</v>
      </c>
      <c r="K44" s="35">
        <f t="shared" si="9"/>
        <v>9747163.5111900009</v>
      </c>
      <c r="L44" s="35">
        <f t="shared" si="10"/>
        <v>0</v>
      </c>
      <c r="M44" s="35">
        <f t="shared" si="11"/>
        <v>29241490.533570003</v>
      </c>
      <c r="N44" s="36">
        <f t="shared" si="12"/>
        <v>0.39</v>
      </c>
      <c r="O44" s="35">
        <f t="shared" si="13"/>
        <v>0</v>
      </c>
      <c r="P44" s="35">
        <f t="shared" si="14"/>
        <v>2802135.8664117008</v>
      </c>
      <c r="Q44" s="35">
        <f t="shared" si="15"/>
        <v>0</v>
      </c>
      <c r="R44" s="35">
        <f t="shared" si="16"/>
        <v>34648292.965353779</v>
      </c>
      <c r="S44" s="33">
        <f t="shared" si="17"/>
        <v>359</v>
      </c>
    </row>
    <row r="45" spans="1:19" x14ac:dyDescent="0.3">
      <c r="A45" s="33">
        <f>41</f>
        <v>41</v>
      </c>
      <c r="B45" s="34">
        <f t="shared" si="0"/>
        <v>47604</v>
      </c>
      <c r="C45" s="33">
        <f t="shared" si="1"/>
        <v>4</v>
      </c>
      <c r="D45" s="33">
        <f t="shared" si="2"/>
        <v>5</v>
      </c>
      <c r="E45" s="35">
        <f t="shared" si="3"/>
        <v>96468.364125000007</v>
      </c>
      <c r="F45" s="35">
        <f t="shared" si="4"/>
        <v>34648292.965353779</v>
      </c>
      <c r="G45" s="33">
        <f t="shared" si="5"/>
        <v>359</v>
      </c>
      <c r="H45" s="35">
        <f t="shared" si="6"/>
        <v>34632142.720875002</v>
      </c>
      <c r="I45" s="35">
        <f t="shared" si="7"/>
        <v>16150.244478777051</v>
      </c>
      <c r="J45" s="35">
        <f t="shared" si="8"/>
        <v>2770571.4176700003</v>
      </c>
      <c r="K45" s="35">
        <f t="shared" si="9"/>
        <v>12517734.928860001</v>
      </c>
      <c r="L45" s="35">
        <f t="shared" si="10"/>
        <v>0</v>
      </c>
      <c r="M45" s="35">
        <f t="shared" si="11"/>
        <v>30042563.829264004</v>
      </c>
      <c r="N45" s="36">
        <f t="shared" si="12"/>
        <v>0.39</v>
      </c>
      <c r="O45" s="35">
        <f t="shared" si="13"/>
        <v>0</v>
      </c>
      <c r="P45" s="35">
        <f t="shared" si="14"/>
        <v>2802135.8664117008</v>
      </c>
      <c r="Q45" s="35">
        <f t="shared" si="15"/>
        <v>0</v>
      </c>
      <c r="R45" s="35">
        <f t="shared" si="16"/>
        <v>37418864.383023784</v>
      </c>
      <c r="S45" s="33">
        <f t="shared" si="17"/>
        <v>387</v>
      </c>
    </row>
    <row r="46" spans="1:19" x14ac:dyDescent="0.3">
      <c r="A46" s="33">
        <f>42</f>
        <v>42</v>
      </c>
      <c r="B46" s="34">
        <f t="shared" si="0"/>
        <v>47635</v>
      </c>
      <c r="C46" s="33">
        <f t="shared" si="1"/>
        <v>4</v>
      </c>
      <c r="D46" s="33">
        <f t="shared" si="2"/>
        <v>6</v>
      </c>
      <c r="E46" s="35">
        <f t="shared" si="3"/>
        <v>96468.364125000007</v>
      </c>
      <c r="F46" s="35">
        <f t="shared" si="4"/>
        <v>37418864.383023784</v>
      </c>
      <c r="G46" s="33">
        <f t="shared" si="5"/>
        <v>387</v>
      </c>
      <c r="H46" s="35">
        <f t="shared" si="6"/>
        <v>37333256.916375004</v>
      </c>
      <c r="I46" s="35">
        <f t="shared" si="7"/>
        <v>85607.466648779809</v>
      </c>
      <c r="J46" s="35">
        <f t="shared" si="8"/>
        <v>2986660.5533100003</v>
      </c>
      <c r="K46" s="35">
        <f t="shared" si="9"/>
        <v>15504395.482170001</v>
      </c>
      <c r="L46" s="35">
        <f t="shared" si="10"/>
        <v>8319431.7221400011</v>
      </c>
      <c r="M46" s="35">
        <f t="shared" si="11"/>
        <v>31008790.964340001</v>
      </c>
      <c r="N46" s="36">
        <f t="shared" si="12"/>
        <v>0.39</v>
      </c>
      <c r="O46" s="35">
        <f t="shared" si="13"/>
        <v>3244578.3716346007</v>
      </c>
      <c r="P46" s="35">
        <f t="shared" si="14"/>
        <v>6046714.2380463015</v>
      </c>
      <c r="Q46" s="35">
        <f t="shared" si="15"/>
        <v>0</v>
      </c>
      <c r="R46" s="35">
        <f t="shared" si="16"/>
        <v>37160946.56469918</v>
      </c>
      <c r="S46" s="33">
        <f t="shared" si="17"/>
        <v>385</v>
      </c>
    </row>
    <row r="47" spans="1:19" x14ac:dyDescent="0.3">
      <c r="A47" s="33">
        <f>43</f>
        <v>43</v>
      </c>
      <c r="B47" s="34">
        <f t="shared" si="0"/>
        <v>47665</v>
      </c>
      <c r="C47" s="33">
        <f t="shared" si="1"/>
        <v>4</v>
      </c>
      <c r="D47" s="33">
        <f t="shared" si="2"/>
        <v>7</v>
      </c>
      <c r="E47" s="35">
        <f t="shared" si="3"/>
        <v>96468.364125000007</v>
      </c>
      <c r="F47" s="35">
        <f t="shared" si="4"/>
        <v>37160946.56469918</v>
      </c>
      <c r="G47" s="33">
        <f t="shared" si="5"/>
        <v>385</v>
      </c>
      <c r="H47" s="35">
        <f t="shared" si="6"/>
        <v>37140320.188124999</v>
      </c>
      <c r="I47" s="35">
        <f t="shared" si="7"/>
        <v>20626.37657418102</v>
      </c>
      <c r="J47" s="35">
        <f t="shared" si="8"/>
        <v>2971225.6150500001</v>
      </c>
      <c r="K47" s="35">
        <f t="shared" si="9"/>
        <v>18475621.09722</v>
      </c>
      <c r="L47" s="35">
        <f t="shared" si="10"/>
        <v>0</v>
      </c>
      <c r="M47" s="35">
        <f t="shared" si="11"/>
        <v>31672493.309519999</v>
      </c>
      <c r="N47" s="36">
        <f t="shared" si="12"/>
        <v>0.39</v>
      </c>
      <c r="O47" s="35">
        <f t="shared" si="13"/>
        <v>0</v>
      </c>
      <c r="P47" s="35">
        <f t="shared" si="14"/>
        <v>6046714.2380463015</v>
      </c>
      <c r="Q47" s="35">
        <f t="shared" si="15"/>
        <v>0</v>
      </c>
      <c r="R47" s="35">
        <f t="shared" si="16"/>
        <v>40132172.179749183</v>
      </c>
      <c r="S47" s="33">
        <f t="shared" si="17"/>
        <v>416</v>
      </c>
    </row>
    <row r="48" spans="1:19" x14ac:dyDescent="0.3">
      <c r="A48" s="33">
        <f>44</f>
        <v>44</v>
      </c>
      <c r="B48" s="34">
        <f t="shared" si="0"/>
        <v>47696</v>
      </c>
      <c r="C48" s="33">
        <f t="shared" si="1"/>
        <v>4</v>
      </c>
      <c r="D48" s="33">
        <f t="shared" si="2"/>
        <v>8</v>
      </c>
      <c r="E48" s="35">
        <f t="shared" si="3"/>
        <v>96468.364125000007</v>
      </c>
      <c r="F48" s="35">
        <f t="shared" si="4"/>
        <v>40132172.179749183</v>
      </c>
      <c r="G48" s="33">
        <f t="shared" si="5"/>
        <v>416</v>
      </c>
      <c r="H48" s="35">
        <f t="shared" si="6"/>
        <v>40130839.476000004</v>
      </c>
      <c r="I48" s="35">
        <f t="shared" si="7"/>
        <v>1332.7037491798401</v>
      </c>
      <c r="J48" s="35">
        <f t="shared" si="8"/>
        <v>3210467.1580800004</v>
      </c>
      <c r="K48" s="35">
        <f t="shared" si="9"/>
        <v>21686088.2553</v>
      </c>
      <c r="L48" s="35">
        <f t="shared" si="10"/>
        <v>0</v>
      </c>
      <c r="M48" s="35">
        <f t="shared" si="11"/>
        <v>32529132.38295</v>
      </c>
      <c r="N48" s="36">
        <f t="shared" si="12"/>
        <v>0.39</v>
      </c>
      <c r="O48" s="35">
        <f t="shared" si="13"/>
        <v>0</v>
      </c>
      <c r="P48" s="35">
        <f t="shared" si="14"/>
        <v>6046714.2380463015</v>
      </c>
      <c r="Q48" s="35">
        <f t="shared" si="15"/>
        <v>0</v>
      </c>
      <c r="R48" s="35">
        <f t="shared" si="16"/>
        <v>43342639.337829188</v>
      </c>
      <c r="S48" s="33">
        <f t="shared" si="17"/>
        <v>449</v>
      </c>
    </row>
    <row r="49" spans="1:19" x14ac:dyDescent="0.3">
      <c r="A49" s="33">
        <f>45</f>
        <v>45</v>
      </c>
      <c r="B49" s="34">
        <f t="shared" si="0"/>
        <v>47727</v>
      </c>
      <c r="C49" s="33">
        <f t="shared" si="1"/>
        <v>4</v>
      </c>
      <c r="D49" s="33">
        <f t="shared" si="2"/>
        <v>9</v>
      </c>
      <c r="E49" s="35">
        <f t="shared" si="3"/>
        <v>96468.364125000007</v>
      </c>
      <c r="F49" s="35">
        <f t="shared" si="4"/>
        <v>43342639.337829188</v>
      </c>
      <c r="G49" s="33">
        <f t="shared" si="5"/>
        <v>449</v>
      </c>
      <c r="H49" s="35">
        <f t="shared" si="6"/>
        <v>43314295.492125005</v>
      </c>
      <c r="I49" s="35">
        <f t="shared" si="7"/>
        <v>28343.845704182982</v>
      </c>
      <c r="J49" s="35">
        <f t="shared" si="8"/>
        <v>3465143.6393700005</v>
      </c>
      <c r="K49" s="35">
        <f t="shared" si="9"/>
        <v>25151231.894670002</v>
      </c>
      <c r="L49" s="35">
        <f t="shared" si="10"/>
        <v>9646836.4125000015</v>
      </c>
      <c r="M49" s="35">
        <f t="shared" si="11"/>
        <v>33534975.859559998</v>
      </c>
      <c r="N49" s="36">
        <f t="shared" si="12"/>
        <v>0.39</v>
      </c>
      <c r="O49" s="35">
        <f t="shared" si="13"/>
        <v>3762266.2008750006</v>
      </c>
      <c r="P49" s="35">
        <f t="shared" si="14"/>
        <v>9808980.4389213026</v>
      </c>
      <c r="Q49" s="35">
        <f t="shared" si="15"/>
        <v>0</v>
      </c>
      <c r="R49" s="35">
        <f t="shared" si="16"/>
        <v>43045516.77632419</v>
      </c>
      <c r="S49" s="33">
        <f t="shared" si="17"/>
        <v>446</v>
      </c>
    </row>
    <row r="50" spans="1:19" x14ac:dyDescent="0.3">
      <c r="A50" s="33">
        <f>46</f>
        <v>46</v>
      </c>
      <c r="B50" s="34">
        <f t="shared" si="0"/>
        <v>47757</v>
      </c>
      <c r="C50" s="33">
        <f t="shared" si="1"/>
        <v>4</v>
      </c>
      <c r="D50" s="33">
        <f t="shared" si="2"/>
        <v>10</v>
      </c>
      <c r="E50" s="35">
        <f t="shared" si="3"/>
        <v>96468.364125000007</v>
      </c>
      <c r="F50" s="35">
        <f t="shared" si="4"/>
        <v>43045516.77632419</v>
      </c>
      <c r="G50" s="33">
        <f t="shared" si="5"/>
        <v>446</v>
      </c>
      <c r="H50" s="35">
        <f t="shared" si="6"/>
        <v>43024890.399750002</v>
      </c>
      <c r="I50" s="35">
        <f t="shared" si="7"/>
        <v>20626.376574188471</v>
      </c>
      <c r="J50" s="35">
        <f t="shared" si="8"/>
        <v>3441991.2319800002</v>
      </c>
      <c r="K50" s="35">
        <f t="shared" si="9"/>
        <v>28593223.126650002</v>
      </c>
      <c r="L50" s="35">
        <f t="shared" si="10"/>
        <v>0</v>
      </c>
      <c r="M50" s="35">
        <f t="shared" si="11"/>
        <v>34311867.751979999</v>
      </c>
      <c r="N50" s="36">
        <f t="shared" si="12"/>
        <v>0.39</v>
      </c>
      <c r="O50" s="35">
        <f t="shared" si="13"/>
        <v>0</v>
      </c>
      <c r="P50" s="35">
        <f t="shared" si="14"/>
        <v>9808980.4389213026</v>
      </c>
      <c r="Q50" s="35">
        <f t="shared" si="15"/>
        <v>0</v>
      </c>
      <c r="R50" s="35">
        <f t="shared" si="16"/>
        <v>46487508.008304194</v>
      </c>
      <c r="S50" s="33">
        <f t="shared" si="17"/>
        <v>481</v>
      </c>
    </row>
    <row r="51" spans="1:19" x14ac:dyDescent="0.3">
      <c r="A51" s="33">
        <f>47</f>
        <v>47</v>
      </c>
      <c r="B51" s="34">
        <f t="shared" si="0"/>
        <v>47788</v>
      </c>
      <c r="C51" s="33">
        <f t="shared" si="1"/>
        <v>4</v>
      </c>
      <c r="D51" s="33">
        <f t="shared" si="2"/>
        <v>11</v>
      </c>
      <c r="E51" s="35">
        <f t="shared" si="3"/>
        <v>96468.364125000007</v>
      </c>
      <c r="F51" s="35">
        <f t="shared" si="4"/>
        <v>46487508.008304194</v>
      </c>
      <c r="G51" s="33">
        <f t="shared" si="5"/>
        <v>481</v>
      </c>
      <c r="H51" s="35">
        <f t="shared" si="6"/>
        <v>46401283.144125007</v>
      </c>
      <c r="I51" s="35">
        <f t="shared" si="7"/>
        <v>86224.864179186523</v>
      </c>
      <c r="J51" s="35">
        <f t="shared" si="8"/>
        <v>3712102.6515300008</v>
      </c>
      <c r="K51" s="35">
        <f t="shared" si="9"/>
        <v>32305325.778180003</v>
      </c>
      <c r="L51" s="35">
        <f t="shared" si="10"/>
        <v>0</v>
      </c>
      <c r="M51" s="35">
        <f t="shared" si="11"/>
        <v>35242173.576196365</v>
      </c>
      <c r="N51" s="36">
        <f t="shared" si="12"/>
        <v>0.39</v>
      </c>
      <c r="O51" s="35">
        <f t="shared" si="13"/>
        <v>0</v>
      </c>
      <c r="P51" s="35">
        <f t="shared" si="14"/>
        <v>9808980.4389213026</v>
      </c>
      <c r="Q51" s="35">
        <f t="shared" si="15"/>
        <v>0</v>
      </c>
      <c r="R51" s="35">
        <f t="shared" si="16"/>
        <v>50199610.659834191</v>
      </c>
      <c r="S51" s="33">
        <f t="shared" si="17"/>
        <v>520</v>
      </c>
    </row>
    <row r="52" spans="1:19" x14ac:dyDescent="0.3">
      <c r="A52" s="37">
        <f>48</f>
        <v>48</v>
      </c>
      <c r="B52" s="38">
        <f t="shared" si="0"/>
        <v>47818</v>
      </c>
      <c r="C52" s="37">
        <f t="shared" si="1"/>
        <v>4</v>
      </c>
      <c r="D52" s="37">
        <f t="shared" si="2"/>
        <v>12</v>
      </c>
      <c r="E52" s="39">
        <f t="shared" si="3"/>
        <v>96468.364125000007</v>
      </c>
      <c r="F52" s="39">
        <f t="shared" si="4"/>
        <v>50199610.659834191</v>
      </c>
      <c r="G52" s="37">
        <f t="shared" si="5"/>
        <v>520</v>
      </c>
      <c r="H52" s="39">
        <f t="shared" si="6"/>
        <v>50163549.345000006</v>
      </c>
      <c r="I52" s="39">
        <f t="shared" si="7"/>
        <v>36061.314834184945</v>
      </c>
      <c r="J52" s="39">
        <f t="shared" si="8"/>
        <v>4013083.9476000005</v>
      </c>
      <c r="K52" s="39">
        <f t="shared" si="9"/>
        <v>36318409.725780003</v>
      </c>
      <c r="L52" s="39">
        <f t="shared" si="10"/>
        <v>11167177.831110001</v>
      </c>
      <c r="M52" s="39">
        <f t="shared" si="11"/>
        <v>36318409.725780003</v>
      </c>
      <c r="N52" s="40">
        <f t="shared" si="12"/>
        <v>0.39</v>
      </c>
      <c r="O52" s="39">
        <f t="shared" si="13"/>
        <v>4355199.3541329</v>
      </c>
      <c r="P52" s="39">
        <f t="shared" si="14"/>
        <v>14164179.793054203</v>
      </c>
      <c r="Q52" s="39">
        <f t="shared" si="15"/>
        <v>2215422.9932725802</v>
      </c>
      <c r="R52" s="39">
        <f t="shared" si="16"/>
        <v>47642072.260028712</v>
      </c>
      <c r="S52" s="37">
        <f t="shared" si="17"/>
        <v>493</v>
      </c>
    </row>
    <row r="53" spans="1:19" x14ac:dyDescent="0.3">
      <c r="A53" s="33">
        <f>49</f>
        <v>49</v>
      </c>
      <c r="B53" s="34">
        <f t="shared" si="0"/>
        <v>47849</v>
      </c>
      <c r="C53" s="33">
        <f t="shared" si="1"/>
        <v>5</v>
      </c>
      <c r="D53" s="33">
        <f t="shared" si="2"/>
        <v>1</v>
      </c>
      <c r="E53" s="35">
        <f t="shared" si="3"/>
        <v>101291.78233125</v>
      </c>
      <c r="F53" s="35">
        <f t="shared" si="4"/>
        <v>47642072.260028712</v>
      </c>
      <c r="G53" s="33">
        <f t="shared" si="5"/>
        <v>470</v>
      </c>
      <c r="H53" s="35">
        <f t="shared" si="6"/>
        <v>47607137.695687495</v>
      </c>
      <c r="I53" s="35">
        <f t="shared" si="7"/>
        <v>34934.564341217279</v>
      </c>
      <c r="J53" s="35">
        <f t="shared" si="8"/>
        <v>3808571.0156549998</v>
      </c>
      <c r="K53" s="35">
        <f t="shared" si="9"/>
        <v>3808571.0156549998</v>
      </c>
      <c r="L53" s="35">
        <f t="shared" si="10"/>
        <v>0</v>
      </c>
      <c r="M53" s="35">
        <f t="shared" si="11"/>
        <v>45702852.187859997</v>
      </c>
      <c r="N53" s="36">
        <f t="shared" si="12"/>
        <v>0.39</v>
      </c>
      <c r="O53" s="35">
        <f t="shared" si="13"/>
        <v>0</v>
      </c>
      <c r="P53" s="35">
        <f t="shared" si="14"/>
        <v>0</v>
      </c>
      <c r="Q53" s="35">
        <f t="shared" si="15"/>
        <v>0</v>
      </c>
      <c r="R53" s="35">
        <f t="shared" si="16"/>
        <v>51450643.275683716</v>
      </c>
      <c r="S53" s="33">
        <f t="shared" si="17"/>
        <v>507</v>
      </c>
    </row>
    <row r="54" spans="1:19" x14ac:dyDescent="0.3">
      <c r="A54" s="33">
        <f>50</f>
        <v>50</v>
      </c>
      <c r="B54" s="34">
        <f t="shared" si="0"/>
        <v>47880</v>
      </c>
      <c r="C54" s="33">
        <f t="shared" si="1"/>
        <v>5</v>
      </c>
      <c r="D54" s="33">
        <f t="shared" si="2"/>
        <v>2</v>
      </c>
      <c r="E54" s="35">
        <f t="shared" si="3"/>
        <v>101291.78233125</v>
      </c>
      <c r="F54" s="35">
        <f t="shared" si="4"/>
        <v>51450643.275683716</v>
      </c>
      <c r="G54" s="33">
        <f t="shared" si="5"/>
        <v>507</v>
      </c>
      <c r="H54" s="35">
        <f t="shared" si="6"/>
        <v>51354933.641943745</v>
      </c>
      <c r="I54" s="35">
        <f t="shared" si="7"/>
        <v>95709.633739970624</v>
      </c>
      <c r="J54" s="35">
        <f t="shared" si="8"/>
        <v>4108394.6913554999</v>
      </c>
      <c r="K54" s="35">
        <f t="shared" si="9"/>
        <v>7916965.7070105001</v>
      </c>
      <c r="L54" s="35">
        <f t="shared" si="10"/>
        <v>0</v>
      </c>
      <c r="M54" s="35">
        <f t="shared" si="11"/>
        <v>47501794.242063001</v>
      </c>
      <c r="N54" s="36">
        <f t="shared" si="12"/>
        <v>0.39</v>
      </c>
      <c r="O54" s="35">
        <f t="shared" si="13"/>
        <v>0</v>
      </c>
      <c r="P54" s="35">
        <f t="shared" si="14"/>
        <v>0</v>
      </c>
      <c r="Q54" s="35">
        <f t="shared" si="15"/>
        <v>0</v>
      </c>
      <c r="R54" s="35">
        <f t="shared" si="16"/>
        <v>55559037.967039213</v>
      </c>
      <c r="S54" s="33">
        <f t="shared" si="17"/>
        <v>548</v>
      </c>
    </row>
    <row r="55" spans="1:19" x14ac:dyDescent="0.3">
      <c r="A55" s="33">
        <f>51</f>
        <v>51</v>
      </c>
      <c r="B55" s="34">
        <f t="shared" si="0"/>
        <v>47908</v>
      </c>
      <c r="C55" s="33">
        <f t="shared" si="1"/>
        <v>5</v>
      </c>
      <c r="D55" s="33">
        <f t="shared" si="2"/>
        <v>3</v>
      </c>
      <c r="E55" s="35">
        <f t="shared" si="3"/>
        <v>101291.78233125</v>
      </c>
      <c r="F55" s="35">
        <f t="shared" si="4"/>
        <v>55559037.967039213</v>
      </c>
      <c r="G55" s="33">
        <f t="shared" si="5"/>
        <v>548</v>
      </c>
      <c r="H55" s="35">
        <f t="shared" si="6"/>
        <v>55507896.717524998</v>
      </c>
      <c r="I55" s="35">
        <f t="shared" si="7"/>
        <v>51141.249514214694</v>
      </c>
      <c r="J55" s="35">
        <f t="shared" si="8"/>
        <v>4440631.7374019995</v>
      </c>
      <c r="K55" s="35">
        <f t="shared" si="9"/>
        <v>12357597.4444125</v>
      </c>
      <c r="L55" s="35">
        <f t="shared" si="10"/>
        <v>12357597.4444125</v>
      </c>
      <c r="M55" s="35">
        <f t="shared" si="11"/>
        <v>49430389.777649999</v>
      </c>
      <c r="N55" s="36">
        <f t="shared" si="12"/>
        <v>0.39</v>
      </c>
      <c r="O55" s="35">
        <f t="shared" si="13"/>
        <v>4819463.0033208746</v>
      </c>
      <c r="P55" s="35">
        <f t="shared" si="14"/>
        <v>4819463.0033208746</v>
      </c>
      <c r="Q55" s="35">
        <f t="shared" si="15"/>
        <v>0</v>
      </c>
      <c r="R55" s="35">
        <f t="shared" si="16"/>
        <v>55180206.701120339</v>
      </c>
      <c r="S55" s="33">
        <f t="shared" si="17"/>
        <v>544</v>
      </c>
    </row>
    <row r="56" spans="1:19" x14ac:dyDescent="0.3">
      <c r="A56" s="33">
        <f>52</f>
        <v>52</v>
      </c>
      <c r="B56" s="34">
        <f t="shared" si="0"/>
        <v>47939</v>
      </c>
      <c r="C56" s="33">
        <f t="shared" si="1"/>
        <v>5</v>
      </c>
      <c r="D56" s="33">
        <f t="shared" si="2"/>
        <v>4</v>
      </c>
      <c r="E56" s="35">
        <f t="shared" si="3"/>
        <v>101291.78233125</v>
      </c>
      <c r="F56" s="35">
        <f t="shared" si="4"/>
        <v>55180206.701120339</v>
      </c>
      <c r="G56" s="33">
        <f t="shared" si="5"/>
        <v>544</v>
      </c>
      <c r="H56" s="35">
        <f t="shared" si="6"/>
        <v>55102729.588199995</v>
      </c>
      <c r="I56" s="35">
        <f t="shared" si="7"/>
        <v>77477.112920343876</v>
      </c>
      <c r="J56" s="35">
        <f t="shared" si="8"/>
        <v>4408218.367056</v>
      </c>
      <c r="K56" s="35">
        <f t="shared" si="9"/>
        <v>16765815.811468501</v>
      </c>
      <c r="L56" s="35">
        <f t="shared" si="10"/>
        <v>0</v>
      </c>
      <c r="M56" s="35">
        <f t="shared" si="11"/>
        <v>50297447.434405506</v>
      </c>
      <c r="N56" s="36">
        <f t="shared" si="12"/>
        <v>0.39</v>
      </c>
      <c r="O56" s="35">
        <f t="shared" si="13"/>
        <v>0</v>
      </c>
      <c r="P56" s="35">
        <f t="shared" si="14"/>
        <v>4819463.0033208746</v>
      </c>
      <c r="Q56" s="35">
        <f t="shared" si="15"/>
        <v>0</v>
      </c>
      <c r="R56" s="35">
        <f t="shared" si="16"/>
        <v>59588425.068176337</v>
      </c>
      <c r="S56" s="33">
        <f t="shared" si="17"/>
        <v>588</v>
      </c>
    </row>
    <row r="57" spans="1:19" x14ac:dyDescent="0.3">
      <c r="A57" s="33">
        <f>53</f>
        <v>53</v>
      </c>
      <c r="B57" s="34">
        <f t="shared" si="0"/>
        <v>47969</v>
      </c>
      <c r="C57" s="33">
        <f t="shared" si="1"/>
        <v>5</v>
      </c>
      <c r="D57" s="33">
        <f t="shared" si="2"/>
        <v>5</v>
      </c>
      <c r="E57" s="35">
        <f t="shared" si="3"/>
        <v>101291.78233125</v>
      </c>
      <c r="F57" s="35">
        <f t="shared" si="4"/>
        <v>59588425.068176337</v>
      </c>
      <c r="G57" s="33">
        <f t="shared" si="5"/>
        <v>588</v>
      </c>
      <c r="H57" s="35">
        <f t="shared" si="6"/>
        <v>59559568.010775</v>
      </c>
      <c r="I57" s="35">
        <f t="shared" si="7"/>
        <v>28857.05740133673</v>
      </c>
      <c r="J57" s="35">
        <f t="shared" si="8"/>
        <v>4764765.440862</v>
      </c>
      <c r="K57" s="35">
        <f t="shared" si="9"/>
        <v>21530581.252330501</v>
      </c>
      <c r="L57" s="35">
        <f t="shared" si="10"/>
        <v>0</v>
      </c>
      <c r="M57" s="35">
        <f t="shared" si="11"/>
        <v>51673395.005593203</v>
      </c>
      <c r="N57" s="36">
        <f t="shared" si="12"/>
        <v>0.39</v>
      </c>
      <c r="O57" s="35">
        <f t="shared" si="13"/>
        <v>0</v>
      </c>
      <c r="P57" s="35">
        <f t="shared" si="14"/>
        <v>4819463.0033208746</v>
      </c>
      <c r="Q57" s="35">
        <f t="shared" si="15"/>
        <v>0</v>
      </c>
      <c r="R57" s="35">
        <f t="shared" si="16"/>
        <v>64353190.509038337</v>
      </c>
      <c r="S57" s="33">
        <f t="shared" si="17"/>
        <v>635</v>
      </c>
    </row>
    <row r="58" spans="1:19" x14ac:dyDescent="0.3">
      <c r="A58" s="33">
        <f>54</f>
        <v>54</v>
      </c>
      <c r="B58" s="34">
        <f t="shared" si="0"/>
        <v>48000</v>
      </c>
      <c r="C58" s="33">
        <f t="shared" si="1"/>
        <v>5</v>
      </c>
      <c r="D58" s="33">
        <f t="shared" si="2"/>
        <v>6</v>
      </c>
      <c r="E58" s="35">
        <f t="shared" si="3"/>
        <v>101291.78233125</v>
      </c>
      <c r="F58" s="35">
        <f t="shared" si="4"/>
        <v>64353190.509038337</v>
      </c>
      <c r="G58" s="33">
        <f t="shared" si="5"/>
        <v>635</v>
      </c>
      <c r="H58" s="35">
        <f t="shared" si="6"/>
        <v>64320281.780343749</v>
      </c>
      <c r="I58" s="35">
        <f t="shared" si="7"/>
        <v>32908.728694587946</v>
      </c>
      <c r="J58" s="35">
        <f t="shared" si="8"/>
        <v>5145622.5424274998</v>
      </c>
      <c r="K58" s="35">
        <f t="shared" si="9"/>
        <v>26676203.794757999</v>
      </c>
      <c r="L58" s="35">
        <f t="shared" si="10"/>
        <v>14318606.3503455</v>
      </c>
      <c r="M58" s="35">
        <f t="shared" si="11"/>
        <v>53352407.589516006</v>
      </c>
      <c r="N58" s="36">
        <f t="shared" si="12"/>
        <v>0.39</v>
      </c>
      <c r="O58" s="35">
        <f t="shared" si="13"/>
        <v>5584256.4766347455</v>
      </c>
      <c r="P58" s="35">
        <f t="shared" si="14"/>
        <v>10403719.479955621</v>
      </c>
      <c r="Q58" s="35">
        <f t="shared" si="15"/>
        <v>0</v>
      </c>
      <c r="R58" s="35">
        <f t="shared" si="16"/>
        <v>63914556.574831091</v>
      </c>
      <c r="S58" s="33">
        <f t="shared" si="17"/>
        <v>630</v>
      </c>
    </row>
    <row r="59" spans="1:19" x14ac:dyDescent="0.3">
      <c r="A59" s="33">
        <f>55</f>
        <v>55</v>
      </c>
      <c r="B59" s="34">
        <f t="shared" si="0"/>
        <v>48030</v>
      </c>
      <c r="C59" s="33">
        <f t="shared" si="1"/>
        <v>5</v>
      </c>
      <c r="D59" s="33">
        <f t="shared" si="2"/>
        <v>7</v>
      </c>
      <c r="E59" s="35">
        <f t="shared" si="3"/>
        <v>101291.78233125</v>
      </c>
      <c r="F59" s="35">
        <f t="shared" si="4"/>
        <v>63914556.574831091</v>
      </c>
      <c r="G59" s="33">
        <f t="shared" si="5"/>
        <v>630</v>
      </c>
      <c r="H59" s="35">
        <f t="shared" si="6"/>
        <v>63813822.868687496</v>
      </c>
      <c r="I59" s="35">
        <f t="shared" si="7"/>
        <v>100733.70614359528</v>
      </c>
      <c r="J59" s="35">
        <f t="shared" si="8"/>
        <v>5105105.8294949997</v>
      </c>
      <c r="K59" s="35">
        <f t="shared" si="9"/>
        <v>31781309.624252997</v>
      </c>
      <c r="L59" s="35">
        <f t="shared" si="10"/>
        <v>0</v>
      </c>
      <c r="M59" s="35">
        <f t="shared" si="11"/>
        <v>54482245.070147991</v>
      </c>
      <c r="N59" s="36">
        <f t="shared" si="12"/>
        <v>0.39</v>
      </c>
      <c r="O59" s="35">
        <f t="shared" si="13"/>
        <v>0</v>
      </c>
      <c r="P59" s="35">
        <f t="shared" si="14"/>
        <v>10403719.479955621</v>
      </c>
      <c r="Q59" s="35">
        <f t="shared" si="15"/>
        <v>0</v>
      </c>
      <c r="R59" s="35">
        <f t="shared" si="16"/>
        <v>69019662.404326096</v>
      </c>
      <c r="S59" s="33">
        <f t="shared" si="17"/>
        <v>681</v>
      </c>
    </row>
    <row r="60" spans="1:19" x14ac:dyDescent="0.3">
      <c r="A60" s="33">
        <f>56</f>
        <v>56</v>
      </c>
      <c r="B60" s="34">
        <f t="shared" si="0"/>
        <v>48061</v>
      </c>
      <c r="C60" s="33">
        <f t="shared" si="1"/>
        <v>5</v>
      </c>
      <c r="D60" s="33">
        <f t="shared" si="2"/>
        <v>8</v>
      </c>
      <c r="E60" s="35">
        <f t="shared" si="3"/>
        <v>101291.78233125</v>
      </c>
      <c r="F60" s="35">
        <f t="shared" si="4"/>
        <v>69019662.404326096</v>
      </c>
      <c r="G60" s="33">
        <f t="shared" si="5"/>
        <v>681</v>
      </c>
      <c r="H60" s="35">
        <f t="shared" si="6"/>
        <v>68979703.767581254</v>
      </c>
      <c r="I60" s="35">
        <f t="shared" si="7"/>
        <v>39958.636744841933</v>
      </c>
      <c r="J60" s="35">
        <f t="shared" si="8"/>
        <v>5518376.3014065009</v>
      </c>
      <c r="K60" s="35">
        <f t="shared" si="9"/>
        <v>37299685.9256595</v>
      </c>
      <c r="L60" s="35">
        <f t="shared" si="10"/>
        <v>0</v>
      </c>
      <c r="M60" s="35">
        <f t="shared" si="11"/>
        <v>55949528.888489246</v>
      </c>
      <c r="N60" s="36">
        <f t="shared" si="12"/>
        <v>0.39</v>
      </c>
      <c r="O60" s="35">
        <f t="shared" si="13"/>
        <v>0</v>
      </c>
      <c r="P60" s="35">
        <f t="shared" si="14"/>
        <v>10403719.479955621</v>
      </c>
      <c r="Q60" s="35">
        <f t="shared" si="15"/>
        <v>0</v>
      </c>
      <c r="R60" s="35">
        <f t="shared" si="16"/>
        <v>74538038.705732599</v>
      </c>
      <c r="S60" s="33">
        <f t="shared" si="17"/>
        <v>735</v>
      </c>
    </row>
    <row r="61" spans="1:19" x14ac:dyDescent="0.3">
      <c r="A61" s="33">
        <f>57</f>
        <v>57</v>
      </c>
      <c r="B61" s="34">
        <f t="shared" si="0"/>
        <v>48092</v>
      </c>
      <c r="C61" s="33">
        <f t="shared" si="1"/>
        <v>5</v>
      </c>
      <c r="D61" s="33">
        <f t="shared" si="2"/>
        <v>9</v>
      </c>
      <c r="E61" s="35">
        <f t="shared" si="3"/>
        <v>101291.78233125</v>
      </c>
      <c r="F61" s="35">
        <f t="shared" si="4"/>
        <v>74538038.705732599</v>
      </c>
      <c r="G61" s="33">
        <f t="shared" si="5"/>
        <v>735</v>
      </c>
      <c r="H61" s="35">
        <f t="shared" si="6"/>
        <v>74449460.013468742</v>
      </c>
      <c r="I61" s="35">
        <f t="shared" si="7"/>
        <v>88578.69226385653</v>
      </c>
      <c r="J61" s="35">
        <f t="shared" si="8"/>
        <v>5955956.8010774991</v>
      </c>
      <c r="K61" s="35">
        <f t="shared" si="9"/>
        <v>43255642.726737</v>
      </c>
      <c r="L61" s="35">
        <f t="shared" si="10"/>
        <v>16579438.931979001</v>
      </c>
      <c r="M61" s="35">
        <f t="shared" si="11"/>
        <v>57674190.302316003</v>
      </c>
      <c r="N61" s="36">
        <f t="shared" si="12"/>
        <v>0.39</v>
      </c>
      <c r="O61" s="35">
        <f t="shared" si="13"/>
        <v>6465981.1834718101</v>
      </c>
      <c r="P61" s="35">
        <f t="shared" si="14"/>
        <v>16869700.663427431</v>
      </c>
      <c r="Q61" s="35">
        <f t="shared" si="15"/>
        <v>0</v>
      </c>
      <c r="R61" s="35">
        <f t="shared" si="16"/>
        <v>74028014.323338285</v>
      </c>
      <c r="S61" s="33">
        <f t="shared" si="17"/>
        <v>730</v>
      </c>
    </row>
    <row r="62" spans="1:19" x14ac:dyDescent="0.3">
      <c r="A62" s="33">
        <f>58</f>
        <v>58</v>
      </c>
      <c r="B62" s="34">
        <f t="shared" si="0"/>
        <v>48122</v>
      </c>
      <c r="C62" s="33">
        <f t="shared" si="1"/>
        <v>5</v>
      </c>
      <c r="D62" s="33">
        <f t="shared" si="2"/>
        <v>10</v>
      </c>
      <c r="E62" s="35">
        <f t="shared" si="3"/>
        <v>101291.78233125</v>
      </c>
      <c r="F62" s="35">
        <f t="shared" si="4"/>
        <v>74028014.323338285</v>
      </c>
      <c r="G62" s="33">
        <f t="shared" si="5"/>
        <v>730</v>
      </c>
      <c r="H62" s="35">
        <f t="shared" si="6"/>
        <v>73943001.101812497</v>
      </c>
      <c r="I62" s="35">
        <f t="shared" si="7"/>
        <v>85013.221525788307</v>
      </c>
      <c r="J62" s="35">
        <f t="shared" si="8"/>
        <v>5915440.0881449999</v>
      </c>
      <c r="K62" s="35">
        <f t="shared" si="9"/>
        <v>49171082.814882003</v>
      </c>
      <c r="L62" s="35">
        <f t="shared" si="10"/>
        <v>0</v>
      </c>
      <c r="M62" s="35">
        <f t="shared" si="11"/>
        <v>59005299.3778584</v>
      </c>
      <c r="N62" s="36">
        <f t="shared" si="12"/>
        <v>0.39</v>
      </c>
      <c r="O62" s="35">
        <f t="shared" si="13"/>
        <v>0</v>
      </c>
      <c r="P62" s="35">
        <f t="shared" si="14"/>
        <v>16869700.663427431</v>
      </c>
      <c r="Q62" s="35">
        <f t="shared" si="15"/>
        <v>0</v>
      </c>
      <c r="R62" s="35">
        <f t="shared" si="16"/>
        <v>79943454.411483288</v>
      </c>
      <c r="S62" s="33">
        <f t="shared" si="17"/>
        <v>789</v>
      </c>
    </row>
    <row r="63" spans="1:19" x14ac:dyDescent="0.3">
      <c r="A63" s="33">
        <f>59</f>
        <v>59</v>
      </c>
      <c r="B63" s="34">
        <f t="shared" si="0"/>
        <v>48153</v>
      </c>
      <c r="C63" s="33">
        <f t="shared" si="1"/>
        <v>5</v>
      </c>
      <c r="D63" s="33">
        <f t="shared" si="2"/>
        <v>11</v>
      </c>
      <c r="E63" s="35">
        <f t="shared" si="3"/>
        <v>101291.78233125</v>
      </c>
      <c r="F63" s="35">
        <f t="shared" si="4"/>
        <v>79943454.411483288</v>
      </c>
      <c r="G63" s="33">
        <f t="shared" si="5"/>
        <v>789</v>
      </c>
      <c r="H63" s="35">
        <f t="shared" si="6"/>
        <v>79919216.259356245</v>
      </c>
      <c r="I63" s="35">
        <f t="shared" si="7"/>
        <v>24238.152127042413</v>
      </c>
      <c r="J63" s="35">
        <f t="shared" si="8"/>
        <v>6393537.3007485</v>
      </c>
      <c r="K63" s="35">
        <f t="shared" si="9"/>
        <v>55564620.1156305</v>
      </c>
      <c r="L63" s="35">
        <f t="shared" si="10"/>
        <v>0</v>
      </c>
      <c r="M63" s="35">
        <f t="shared" si="11"/>
        <v>60615949.217051454</v>
      </c>
      <c r="N63" s="36">
        <f t="shared" si="12"/>
        <v>0.39</v>
      </c>
      <c r="O63" s="35">
        <f t="shared" si="13"/>
        <v>0</v>
      </c>
      <c r="P63" s="35">
        <f t="shared" si="14"/>
        <v>16869700.663427431</v>
      </c>
      <c r="Q63" s="35">
        <f t="shared" si="15"/>
        <v>0</v>
      </c>
      <c r="R63" s="35">
        <f t="shared" si="16"/>
        <v>86336991.712231785</v>
      </c>
      <c r="S63" s="33">
        <f t="shared" si="17"/>
        <v>852</v>
      </c>
    </row>
    <row r="64" spans="1:19" x14ac:dyDescent="0.3">
      <c r="A64" s="37">
        <f>60</f>
        <v>60</v>
      </c>
      <c r="B64" s="38">
        <f t="shared" si="0"/>
        <v>48183</v>
      </c>
      <c r="C64" s="37">
        <f t="shared" si="1"/>
        <v>5</v>
      </c>
      <c r="D64" s="37">
        <f t="shared" si="2"/>
        <v>12</v>
      </c>
      <c r="E64" s="39">
        <f t="shared" si="3"/>
        <v>101291.78233125</v>
      </c>
      <c r="F64" s="39">
        <f t="shared" si="4"/>
        <v>86336991.712231785</v>
      </c>
      <c r="G64" s="37">
        <f t="shared" si="5"/>
        <v>852</v>
      </c>
      <c r="H64" s="39">
        <f t="shared" si="6"/>
        <v>86300598.546224996</v>
      </c>
      <c r="I64" s="39">
        <f t="shared" si="7"/>
        <v>36393.166006788611</v>
      </c>
      <c r="J64" s="39">
        <f t="shared" si="8"/>
        <v>6904047.8836979996</v>
      </c>
      <c r="K64" s="39">
        <f t="shared" si="9"/>
        <v>62468667.999328502</v>
      </c>
      <c r="L64" s="39">
        <f t="shared" si="10"/>
        <v>19213025.272591501</v>
      </c>
      <c r="M64" s="39">
        <f t="shared" si="11"/>
        <v>62468667.999328502</v>
      </c>
      <c r="N64" s="40">
        <f t="shared" si="12"/>
        <v>0.39</v>
      </c>
      <c r="O64" s="39">
        <f t="shared" si="13"/>
        <v>7493079.8563106861</v>
      </c>
      <c r="P64" s="39">
        <f t="shared" si="14"/>
        <v>24362780.519738115</v>
      </c>
      <c r="Q64" s="39">
        <f t="shared" si="15"/>
        <v>3810588.7479590387</v>
      </c>
      <c r="R64" s="39">
        <f t="shared" si="16"/>
        <v>81937370.991660073</v>
      </c>
      <c r="S64" s="37">
        <f t="shared" si="17"/>
        <v>808</v>
      </c>
    </row>
    <row r="65" spans="1:19" x14ac:dyDescent="0.3">
      <c r="A65" s="33">
        <f>61</f>
        <v>61</v>
      </c>
      <c r="B65" s="34">
        <f t="shared" si="0"/>
        <v>48214</v>
      </c>
      <c r="C65" s="33">
        <f t="shared" si="1"/>
        <v>6</v>
      </c>
      <c r="D65" s="33">
        <f t="shared" si="2"/>
        <v>1</v>
      </c>
      <c r="E65" s="35">
        <f t="shared" si="3"/>
        <v>106356.3714478125</v>
      </c>
      <c r="F65" s="35">
        <f t="shared" si="4"/>
        <v>81937370.991660073</v>
      </c>
      <c r="G65" s="33">
        <f t="shared" si="5"/>
        <v>770</v>
      </c>
      <c r="H65" s="35">
        <f t="shared" si="6"/>
        <v>81894406.014815629</v>
      </c>
      <c r="I65" s="35">
        <f t="shared" si="7"/>
        <v>42964.976844444871</v>
      </c>
      <c r="J65" s="35">
        <f t="shared" si="8"/>
        <v>6551552.48118525</v>
      </c>
      <c r="K65" s="35">
        <f t="shared" si="9"/>
        <v>6551552.48118525</v>
      </c>
      <c r="L65" s="35">
        <f t="shared" si="10"/>
        <v>0</v>
      </c>
      <c r="M65" s="35">
        <f t="shared" si="11"/>
        <v>78618629.774223</v>
      </c>
      <c r="N65" s="36">
        <f t="shared" si="12"/>
        <v>0.39</v>
      </c>
      <c r="O65" s="35">
        <f t="shared" si="13"/>
        <v>0</v>
      </c>
      <c r="P65" s="35">
        <f t="shared" si="14"/>
        <v>0</v>
      </c>
      <c r="Q65" s="35">
        <f t="shared" si="15"/>
        <v>0</v>
      </c>
      <c r="R65" s="35">
        <f t="shared" si="16"/>
        <v>88488923.472845316</v>
      </c>
      <c r="S65" s="33">
        <f t="shared" si="17"/>
        <v>832</v>
      </c>
    </row>
    <row r="66" spans="1:19" x14ac:dyDescent="0.3">
      <c r="A66" s="33">
        <f>62</f>
        <v>62</v>
      </c>
      <c r="B66" s="34">
        <f t="shared" si="0"/>
        <v>48245</v>
      </c>
      <c r="C66" s="33">
        <f t="shared" si="1"/>
        <v>6</v>
      </c>
      <c r="D66" s="33">
        <f t="shared" si="2"/>
        <v>2</v>
      </c>
      <c r="E66" s="35">
        <f t="shared" si="3"/>
        <v>106356.3714478125</v>
      </c>
      <c r="F66" s="35">
        <f t="shared" si="4"/>
        <v>88488923.472845316</v>
      </c>
      <c r="G66" s="33">
        <f t="shared" si="5"/>
        <v>832</v>
      </c>
      <c r="H66" s="35">
        <f t="shared" si="6"/>
        <v>88488501.044579998</v>
      </c>
      <c r="I66" s="35">
        <f t="shared" si="7"/>
        <v>422.4282653182745</v>
      </c>
      <c r="J66" s="35">
        <f t="shared" si="8"/>
        <v>7079080.0835664002</v>
      </c>
      <c r="K66" s="35">
        <f t="shared" si="9"/>
        <v>13630632.564751651</v>
      </c>
      <c r="L66" s="35">
        <f t="shared" si="10"/>
        <v>0</v>
      </c>
      <c r="M66" s="35">
        <f t="shared" si="11"/>
        <v>81783795.388509899</v>
      </c>
      <c r="N66" s="36">
        <f t="shared" si="12"/>
        <v>0.39</v>
      </c>
      <c r="O66" s="35">
        <f t="shared" si="13"/>
        <v>0</v>
      </c>
      <c r="P66" s="35">
        <f t="shared" si="14"/>
        <v>0</v>
      </c>
      <c r="Q66" s="35">
        <f t="shared" si="15"/>
        <v>0</v>
      </c>
      <c r="R66" s="35">
        <f t="shared" si="16"/>
        <v>95568003.556411713</v>
      </c>
      <c r="S66" s="33">
        <f t="shared" si="17"/>
        <v>898</v>
      </c>
    </row>
    <row r="67" spans="1:19" x14ac:dyDescent="0.3">
      <c r="A67" s="33">
        <f>63</f>
        <v>63</v>
      </c>
      <c r="B67" s="34">
        <f t="shared" si="0"/>
        <v>48274</v>
      </c>
      <c r="C67" s="33">
        <f t="shared" si="1"/>
        <v>6</v>
      </c>
      <c r="D67" s="33">
        <f t="shared" si="2"/>
        <v>3</v>
      </c>
      <c r="E67" s="35">
        <f t="shared" si="3"/>
        <v>106356.3714478125</v>
      </c>
      <c r="F67" s="35">
        <f t="shared" si="4"/>
        <v>95568003.556411713</v>
      </c>
      <c r="G67" s="33">
        <f t="shared" si="5"/>
        <v>898</v>
      </c>
      <c r="H67" s="35">
        <f t="shared" si="6"/>
        <v>95508021.560135633</v>
      </c>
      <c r="I67" s="35">
        <f t="shared" si="7"/>
        <v>59981.996276080608</v>
      </c>
      <c r="J67" s="35">
        <f t="shared" si="8"/>
        <v>7640641.7248108508</v>
      </c>
      <c r="K67" s="35">
        <f t="shared" si="9"/>
        <v>21271274.289562501</v>
      </c>
      <c r="L67" s="35">
        <f t="shared" si="10"/>
        <v>21271274.289562501</v>
      </c>
      <c r="M67" s="35">
        <f t="shared" si="11"/>
        <v>85085097.158250004</v>
      </c>
      <c r="N67" s="36">
        <f t="shared" si="12"/>
        <v>0.39</v>
      </c>
      <c r="O67" s="35">
        <f t="shared" si="13"/>
        <v>8295796.9729293752</v>
      </c>
      <c r="P67" s="35">
        <f t="shared" si="14"/>
        <v>8295796.9729293752</v>
      </c>
      <c r="Q67" s="35">
        <f t="shared" si="15"/>
        <v>0</v>
      </c>
      <c r="R67" s="35">
        <f t="shared" si="16"/>
        <v>94912848.308293194</v>
      </c>
      <c r="S67" s="33">
        <f t="shared" si="17"/>
        <v>892</v>
      </c>
    </row>
    <row r="68" spans="1:19" x14ac:dyDescent="0.3">
      <c r="A68" s="33">
        <f>64</f>
        <v>64</v>
      </c>
      <c r="B68" s="34">
        <f t="shared" si="0"/>
        <v>48305</v>
      </c>
      <c r="C68" s="33">
        <f t="shared" si="1"/>
        <v>6</v>
      </c>
      <c r="D68" s="33">
        <f t="shared" si="2"/>
        <v>4</v>
      </c>
      <c r="E68" s="35">
        <f t="shared" si="3"/>
        <v>106356.3714478125</v>
      </c>
      <c r="F68" s="35">
        <f t="shared" si="4"/>
        <v>94912848.308293194</v>
      </c>
      <c r="G68" s="33">
        <f t="shared" si="5"/>
        <v>892</v>
      </c>
      <c r="H68" s="35">
        <f t="shared" si="6"/>
        <v>94869883.331448749</v>
      </c>
      <c r="I68" s="35">
        <f t="shared" si="7"/>
        <v>42964.976844444871</v>
      </c>
      <c r="J68" s="35">
        <f t="shared" si="8"/>
        <v>7589590.6665158998</v>
      </c>
      <c r="K68" s="35">
        <f t="shared" si="9"/>
        <v>28860864.956078403</v>
      </c>
      <c r="L68" s="35">
        <f t="shared" si="10"/>
        <v>0</v>
      </c>
      <c r="M68" s="35">
        <f t="shared" si="11"/>
        <v>86582594.868235201</v>
      </c>
      <c r="N68" s="36">
        <f t="shared" si="12"/>
        <v>0.39</v>
      </c>
      <c r="O68" s="35">
        <f t="shared" si="13"/>
        <v>0</v>
      </c>
      <c r="P68" s="35">
        <f t="shared" si="14"/>
        <v>8295796.9729293752</v>
      </c>
      <c r="Q68" s="35">
        <f t="shared" si="15"/>
        <v>0</v>
      </c>
      <c r="R68" s="35">
        <f t="shared" si="16"/>
        <v>102502438.9748091</v>
      </c>
      <c r="S68" s="33">
        <f t="shared" si="17"/>
        <v>963</v>
      </c>
    </row>
    <row r="69" spans="1:19" x14ac:dyDescent="0.3">
      <c r="A69" s="33">
        <f>65</f>
        <v>65</v>
      </c>
      <c r="B69" s="34">
        <f t="shared" ref="B69:B132" si="18">IF($A69&gt;NYears*12,"",EDATE(StartMonth,$A69-1))</f>
        <v>48335</v>
      </c>
      <c r="C69" s="33">
        <f t="shared" ref="C69:C132" si="19">IF($A69&gt;NYears*12,"",INT(($A69-1)/12)+1)</f>
        <v>6</v>
      </c>
      <c r="D69" s="33">
        <f t="shared" ref="D69:D132" si="20">IF($A69&gt;NYears*12,"",MOD($A69-1,12)+1)</f>
        <v>5</v>
      </c>
      <c r="E69" s="35">
        <f t="shared" ref="E69:E132" si="21">IF($A69&gt;NYears*12,"",LotValue0*(1+LotGrowth)^($C69-1))</f>
        <v>106356.3714478125</v>
      </c>
      <c r="F69" s="35">
        <f t="shared" ref="F69:F132" si="22">IF($A69&gt;NYears*12,"",IF($A69=1,InitInvest,$R68))</f>
        <v>102502438.9748091</v>
      </c>
      <c r="G69" s="33">
        <f t="shared" ref="G69:G132" si="23">IF($A69&gt;NYears*12,"",INT($F69/$E69))</f>
        <v>963</v>
      </c>
      <c r="H69" s="35">
        <f t="shared" ref="H69:H132" si="24">IF($A69&gt;NYears*12,"",$G69*$E69)</f>
        <v>102421185.70424344</v>
      </c>
      <c r="I69" s="35">
        <f t="shared" ref="I69:I132" si="25">IF($A69&gt;NYears*12,"",$F69-$H69)</f>
        <v>81253.270565658808</v>
      </c>
      <c r="J69" s="35">
        <f t="shared" ref="J69:J132" si="26">IF($A69&gt;NYears*12,"",$H69*RateB)</f>
        <v>8193694.8563394751</v>
      </c>
      <c r="K69" s="35">
        <f t="shared" ref="K69:K132" si="27">IF($A69&gt;NYears*12,"",IF($D69=1,$J69,$K68+$J69))</f>
        <v>37054559.81241788</v>
      </c>
      <c r="L69" s="35">
        <f t="shared" ref="L69:L132" si="28">IF($A69&gt;NYears*12,"",IF(MOD($D69,3)=0,SUM($J67:$J69),0))</f>
        <v>0</v>
      </c>
      <c r="M69" s="35">
        <f t="shared" ref="M69:M132" si="29">IF($A69&gt;NYears*12,"",IF(TaxFreq="Quarterly",$K69*12/$D69,$K69))</f>
        <v>88930943.549802914</v>
      </c>
      <c r="N69" s="36">
        <f t="shared" ref="N69:N132" si="30">IF($A69&gt;NYears*12,"",LOOKUP($M69,TaxLower,TaxRate))</f>
        <v>0.39</v>
      </c>
      <c r="O69" s="35">
        <f t="shared" ref="O69:O132" si="31">IF($A69&gt;NYears*12,"",IF(TaxFreq="Quarterly",IF(MOD($D69,3)=0,$L69*$N69,0),IF($D69=12,$K69*$N69,0)))</f>
        <v>0</v>
      </c>
      <c r="P69" s="35">
        <f t="shared" ref="P69:P132" si="32">IF($A69&gt;NYears*12,"",IF($D69=1,$O69,$P68+$O69))</f>
        <v>8295796.9729293752</v>
      </c>
      <c r="Q69" s="35">
        <f t="shared" ref="Q69:Q132" si="33">IF($A69&gt;NYears*12,"",IF($D69=12,MIN(WdrPct*IF(WdrBase="Post-tax profit",$K69-$P69,$K69),WdrCap),0))</f>
        <v>0</v>
      </c>
      <c r="R69" s="35">
        <f t="shared" ref="R69:R132" si="34">IF($A69&gt;NYears*12,"",$F69+$J69-$O69-$Q69)</f>
        <v>110696133.83114856</v>
      </c>
      <c r="S69" s="33">
        <f t="shared" ref="S69:S132" si="35">IF($A69&gt;NYears*12,"",INT($R69/$E69))</f>
        <v>1040</v>
      </c>
    </row>
    <row r="70" spans="1:19" x14ac:dyDescent="0.3">
      <c r="A70" s="33">
        <f>66</f>
        <v>66</v>
      </c>
      <c r="B70" s="34">
        <f t="shared" si="18"/>
        <v>48366</v>
      </c>
      <c r="C70" s="33">
        <f t="shared" si="19"/>
        <v>6</v>
      </c>
      <c r="D70" s="33">
        <f t="shared" si="20"/>
        <v>6</v>
      </c>
      <c r="E70" s="35">
        <f t="shared" si="21"/>
        <v>106356.3714478125</v>
      </c>
      <c r="F70" s="35">
        <f t="shared" si="22"/>
        <v>110696133.83114856</v>
      </c>
      <c r="G70" s="33">
        <f t="shared" si="23"/>
        <v>1040</v>
      </c>
      <c r="H70" s="35">
        <f t="shared" si="24"/>
        <v>110610626.30572501</v>
      </c>
      <c r="I70" s="35">
        <f t="shared" si="25"/>
        <v>85507.525423556566</v>
      </c>
      <c r="J70" s="35">
        <f t="shared" si="26"/>
        <v>8848850.1044580005</v>
      </c>
      <c r="K70" s="35">
        <f t="shared" si="27"/>
        <v>45903409.916875884</v>
      </c>
      <c r="L70" s="35">
        <f t="shared" si="28"/>
        <v>24632135.627313375</v>
      </c>
      <c r="M70" s="35">
        <f t="shared" si="29"/>
        <v>91806819.833751753</v>
      </c>
      <c r="N70" s="36">
        <f t="shared" si="30"/>
        <v>0.39</v>
      </c>
      <c r="O70" s="35">
        <f t="shared" si="31"/>
        <v>9606532.8946522176</v>
      </c>
      <c r="P70" s="35">
        <f t="shared" si="32"/>
        <v>17902329.867581591</v>
      </c>
      <c r="Q70" s="35">
        <f t="shared" si="33"/>
        <v>0</v>
      </c>
      <c r="R70" s="35">
        <f t="shared" si="34"/>
        <v>109938451.04095435</v>
      </c>
      <c r="S70" s="33">
        <f t="shared" si="35"/>
        <v>1033</v>
      </c>
    </row>
    <row r="71" spans="1:19" x14ac:dyDescent="0.3">
      <c r="A71" s="33">
        <f>67</f>
        <v>67</v>
      </c>
      <c r="B71" s="34">
        <f t="shared" si="18"/>
        <v>48396</v>
      </c>
      <c r="C71" s="33">
        <f t="shared" si="19"/>
        <v>6</v>
      </c>
      <c r="D71" s="33">
        <f t="shared" si="20"/>
        <v>7</v>
      </c>
      <c r="E71" s="35">
        <f t="shared" si="21"/>
        <v>106356.3714478125</v>
      </c>
      <c r="F71" s="35">
        <f t="shared" si="22"/>
        <v>109938451.04095435</v>
      </c>
      <c r="G71" s="33">
        <f t="shared" si="23"/>
        <v>1033</v>
      </c>
      <c r="H71" s="35">
        <f t="shared" si="24"/>
        <v>109866131.70559032</v>
      </c>
      <c r="I71" s="35">
        <f t="shared" si="25"/>
        <v>72319.335364028811</v>
      </c>
      <c r="J71" s="35">
        <f t="shared" si="26"/>
        <v>8789290.5364472251</v>
      </c>
      <c r="K71" s="35">
        <f t="shared" si="27"/>
        <v>54692700.453323111</v>
      </c>
      <c r="L71" s="35">
        <f t="shared" si="28"/>
        <v>0</v>
      </c>
      <c r="M71" s="35">
        <f t="shared" si="29"/>
        <v>93758915.062839612</v>
      </c>
      <c r="N71" s="36">
        <f t="shared" si="30"/>
        <v>0.39</v>
      </c>
      <c r="O71" s="35">
        <f t="shared" si="31"/>
        <v>0</v>
      </c>
      <c r="P71" s="35">
        <f t="shared" si="32"/>
        <v>17902329.867581591</v>
      </c>
      <c r="Q71" s="35">
        <f t="shared" si="33"/>
        <v>0</v>
      </c>
      <c r="R71" s="35">
        <f t="shared" si="34"/>
        <v>118727741.57740158</v>
      </c>
      <c r="S71" s="33">
        <f t="shared" si="35"/>
        <v>1116</v>
      </c>
    </row>
    <row r="72" spans="1:19" x14ac:dyDescent="0.3">
      <c r="A72" s="33">
        <f>68</f>
        <v>68</v>
      </c>
      <c r="B72" s="34">
        <f t="shared" si="18"/>
        <v>48427</v>
      </c>
      <c r="C72" s="33">
        <f t="shared" si="19"/>
        <v>6</v>
      </c>
      <c r="D72" s="33">
        <f t="shared" si="20"/>
        <v>8</v>
      </c>
      <c r="E72" s="35">
        <f t="shared" si="21"/>
        <v>106356.3714478125</v>
      </c>
      <c r="F72" s="35">
        <f t="shared" si="22"/>
        <v>118727741.57740158</v>
      </c>
      <c r="G72" s="33">
        <f t="shared" si="23"/>
        <v>1116</v>
      </c>
      <c r="H72" s="35">
        <f t="shared" si="24"/>
        <v>118693710.53575875</v>
      </c>
      <c r="I72" s="35">
        <f t="shared" si="25"/>
        <v>34031.041642829776</v>
      </c>
      <c r="J72" s="35">
        <f t="shared" si="26"/>
        <v>9495496.8428607006</v>
      </c>
      <c r="K72" s="35">
        <f t="shared" si="27"/>
        <v>64188197.29618381</v>
      </c>
      <c r="L72" s="35">
        <f t="shared" si="28"/>
        <v>0</v>
      </c>
      <c r="M72" s="35">
        <f t="shared" si="29"/>
        <v>96282295.944275707</v>
      </c>
      <c r="N72" s="36">
        <f t="shared" si="30"/>
        <v>0.39</v>
      </c>
      <c r="O72" s="35">
        <f t="shared" si="31"/>
        <v>0</v>
      </c>
      <c r="P72" s="35">
        <f t="shared" si="32"/>
        <v>17902329.867581591</v>
      </c>
      <c r="Q72" s="35">
        <f t="shared" si="33"/>
        <v>0</v>
      </c>
      <c r="R72" s="35">
        <f t="shared" si="34"/>
        <v>128223238.42026228</v>
      </c>
      <c r="S72" s="33">
        <f t="shared" si="35"/>
        <v>1205</v>
      </c>
    </row>
    <row r="73" spans="1:19" x14ac:dyDescent="0.3">
      <c r="A73" s="33">
        <f>69</f>
        <v>69</v>
      </c>
      <c r="B73" s="34">
        <f t="shared" si="18"/>
        <v>48458</v>
      </c>
      <c r="C73" s="33">
        <f t="shared" si="19"/>
        <v>6</v>
      </c>
      <c r="D73" s="33">
        <f t="shared" si="20"/>
        <v>9</v>
      </c>
      <c r="E73" s="35">
        <f t="shared" si="21"/>
        <v>106356.3714478125</v>
      </c>
      <c r="F73" s="35">
        <f t="shared" si="22"/>
        <v>128223238.42026228</v>
      </c>
      <c r="G73" s="33">
        <f t="shared" si="23"/>
        <v>1205</v>
      </c>
      <c r="H73" s="35">
        <f t="shared" si="24"/>
        <v>128159427.59461407</v>
      </c>
      <c r="I73" s="35">
        <f t="shared" si="25"/>
        <v>63810.825648203492</v>
      </c>
      <c r="J73" s="35">
        <f t="shared" si="26"/>
        <v>10252754.207569126</v>
      </c>
      <c r="K73" s="35">
        <f t="shared" si="27"/>
        <v>74440951.503752932</v>
      </c>
      <c r="L73" s="35">
        <f t="shared" si="28"/>
        <v>28537541.586877052</v>
      </c>
      <c r="M73" s="35">
        <f t="shared" si="29"/>
        <v>99254602.005003899</v>
      </c>
      <c r="N73" s="36">
        <f t="shared" si="30"/>
        <v>0.39</v>
      </c>
      <c r="O73" s="35">
        <f t="shared" si="31"/>
        <v>11129641.21888205</v>
      </c>
      <c r="P73" s="35">
        <f t="shared" si="32"/>
        <v>29031971.086463641</v>
      </c>
      <c r="Q73" s="35">
        <f t="shared" si="33"/>
        <v>0</v>
      </c>
      <c r="R73" s="35">
        <f t="shared" si="34"/>
        <v>127346351.40894935</v>
      </c>
      <c r="S73" s="33">
        <f t="shared" si="35"/>
        <v>1197</v>
      </c>
    </row>
    <row r="74" spans="1:19" x14ac:dyDescent="0.3">
      <c r="A74" s="33">
        <f>70</f>
        <v>70</v>
      </c>
      <c r="B74" s="34">
        <f t="shared" si="18"/>
        <v>48488</v>
      </c>
      <c r="C74" s="33">
        <f t="shared" si="19"/>
        <v>6</v>
      </c>
      <c r="D74" s="33">
        <f t="shared" si="20"/>
        <v>10</v>
      </c>
      <c r="E74" s="35">
        <f t="shared" si="21"/>
        <v>106356.3714478125</v>
      </c>
      <c r="F74" s="35">
        <f t="shared" si="22"/>
        <v>127346351.40894935</v>
      </c>
      <c r="G74" s="33">
        <f t="shared" si="23"/>
        <v>1197</v>
      </c>
      <c r="H74" s="35">
        <f t="shared" si="24"/>
        <v>127308576.62303157</v>
      </c>
      <c r="I74" s="35">
        <f t="shared" si="25"/>
        <v>37774.785917773843</v>
      </c>
      <c r="J74" s="35">
        <f t="shared" si="26"/>
        <v>10184686.129842525</v>
      </c>
      <c r="K74" s="35">
        <f t="shared" si="27"/>
        <v>84625637.633595452</v>
      </c>
      <c r="L74" s="35">
        <f t="shared" si="28"/>
        <v>0</v>
      </c>
      <c r="M74" s="35">
        <f t="shared" si="29"/>
        <v>101550765.16031453</v>
      </c>
      <c r="N74" s="36">
        <f t="shared" si="30"/>
        <v>0.39</v>
      </c>
      <c r="O74" s="35">
        <f t="shared" si="31"/>
        <v>0</v>
      </c>
      <c r="P74" s="35">
        <f t="shared" si="32"/>
        <v>29031971.086463641</v>
      </c>
      <c r="Q74" s="35">
        <f t="shared" si="33"/>
        <v>0</v>
      </c>
      <c r="R74" s="35">
        <f t="shared" si="34"/>
        <v>137531037.53879187</v>
      </c>
      <c r="S74" s="33">
        <f t="shared" si="35"/>
        <v>1293</v>
      </c>
    </row>
    <row r="75" spans="1:19" x14ac:dyDescent="0.3">
      <c r="A75" s="33">
        <f>71</f>
        <v>71</v>
      </c>
      <c r="B75" s="34">
        <f t="shared" si="18"/>
        <v>48519</v>
      </c>
      <c r="C75" s="33">
        <f t="shared" si="19"/>
        <v>6</v>
      </c>
      <c r="D75" s="33">
        <f t="shared" si="20"/>
        <v>11</v>
      </c>
      <c r="E75" s="35">
        <f t="shared" si="21"/>
        <v>106356.3714478125</v>
      </c>
      <c r="F75" s="35">
        <f t="shared" si="22"/>
        <v>137531037.53879187</v>
      </c>
      <c r="G75" s="33">
        <f t="shared" si="23"/>
        <v>1293</v>
      </c>
      <c r="H75" s="35">
        <f t="shared" si="24"/>
        <v>137518788.28202158</v>
      </c>
      <c r="I75" s="35">
        <f t="shared" si="25"/>
        <v>12249.256770282984</v>
      </c>
      <c r="J75" s="35">
        <f t="shared" si="26"/>
        <v>11001503.062561726</v>
      </c>
      <c r="K75" s="35">
        <f t="shared" si="27"/>
        <v>95627140.696157172</v>
      </c>
      <c r="L75" s="35">
        <f t="shared" si="28"/>
        <v>0</v>
      </c>
      <c r="M75" s="35">
        <f t="shared" si="29"/>
        <v>104320517.12308055</v>
      </c>
      <c r="N75" s="36">
        <f t="shared" si="30"/>
        <v>0.39</v>
      </c>
      <c r="O75" s="35">
        <f t="shared" si="31"/>
        <v>0</v>
      </c>
      <c r="P75" s="35">
        <f t="shared" si="32"/>
        <v>29031971.086463641</v>
      </c>
      <c r="Q75" s="35">
        <f t="shared" si="33"/>
        <v>0</v>
      </c>
      <c r="R75" s="35">
        <f t="shared" si="34"/>
        <v>148532540.60135359</v>
      </c>
      <c r="S75" s="33">
        <f t="shared" si="35"/>
        <v>1396</v>
      </c>
    </row>
    <row r="76" spans="1:19" x14ac:dyDescent="0.3">
      <c r="A76" s="37">
        <f>72</f>
        <v>72</v>
      </c>
      <c r="B76" s="38">
        <f t="shared" si="18"/>
        <v>48549</v>
      </c>
      <c r="C76" s="37">
        <f t="shared" si="19"/>
        <v>6</v>
      </c>
      <c r="D76" s="37">
        <f t="shared" si="20"/>
        <v>12</v>
      </c>
      <c r="E76" s="39">
        <f t="shared" si="21"/>
        <v>106356.3714478125</v>
      </c>
      <c r="F76" s="39">
        <f t="shared" si="22"/>
        <v>148532540.60135359</v>
      </c>
      <c r="G76" s="37">
        <f t="shared" si="23"/>
        <v>1396</v>
      </c>
      <c r="H76" s="39">
        <f t="shared" si="24"/>
        <v>148473494.54114625</v>
      </c>
      <c r="I76" s="39">
        <f t="shared" si="25"/>
        <v>59046.060207337141</v>
      </c>
      <c r="J76" s="39">
        <f t="shared" si="26"/>
        <v>11877879.563291701</v>
      </c>
      <c r="K76" s="39">
        <f t="shared" si="27"/>
        <v>107505020.25944887</v>
      </c>
      <c r="L76" s="39">
        <f t="shared" si="28"/>
        <v>33064068.755695954</v>
      </c>
      <c r="M76" s="39">
        <f t="shared" si="29"/>
        <v>107505020.25944887</v>
      </c>
      <c r="N76" s="40">
        <f t="shared" si="30"/>
        <v>0.39</v>
      </c>
      <c r="O76" s="39">
        <f t="shared" si="31"/>
        <v>12894986.814721422</v>
      </c>
      <c r="P76" s="39">
        <f t="shared" si="32"/>
        <v>41926957.901185066</v>
      </c>
      <c r="Q76" s="39">
        <f t="shared" si="33"/>
        <v>6557806.2358263806</v>
      </c>
      <c r="R76" s="39">
        <f t="shared" si="34"/>
        <v>140957627.11409748</v>
      </c>
      <c r="S76" s="37">
        <f t="shared" si="35"/>
        <v>1325</v>
      </c>
    </row>
    <row r="77" spans="1:19" x14ac:dyDescent="0.3">
      <c r="A77" s="33">
        <f>73</f>
        <v>73</v>
      </c>
      <c r="B77" s="34">
        <f t="shared" si="18"/>
        <v>48580</v>
      </c>
      <c r="C77" s="33">
        <f t="shared" si="19"/>
        <v>7</v>
      </c>
      <c r="D77" s="33">
        <f t="shared" si="20"/>
        <v>1</v>
      </c>
      <c r="E77" s="35">
        <f t="shared" si="21"/>
        <v>111674.19002020312</v>
      </c>
      <c r="F77" s="35">
        <f t="shared" si="22"/>
        <v>140957627.11409748</v>
      </c>
      <c r="G77" s="33">
        <f t="shared" si="23"/>
        <v>1262</v>
      </c>
      <c r="H77" s="35">
        <f t="shared" si="24"/>
        <v>140932827.80549634</v>
      </c>
      <c r="I77" s="35">
        <f t="shared" si="25"/>
        <v>24799.308601140976</v>
      </c>
      <c r="J77" s="35">
        <f t="shared" si="26"/>
        <v>11274626.224439707</v>
      </c>
      <c r="K77" s="35">
        <f t="shared" si="27"/>
        <v>11274626.224439707</v>
      </c>
      <c r="L77" s="35">
        <f t="shared" si="28"/>
        <v>0</v>
      </c>
      <c r="M77" s="35">
        <f t="shared" si="29"/>
        <v>135295514.69327646</v>
      </c>
      <c r="N77" s="36">
        <f t="shared" si="30"/>
        <v>0.39</v>
      </c>
      <c r="O77" s="35">
        <f t="shared" si="31"/>
        <v>0</v>
      </c>
      <c r="P77" s="35">
        <f t="shared" si="32"/>
        <v>0</v>
      </c>
      <c r="Q77" s="35">
        <f t="shared" si="33"/>
        <v>0</v>
      </c>
      <c r="R77" s="35">
        <f t="shared" si="34"/>
        <v>152232253.33853719</v>
      </c>
      <c r="S77" s="33">
        <f t="shared" si="35"/>
        <v>1363</v>
      </c>
    </row>
    <row r="78" spans="1:19" x14ac:dyDescent="0.3">
      <c r="A78" s="33">
        <f>74</f>
        <v>74</v>
      </c>
      <c r="B78" s="34">
        <f t="shared" si="18"/>
        <v>48611</v>
      </c>
      <c r="C78" s="33">
        <f t="shared" si="19"/>
        <v>7</v>
      </c>
      <c r="D78" s="33">
        <f t="shared" si="20"/>
        <v>2</v>
      </c>
      <c r="E78" s="35">
        <f t="shared" si="21"/>
        <v>111674.19002020312</v>
      </c>
      <c r="F78" s="35">
        <f t="shared" si="22"/>
        <v>152232253.33853719</v>
      </c>
      <c r="G78" s="33">
        <f t="shared" si="23"/>
        <v>1363</v>
      </c>
      <c r="H78" s="35">
        <f t="shared" si="24"/>
        <v>152211920.99753687</v>
      </c>
      <c r="I78" s="35">
        <f t="shared" si="25"/>
        <v>20332.341000318527</v>
      </c>
      <c r="J78" s="35">
        <f t="shared" si="26"/>
        <v>12176953.67980295</v>
      </c>
      <c r="K78" s="35">
        <f t="shared" si="27"/>
        <v>23451579.904242657</v>
      </c>
      <c r="L78" s="35">
        <f t="shared" si="28"/>
        <v>0</v>
      </c>
      <c r="M78" s="35">
        <f t="shared" si="29"/>
        <v>140709479.42545593</v>
      </c>
      <c r="N78" s="36">
        <f t="shared" si="30"/>
        <v>0.39</v>
      </c>
      <c r="O78" s="35">
        <f t="shared" si="31"/>
        <v>0</v>
      </c>
      <c r="P78" s="35">
        <f t="shared" si="32"/>
        <v>0</v>
      </c>
      <c r="Q78" s="35">
        <f t="shared" si="33"/>
        <v>0</v>
      </c>
      <c r="R78" s="35">
        <f t="shared" si="34"/>
        <v>164409207.01834014</v>
      </c>
      <c r="S78" s="33">
        <f t="shared" si="35"/>
        <v>1472</v>
      </c>
    </row>
    <row r="79" spans="1:19" x14ac:dyDescent="0.3">
      <c r="A79" s="33">
        <f>75</f>
        <v>75</v>
      </c>
      <c r="B79" s="34">
        <f t="shared" si="18"/>
        <v>48639</v>
      </c>
      <c r="C79" s="33">
        <f t="shared" si="19"/>
        <v>7</v>
      </c>
      <c r="D79" s="33">
        <f t="shared" si="20"/>
        <v>3</v>
      </c>
      <c r="E79" s="35">
        <f t="shared" si="21"/>
        <v>111674.19002020312</v>
      </c>
      <c r="F79" s="35">
        <f t="shared" si="22"/>
        <v>164409207.01834014</v>
      </c>
      <c r="G79" s="33">
        <f t="shared" si="23"/>
        <v>1472</v>
      </c>
      <c r="H79" s="35">
        <f t="shared" si="24"/>
        <v>164384407.709739</v>
      </c>
      <c r="I79" s="35">
        <f t="shared" si="25"/>
        <v>24799.308601140976</v>
      </c>
      <c r="J79" s="35">
        <f t="shared" si="26"/>
        <v>13150752.616779121</v>
      </c>
      <c r="K79" s="35">
        <f t="shared" si="27"/>
        <v>36602332.521021776</v>
      </c>
      <c r="L79" s="35">
        <f t="shared" si="28"/>
        <v>36602332.521021776</v>
      </c>
      <c r="M79" s="35">
        <f t="shared" si="29"/>
        <v>146409330.0840871</v>
      </c>
      <c r="N79" s="36">
        <f t="shared" si="30"/>
        <v>0.39</v>
      </c>
      <c r="O79" s="35">
        <f t="shared" si="31"/>
        <v>14274909.683198493</v>
      </c>
      <c r="P79" s="35">
        <f t="shared" si="32"/>
        <v>14274909.683198493</v>
      </c>
      <c r="Q79" s="35">
        <f t="shared" si="33"/>
        <v>0</v>
      </c>
      <c r="R79" s="35">
        <f t="shared" si="34"/>
        <v>163285049.95192078</v>
      </c>
      <c r="S79" s="33">
        <f t="shared" si="35"/>
        <v>1462</v>
      </c>
    </row>
    <row r="80" spans="1:19" x14ac:dyDescent="0.3">
      <c r="A80" s="33">
        <f>76</f>
        <v>76</v>
      </c>
      <c r="B80" s="34">
        <f t="shared" si="18"/>
        <v>48670</v>
      </c>
      <c r="C80" s="33">
        <f t="shared" si="19"/>
        <v>7</v>
      </c>
      <c r="D80" s="33">
        <f t="shared" si="20"/>
        <v>4</v>
      </c>
      <c r="E80" s="35">
        <f t="shared" si="21"/>
        <v>111674.19002020312</v>
      </c>
      <c r="F80" s="35">
        <f t="shared" si="22"/>
        <v>163285049.95192078</v>
      </c>
      <c r="G80" s="33">
        <f t="shared" si="23"/>
        <v>1462</v>
      </c>
      <c r="H80" s="35">
        <f t="shared" si="24"/>
        <v>163267665.80953696</v>
      </c>
      <c r="I80" s="35">
        <f t="shared" si="25"/>
        <v>17384.142383813858</v>
      </c>
      <c r="J80" s="35">
        <f t="shared" si="26"/>
        <v>13061413.264762957</v>
      </c>
      <c r="K80" s="35">
        <f t="shared" si="27"/>
        <v>49663745.785784736</v>
      </c>
      <c r="L80" s="35">
        <f t="shared" si="28"/>
        <v>0</v>
      </c>
      <c r="M80" s="35">
        <f t="shared" si="29"/>
        <v>148991237.35735422</v>
      </c>
      <c r="N80" s="36">
        <f t="shared" si="30"/>
        <v>0.39</v>
      </c>
      <c r="O80" s="35">
        <f t="shared" si="31"/>
        <v>0</v>
      </c>
      <c r="P80" s="35">
        <f t="shared" si="32"/>
        <v>14274909.683198493</v>
      </c>
      <c r="Q80" s="35">
        <f t="shared" si="33"/>
        <v>0</v>
      </c>
      <c r="R80" s="35">
        <f t="shared" si="34"/>
        <v>176346463.21668375</v>
      </c>
      <c r="S80" s="33">
        <f t="shared" si="35"/>
        <v>1579</v>
      </c>
    </row>
    <row r="81" spans="1:19" x14ac:dyDescent="0.3">
      <c r="A81" s="33">
        <f>77</f>
        <v>77</v>
      </c>
      <c r="B81" s="34">
        <f t="shared" si="18"/>
        <v>48700</v>
      </c>
      <c r="C81" s="33">
        <f t="shared" si="19"/>
        <v>7</v>
      </c>
      <c r="D81" s="33">
        <f t="shared" si="20"/>
        <v>5</v>
      </c>
      <c r="E81" s="35">
        <f t="shared" si="21"/>
        <v>111674.19002020312</v>
      </c>
      <c r="F81" s="35">
        <f t="shared" si="22"/>
        <v>176346463.21668375</v>
      </c>
      <c r="G81" s="33">
        <f t="shared" si="23"/>
        <v>1579</v>
      </c>
      <c r="H81" s="35">
        <f t="shared" si="24"/>
        <v>176333546.04190072</v>
      </c>
      <c r="I81" s="35">
        <f t="shared" si="25"/>
        <v>12917.174783021212</v>
      </c>
      <c r="J81" s="35">
        <f t="shared" si="26"/>
        <v>14106683.683352059</v>
      </c>
      <c r="K81" s="35">
        <f t="shared" si="27"/>
        <v>63770429.469136797</v>
      </c>
      <c r="L81" s="35">
        <f t="shared" si="28"/>
        <v>0</v>
      </c>
      <c r="M81" s="35">
        <f t="shared" si="29"/>
        <v>153049030.72592831</v>
      </c>
      <c r="N81" s="36">
        <f t="shared" si="30"/>
        <v>0.39</v>
      </c>
      <c r="O81" s="35">
        <f t="shared" si="31"/>
        <v>0</v>
      </c>
      <c r="P81" s="35">
        <f t="shared" si="32"/>
        <v>14274909.683198493</v>
      </c>
      <c r="Q81" s="35">
        <f t="shared" si="33"/>
        <v>0</v>
      </c>
      <c r="R81" s="35">
        <f t="shared" si="34"/>
        <v>190453146.9000358</v>
      </c>
      <c r="S81" s="33">
        <f t="shared" si="35"/>
        <v>1705</v>
      </c>
    </row>
    <row r="82" spans="1:19" x14ac:dyDescent="0.3">
      <c r="A82" s="33">
        <f>78</f>
        <v>78</v>
      </c>
      <c r="B82" s="34">
        <f t="shared" si="18"/>
        <v>48731</v>
      </c>
      <c r="C82" s="33">
        <f t="shared" si="19"/>
        <v>7</v>
      </c>
      <c r="D82" s="33">
        <f t="shared" si="20"/>
        <v>6</v>
      </c>
      <c r="E82" s="35">
        <f t="shared" si="21"/>
        <v>111674.19002020312</v>
      </c>
      <c r="F82" s="35">
        <f t="shared" si="22"/>
        <v>190453146.9000358</v>
      </c>
      <c r="G82" s="33">
        <f t="shared" si="23"/>
        <v>1705</v>
      </c>
      <c r="H82" s="35">
        <f t="shared" si="24"/>
        <v>190404493.98444632</v>
      </c>
      <c r="I82" s="35">
        <f t="shared" si="25"/>
        <v>48652.915589481592</v>
      </c>
      <c r="J82" s="35">
        <f t="shared" si="26"/>
        <v>15232359.518755706</v>
      </c>
      <c r="K82" s="35">
        <f t="shared" si="27"/>
        <v>79002788.987892509</v>
      </c>
      <c r="L82" s="35">
        <f t="shared" si="28"/>
        <v>42400456.466870718</v>
      </c>
      <c r="M82" s="35">
        <f t="shared" si="29"/>
        <v>158005577.97578502</v>
      </c>
      <c r="N82" s="36">
        <f t="shared" si="30"/>
        <v>0.39</v>
      </c>
      <c r="O82" s="35">
        <f t="shared" si="31"/>
        <v>16536178.022079581</v>
      </c>
      <c r="P82" s="35">
        <f t="shared" si="32"/>
        <v>30811087.705278076</v>
      </c>
      <c r="Q82" s="35">
        <f t="shared" si="33"/>
        <v>0</v>
      </c>
      <c r="R82" s="35">
        <f t="shared" si="34"/>
        <v>189149328.39671192</v>
      </c>
      <c r="S82" s="33">
        <f t="shared" si="35"/>
        <v>1693</v>
      </c>
    </row>
    <row r="83" spans="1:19" x14ac:dyDescent="0.3">
      <c r="A83" s="33">
        <f>79</f>
        <v>79</v>
      </c>
      <c r="B83" s="34">
        <f t="shared" si="18"/>
        <v>48761</v>
      </c>
      <c r="C83" s="33">
        <f t="shared" si="19"/>
        <v>7</v>
      </c>
      <c r="D83" s="33">
        <f t="shared" si="20"/>
        <v>7</v>
      </c>
      <c r="E83" s="35">
        <f t="shared" si="21"/>
        <v>111674.19002020312</v>
      </c>
      <c r="F83" s="35">
        <f t="shared" si="22"/>
        <v>189149328.39671192</v>
      </c>
      <c r="G83" s="33">
        <f t="shared" si="23"/>
        <v>1693</v>
      </c>
      <c r="H83" s="35">
        <f t="shared" si="24"/>
        <v>189064403.7042039</v>
      </c>
      <c r="I83" s="35">
        <f t="shared" si="25"/>
        <v>84924.692508012056</v>
      </c>
      <c r="J83" s="35">
        <f t="shared" si="26"/>
        <v>15125152.296336312</v>
      </c>
      <c r="K83" s="35">
        <f t="shared" si="27"/>
        <v>94127941.284228817</v>
      </c>
      <c r="L83" s="35">
        <f t="shared" si="28"/>
        <v>0</v>
      </c>
      <c r="M83" s="35">
        <f t="shared" si="29"/>
        <v>161362185.05867797</v>
      </c>
      <c r="N83" s="36">
        <f t="shared" si="30"/>
        <v>0.39</v>
      </c>
      <c r="O83" s="35">
        <f t="shared" si="31"/>
        <v>0</v>
      </c>
      <c r="P83" s="35">
        <f t="shared" si="32"/>
        <v>30811087.705278076</v>
      </c>
      <c r="Q83" s="35">
        <f t="shared" si="33"/>
        <v>0</v>
      </c>
      <c r="R83" s="35">
        <f t="shared" si="34"/>
        <v>204274480.69304824</v>
      </c>
      <c r="S83" s="33">
        <f t="shared" si="35"/>
        <v>1829</v>
      </c>
    </row>
    <row r="84" spans="1:19" x14ac:dyDescent="0.3">
      <c r="A84" s="33">
        <f>80</f>
        <v>80</v>
      </c>
      <c r="B84" s="34">
        <f t="shared" si="18"/>
        <v>48792</v>
      </c>
      <c r="C84" s="33">
        <f t="shared" si="19"/>
        <v>7</v>
      </c>
      <c r="D84" s="33">
        <f t="shared" si="20"/>
        <v>8</v>
      </c>
      <c r="E84" s="35">
        <f t="shared" si="21"/>
        <v>111674.19002020312</v>
      </c>
      <c r="F84" s="35">
        <f t="shared" si="22"/>
        <v>204274480.69304824</v>
      </c>
      <c r="G84" s="33">
        <f t="shared" si="23"/>
        <v>1829</v>
      </c>
      <c r="H84" s="35">
        <f t="shared" si="24"/>
        <v>204252093.5469515</v>
      </c>
      <c r="I84" s="35">
        <f t="shared" si="25"/>
        <v>22387.146096736193</v>
      </c>
      <c r="J84" s="35">
        <f t="shared" si="26"/>
        <v>16340167.483756121</v>
      </c>
      <c r="K84" s="35">
        <f t="shared" si="27"/>
        <v>110468108.76798494</v>
      </c>
      <c r="L84" s="35">
        <f t="shared" si="28"/>
        <v>0</v>
      </c>
      <c r="M84" s="35">
        <f t="shared" si="29"/>
        <v>165702163.15197742</v>
      </c>
      <c r="N84" s="36">
        <f t="shared" si="30"/>
        <v>0.39</v>
      </c>
      <c r="O84" s="35">
        <f t="shared" si="31"/>
        <v>0</v>
      </c>
      <c r="P84" s="35">
        <f t="shared" si="32"/>
        <v>30811087.705278076</v>
      </c>
      <c r="Q84" s="35">
        <f t="shared" si="33"/>
        <v>0</v>
      </c>
      <c r="R84" s="35">
        <f t="shared" si="34"/>
        <v>220614648.17680436</v>
      </c>
      <c r="S84" s="33">
        <f t="shared" si="35"/>
        <v>1975</v>
      </c>
    </row>
    <row r="85" spans="1:19" x14ac:dyDescent="0.3">
      <c r="A85" s="33">
        <f>81</f>
        <v>81</v>
      </c>
      <c r="B85" s="34">
        <f t="shared" si="18"/>
        <v>48823</v>
      </c>
      <c r="C85" s="33">
        <f t="shared" si="19"/>
        <v>7</v>
      </c>
      <c r="D85" s="33">
        <f t="shared" si="20"/>
        <v>9</v>
      </c>
      <c r="E85" s="35">
        <f t="shared" si="21"/>
        <v>111674.19002020312</v>
      </c>
      <c r="F85" s="35">
        <f t="shared" si="22"/>
        <v>220614648.17680436</v>
      </c>
      <c r="G85" s="33">
        <f t="shared" si="23"/>
        <v>1975</v>
      </c>
      <c r="H85" s="35">
        <f t="shared" si="24"/>
        <v>220556525.28990117</v>
      </c>
      <c r="I85" s="35">
        <f t="shared" si="25"/>
        <v>58122.886903196573</v>
      </c>
      <c r="J85" s="35">
        <f t="shared" si="26"/>
        <v>17644522.023192093</v>
      </c>
      <c r="K85" s="35">
        <f t="shared" si="27"/>
        <v>128112630.79117703</v>
      </c>
      <c r="L85" s="35">
        <f t="shared" si="28"/>
        <v>49109841.803284526</v>
      </c>
      <c r="M85" s="35">
        <f t="shared" si="29"/>
        <v>170816841.0549027</v>
      </c>
      <c r="N85" s="36">
        <f t="shared" si="30"/>
        <v>0.39</v>
      </c>
      <c r="O85" s="35">
        <f t="shared" si="31"/>
        <v>19152838.303280964</v>
      </c>
      <c r="P85" s="35">
        <f t="shared" si="32"/>
        <v>49963926.008559041</v>
      </c>
      <c r="Q85" s="35">
        <f t="shared" si="33"/>
        <v>0</v>
      </c>
      <c r="R85" s="35">
        <f t="shared" si="34"/>
        <v>219106331.89671552</v>
      </c>
      <c r="S85" s="33">
        <f t="shared" si="35"/>
        <v>1962</v>
      </c>
    </row>
    <row r="86" spans="1:19" x14ac:dyDescent="0.3">
      <c r="A86" s="33">
        <f>82</f>
        <v>82</v>
      </c>
      <c r="B86" s="34">
        <f t="shared" si="18"/>
        <v>48853</v>
      </c>
      <c r="C86" s="33">
        <f t="shared" si="19"/>
        <v>7</v>
      </c>
      <c r="D86" s="33">
        <f t="shared" si="20"/>
        <v>10</v>
      </c>
      <c r="E86" s="35">
        <f t="shared" si="21"/>
        <v>111674.19002020312</v>
      </c>
      <c r="F86" s="35">
        <f t="shared" si="22"/>
        <v>219106331.89671552</v>
      </c>
      <c r="G86" s="33">
        <f t="shared" si="23"/>
        <v>1962</v>
      </c>
      <c r="H86" s="35">
        <f t="shared" si="24"/>
        <v>219104760.81963852</v>
      </c>
      <c r="I86" s="35">
        <f t="shared" si="25"/>
        <v>1571.0770770013332</v>
      </c>
      <c r="J86" s="35">
        <f t="shared" si="26"/>
        <v>17528380.865571082</v>
      </c>
      <c r="K86" s="35">
        <f t="shared" si="27"/>
        <v>145641011.65674812</v>
      </c>
      <c r="L86" s="35">
        <f t="shared" si="28"/>
        <v>0</v>
      </c>
      <c r="M86" s="35">
        <f t="shared" si="29"/>
        <v>174769213.98809773</v>
      </c>
      <c r="N86" s="36">
        <f t="shared" si="30"/>
        <v>0.39</v>
      </c>
      <c r="O86" s="35">
        <f t="shared" si="31"/>
        <v>0</v>
      </c>
      <c r="P86" s="35">
        <f t="shared" si="32"/>
        <v>49963926.008559041</v>
      </c>
      <c r="Q86" s="35">
        <f t="shared" si="33"/>
        <v>0</v>
      </c>
      <c r="R86" s="35">
        <f t="shared" si="34"/>
        <v>236634712.7622866</v>
      </c>
      <c r="S86" s="33">
        <f t="shared" si="35"/>
        <v>2118</v>
      </c>
    </row>
    <row r="87" spans="1:19" x14ac:dyDescent="0.3">
      <c r="A87" s="33">
        <f>83</f>
        <v>83</v>
      </c>
      <c r="B87" s="34">
        <f t="shared" si="18"/>
        <v>48884</v>
      </c>
      <c r="C87" s="33">
        <f t="shared" si="19"/>
        <v>7</v>
      </c>
      <c r="D87" s="33">
        <f t="shared" si="20"/>
        <v>11</v>
      </c>
      <c r="E87" s="35">
        <f t="shared" si="21"/>
        <v>111674.19002020312</v>
      </c>
      <c r="F87" s="35">
        <f t="shared" si="22"/>
        <v>236634712.7622866</v>
      </c>
      <c r="G87" s="33">
        <f t="shared" si="23"/>
        <v>2118</v>
      </c>
      <c r="H87" s="35">
        <f t="shared" si="24"/>
        <v>236525934.46279022</v>
      </c>
      <c r="I87" s="35">
        <f t="shared" si="25"/>
        <v>108778.29949638247</v>
      </c>
      <c r="J87" s="35">
        <f t="shared" si="26"/>
        <v>18922074.757023219</v>
      </c>
      <c r="K87" s="35">
        <f t="shared" si="27"/>
        <v>164563086.41377133</v>
      </c>
      <c r="L87" s="35">
        <f t="shared" si="28"/>
        <v>0</v>
      </c>
      <c r="M87" s="35">
        <f t="shared" si="29"/>
        <v>179523366.99684146</v>
      </c>
      <c r="N87" s="36">
        <f t="shared" si="30"/>
        <v>0.39</v>
      </c>
      <c r="O87" s="35">
        <f t="shared" si="31"/>
        <v>0</v>
      </c>
      <c r="P87" s="35">
        <f t="shared" si="32"/>
        <v>49963926.008559041</v>
      </c>
      <c r="Q87" s="35">
        <f t="shared" si="33"/>
        <v>0</v>
      </c>
      <c r="R87" s="35">
        <f t="shared" si="34"/>
        <v>255556787.51930982</v>
      </c>
      <c r="S87" s="33">
        <f t="shared" si="35"/>
        <v>2288</v>
      </c>
    </row>
    <row r="88" spans="1:19" x14ac:dyDescent="0.3">
      <c r="A88" s="37">
        <f>84</f>
        <v>84</v>
      </c>
      <c r="B88" s="38">
        <f t="shared" si="18"/>
        <v>48914</v>
      </c>
      <c r="C88" s="37">
        <f t="shared" si="19"/>
        <v>7</v>
      </c>
      <c r="D88" s="37">
        <f t="shared" si="20"/>
        <v>12</v>
      </c>
      <c r="E88" s="39">
        <f t="shared" si="21"/>
        <v>111674.19002020312</v>
      </c>
      <c r="F88" s="39">
        <f t="shared" si="22"/>
        <v>255556787.51930982</v>
      </c>
      <c r="G88" s="37">
        <f t="shared" si="23"/>
        <v>2288</v>
      </c>
      <c r="H88" s="39">
        <f t="shared" si="24"/>
        <v>255510546.76622474</v>
      </c>
      <c r="I88" s="39">
        <f t="shared" si="25"/>
        <v>46240.753085076809</v>
      </c>
      <c r="J88" s="39">
        <f t="shared" si="26"/>
        <v>20440843.741297979</v>
      </c>
      <c r="K88" s="39">
        <f t="shared" si="27"/>
        <v>185003930.15506932</v>
      </c>
      <c r="L88" s="39">
        <f t="shared" si="28"/>
        <v>56891299.363892272</v>
      </c>
      <c r="M88" s="39">
        <f t="shared" si="29"/>
        <v>185003930.15506932</v>
      </c>
      <c r="N88" s="40">
        <f t="shared" si="30"/>
        <v>0.39</v>
      </c>
      <c r="O88" s="39">
        <f t="shared" si="31"/>
        <v>22187606.751917988</v>
      </c>
      <c r="P88" s="39">
        <f t="shared" si="32"/>
        <v>72151532.760477036</v>
      </c>
      <c r="Q88" s="39">
        <f t="shared" si="33"/>
        <v>10000000</v>
      </c>
      <c r="R88" s="39">
        <f t="shared" si="34"/>
        <v>243810024.50868979</v>
      </c>
      <c r="S88" s="37">
        <f t="shared" si="35"/>
        <v>2183</v>
      </c>
    </row>
    <row r="89" spans="1:19" x14ac:dyDescent="0.3">
      <c r="A89" s="33">
        <f>85</f>
        <v>85</v>
      </c>
      <c r="B89" s="34">
        <f t="shared" si="18"/>
        <v>48945</v>
      </c>
      <c r="C89" s="33">
        <f t="shared" si="19"/>
        <v>8</v>
      </c>
      <c r="D89" s="33">
        <f t="shared" si="20"/>
        <v>1</v>
      </c>
      <c r="E89" s="35">
        <f t="shared" si="21"/>
        <v>117257.8995212133</v>
      </c>
      <c r="F89" s="35">
        <f t="shared" si="22"/>
        <v>243810024.50868979</v>
      </c>
      <c r="G89" s="33">
        <f t="shared" si="23"/>
        <v>2079</v>
      </c>
      <c r="H89" s="35">
        <f t="shared" si="24"/>
        <v>243779173.10460246</v>
      </c>
      <c r="I89" s="35">
        <f t="shared" si="25"/>
        <v>30851.404087334871</v>
      </c>
      <c r="J89" s="35">
        <f t="shared" si="26"/>
        <v>19502333.848368198</v>
      </c>
      <c r="K89" s="35">
        <f t="shared" si="27"/>
        <v>19502333.848368198</v>
      </c>
      <c r="L89" s="35">
        <f t="shared" si="28"/>
        <v>0</v>
      </c>
      <c r="M89" s="35">
        <f t="shared" si="29"/>
        <v>234028006.18041837</v>
      </c>
      <c r="N89" s="36">
        <f t="shared" si="30"/>
        <v>0.39</v>
      </c>
      <c r="O89" s="35">
        <f t="shared" si="31"/>
        <v>0</v>
      </c>
      <c r="P89" s="35">
        <f t="shared" si="32"/>
        <v>0</v>
      </c>
      <c r="Q89" s="35">
        <f t="shared" si="33"/>
        <v>0</v>
      </c>
      <c r="R89" s="35">
        <f t="shared" si="34"/>
        <v>263312358.35705799</v>
      </c>
      <c r="S89" s="33">
        <f t="shared" si="35"/>
        <v>2245</v>
      </c>
    </row>
    <row r="90" spans="1:19" x14ac:dyDescent="0.3">
      <c r="A90" s="33">
        <f>86</f>
        <v>86</v>
      </c>
      <c r="B90" s="34">
        <f t="shared" si="18"/>
        <v>48976</v>
      </c>
      <c r="C90" s="33">
        <f t="shared" si="19"/>
        <v>8</v>
      </c>
      <c r="D90" s="33">
        <f t="shared" si="20"/>
        <v>2</v>
      </c>
      <c r="E90" s="35">
        <f t="shared" si="21"/>
        <v>117257.8995212133</v>
      </c>
      <c r="F90" s="35">
        <f t="shared" si="22"/>
        <v>263312358.35705799</v>
      </c>
      <c r="G90" s="33">
        <f t="shared" si="23"/>
        <v>2245</v>
      </c>
      <c r="H90" s="35">
        <f t="shared" si="24"/>
        <v>263243984.42512387</v>
      </c>
      <c r="I90" s="35">
        <f t="shared" si="25"/>
        <v>68373.931934118271</v>
      </c>
      <c r="J90" s="35">
        <f t="shared" si="26"/>
        <v>21059518.75400991</v>
      </c>
      <c r="K90" s="35">
        <f t="shared" si="27"/>
        <v>40561852.602378108</v>
      </c>
      <c r="L90" s="35">
        <f t="shared" si="28"/>
        <v>0</v>
      </c>
      <c r="M90" s="35">
        <f t="shared" si="29"/>
        <v>243371115.61426866</v>
      </c>
      <c r="N90" s="36">
        <f t="shared" si="30"/>
        <v>0.39</v>
      </c>
      <c r="O90" s="35">
        <f t="shared" si="31"/>
        <v>0</v>
      </c>
      <c r="P90" s="35">
        <f t="shared" si="32"/>
        <v>0</v>
      </c>
      <c r="Q90" s="35">
        <f t="shared" si="33"/>
        <v>0</v>
      </c>
      <c r="R90" s="35">
        <f t="shared" si="34"/>
        <v>284371877.11106789</v>
      </c>
      <c r="S90" s="33">
        <f t="shared" si="35"/>
        <v>2425</v>
      </c>
    </row>
    <row r="91" spans="1:19" x14ac:dyDescent="0.3">
      <c r="A91" s="33">
        <f>87</f>
        <v>87</v>
      </c>
      <c r="B91" s="34">
        <f t="shared" si="18"/>
        <v>49004</v>
      </c>
      <c r="C91" s="33">
        <f t="shared" si="19"/>
        <v>8</v>
      </c>
      <c r="D91" s="33">
        <f t="shared" si="20"/>
        <v>3</v>
      </c>
      <c r="E91" s="35">
        <f t="shared" si="21"/>
        <v>117257.8995212133</v>
      </c>
      <c r="F91" s="35">
        <f t="shared" si="22"/>
        <v>284371877.11106789</v>
      </c>
      <c r="G91" s="33">
        <f t="shared" si="23"/>
        <v>2425</v>
      </c>
      <c r="H91" s="35">
        <f t="shared" si="24"/>
        <v>284350406.33894223</v>
      </c>
      <c r="I91" s="35">
        <f t="shared" si="25"/>
        <v>21470.772125661373</v>
      </c>
      <c r="J91" s="35">
        <f t="shared" si="26"/>
        <v>22748032.507115379</v>
      </c>
      <c r="K91" s="35">
        <f t="shared" si="27"/>
        <v>63309885.109493487</v>
      </c>
      <c r="L91" s="35">
        <f t="shared" si="28"/>
        <v>63309885.109493487</v>
      </c>
      <c r="M91" s="35">
        <f t="shared" si="29"/>
        <v>253239540.43797395</v>
      </c>
      <c r="N91" s="36">
        <f t="shared" si="30"/>
        <v>0.39</v>
      </c>
      <c r="O91" s="35">
        <f t="shared" si="31"/>
        <v>24690855.192702461</v>
      </c>
      <c r="P91" s="35">
        <f t="shared" si="32"/>
        <v>24690855.192702461</v>
      </c>
      <c r="Q91" s="35">
        <f t="shared" si="33"/>
        <v>0</v>
      </c>
      <c r="R91" s="35">
        <f t="shared" si="34"/>
        <v>282429054.42548078</v>
      </c>
      <c r="S91" s="33">
        <f t="shared" si="35"/>
        <v>2408</v>
      </c>
    </row>
    <row r="92" spans="1:19" x14ac:dyDescent="0.3">
      <c r="A92" s="33">
        <f>88</f>
        <v>88</v>
      </c>
      <c r="B92" s="34">
        <f t="shared" si="18"/>
        <v>49035</v>
      </c>
      <c r="C92" s="33">
        <f t="shared" si="19"/>
        <v>8</v>
      </c>
      <c r="D92" s="33">
        <f t="shared" si="20"/>
        <v>4</v>
      </c>
      <c r="E92" s="35">
        <f t="shared" si="21"/>
        <v>117257.8995212133</v>
      </c>
      <c r="F92" s="35">
        <f t="shared" si="22"/>
        <v>282429054.42548078</v>
      </c>
      <c r="G92" s="33">
        <f t="shared" si="23"/>
        <v>2408</v>
      </c>
      <c r="H92" s="35">
        <f t="shared" si="24"/>
        <v>282357022.04708165</v>
      </c>
      <c r="I92" s="35">
        <f t="shared" si="25"/>
        <v>72032.378399133682</v>
      </c>
      <c r="J92" s="35">
        <f t="shared" si="26"/>
        <v>22588561.763766531</v>
      </c>
      <c r="K92" s="35">
        <f t="shared" si="27"/>
        <v>85898446.873260021</v>
      </c>
      <c r="L92" s="35">
        <f t="shared" si="28"/>
        <v>0</v>
      </c>
      <c r="M92" s="35">
        <f t="shared" si="29"/>
        <v>257695340.61978006</v>
      </c>
      <c r="N92" s="36">
        <f t="shared" si="30"/>
        <v>0.39</v>
      </c>
      <c r="O92" s="35">
        <f t="shared" si="31"/>
        <v>0</v>
      </c>
      <c r="P92" s="35">
        <f t="shared" si="32"/>
        <v>24690855.192702461</v>
      </c>
      <c r="Q92" s="35">
        <f t="shared" si="33"/>
        <v>0</v>
      </c>
      <c r="R92" s="35">
        <f t="shared" si="34"/>
        <v>305017616.18924731</v>
      </c>
      <c r="S92" s="33">
        <f t="shared" si="35"/>
        <v>2601</v>
      </c>
    </row>
    <row r="93" spans="1:19" x14ac:dyDescent="0.3">
      <c r="A93" s="33">
        <f>89</f>
        <v>89</v>
      </c>
      <c r="B93" s="34">
        <f t="shared" si="18"/>
        <v>49065</v>
      </c>
      <c r="C93" s="33">
        <f t="shared" si="19"/>
        <v>8</v>
      </c>
      <c r="D93" s="33">
        <f t="shared" si="20"/>
        <v>5</v>
      </c>
      <c r="E93" s="35">
        <f t="shared" si="21"/>
        <v>117257.8995212133</v>
      </c>
      <c r="F93" s="35">
        <f t="shared" si="22"/>
        <v>305017616.18924731</v>
      </c>
      <c r="G93" s="33">
        <f t="shared" si="23"/>
        <v>2601</v>
      </c>
      <c r="H93" s="35">
        <f t="shared" si="24"/>
        <v>304987796.65467578</v>
      </c>
      <c r="I93" s="35">
        <f t="shared" si="25"/>
        <v>29819.534571528435</v>
      </c>
      <c r="J93" s="35">
        <f t="shared" si="26"/>
        <v>24399023.732374065</v>
      </c>
      <c r="K93" s="35">
        <f t="shared" si="27"/>
        <v>110297470.60563409</v>
      </c>
      <c r="L93" s="35">
        <f t="shared" si="28"/>
        <v>0</v>
      </c>
      <c r="M93" s="35">
        <f t="shared" si="29"/>
        <v>264713929.45352182</v>
      </c>
      <c r="N93" s="36">
        <f t="shared" si="30"/>
        <v>0.39</v>
      </c>
      <c r="O93" s="35">
        <f t="shared" si="31"/>
        <v>0</v>
      </c>
      <c r="P93" s="35">
        <f t="shared" si="32"/>
        <v>24690855.192702461</v>
      </c>
      <c r="Q93" s="35">
        <f t="shared" si="33"/>
        <v>0</v>
      </c>
      <c r="R93" s="35">
        <f t="shared" si="34"/>
        <v>329416639.92162138</v>
      </c>
      <c r="S93" s="33">
        <f t="shared" si="35"/>
        <v>2809</v>
      </c>
    </row>
    <row r="94" spans="1:19" x14ac:dyDescent="0.3">
      <c r="A94" s="33">
        <f>90</f>
        <v>90</v>
      </c>
      <c r="B94" s="34">
        <f t="shared" si="18"/>
        <v>49096</v>
      </c>
      <c r="C94" s="33">
        <f t="shared" si="19"/>
        <v>8</v>
      </c>
      <c r="D94" s="33">
        <f t="shared" si="20"/>
        <v>6</v>
      </c>
      <c r="E94" s="35">
        <f t="shared" si="21"/>
        <v>117257.8995212133</v>
      </c>
      <c r="F94" s="35">
        <f t="shared" si="22"/>
        <v>329416639.92162138</v>
      </c>
      <c r="G94" s="33">
        <f t="shared" si="23"/>
        <v>2809</v>
      </c>
      <c r="H94" s="35">
        <f t="shared" si="24"/>
        <v>329377439.75508815</v>
      </c>
      <c r="I94" s="35">
        <f t="shared" si="25"/>
        <v>39200.166533231735</v>
      </c>
      <c r="J94" s="35">
        <f t="shared" si="26"/>
        <v>26350195.180407051</v>
      </c>
      <c r="K94" s="35">
        <f t="shared" si="27"/>
        <v>136647665.78604114</v>
      </c>
      <c r="L94" s="35">
        <f t="shared" si="28"/>
        <v>73337780.676547647</v>
      </c>
      <c r="M94" s="35">
        <f t="shared" si="29"/>
        <v>273295331.57208228</v>
      </c>
      <c r="N94" s="36">
        <f t="shared" si="30"/>
        <v>0.39</v>
      </c>
      <c r="O94" s="35">
        <f t="shared" si="31"/>
        <v>28601734.463853583</v>
      </c>
      <c r="P94" s="35">
        <f t="shared" si="32"/>
        <v>53292589.65655604</v>
      </c>
      <c r="Q94" s="35">
        <f t="shared" si="33"/>
        <v>0</v>
      </c>
      <c r="R94" s="35">
        <f t="shared" si="34"/>
        <v>327165100.63817483</v>
      </c>
      <c r="S94" s="33">
        <f t="shared" si="35"/>
        <v>2790</v>
      </c>
    </row>
    <row r="95" spans="1:19" x14ac:dyDescent="0.3">
      <c r="A95" s="33">
        <f>91</f>
        <v>91</v>
      </c>
      <c r="B95" s="34">
        <f t="shared" si="18"/>
        <v>49126</v>
      </c>
      <c r="C95" s="33">
        <f t="shared" si="19"/>
        <v>8</v>
      </c>
      <c r="D95" s="33">
        <f t="shared" si="20"/>
        <v>7</v>
      </c>
      <c r="E95" s="35">
        <f t="shared" si="21"/>
        <v>117257.8995212133</v>
      </c>
      <c r="F95" s="35">
        <f t="shared" si="22"/>
        <v>327165100.63817483</v>
      </c>
      <c r="G95" s="33">
        <f t="shared" si="23"/>
        <v>2790</v>
      </c>
      <c r="H95" s="35">
        <f t="shared" si="24"/>
        <v>327149539.66418511</v>
      </c>
      <c r="I95" s="35">
        <f t="shared" si="25"/>
        <v>15560.973989725113</v>
      </c>
      <c r="J95" s="35">
        <f t="shared" si="26"/>
        <v>26171963.173134807</v>
      </c>
      <c r="K95" s="35">
        <f t="shared" si="27"/>
        <v>162819628.95917594</v>
      </c>
      <c r="L95" s="35">
        <f t="shared" si="28"/>
        <v>0</v>
      </c>
      <c r="M95" s="35">
        <f t="shared" si="29"/>
        <v>279119363.93001592</v>
      </c>
      <c r="N95" s="36">
        <f t="shared" si="30"/>
        <v>0.39</v>
      </c>
      <c r="O95" s="35">
        <f t="shared" si="31"/>
        <v>0</v>
      </c>
      <c r="P95" s="35">
        <f t="shared" si="32"/>
        <v>53292589.65655604</v>
      </c>
      <c r="Q95" s="35">
        <f t="shared" si="33"/>
        <v>0</v>
      </c>
      <c r="R95" s="35">
        <f t="shared" si="34"/>
        <v>353337063.81130964</v>
      </c>
      <c r="S95" s="33">
        <f t="shared" si="35"/>
        <v>3013</v>
      </c>
    </row>
    <row r="96" spans="1:19" x14ac:dyDescent="0.3">
      <c r="A96" s="33">
        <f>92</f>
        <v>92</v>
      </c>
      <c r="B96" s="34">
        <f t="shared" si="18"/>
        <v>49157</v>
      </c>
      <c r="C96" s="33">
        <f t="shared" si="19"/>
        <v>8</v>
      </c>
      <c r="D96" s="33">
        <f t="shared" si="20"/>
        <v>8</v>
      </c>
      <c r="E96" s="35">
        <f t="shared" si="21"/>
        <v>117257.8995212133</v>
      </c>
      <c r="F96" s="35">
        <f t="shared" si="22"/>
        <v>353337063.81130964</v>
      </c>
      <c r="G96" s="33">
        <f t="shared" si="23"/>
        <v>3013</v>
      </c>
      <c r="H96" s="35">
        <f t="shared" si="24"/>
        <v>353298051.25741565</v>
      </c>
      <c r="I96" s="35">
        <f t="shared" si="25"/>
        <v>39012.553893983364</v>
      </c>
      <c r="J96" s="35">
        <f t="shared" si="26"/>
        <v>28263844.100593254</v>
      </c>
      <c r="K96" s="35">
        <f t="shared" si="27"/>
        <v>191083473.05976921</v>
      </c>
      <c r="L96" s="35">
        <f t="shared" si="28"/>
        <v>0</v>
      </c>
      <c r="M96" s="35">
        <f t="shared" si="29"/>
        <v>286625209.58965385</v>
      </c>
      <c r="N96" s="36">
        <f t="shared" si="30"/>
        <v>0.39</v>
      </c>
      <c r="O96" s="35">
        <f t="shared" si="31"/>
        <v>0</v>
      </c>
      <c r="P96" s="35">
        <f t="shared" si="32"/>
        <v>53292589.65655604</v>
      </c>
      <c r="Q96" s="35">
        <f t="shared" si="33"/>
        <v>0</v>
      </c>
      <c r="R96" s="35">
        <f t="shared" si="34"/>
        <v>381600907.9119029</v>
      </c>
      <c r="S96" s="33">
        <f t="shared" si="35"/>
        <v>3254</v>
      </c>
    </row>
    <row r="97" spans="1:19" x14ac:dyDescent="0.3">
      <c r="A97" s="33">
        <f>93</f>
        <v>93</v>
      </c>
      <c r="B97" s="34">
        <f t="shared" si="18"/>
        <v>49188</v>
      </c>
      <c r="C97" s="33">
        <f t="shared" si="19"/>
        <v>8</v>
      </c>
      <c r="D97" s="33">
        <f t="shared" si="20"/>
        <v>9</v>
      </c>
      <c r="E97" s="35">
        <f t="shared" si="21"/>
        <v>117257.8995212133</v>
      </c>
      <c r="F97" s="35">
        <f t="shared" si="22"/>
        <v>381600907.9119029</v>
      </c>
      <c r="G97" s="33">
        <f t="shared" si="23"/>
        <v>3254</v>
      </c>
      <c r="H97" s="35">
        <f t="shared" si="24"/>
        <v>381557205.04202807</v>
      </c>
      <c r="I97" s="35">
        <f t="shared" si="25"/>
        <v>43702.869874835014</v>
      </c>
      <c r="J97" s="35">
        <f t="shared" si="26"/>
        <v>30524576.403362244</v>
      </c>
      <c r="K97" s="35">
        <f t="shared" si="27"/>
        <v>221608049.46313146</v>
      </c>
      <c r="L97" s="35">
        <f t="shared" si="28"/>
        <v>84960383.677090302</v>
      </c>
      <c r="M97" s="35">
        <f t="shared" si="29"/>
        <v>295477399.28417528</v>
      </c>
      <c r="N97" s="36">
        <f t="shared" si="30"/>
        <v>0.39</v>
      </c>
      <c r="O97" s="35">
        <f t="shared" si="31"/>
        <v>33134549.634065218</v>
      </c>
      <c r="P97" s="35">
        <f t="shared" si="32"/>
        <v>86427139.290621251</v>
      </c>
      <c r="Q97" s="35">
        <f t="shared" si="33"/>
        <v>0</v>
      </c>
      <c r="R97" s="35">
        <f t="shared" si="34"/>
        <v>378990934.68119997</v>
      </c>
      <c r="S97" s="33">
        <f t="shared" si="35"/>
        <v>3232</v>
      </c>
    </row>
    <row r="98" spans="1:19" x14ac:dyDescent="0.3">
      <c r="A98" s="33">
        <f>94</f>
        <v>94</v>
      </c>
      <c r="B98" s="34">
        <f t="shared" si="18"/>
        <v>49218</v>
      </c>
      <c r="C98" s="33">
        <f t="shared" si="19"/>
        <v>8</v>
      </c>
      <c r="D98" s="33">
        <f t="shared" si="20"/>
        <v>10</v>
      </c>
      <c r="E98" s="35">
        <f t="shared" si="21"/>
        <v>117257.8995212133</v>
      </c>
      <c r="F98" s="35">
        <f t="shared" si="22"/>
        <v>378990934.68119997</v>
      </c>
      <c r="G98" s="33">
        <f t="shared" si="23"/>
        <v>3232</v>
      </c>
      <c r="H98" s="35">
        <f t="shared" si="24"/>
        <v>378977531.25256139</v>
      </c>
      <c r="I98" s="35">
        <f t="shared" si="25"/>
        <v>13403.428638577461</v>
      </c>
      <c r="J98" s="35">
        <f t="shared" si="26"/>
        <v>30318202.500204913</v>
      </c>
      <c r="K98" s="35">
        <f t="shared" si="27"/>
        <v>251926251.96333638</v>
      </c>
      <c r="L98" s="35">
        <f t="shared" si="28"/>
        <v>0</v>
      </c>
      <c r="M98" s="35">
        <f t="shared" si="29"/>
        <v>302311502.35600364</v>
      </c>
      <c r="N98" s="36">
        <f t="shared" si="30"/>
        <v>0.39</v>
      </c>
      <c r="O98" s="35">
        <f t="shared" si="31"/>
        <v>0</v>
      </c>
      <c r="P98" s="35">
        <f t="shared" si="32"/>
        <v>86427139.290621251</v>
      </c>
      <c r="Q98" s="35">
        <f t="shared" si="33"/>
        <v>0</v>
      </c>
      <c r="R98" s="35">
        <f t="shared" si="34"/>
        <v>409309137.18140489</v>
      </c>
      <c r="S98" s="33">
        <f t="shared" si="35"/>
        <v>3490</v>
      </c>
    </row>
    <row r="99" spans="1:19" x14ac:dyDescent="0.3">
      <c r="A99" s="33">
        <f>95</f>
        <v>95</v>
      </c>
      <c r="B99" s="34">
        <f t="shared" si="18"/>
        <v>49249</v>
      </c>
      <c r="C99" s="33">
        <f t="shared" si="19"/>
        <v>8</v>
      </c>
      <c r="D99" s="33">
        <f t="shared" si="20"/>
        <v>11</v>
      </c>
      <c r="E99" s="35">
        <f t="shared" si="21"/>
        <v>117257.8995212133</v>
      </c>
      <c r="F99" s="35">
        <f t="shared" si="22"/>
        <v>409309137.18140489</v>
      </c>
      <c r="G99" s="33">
        <f t="shared" si="23"/>
        <v>3490</v>
      </c>
      <c r="H99" s="35">
        <f t="shared" si="24"/>
        <v>409230069.32903445</v>
      </c>
      <c r="I99" s="35">
        <f t="shared" si="25"/>
        <v>79067.85237044096</v>
      </c>
      <c r="J99" s="35">
        <f t="shared" si="26"/>
        <v>32738405.546322756</v>
      </c>
      <c r="K99" s="35">
        <f t="shared" si="27"/>
        <v>284664657.50965911</v>
      </c>
      <c r="L99" s="35">
        <f t="shared" si="28"/>
        <v>0</v>
      </c>
      <c r="M99" s="35">
        <f t="shared" si="29"/>
        <v>310543262.73780996</v>
      </c>
      <c r="N99" s="36">
        <f t="shared" si="30"/>
        <v>0.39</v>
      </c>
      <c r="O99" s="35">
        <f t="shared" si="31"/>
        <v>0</v>
      </c>
      <c r="P99" s="35">
        <f t="shared" si="32"/>
        <v>86427139.290621251</v>
      </c>
      <c r="Q99" s="35">
        <f t="shared" si="33"/>
        <v>0</v>
      </c>
      <c r="R99" s="35">
        <f t="shared" si="34"/>
        <v>442047542.72772765</v>
      </c>
      <c r="S99" s="33">
        <f t="shared" si="35"/>
        <v>3769</v>
      </c>
    </row>
    <row r="100" spans="1:19" x14ac:dyDescent="0.3">
      <c r="A100" s="37">
        <f>96</f>
        <v>96</v>
      </c>
      <c r="B100" s="38">
        <f t="shared" si="18"/>
        <v>49279</v>
      </c>
      <c r="C100" s="37">
        <f t="shared" si="19"/>
        <v>8</v>
      </c>
      <c r="D100" s="37">
        <f t="shared" si="20"/>
        <v>12</v>
      </c>
      <c r="E100" s="39">
        <f t="shared" si="21"/>
        <v>117257.8995212133</v>
      </c>
      <c r="F100" s="39">
        <f t="shared" si="22"/>
        <v>442047542.72772765</v>
      </c>
      <c r="G100" s="37">
        <f t="shared" si="23"/>
        <v>3769</v>
      </c>
      <c r="H100" s="39">
        <f t="shared" si="24"/>
        <v>441945023.29545295</v>
      </c>
      <c r="I100" s="39">
        <f t="shared" si="25"/>
        <v>102519.43227469921</v>
      </c>
      <c r="J100" s="39">
        <f t="shared" si="26"/>
        <v>35355601.86363624</v>
      </c>
      <c r="K100" s="39">
        <f t="shared" si="27"/>
        <v>320020259.37329537</v>
      </c>
      <c r="L100" s="39">
        <f t="shared" si="28"/>
        <v>98412209.910163909</v>
      </c>
      <c r="M100" s="39">
        <f t="shared" si="29"/>
        <v>320020259.37329537</v>
      </c>
      <c r="N100" s="40">
        <f t="shared" si="30"/>
        <v>0.39</v>
      </c>
      <c r="O100" s="39">
        <f t="shared" si="31"/>
        <v>38380761.864963926</v>
      </c>
      <c r="P100" s="39">
        <f t="shared" si="32"/>
        <v>124807901.15558517</v>
      </c>
      <c r="Q100" s="39">
        <f t="shared" si="33"/>
        <v>10000000</v>
      </c>
      <c r="R100" s="39">
        <f t="shared" si="34"/>
        <v>429022382.72639996</v>
      </c>
      <c r="S100" s="37">
        <f t="shared" si="35"/>
        <v>3658</v>
      </c>
    </row>
    <row r="101" spans="1:19" x14ac:dyDescent="0.3">
      <c r="A101" s="33">
        <f>97</f>
        <v>97</v>
      </c>
      <c r="B101" s="34">
        <f t="shared" si="18"/>
        <v>49310</v>
      </c>
      <c r="C101" s="33">
        <f t="shared" si="19"/>
        <v>9</v>
      </c>
      <c r="D101" s="33">
        <f t="shared" si="20"/>
        <v>1</v>
      </c>
      <c r="E101" s="35">
        <f t="shared" si="21"/>
        <v>123120.79449727395</v>
      </c>
      <c r="F101" s="35">
        <f t="shared" si="22"/>
        <v>429022382.72639996</v>
      </c>
      <c r="G101" s="33">
        <f t="shared" si="23"/>
        <v>3484</v>
      </c>
      <c r="H101" s="35">
        <f t="shared" si="24"/>
        <v>428952848.02850246</v>
      </c>
      <c r="I101" s="35">
        <f t="shared" si="25"/>
        <v>69534.697897493839</v>
      </c>
      <c r="J101" s="35">
        <f t="shared" si="26"/>
        <v>34316227.842280194</v>
      </c>
      <c r="K101" s="35">
        <f t="shared" si="27"/>
        <v>34316227.842280194</v>
      </c>
      <c r="L101" s="35">
        <f t="shared" si="28"/>
        <v>0</v>
      </c>
      <c r="M101" s="35">
        <f t="shared" si="29"/>
        <v>411794734.10736233</v>
      </c>
      <c r="N101" s="36">
        <f t="shared" si="30"/>
        <v>0.39</v>
      </c>
      <c r="O101" s="35">
        <f t="shared" si="31"/>
        <v>0</v>
      </c>
      <c r="P101" s="35">
        <f t="shared" si="32"/>
        <v>0</v>
      </c>
      <c r="Q101" s="35">
        <f t="shared" si="33"/>
        <v>0</v>
      </c>
      <c r="R101" s="35">
        <f t="shared" si="34"/>
        <v>463338610.56868017</v>
      </c>
      <c r="S101" s="33">
        <f t="shared" si="35"/>
        <v>3763</v>
      </c>
    </row>
    <row r="102" spans="1:19" x14ac:dyDescent="0.3">
      <c r="A102" s="33">
        <f>98</f>
        <v>98</v>
      </c>
      <c r="B102" s="34">
        <f t="shared" si="18"/>
        <v>49341</v>
      </c>
      <c r="C102" s="33">
        <f t="shared" si="19"/>
        <v>9</v>
      </c>
      <c r="D102" s="33">
        <f t="shared" si="20"/>
        <v>2</v>
      </c>
      <c r="E102" s="35">
        <f t="shared" si="21"/>
        <v>123120.79449727395</v>
      </c>
      <c r="F102" s="35">
        <f t="shared" si="22"/>
        <v>463338610.56868017</v>
      </c>
      <c r="G102" s="33">
        <f t="shared" si="23"/>
        <v>3763</v>
      </c>
      <c r="H102" s="35">
        <f t="shared" si="24"/>
        <v>463303549.69324189</v>
      </c>
      <c r="I102" s="35">
        <f t="shared" si="25"/>
        <v>35060.875438272953</v>
      </c>
      <c r="J102" s="35">
        <f t="shared" si="26"/>
        <v>37064283.975459352</v>
      </c>
      <c r="K102" s="35">
        <f t="shared" si="27"/>
        <v>71380511.817739546</v>
      </c>
      <c r="L102" s="35">
        <f t="shared" si="28"/>
        <v>0</v>
      </c>
      <c r="M102" s="35">
        <f t="shared" si="29"/>
        <v>428283070.90643728</v>
      </c>
      <c r="N102" s="36">
        <f t="shared" si="30"/>
        <v>0.39</v>
      </c>
      <c r="O102" s="35">
        <f t="shared" si="31"/>
        <v>0</v>
      </c>
      <c r="P102" s="35">
        <f t="shared" si="32"/>
        <v>0</v>
      </c>
      <c r="Q102" s="35">
        <f t="shared" si="33"/>
        <v>0</v>
      </c>
      <c r="R102" s="35">
        <f t="shared" si="34"/>
        <v>500402894.5441395</v>
      </c>
      <c r="S102" s="33">
        <f t="shared" si="35"/>
        <v>4064</v>
      </c>
    </row>
    <row r="103" spans="1:19" x14ac:dyDescent="0.3">
      <c r="A103" s="33">
        <f>99</f>
        <v>99</v>
      </c>
      <c r="B103" s="34">
        <f t="shared" si="18"/>
        <v>49369</v>
      </c>
      <c r="C103" s="33">
        <f t="shared" si="19"/>
        <v>9</v>
      </c>
      <c r="D103" s="33">
        <f t="shared" si="20"/>
        <v>3</v>
      </c>
      <c r="E103" s="35">
        <f t="shared" si="21"/>
        <v>123120.79449727395</v>
      </c>
      <c r="F103" s="35">
        <f t="shared" si="22"/>
        <v>500402894.5441395</v>
      </c>
      <c r="G103" s="33">
        <f t="shared" si="23"/>
        <v>4064</v>
      </c>
      <c r="H103" s="35">
        <f t="shared" si="24"/>
        <v>500362908.83692133</v>
      </c>
      <c r="I103" s="35">
        <f t="shared" si="25"/>
        <v>39985.707218170166</v>
      </c>
      <c r="J103" s="35">
        <f t="shared" si="26"/>
        <v>40029032.706953704</v>
      </c>
      <c r="K103" s="35">
        <f t="shared" si="27"/>
        <v>111409544.52469325</v>
      </c>
      <c r="L103" s="35">
        <f t="shared" si="28"/>
        <v>111409544.52469325</v>
      </c>
      <c r="M103" s="35">
        <f t="shared" si="29"/>
        <v>445638178.098773</v>
      </c>
      <c r="N103" s="36">
        <f t="shared" si="30"/>
        <v>0.39</v>
      </c>
      <c r="O103" s="35">
        <f t="shared" si="31"/>
        <v>43449722.364630371</v>
      </c>
      <c r="P103" s="35">
        <f t="shared" si="32"/>
        <v>43449722.364630371</v>
      </c>
      <c r="Q103" s="35">
        <f t="shared" si="33"/>
        <v>0</v>
      </c>
      <c r="R103" s="35">
        <f t="shared" si="34"/>
        <v>496982204.88646281</v>
      </c>
      <c r="S103" s="33">
        <f t="shared" si="35"/>
        <v>4036</v>
      </c>
    </row>
    <row r="104" spans="1:19" x14ac:dyDescent="0.3">
      <c r="A104" s="33">
        <f>100</f>
        <v>100</v>
      </c>
      <c r="B104" s="34">
        <f t="shared" si="18"/>
        <v>49400</v>
      </c>
      <c r="C104" s="33">
        <f t="shared" si="19"/>
        <v>9</v>
      </c>
      <c r="D104" s="33">
        <f t="shared" si="20"/>
        <v>4</v>
      </c>
      <c r="E104" s="35">
        <f t="shared" si="21"/>
        <v>123120.79449727395</v>
      </c>
      <c r="F104" s="35">
        <f t="shared" si="22"/>
        <v>496982204.88646281</v>
      </c>
      <c r="G104" s="33">
        <f t="shared" si="23"/>
        <v>4036</v>
      </c>
      <c r="H104" s="35">
        <f t="shared" si="24"/>
        <v>496915526.59099764</v>
      </c>
      <c r="I104" s="35">
        <f t="shared" si="25"/>
        <v>66678.295465171337</v>
      </c>
      <c r="J104" s="35">
        <f t="shared" si="26"/>
        <v>39753242.127279811</v>
      </c>
      <c r="K104" s="35">
        <f t="shared" si="27"/>
        <v>151162786.65197307</v>
      </c>
      <c r="L104" s="35">
        <f t="shared" si="28"/>
        <v>0</v>
      </c>
      <c r="M104" s="35">
        <f t="shared" si="29"/>
        <v>453488359.95591921</v>
      </c>
      <c r="N104" s="36">
        <f t="shared" si="30"/>
        <v>0.39</v>
      </c>
      <c r="O104" s="35">
        <f t="shared" si="31"/>
        <v>0</v>
      </c>
      <c r="P104" s="35">
        <f t="shared" si="32"/>
        <v>43449722.364630371</v>
      </c>
      <c r="Q104" s="35">
        <f t="shared" si="33"/>
        <v>0</v>
      </c>
      <c r="R104" s="35">
        <f t="shared" si="34"/>
        <v>536735447.01374263</v>
      </c>
      <c r="S104" s="33">
        <f t="shared" si="35"/>
        <v>4359</v>
      </c>
    </row>
    <row r="105" spans="1:19" x14ac:dyDescent="0.3">
      <c r="A105" s="33">
        <f>101</f>
        <v>101</v>
      </c>
      <c r="B105" s="34">
        <f t="shared" si="18"/>
        <v>49430</v>
      </c>
      <c r="C105" s="33">
        <f t="shared" si="19"/>
        <v>9</v>
      </c>
      <c r="D105" s="33">
        <f t="shared" si="20"/>
        <v>5</v>
      </c>
      <c r="E105" s="35">
        <f t="shared" si="21"/>
        <v>123120.79449727395</v>
      </c>
      <c r="F105" s="35">
        <f t="shared" si="22"/>
        <v>536735447.01374263</v>
      </c>
      <c r="G105" s="33">
        <f t="shared" si="23"/>
        <v>4359</v>
      </c>
      <c r="H105" s="35">
        <f t="shared" si="24"/>
        <v>536683543.21361715</v>
      </c>
      <c r="I105" s="35">
        <f t="shared" si="25"/>
        <v>51903.800125479698</v>
      </c>
      <c r="J105" s="35">
        <f t="shared" si="26"/>
        <v>42934683.457089372</v>
      </c>
      <c r="K105" s="35">
        <f t="shared" si="27"/>
        <v>194097470.10906243</v>
      </c>
      <c r="L105" s="35">
        <f t="shared" si="28"/>
        <v>0</v>
      </c>
      <c r="M105" s="35">
        <f t="shared" si="29"/>
        <v>465833928.26174986</v>
      </c>
      <c r="N105" s="36">
        <f t="shared" si="30"/>
        <v>0.39</v>
      </c>
      <c r="O105" s="35">
        <f t="shared" si="31"/>
        <v>0</v>
      </c>
      <c r="P105" s="35">
        <f t="shared" si="32"/>
        <v>43449722.364630371</v>
      </c>
      <c r="Q105" s="35">
        <f t="shared" si="33"/>
        <v>0</v>
      </c>
      <c r="R105" s="35">
        <f t="shared" si="34"/>
        <v>579670130.47083199</v>
      </c>
      <c r="S105" s="33">
        <f t="shared" si="35"/>
        <v>4708</v>
      </c>
    </row>
    <row r="106" spans="1:19" x14ac:dyDescent="0.3">
      <c r="A106" s="33">
        <f>102</f>
        <v>102</v>
      </c>
      <c r="B106" s="34">
        <f t="shared" si="18"/>
        <v>49461</v>
      </c>
      <c r="C106" s="33">
        <f t="shared" si="19"/>
        <v>9</v>
      </c>
      <c r="D106" s="33">
        <f t="shared" si="20"/>
        <v>6</v>
      </c>
      <c r="E106" s="35">
        <f t="shared" si="21"/>
        <v>123120.79449727395</v>
      </c>
      <c r="F106" s="35">
        <f t="shared" si="22"/>
        <v>579670130.47083199</v>
      </c>
      <c r="G106" s="33">
        <f t="shared" si="23"/>
        <v>4708</v>
      </c>
      <c r="H106" s="35">
        <f t="shared" si="24"/>
        <v>579652700.49316573</v>
      </c>
      <c r="I106" s="35">
        <f t="shared" si="25"/>
        <v>17429.977666258812</v>
      </c>
      <c r="J106" s="35">
        <f t="shared" si="26"/>
        <v>46372216.039453261</v>
      </c>
      <c r="K106" s="35">
        <f t="shared" si="27"/>
        <v>240469686.1485157</v>
      </c>
      <c r="L106" s="35">
        <f t="shared" si="28"/>
        <v>129060141.62382245</v>
      </c>
      <c r="M106" s="35">
        <f t="shared" si="29"/>
        <v>480939372.2970314</v>
      </c>
      <c r="N106" s="36">
        <f t="shared" si="30"/>
        <v>0.39</v>
      </c>
      <c r="O106" s="35">
        <f t="shared" si="31"/>
        <v>50333455.233290754</v>
      </c>
      <c r="P106" s="35">
        <f t="shared" si="32"/>
        <v>93783177.597921133</v>
      </c>
      <c r="Q106" s="35">
        <f t="shared" si="33"/>
        <v>0</v>
      </c>
      <c r="R106" s="35">
        <f t="shared" si="34"/>
        <v>575708891.27699447</v>
      </c>
      <c r="S106" s="33">
        <f t="shared" si="35"/>
        <v>4675</v>
      </c>
    </row>
    <row r="107" spans="1:19" x14ac:dyDescent="0.3">
      <c r="A107" s="33">
        <f>103</f>
        <v>103</v>
      </c>
      <c r="B107" s="34">
        <f t="shared" si="18"/>
        <v>49491</v>
      </c>
      <c r="C107" s="33">
        <f t="shared" si="19"/>
        <v>9</v>
      </c>
      <c r="D107" s="33">
        <f t="shared" si="20"/>
        <v>7</v>
      </c>
      <c r="E107" s="35">
        <f t="shared" si="21"/>
        <v>123120.79449727395</v>
      </c>
      <c r="F107" s="35">
        <f t="shared" si="22"/>
        <v>575708891.27699447</v>
      </c>
      <c r="G107" s="33">
        <f t="shared" si="23"/>
        <v>4675</v>
      </c>
      <c r="H107" s="35">
        <f t="shared" si="24"/>
        <v>575589714.27475572</v>
      </c>
      <c r="I107" s="35">
        <f t="shared" si="25"/>
        <v>119177.00223875046</v>
      </c>
      <c r="J107" s="35">
        <f t="shared" si="26"/>
        <v>46047177.141980462</v>
      </c>
      <c r="K107" s="35">
        <f t="shared" si="27"/>
        <v>286516863.29049617</v>
      </c>
      <c r="L107" s="35">
        <f t="shared" si="28"/>
        <v>0</v>
      </c>
      <c r="M107" s="35">
        <f t="shared" si="29"/>
        <v>491171765.6408506</v>
      </c>
      <c r="N107" s="36">
        <f t="shared" si="30"/>
        <v>0.39</v>
      </c>
      <c r="O107" s="35">
        <f t="shared" si="31"/>
        <v>0</v>
      </c>
      <c r="P107" s="35">
        <f t="shared" si="32"/>
        <v>93783177.597921133</v>
      </c>
      <c r="Q107" s="35">
        <f t="shared" si="33"/>
        <v>0</v>
      </c>
      <c r="R107" s="35">
        <f t="shared" si="34"/>
        <v>621756068.41897488</v>
      </c>
      <c r="S107" s="33">
        <f t="shared" si="35"/>
        <v>5049</v>
      </c>
    </row>
    <row r="108" spans="1:19" x14ac:dyDescent="0.3">
      <c r="A108" s="33">
        <f>104</f>
        <v>104</v>
      </c>
      <c r="B108" s="34">
        <f t="shared" si="18"/>
        <v>49522</v>
      </c>
      <c r="C108" s="33">
        <f t="shared" si="19"/>
        <v>9</v>
      </c>
      <c r="D108" s="33">
        <f t="shared" si="20"/>
        <v>8</v>
      </c>
      <c r="E108" s="35">
        <f t="shared" si="21"/>
        <v>123120.79449727395</v>
      </c>
      <c r="F108" s="35">
        <f t="shared" si="22"/>
        <v>621756068.41897488</v>
      </c>
      <c r="G108" s="33">
        <f t="shared" si="23"/>
        <v>5049</v>
      </c>
      <c r="H108" s="35">
        <f t="shared" si="24"/>
        <v>621636891.41673613</v>
      </c>
      <c r="I108" s="35">
        <f t="shared" si="25"/>
        <v>119177.00223875046</v>
      </c>
      <c r="J108" s="35">
        <f t="shared" si="26"/>
        <v>49730951.313338891</v>
      </c>
      <c r="K108" s="35">
        <f t="shared" si="27"/>
        <v>336247814.60383505</v>
      </c>
      <c r="L108" s="35">
        <f t="shared" si="28"/>
        <v>0</v>
      </c>
      <c r="M108" s="35">
        <f t="shared" si="29"/>
        <v>504371721.90575254</v>
      </c>
      <c r="N108" s="36">
        <f t="shared" si="30"/>
        <v>0.39</v>
      </c>
      <c r="O108" s="35">
        <f t="shared" si="31"/>
        <v>0</v>
      </c>
      <c r="P108" s="35">
        <f t="shared" si="32"/>
        <v>93783177.597921133</v>
      </c>
      <c r="Q108" s="35">
        <f t="shared" si="33"/>
        <v>0</v>
      </c>
      <c r="R108" s="35">
        <f t="shared" si="34"/>
        <v>671487019.73231375</v>
      </c>
      <c r="S108" s="33">
        <f t="shared" si="35"/>
        <v>5453</v>
      </c>
    </row>
    <row r="109" spans="1:19" x14ac:dyDescent="0.3">
      <c r="A109" s="33">
        <f>105</f>
        <v>105</v>
      </c>
      <c r="B109" s="34">
        <f t="shared" si="18"/>
        <v>49553</v>
      </c>
      <c r="C109" s="33">
        <f t="shared" si="19"/>
        <v>9</v>
      </c>
      <c r="D109" s="33">
        <f t="shared" si="20"/>
        <v>9</v>
      </c>
      <c r="E109" s="35">
        <f t="shared" si="21"/>
        <v>123120.79449727395</v>
      </c>
      <c r="F109" s="35">
        <f t="shared" si="22"/>
        <v>671487019.73231375</v>
      </c>
      <c r="G109" s="33">
        <f t="shared" si="23"/>
        <v>5453</v>
      </c>
      <c r="H109" s="35">
        <f t="shared" si="24"/>
        <v>671377692.3936348</v>
      </c>
      <c r="I109" s="35">
        <f t="shared" si="25"/>
        <v>109327.33867895603</v>
      </c>
      <c r="J109" s="35">
        <f t="shared" si="26"/>
        <v>53710215.391490787</v>
      </c>
      <c r="K109" s="35">
        <f t="shared" si="27"/>
        <v>389958029.9953258</v>
      </c>
      <c r="L109" s="35">
        <f t="shared" si="28"/>
        <v>149488343.84681013</v>
      </c>
      <c r="M109" s="35">
        <f t="shared" si="29"/>
        <v>519944039.99376774</v>
      </c>
      <c r="N109" s="36">
        <f t="shared" si="30"/>
        <v>0.39</v>
      </c>
      <c r="O109" s="35">
        <f t="shared" si="31"/>
        <v>58300454.100255951</v>
      </c>
      <c r="P109" s="35">
        <f t="shared" si="32"/>
        <v>152083631.6981771</v>
      </c>
      <c r="Q109" s="35">
        <f t="shared" si="33"/>
        <v>0</v>
      </c>
      <c r="R109" s="35">
        <f t="shared" si="34"/>
        <v>666896781.0235486</v>
      </c>
      <c r="S109" s="33">
        <f t="shared" si="35"/>
        <v>5416</v>
      </c>
    </row>
    <row r="110" spans="1:19" x14ac:dyDescent="0.3">
      <c r="A110" s="33">
        <f>106</f>
        <v>106</v>
      </c>
      <c r="B110" s="34">
        <f t="shared" si="18"/>
        <v>49583</v>
      </c>
      <c r="C110" s="33">
        <f t="shared" si="19"/>
        <v>9</v>
      </c>
      <c r="D110" s="33">
        <f t="shared" si="20"/>
        <v>10</v>
      </c>
      <c r="E110" s="35">
        <f t="shared" si="21"/>
        <v>123120.79449727395</v>
      </c>
      <c r="F110" s="35">
        <f t="shared" si="22"/>
        <v>666896781.0235486</v>
      </c>
      <c r="G110" s="33">
        <f t="shared" si="23"/>
        <v>5416</v>
      </c>
      <c r="H110" s="35">
        <f t="shared" si="24"/>
        <v>666822222.99723566</v>
      </c>
      <c r="I110" s="35">
        <f t="shared" si="25"/>
        <v>74558.026312947273</v>
      </c>
      <c r="J110" s="35">
        <f t="shared" si="26"/>
        <v>53345777.839778855</v>
      </c>
      <c r="K110" s="35">
        <f t="shared" si="27"/>
        <v>443303807.83510464</v>
      </c>
      <c r="L110" s="35">
        <f t="shared" si="28"/>
        <v>0</v>
      </c>
      <c r="M110" s="35">
        <f t="shared" si="29"/>
        <v>531964569.40212554</v>
      </c>
      <c r="N110" s="36">
        <f t="shared" si="30"/>
        <v>0.39</v>
      </c>
      <c r="O110" s="35">
        <f t="shared" si="31"/>
        <v>0</v>
      </c>
      <c r="P110" s="35">
        <f t="shared" si="32"/>
        <v>152083631.6981771</v>
      </c>
      <c r="Q110" s="35">
        <f t="shared" si="33"/>
        <v>0</v>
      </c>
      <c r="R110" s="35">
        <f t="shared" si="34"/>
        <v>720242558.8633275</v>
      </c>
      <c r="S110" s="33">
        <f t="shared" si="35"/>
        <v>5849</v>
      </c>
    </row>
    <row r="111" spans="1:19" x14ac:dyDescent="0.3">
      <c r="A111" s="33">
        <f>107</f>
        <v>107</v>
      </c>
      <c r="B111" s="34">
        <f t="shared" si="18"/>
        <v>49614</v>
      </c>
      <c r="C111" s="33">
        <f t="shared" si="19"/>
        <v>9</v>
      </c>
      <c r="D111" s="33">
        <f t="shared" si="20"/>
        <v>11</v>
      </c>
      <c r="E111" s="35">
        <f t="shared" si="21"/>
        <v>123120.79449727395</v>
      </c>
      <c r="F111" s="35">
        <f t="shared" si="22"/>
        <v>720242558.8633275</v>
      </c>
      <c r="G111" s="33">
        <f t="shared" si="23"/>
        <v>5849</v>
      </c>
      <c r="H111" s="35">
        <f t="shared" si="24"/>
        <v>720133527.01455534</v>
      </c>
      <c r="I111" s="35">
        <f t="shared" si="25"/>
        <v>109031.84877216816</v>
      </c>
      <c r="J111" s="35">
        <f t="shared" si="26"/>
        <v>57610682.161164425</v>
      </c>
      <c r="K111" s="35">
        <f t="shared" si="27"/>
        <v>500914489.99626905</v>
      </c>
      <c r="L111" s="35">
        <f t="shared" si="28"/>
        <v>0</v>
      </c>
      <c r="M111" s="35">
        <f t="shared" si="29"/>
        <v>546452170.90502083</v>
      </c>
      <c r="N111" s="36">
        <f t="shared" si="30"/>
        <v>0.39</v>
      </c>
      <c r="O111" s="35">
        <f t="shared" si="31"/>
        <v>0</v>
      </c>
      <c r="P111" s="35">
        <f t="shared" si="32"/>
        <v>152083631.6981771</v>
      </c>
      <c r="Q111" s="35">
        <f t="shared" si="33"/>
        <v>0</v>
      </c>
      <c r="R111" s="35">
        <f t="shared" si="34"/>
        <v>777853241.02449191</v>
      </c>
      <c r="S111" s="33">
        <f t="shared" si="35"/>
        <v>6317</v>
      </c>
    </row>
    <row r="112" spans="1:19" x14ac:dyDescent="0.3">
      <c r="A112" s="37">
        <f>108</f>
        <v>108</v>
      </c>
      <c r="B112" s="38">
        <f t="shared" si="18"/>
        <v>49644</v>
      </c>
      <c r="C112" s="37">
        <f t="shared" si="19"/>
        <v>9</v>
      </c>
      <c r="D112" s="37">
        <f t="shared" si="20"/>
        <v>12</v>
      </c>
      <c r="E112" s="39">
        <f t="shared" si="21"/>
        <v>123120.79449727395</v>
      </c>
      <c r="F112" s="39">
        <f t="shared" si="22"/>
        <v>777853241.02449191</v>
      </c>
      <c r="G112" s="37">
        <f t="shared" si="23"/>
        <v>6317</v>
      </c>
      <c r="H112" s="39">
        <f t="shared" si="24"/>
        <v>777754058.83927953</v>
      </c>
      <c r="I112" s="39">
        <f t="shared" si="25"/>
        <v>99182.185212373734</v>
      </c>
      <c r="J112" s="39">
        <f t="shared" si="26"/>
        <v>62220324.707142361</v>
      </c>
      <c r="K112" s="39">
        <f t="shared" si="27"/>
        <v>563134814.70341146</v>
      </c>
      <c r="L112" s="39">
        <f t="shared" si="28"/>
        <v>173176784.70808563</v>
      </c>
      <c r="M112" s="39">
        <f t="shared" si="29"/>
        <v>563134814.70341146</v>
      </c>
      <c r="N112" s="40">
        <f t="shared" si="30"/>
        <v>0.39</v>
      </c>
      <c r="O112" s="39">
        <f t="shared" si="31"/>
        <v>67538946.036153391</v>
      </c>
      <c r="P112" s="39">
        <f t="shared" si="32"/>
        <v>219622577.73433048</v>
      </c>
      <c r="Q112" s="39">
        <f t="shared" si="33"/>
        <v>10000000</v>
      </c>
      <c r="R112" s="39">
        <f t="shared" si="34"/>
        <v>762534619.69548082</v>
      </c>
      <c r="S112" s="37">
        <f t="shared" si="35"/>
        <v>6193</v>
      </c>
    </row>
    <row r="113" spans="1:19" x14ac:dyDescent="0.3">
      <c r="A113" s="33">
        <f>109</f>
        <v>109</v>
      </c>
      <c r="B113" s="34">
        <f t="shared" si="18"/>
        <v>49675</v>
      </c>
      <c r="C113" s="33">
        <f t="shared" si="19"/>
        <v>10</v>
      </c>
      <c r="D113" s="33">
        <f t="shared" si="20"/>
        <v>1</v>
      </c>
      <c r="E113" s="35">
        <f t="shared" si="21"/>
        <v>129276.83422213765</v>
      </c>
      <c r="F113" s="35">
        <f t="shared" si="22"/>
        <v>762534619.69548082</v>
      </c>
      <c r="G113" s="33">
        <f t="shared" si="23"/>
        <v>5898</v>
      </c>
      <c r="H113" s="35">
        <f t="shared" si="24"/>
        <v>762474768.24216783</v>
      </c>
      <c r="I113" s="35">
        <f t="shared" si="25"/>
        <v>59851.45331299305</v>
      </c>
      <c r="J113" s="35">
        <f t="shared" si="26"/>
        <v>60997981.459373429</v>
      </c>
      <c r="K113" s="35">
        <f t="shared" si="27"/>
        <v>60997981.459373429</v>
      </c>
      <c r="L113" s="35">
        <f t="shared" si="28"/>
        <v>0</v>
      </c>
      <c r="M113" s="35">
        <f t="shared" si="29"/>
        <v>731975777.51248121</v>
      </c>
      <c r="N113" s="36">
        <f t="shared" si="30"/>
        <v>0.39</v>
      </c>
      <c r="O113" s="35">
        <f t="shared" si="31"/>
        <v>0</v>
      </c>
      <c r="P113" s="35">
        <f t="shared" si="32"/>
        <v>0</v>
      </c>
      <c r="Q113" s="35">
        <f t="shared" si="33"/>
        <v>0</v>
      </c>
      <c r="R113" s="35">
        <f t="shared" si="34"/>
        <v>823532601.1548543</v>
      </c>
      <c r="S113" s="33">
        <f t="shared" si="35"/>
        <v>6370</v>
      </c>
    </row>
    <row r="114" spans="1:19" x14ac:dyDescent="0.3">
      <c r="A114" s="33">
        <f>110</f>
        <v>110</v>
      </c>
      <c r="B114" s="34">
        <f t="shared" si="18"/>
        <v>49706</v>
      </c>
      <c r="C114" s="33">
        <f t="shared" si="19"/>
        <v>10</v>
      </c>
      <c r="D114" s="33">
        <f t="shared" si="20"/>
        <v>2</v>
      </c>
      <c r="E114" s="35">
        <f t="shared" si="21"/>
        <v>129276.83422213765</v>
      </c>
      <c r="F114" s="35">
        <f t="shared" si="22"/>
        <v>823532601.1548543</v>
      </c>
      <c r="G114" s="33">
        <f t="shared" si="23"/>
        <v>6370</v>
      </c>
      <c r="H114" s="35">
        <f t="shared" si="24"/>
        <v>823493433.99501681</v>
      </c>
      <c r="I114" s="35">
        <f t="shared" si="25"/>
        <v>39167.15983748436</v>
      </c>
      <c r="J114" s="35">
        <f t="shared" si="26"/>
        <v>65879474.719601348</v>
      </c>
      <c r="K114" s="35">
        <f t="shared" si="27"/>
        <v>126877456.17897478</v>
      </c>
      <c r="L114" s="35">
        <f t="shared" si="28"/>
        <v>0</v>
      </c>
      <c r="M114" s="35">
        <f t="shared" si="29"/>
        <v>761264737.07384872</v>
      </c>
      <c r="N114" s="36">
        <f t="shared" si="30"/>
        <v>0.39</v>
      </c>
      <c r="O114" s="35">
        <f t="shared" si="31"/>
        <v>0</v>
      </c>
      <c r="P114" s="35">
        <f t="shared" si="32"/>
        <v>0</v>
      </c>
      <c r="Q114" s="35">
        <f t="shared" si="33"/>
        <v>0</v>
      </c>
      <c r="R114" s="35">
        <f t="shared" si="34"/>
        <v>889412075.87445569</v>
      </c>
      <c r="S114" s="33">
        <f t="shared" si="35"/>
        <v>6879</v>
      </c>
    </row>
    <row r="115" spans="1:19" x14ac:dyDescent="0.3">
      <c r="A115" s="33">
        <f>111</f>
        <v>111</v>
      </c>
      <c r="B115" s="34">
        <f t="shared" si="18"/>
        <v>49735</v>
      </c>
      <c r="C115" s="33">
        <f t="shared" si="19"/>
        <v>10</v>
      </c>
      <c r="D115" s="33">
        <f t="shared" si="20"/>
        <v>3</v>
      </c>
      <c r="E115" s="35">
        <f t="shared" si="21"/>
        <v>129276.83422213765</v>
      </c>
      <c r="F115" s="35">
        <f t="shared" si="22"/>
        <v>889412075.87445569</v>
      </c>
      <c r="G115" s="33">
        <f t="shared" si="23"/>
        <v>6879</v>
      </c>
      <c r="H115" s="35">
        <f t="shared" si="24"/>
        <v>889295342.61408496</v>
      </c>
      <c r="I115" s="35">
        <f t="shared" si="25"/>
        <v>116733.26037073135</v>
      </c>
      <c r="J115" s="35">
        <f t="shared" si="26"/>
        <v>71143627.409126803</v>
      </c>
      <c r="K115" s="35">
        <f t="shared" si="27"/>
        <v>198021083.58810157</v>
      </c>
      <c r="L115" s="35">
        <f t="shared" si="28"/>
        <v>198021083.58810157</v>
      </c>
      <c r="M115" s="35">
        <f t="shared" si="29"/>
        <v>792084334.35240614</v>
      </c>
      <c r="N115" s="36">
        <f t="shared" si="30"/>
        <v>0.39</v>
      </c>
      <c r="O115" s="35">
        <f t="shared" si="31"/>
        <v>77228222.599359617</v>
      </c>
      <c r="P115" s="35">
        <f t="shared" si="32"/>
        <v>77228222.599359617</v>
      </c>
      <c r="Q115" s="35">
        <f t="shared" si="33"/>
        <v>0</v>
      </c>
      <c r="R115" s="35">
        <f t="shared" si="34"/>
        <v>883327480.68422282</v>
      </c>
      <c r="S115" s="33">
        <f t="shared" si="35"/>
        <v>6832</v>
      </c>
    </row>
    <row r="116" spans="1:19" x14ac:dyDescent="0.3">
      <c r="A116" s="33">
        <f>112</f>
        <v>112</v>
      </c>
      <c r="B116" s="34">
        <f t="shared" si="18"/>
        <v>49766</v>
      </c>
      <c r="C116" s="33">
        <f t="shared" si="19"/>
        <v>10</v>
      </c>
      <c r="D116" s="33">
        <f t="shared" si="20"/>
        <v>4</v>
      </c>
      <c r="E116" s="35">
        <f t="shared" si="21"/>
        <v>129276.83422213765</v>
      </c>
      <c r="F116" s="35">
        <f t="shared" si="22"/>
        <v>883327480.68422282</v>
      </c>
      <c r="G116" s="33">
        <f t="shared" si="23"/>
        <v>6832</v>
      </c>
      <c r="H116" s="35">
        <f t="shared" si="24"/>
        <v>883219331.40564442</v>
      </c>
      <c r="I116" s="35">
        <f t="shared" si="25"/>
        <v>108149.27857840061</v>
      </c>
      <c r="J116" s="35">
        <f t="shared" si="26"/>
        <v>70657546.512451559</v>
      </c>
      <c r="K116" s="35">
        <f t="shared" si="27"/>
        <v>268678630.10055315</v>
      </c>
      <c r="L116" s="35">
        <f t="shared" si="28"/>
        <v>0</v>
      </c>
      <c r="M116" s="35">
        <f t="shared" si="29"/>
        <v>806035890.30165946</v>
      </c>
      <c r="N116" s="36">
        <f t="shared" si="30"/>
        <v>0.39</v>
      </c>
      <c r="O116" s="35">
        <f t="shared" si="31"/>
        <v>0</v>
      </c>
      <c r="P116" s="35">
        <f t="shared" si="32"/>
        <v>77228222.599359617</v>
      </c>
      <c r="Q116" s="35">
        <f t="shared" si="33"/>
        <v>0</v>
      </c>
      <c r="R116" s="35">
        <f t="shared" si="34"/>
        <v>953985027.19667435</v>
      </c>
      <c r="S116" s="33">
        <f t="shared" si="35"/>
        <v>7379</v>
      </c>
    </row>
    <row r="117" spans="1:19" x14ac:dyDescent="0.3">
      <c r="A117" s="33">
        <f>113</f>
        <v>113</v>
      </c>
      <c r="B117" s="34">
        <f t="shared" si="18"/>
        <v>49796</v>
      </c>
      <c r="C117" s="33">
        <f t="shared" si="19"/>
        <v>10</v>
      </c>
      <c r="D117" s="33">
        <f t="shared" si="20"/>
        <v>5</v>
      </c>
      <c r="E117" s="35">
        <f t="shared" si="21"/>
        <v>129276.83422213765</v>
      </c>
      <c r="F117" s="35">
        <f t="shared" si="22"/>
        <v>953985027.19667435</v>
      </c>
      <c r="G117" s="33">
        <f t="shared" si="23"/>
        <v>7379</v>
      </c>
      <c r="H117" s="35">
        <f t="shared" si="24"/>
        <v>953933759.72515368</v>
      </c>
      <c r="I117" s="35">
        <f t="shared" si="25"/>
        <v>51267.471520662308</v>
      </c>
      <c r="J117" s="35">
        <f t="shared" si="26"/>
        <v>76314700.778012291</v>
      </c>
      <c r="K117" s="35">
        <f t="shared" si="27"/>
        <v>344993330.87856543</v>
      </c>
      <c r="L117" s="35">
        <f t="shared" si="28"/>
        <v>0</v>
      </c>
      <c r="M117" s="35">
        <f t="shared" si="29"/>
        <v>827983994.10855699</v>
      </c>
      <c r="N117" s="36">
        <f t="shared" si="30"/>
        <v>0.39</v>
      </c>
      <c r="O117" s="35">
        <f t="shared" si="31"/>
        <v>0</v>
      </c>
      <c r="P117" s="35">
        <f t="shared" si="32"/>
        <v>77228222.599359617</v>
      </c>
      <c r="Q117" s="35">
        <f t="shared" si="33"/>
        <v>0</v>
      </c>
      <c r="R117" s="35">
        <f t="shared" si="34"/>
        <v>1030299727.9746866</v>
      </c>
      <c r="S117" s="33">
        <f t="shared" si="35"/>
        <v>7969</v>
      </c>
    </row>
    <row r="118" spans="1:19" x14ac:dyDescent="0.3">
      <c r="A118" s="33">
        <f>114</f>
        <v>114</v>
      </c>
      <c r="B118" s="34">
        <f t="shared" si="18"/>
        <v>49827</v>
      </c>
      <c r="C118" s="33">
        <f t="shared" si="19"/>
        <v>10</v>
      </c>
      <c r="D118" s="33">
        <f t="shared" si="20"/>
        <v>6</v>
      </c>
      <c r="E118" s="35">
        <f t="shared" si="21"/>
        <v>129276.83422213765</v>
      </c>
      <c r="F118" s="35">
        <f t="shared" si="22"/>
        <v>1030299727.9746866</v>
      </c>
      <c r="G118" s="33">
        <f t="shared" si="23"/>
        <v>7969</v>
      </c>
      <c r="H118" s="35">
        <f t="shared" si="24"/>
        <v>1030207091.9162149</v>
      </c>
      <c r="I118" s="35">
        <f t="shared" si="25"/>
        <v>92636.058471679688</v>
      </c>
      <c r="J118" s="35">
        <f t="shared" si="26"/>
        <v>82416567.353297204</v>
      </c>
      <c r="K118" s="35">
        <f t="shared" si="27"/>
        <v>427409898.23186266</v>
      </c>
      <c r="L118" s="35">
        <f t="shared" si="28"/>
        <v>229388814.64376107</v>
      </c>
      <c r="M118" s="35">
        <f t="shared" si="29"/>
        <v>854819796.46372545</v>
      </c>
      <c r="N118" s="36">
        <f t="shared" si="30"/>
        <v>0.39</v>
      </c>
      <c r="O118" s="35">
        <f t="shared" si="31"/>
        <v>89461637.711066827</v>
      </c>
      <c r="P118" s="35">
        <f t="shared" si="32"/>
        <v>166689860.31042644</v>
      </c>
      <c r="Q118" s="35">
        <f t="shared" si="33"/>
        <v>0</v>
      </c>
      <c r="R118" s="35">
        <f t="shared" si="34"/>
        <v>1023254657.616917</v>
      </c>
      <c r="S118" s="33">
        <f t="shared" si="35"/>
        <v>7915</v>
      </c>
    </row>
    <row r="119" spans="1:19" x14ac:dyDescent="0.3">
      <c r="A119" s="33">
        <f>115</f>
        <v>115</v>
      </c>
      <c r="B119" s="34">
        <f t="shared" si="18"/>
        <v>49857</v>
      </c>
      <c r="C119" s="33">
        <f t="shared" si="19"/>
        <v>10</v>
      </c>
      <c r="D119" s="33">
        <f t="shared" si="20"/>
        <v>7</v>
      </c>
      <c r="E119" s="35">
        <f t="shared" si="21"/>
        <v>129276.83422213765</v>
      </c>
      <c r="F119" s="35">
        <f t="shared" si="22"/>
        <v>1023254657.616917</v>
      </c>
      <c r="G119" s="33">
        <f t="shared" si="23"/>
        <v>7915</v>
      </c>
      <c r="H119" s="35">
        <f t="shared" si="24"/>
        <v>1023226142.8682195</v>
      </c>
      <c r="I119" s="35">
        <f t="shared" si="25"/>
        <v>28514.748697519302</v>
      </c>
      <c r="J119" s="35">
        <f t="shared" si="26"/>
        <v>81858091.42945756</v>
      </c>
      <c r="K119" s="35">
        <f t="shared" si="27"/>
        <v>509267989.66132021</v>
      </c>
      <c r="L119" s="35">
        <f t="shared" si="28"/>
        <v>0</v>
      </c>
      <c r="M119" s="35">
        <f t="shared" si="29"/>
        <v>873030839.41940606</v>
      </c>
      <c r="N119" s="36">
        <f t="shared" si="30"/>
        <v>0.39</v>
      </c>
      <c r="O119" s="35">
        <f t="shared" si="31"/>
        <v>0</v>
      </c>
      <c r="P119" s="35">
        <f t="shared" si="32"/>
        <v>166689860.31042644</v>
      </c>
      <c r="Q119" s="35">
        <f t="shared" si="33"/>
        <v>0</v>
      </c>
      <c r="R119" s="35">
        <f t="shared" si="34"/>
        <v>1105112749.0463746</v>
      </c>
      <c r="S119" s="33">
        <f t="shared" si="35"/>
        <v>8548</v>
      </c>
    </row>
    <row r="120" spans="1:19" x14ac:dyDescent="0.3">
      <c r="A120" s="33">
        <f>116</f>
        <v>116</v>
      </c>
      <c r="B120" s="34">
        <f t="shared" si="18"/>
        <v>49888</v>
      </c>
      <c r="C120" s="33">
        <f t="shared" si="19"/>
        <v>10</v>
      </c>
      <c r="D120" s="33">
        <f t="shared" si="20"/>
        <v>8</v>
      </c>
      <c r="E120" s="35">
        <f t="shared" si="21"/>
        <v>129276.83422213765</v>
      </c>
      <c r="F120" s="35">
        <f t="shared" si="22"/>
        <v>1105112749.0463746</v>
      </c>
      <c r="G120" s="33">
        <f t="shared" si="23"/>
        <v>8548</v>
      </c>
      <c r="H120" s="35">
        <f t="shared" si="24"/>
        <v>1105058378.9308326</v>
      </c>
      <c r="I120" s="35">
        <f t="shared" si="25"/>
        <v>54370.115541934967</v>
      </c>
      <c r="J120" s="35">
        <f t="shared" si="26"/>
        <v>88404670.314466611</v>
      </c>
      <c r="K120" s="35">
        <f t="shared" si="27"/>
        <v>597672659.97578681</v>
      </c>
      <c r="L120" s="35">
        <f t="shared" si="28"/>
        <v>0</v>
      </c>
      <c r="M120" s="35">
        <f t="shared" si="29"/>
        <v>896508989.96368027</v>
      </c>
      <c r="N120" s="36">
        <f t="shared" si="30"/>
        <v>0.39</v>
      </c>
      <c r="O120" s="35">
        <f t="shared" si="31"/>
        <v>0</v>
      </c>
      <c r="P120" s="35">
        <f t="shared" si="32"/>
        <v>166689860.31042644</v>
      </c>
      <c r="Q120" s="35">
        <f t="shared" si="33"/>
        <v>0</v>
      </c>
      <c r="R120" s="35">
        <f t="shared" si="34"/>
        <v>1193517419.3608413</v>
      </c>
      <c r="S120" s="33">
        <f t="shared" si="35"/>
        <v>9232</v>
      </c>
    </row>
    <row r="121" spans="1:19" x14ac:dyDescent="0.3">
      <c r="A121" s="33">
        <f>117</f>
        <v>117</v>
      </c>
      <c r="B121" s="34">
        <f t="shared" si="18"/>
        <v>49919</v>
      </c>
      <c r="C121" s="33">
        <f t="shared" si="19"/>
        <v>10</v>
      </c>
      <c r="D121" s="33">
        <f t="shared" si="20"/>
        <v>9</v>
      </c>
      <c r="E121" s="35">
        <f t="shared" si="21"/>
        <v>129276.83422213765</v>
      </c>
      <c r="F121" s="35">
        <f t="shared" si="22"/>
        <v>1193517419.3608413</v>
      </c>
      <c r="G121" s="33">
        <f t="shared" si="23"/>
        <v>9232</v>
      </c>
      <c r="H121" s="35">
        <f t="shared" si="24"/>
        <v>1193483733.5387747</v>
      </c>
      <c r="I121" s="35">
        <f t="shared" si="25"/>
        <v>33685.822066545486</v>
      </c>
      <c r="J121" s="35">
        <f t="shared" si="26"/>
        <v>95478698.683101982</v>
      </c>
      <c r="K121" s="35">
        <f t="shared" si="27"/>
        <v>693151358.65888882</v>
      </c>
      <c r="L121" s="35">
        <f t="shared" si="28"/>
        <v>265741460.42702615</v>
      </c>
      <c r="M121" s="35">
        <f t="shared" si="29"/>
        <v>924201811.54518509</v>
      </c>
      <c r="N121" s="36">
        <f t="shared" si="30"/>
        <v>0.39</v>
      </c>
      <c r="O121" s="35">
        <f t="shared" si="31"/>
        <v>103639169.5665402</v>
      </c>
      <c r="P121" s="35">
        <f t="shared" si="32"/>
        <v>270329029.87696666</v>
      </c>
      <c r="Q121" s="35">
        <f t="shared" si="33"/>
        <v>0</v>
      </c>
      <c r="R121" s="35">
        <f t="shared" si="34"/>
        <v>1185356948.4774029</v>
      </c>
      <c r="S121" s="33">
        <f t="shared" si="35"/>
        <v>9169</v>
      </c>
    </row>
    <row r="122" spans="1:19" x14ac:dyDescent="0.3">
      <c r="A122" s="33">
        <f>118</f>
        <v>118</v>
      </c>
      <c r="B122" s="34">
        <f t="shared" si="18"/>
        <v>49949</v>
      </c>
      <c r="C122" s="33">
        <f t="shared" si="19"/>
        <v>10</v>
      </c>
      <c r="D122" s="33">
        <f t="shared" si="20"/>
        <v>10</v>
      </c>
      <c r="E122" s="35">
        <f t="shared" si="21"/>
        <v>129276.83422213765</v>
      </c>
      <c r="F122" s="35">
        <f t="shared" si="22"/>
        <v>1185356948.4774029</v>
      </c>
      <c r="G122" s="33">
        <f t="shared" si="23"/>
        <v>9169</v>
      </c>
      <c r="H122" s="35">
        <f t="shared" si="24"/>
        <v>1185339292.9827802</v>
      </c>
      <c r="I122" s="35">
        <f t="shared" si="25"/>
        <v>17655.494622707367</v>
      </c>
      <c r="J122" s="35">
        <f t="shared" si="26"/>
        <v>94827143.438622415</v>
      </c>
      <c r="K122" s="35">
        <f t="shared" si="27"/>
        <v>787978502.09751129</v>
      </c>
      <c r="L122" s="35">
        <f t="shared" si="28"/>
        <v>0</v>
      </c>
      <c r="M122" s="35">
        <f t="shared" si="29"/>
        <v>945574202.51701355</v>
      </c>
      <c r="N122" s="36">
        <f t="shared" si="30"/>
        <v>0.39</v>
      </c>
      <c r="O122" s="35">
        <f t="shared" si="31"/>
        <v>0</v>
      </c>
      <c r="P122" s="35">
        <f t="shared" si="32"/>
        <v>270329029.87696666</v>
      </c>
      <c r="Q122" s="35">
        <f t="shared" si="33"/>
        <v>0</v>
      </c>
      <c r="R122" s="35">
        <f t="shared" si="34"/>
        <v>1280184091.9160254</v>
      </c>
      <c r="S122" s="33">
        <f t="shared" si="35"/>
        <v>9902</v>
      </c>
    </row>
    <row r="123" spans="1:19" x14ac:dyDescent="0.3">
      <c r="A123" s="33">
        <f>119</f>
        <v>119</v>
      </c>
      <c r="B123" s="34">
        <f t="shared" si="18"/>
        <v>49980</v>
      </c>
      <c r="C123" s="33">
        <f t="shared" si="19"/>
        <v>10</v>
      </c>
      <c r="D123" s="33">
        <f t="shared" si="20"/>
        <v>11</v>
      </c>
      <c r="E123" s="35">
        <f t="shared" si="21"/>
        <v>129276.83422213765</v>
      </c>
      <c r="F123" s="35">
        <f t="shared" si="22"/>
        <v>1280184091.9160254</v>
      </c>
      <c r="G123" s="33">
        <f t="shared" si="23"/>
        <v>9902</v>
      </c>
      <c r="H123" s="35">
        <f t="shared" si="24"/>
        <v>1280099212.467607</v>
      </c>
      <c r="I123" s="35">
        <f t="shared" si="25"/>
        <v>84879.44841837883</v>
      </c>
      <c r="J123" s="35">
        <f t="shared" si="26"/>
        <v>102407936.99740857</v>
      </c>
      <c r="K123" s="35">
        <f t="shared" si="27"/>
        <v>890386439.09491992</v>
      </c>
      <c r="L123" s="35">
        <f t="shared" si="28"/>
        <v>0</v>
      </c>
      <c r="M123" s="35">
        <f t="shared" si="29"/>
        <v>971330660.83082163</v>
      </c>
      <c r="N123" s="36">
        <f t="shared" si="30"/>
        <v>0.39</v>
      </c>
      <c r="O123" s="35">
        <f t="shared" si="31"/>
        <v>0</v>
      </c>
      <c r="P123" s="35">
        <f t="shared" si="32"/>
        <v>270329029.87696666</v>
      </c>
      <c r="Q123" s="35">
        <f t="shared" si="33"/>
        <v>0</v>
      </c>
      <c r="R123" s="35">
        <f t="shared" si="34"/>
        <v>1382592028.913434</v>
      </c>
      <c r="S123" s="33">
        <f t="shared" si="35"/>
        <v>10694</v>
      </c>
    </row>
    <row r="124" spans="1:19" x14ac:dyDescent="0.3">
      <c r="A124" s="37">
        <f>120</f>
        <v>120</v>
      </c>
      <c r="B124" s="38">
        <f t="shared" si="18"/>
        <v>50010</v>
      </c>
      <c r="C124" s="37">
        <f t="shared" si="19"/>
        <v>10</v>
      </c>
      <c r="D124" s="37">
        <f t="shared" si="20"/>
        <v>12</v>
      </c>
      <c r="E124" s="39">
        <f t="shared" si="21"/>
        <v>129276.83422213765</v>
      </c>
      <c r="F124" s="39">
        <f t="shared" si="22"/>
        <v>1382592028.913434</v>
      </c>
      <c r="G124" s="37">
        <f t="shared" si="23"/>
        <v>10694</v>
      </c>
      <c r="H124" s="39">
        <f t="shared" si="24"/>
        <v>1382486465.17154</v>
      </c>
      <c r="I124" s="39">
        <f t="shared" si="25"/>
        <v>105563.74189400673</v>
      </c>
      <c r="J124" s="39">
        <f t="shared" si="26"/>
        <v>110598917.2137232</v>
      </c>
      <c r="K124" s="39">
        <f t="shared" si="27"/>
        <v>1000985356.3086431</v>
      </c>
      <c r="L124" s="39">
        <f t="shared" si="28"/>
        <v>307833997.64975417</v>
      </c>
      <c r="M124" s="39">
        <f t="shared" si="29"/>
        <v>1000985356.308643</v>
      </c>
      <c r="N124" s="40">
        <f t="shared" si="30"/>
        <v>0.39</v>
      </c>
      <c r="O124" s="39">
        <f t="shared" si="31"/>
        <v>120055259.08340412</v>
      </c>
      <c r="P124" s="39">
        <f t="shared" si="32"/>
        <v>390384288.96037078</v>
      </c>
      <c r="Q124" s="39">
        <f t="shared" si="33"/>
        <v>10000000</v>
      </c>
      <c r="R124" s="39">
        <f t="shared" si="34"/>
        <v>1363135687.0437531</v>
      </c>
      <c r="S124" s="37">
        <f t="shared" si="35"/>
        <v>10544</v>
      </c>
    </row>
    <row r="125" spans="1:19" x14ac:dyDescent="0.3">
      <c r="A125" s="33">
        <f>121</f>
        <v>121</v>
      </c>
      <c r="B125" s="34">
        <f t="shared" si="18"/>
        <v>50041</v>
      </c>
      <c r="C125" s="33">
        <f t="shared" si="19"/>
        <v>11</v>
      </c>
      <c r="D125" s="33">
        <f t="shared" si="20"/>
        <v>1</v>
      </c>
      <c r="E125" s="35">
        <f t="shared" si="21"/>
        <v>135740.67593324455</v>
      </c>
      <c r="F125" s="35">
        <f t="shared" si="22"/>
        <v>1363135687.0437531</v>
      </c>
      <c r="G125" s="33">
        <f t="shared" si="23"/>
        <v>10042</v>
      </c>
      <c r="H125" s="35">
        <f t="shared" si="24"/>
        <v>1363107867.7216418</v>
      </c>
      <c r="I125" s="35">
        <f t="shared" si="25"/>
        <v>27819.322111368179</v>
      </c>
      <c r="J125" s="35">
        <f t="shared" si="26"/>
        <v>109048629.41773134</v>
      </c>
      <c r="K125" s="35">
        <f t="shared" si="27"/>
        <v>109048629.41773134</v>
      </c>
      <c r="L125" s="35">
        <f t="shared" si="28"/>
        <v>0</v>
      </c>
      <c r="M125" s="35">
        <f t="shared" si="29"/>
        <v>1308583553.0127761</v>
      </c>
      <c r="N125" s="36">
        <f t="shared" si="30"/>
        <v>0.39</v>
      </c>
      <c r="O125" s="35">
        <f t="shared" si="31"/>
        <v>0</v>
      </c>
      <c r="P125" s="35">
        <f t="shared" si="32"/>
        <v>0</v>
      </c>
      <c r="Q125" s="35">
        <f t="shared" si="33"/>
        <v>0</v>
      </c>
      <c r="R125" s="35">
        <f t="shared" si="34"/>
        <v>1472184316.4614844</v>
      </c>
      <c r="S125" s="33">
        <f t="shared" si="35"/>
        <v>10845</v>
      </c>
    </row>
    <row r="126" spans="1:19" x14ac:dyDescent="0.3">
      <c r="A126" s="33">
        <f>122</f>
        <v>122</v>
      </c>
      <c r="B126" s="34">
        <f t="shared" si="18"/>
        <v>50072</v>
      </c>
      <c r="C126" s="33">
        <f t="shared" si="19"/>
        <v>11</v>
      </c>
      <c r="D126" s="33">
        <f t="shared" si="20"/>
        <v>2</v>
      </c>
      <c r="E126" s="35">
        <f t="shared" si="21"/>
        <v>135740.67593324455</v>
      </c>
      <c r="F126" s="35">
        <f t="shared" si="22"/>
        <v>1472184316.4614844</v>
      </c>
      <c r="G126" s="33">
        <f t="shared" si="23"/>
        <v>10845</v>
      </c>
      <c r="H126" s="35">
        <f t="shared" si="24"/>
        <v>1472107630.4960372</v>
      </c>
      <c r="I126" s="35">
        <f t="shared" si="25"/>
        <v>76685.965447187424</v>
      </c>
      <c r="J126" s="35">
        <f t="shared" si="26"/>
        <v>117768610.43968298</v>
      </c>
      <c r="K126" s="35">
        <f t="shared" si="27"/>
        <v>226817239.85741431</v>
      </c>
      <c r="L126" s="35">
        <f t="shared" si="28"/>
        <v>0</v>
      </c>
      <c r="M126" s="35">
        <f t="shared" si="29"/>
        <v>1360903439.144486</v>
      </c>
      <c r="N126" s="36">
        <f t="shared" si="30"/>
        <v>0.39</v>
      </c>
      <c r="O126" s="35">
        <f t="shared" si="31"/>
        <v>0</v>
      </c>
      <c r="P126" s="35">
        <f t="shared" si="32"/>
        <v>0</v>
      </c>
      <c r="Q126" s="35">
        <f t="shared" si="33"/>
        <v>0</v>
      </c>
      <c r="R126" s="35">
        <f t="shared" si="34"/>
        <v>1589952926.9011674</v>
      </c>
      <c r="S126" s="33">
        <f t="shared" si="35"/>
        <v>11713</v>
      </c>
    </row>
    <row r="127" spans="1:19" x14ac:dyDescent="0.3">
      <c r="A127" s="33">
        <f>123</f>
        <v>123</v>
      </c>
      <c r="B127" s="34">
        <f t="shared" si="18"/>
        <v>50100</v>
      </c>
      <c r="C127" s="33">
        <f t="shared" si="19"/>
        <v>11</v>
      </c>
      <c r="D127" s="33">
        <f t="shared" si="20"/>
        <v>3</v>
      </c>
      <c r="E127" s="35">
        <f t="shared" si="21"/>
        <v>135740.67593324455</v>
      </c>
      <c r="F127" s="35">
        <f t="shared" si="22"/>
        <v>1589952926.9011674</v>
      </c>
      <c r="G127" s="33">
        <f t="shared" si="23"/>
        <v>11713</v>
      </c>
      <c r="H127" s="35">
        <f t="shared" si="24"/>
        <v>1589930537.2060933</v>
      </c>
      <c r="I127" s="35">
        <f t="shared" si="25"/>
        <v>22389.695074081421</v>
      </c>
      <c r="J127" s="35">
        <f t="shared" si="26"/>
        <v>127194442.97648747</v>
      </c>
      <c r="K127" s="35">
        <f t="shared" si="27"/>
        <v>354011682.83390176</v>
      </c>
      <c r="L127" s="35">
        <f t="shared" si="28"/>
        <v>354011682.83390176</v>
      </c>
      <c r="M127" s="35">
        <f t="shared" si="29"/>
        <v>1416046731.3356071</v>
      </c>
      <c r="N127" s="36">
        <f t="shared" si="30"/>
        <v>0.39</v>
      </c>
      <c r="O127" s="35">
        <f t="shared" si="31"/>
        <v>138064556.30522171</v>
      </c>
      <c r="P127" s="35">
        <f t="shared" si="32"/>
        <v>138064556.30522171</v>
      </c>
      <c r="Q127" s="35">
        <f t="shared" si="33"/>
        <v>0</v>
      </c>
      <c r="R127" s="35">
        <f t="shared" si="34"/>
        <v>1579082813.572433</v>
      </c>
      <c r="S127" s="33">
        <f t="shared" si="35"/>
        <v>11633</v>
      </c>
    </row>
    <row r="128" spans="1:19" x14ac:dyDescent="0.3">
      <c r="A128" s="33">
        <f>124</f>
        <v>124</v>
      </c>
      <c r="B128" s="34">
        <f t="shared" si="18"/>
        <v>50131</v>
      </c>
      <c r="C128" s="33">
        <f t="shared" si="19"/>
        <v>11</v>
      </c>
      <c r="D128" s="33">
        <f t="shared" si="20"/>
        <v>4</v>
      </c>
      <c r="E128" s="35">
        <f t="shared" si="21"/>
        <v>135740.67593324455</v>
      </c>
      <c r="F128" s="35">
        <f t="shared" si="22"/>
        <v>1579082813.572433</v>
      </c>
      <c r="G128" s="33">
        <f t="shared" si="23"/>
        <v>11633</v>
      </c>
      <c r="H128" s="35">
        <f t="shared" si="24"/>
        <v>1579071283.131434</v>
      </c>
      <c r="I128" s="35">
        <f t="shared" si="25"/>
        <v>11530.440999031067</v>
      </c>
      <c r="J128" s="35">
        <f t="shared" si="26"/>
        <v>126325702.65051472</v>
      </c>
      <c r="K128" s="35">
        <f t="shared" si="27"/>
        <v>480337385.48441648</v>
      </c>
      <c r="L128" s="35">
        <f t="shared" si="28"/>
        <v>0</v>
      </c>
      <c r="M128" s="35">
        <f t="shared" si="29"/>
        <v>1441012156.4532495</v>
      </c>
      <c r="N128" s="36">
        <f t="shared" si="30"/>
        <v>0.39</v>
      </c>
      <c r="O128" s="35">
        <f t="shared" si="31"/>
        <v>0</v>
      </c>
      <c r="P128" s="35">
        <f t="shared" si="32"/>
        <v>138064556.30522171</v>
      </c>
      <c r="Q128" s="35">
        <f t="shared" si="33"/>
        <v>0</v>
      </c>
      <c r="R128" s="35">
        <f t="shared" si="34"/>
        <v>1705408516.2229476</v>
      </c>
      <c r="S128" s="33">
        <f t="shared" si="35"/>
        <v>12563</v>
      </c>
    </row>
    <row r="129" spans="1:19" x14ac:dyDescent="0.3">
      <c r="A129" s="33">
        <f>125</f>
        <v>125</v>
      </c>
      <c r="B129" s="34">
        <f t="shared" si="18"/>
        <v>50161</v>
      </c>
      <c r="C129" s="33">
        <f t="shared" si="19"/>
        <v>11</v>
      </c>
      <c r="D129" s="33">
        <f t="shared" si="20"/>
        <v>5</v>
      </c>
      <c r="E129" s="35">
        <f t="shared" si="21"/>
        <v>135740.67593324455</v>
      </c>
      <c r="F129" s="35">
        <f t="shared" si="22"/>
        <v>1705408516.2229476</v>
      </c>
      <c r="G129" s="33">
        <f t="shared" si="23"/>
        <v>12563</v>
      </c>
      <c r="H129" s="35">
        <f t="shared" si="24"/>
        <v>1705310111.7493513</v>
      </c>
      <c r="I129" s="35">
        <f t="shared" si="25"/>
        <v>98404.473596334457</v>
      </c>
      <c r="J129" s="35">
        <f t="shared" si="26"/>
        <v>136424808.93994811</v>
      </c>
      <c r="K129" s="35">
        <f t="shared" si="27"/>
        <v>616762194.42436457</v>
      </c>
      <c r="L129" s="35">
        <f t="shared" si="28"/>
        <v>0</v>
      </c>
      <c r="M129" s="35">
        <f t="shared" si="29"/>
        <v>1480229266.618475</v>
      </c>
      <c r="N129" s="36">
        <f t="shared" si="30"/>
        <v>0.39</v>
      </c>
      <c r="O129" s="35">
        <f t="shared" si="31"/>
        <v>0</v>
      </c>
      <c r="P129" s="35">
        <f t="shared" si="32"/>
        <v>138064556.30522171</v>
      </c>
      <c r="Q129" s="35">
        <f t="shared" si="33"/>
        <v>0</v>
      </c>
      <c r="R129" s="35">
        <f t="shared" si="34"/>
        <v>1841833325.1628957</v>
      </c>
      <c r="S129" s="33">
        <f t="shared" si="35"/>
        <v>13568</v>
      </c>
    </row>
    <row r="130" spans="1:19" x14ac:dyDescent="0.3">
      <c r="A130" s="33">
        <f>126</f>
        <v>126</v>
      </c>
      <c r="B130" s="34">
        <f t="shared" si="18"/>
        <v>50192</v>
      </c>
      <c r="C130" s="33">
        <f t="shared" si="19"/>
        <v>11</v>
      </c>
      <c r="D130" s="33">
        <f t="shared" si="20"/>
        <v>6</v>
      </c>
      <c r="E130" s="35">
        <f t="shared" si="21"/>
        <v>135740.67593324455</v>
      </c>
      <c r="F130" s="35">
        <f t="shared" si="22"/>
        <v>1841833325.1628957</v>
      </c>
      <c r="G130" s="33">
        <f t="shared" si="23"/>
        <v>13568</v>
      </c>
      <c r="H130" s="35">
        <f t="shared" si="24"/>
        <v>1841729491.0622621</v>
      </c>
      <c r="I130" s="35">
        <f t="shared" si="25"/>
        <v>103834.10063362122</v>
      </c>
      <c r="J130" s="35">
        <f t="shared" si="26"/>
        <v>147338359.28498098</v>
      </c>
      <c r="K130" s="35">
        <f t="shared" si="27"/>
        <v>764100553.70934558</v>
      </c>
      <c r="L130" s="35">
        <f t="shared" si="28"/>
        <v>410088870.87544382</v>
      </c>
      <c r="M130" s="35">
        <f t="shared" si="29"/>
        <v>1528201107.4186909</v>
      </c>
      <c r="N130" s="36">
        <f t="shared" si="30"/>
        <v>0.39</v>
      </c>
      <c r="O130" s="35">
        <f t="shared" si="31"/>
        <v>159934659.64142311</v>
      </c>
      <c r="P130" s="35">
        <f t="shared" si="32"/>
        <v>297999215.94664478</v>
      </c>
      <c r="Q130" s="35">
        <f t="shared" si="33"/>
        <v>0</v>
      </c>
      <c r="R130" s="35">
        <f t="shared" si="34"/>
        <v>1829237024.8064537</v>
      </c>
      <c r="S130" s="33">
        <f t="shared" si="35"/>
        <v>13475</v>
      </c>
    </row>
    <row r="131" spans="1:19" x14ac:dyDescent="0.3">
      <c r="A131" s="33">
        <f>127</f>
        <v>127</v>
      </c>
      <c r="B131" s="34">
        <f t="shared" si="18"/>
        <v>50222</v>
      </c>
      <c r="C131" s="33">
        <f t="shared" si="19"/>
        <v>11</v>
      </c>
      <c r="D131" s="33">
        <f t="shared" si="20"/>
        <v>7</v>
      </c>
      <c r="E131" s="35">
        <f t="shared" si="21"/>
        <v>135740.67593324455</v>
      </c>
      <c r="F131" s="35">
        <f t="shared" si="22"/>
        <v>1829237024.8064537</v>
      </c>
      <c r="G131" s="33">
        <f t="shared" si="23"/>
        <v>13475</v>
      </c>
      <c r="H131" s="35">
        <f t="shared" si="24"/>
        <v>1829105608.2004702</v>
      </c>
      <c r="I131" s="35">
        <f t="shared" si="25"/>
        <v>131416.60598349571</v>
      </c>
      <c r="J131" s="35">
        <f t="shared" si="26"/>
        <v>146328448.65603763</v>
      </c>
      <c r="K131" s="35">
        <f t="shared" si="27"/>
        <v>910429002.36538315</v>
      </c>
      <c r="L131" s="35">
        <f t="shared" si="28"/>
        <v>0</v>
      </c>
      <c r="M131" s="35">
        <f t="shared" si="29"/>
        <v>1560735432.6263711</v>
      </c>
      <c r="N131" s="36">
        <f t="shared" si="30"/>
        <v>0.39</v>
      </c>
      <c r="O131" s="35">
        <f t="shared" si="31"/>
        <v>0</v>
      </c>
      <c r="P131" s="35">
        <f t="shared" si="32"/>
        <v>297999215.94664478</v>
      </c>
      <c r="Q131" s="35">
        <f t="shared" si="33"/>
        <v>0</v>
      </c>
      <c r="R131" s="35">
        <f t="shared" si="34"/>
        <v>1975565473.4624913</v>
      </c>
      <c r="S131" s="33">
        <f t="shared" si="35"/>
        <v>14553</v>
      </c>
    </row>
    <row r="132" spans="1:19" x14ac:dyDescent="0.3">
      <c r="A132" s="33">
        <f>128</f>
        <v>128</v>
      </c>
      <c r="B132" s="34">
        <f t="shared" si="18"/>
        <v>50253</v>
      </c>
      <c r="C132" s="33">
        <f t="shared" si="19"/>
        <v>11</v>
      </c>
      <c r="D132" s="33">
        <f t="shared" si="20"/>
        <v>8</v>
      </c>
      <c r="E132" s="35">
        <f t="shared" si="21"/>
        <v>135740.67593324455</v>
      </c>
      <c r="F132" s="35">
        <f t="shared" si="22"/>
        <v>1975565473.4624913</v>
      </c>
      <c r="G132" s="33">
        <f t="shared" si="23"/>
        <v>14553</v>
      </c>
      <c r="H132" s="35">
        <f t="shared" si="24"/>
        <v>1975434056.856508</v>
      </c>
      <c r="I132" s="35">
        <f t="shared" si="25"/>
        <v>131416.60598325729</v>
      </c>
      <c r="J132" s="35">
        <f t="shared" si="26"/>
        <v>158034724.54852065</v>
      </c>
      <c r="K132" s="35">
        <f t="shared" si="27"/>
        <v>1068463726.9139038</v>
      </c>
      <c r="L132" s="35">
        <f t="shared" si="28"/>
        <v>0</v>
      </c>
      <c r="M132" s="35">
        <f t="shared" si="29"/>
        <v>1602695590.3708558</v>
      </c>
      <c r="N132" s="36">
        <f t="shared" si="30"/>
        <v>0.39</v>
      </c>
      <c r="O132" s="35">
        <f t="shared" si="31"/>
        <v>0</v>
      </c>
      <c r="P132" s="35">
        <f t="shared" si="32"/>
        <v>297999215.94664478</v>
      </c>
      <c r="Q132" s="35">
        <f t="shared" si="33"/>
        <v>0</v>
      </c>
      <c r="R132" s="35">
        <f t="shared" si="34"/>
        <v>2133600198.0110118</v>
      </c>
      <c r="S132" s="33">
        <f t="shared" si="35"/>
        <v>15718</v>
      </c>
    </row>
    <row r="133" spans="1:19" x14ac:dyDescent="0.3">
      <c r="A133" s="33">
        <f>129</f>
        <v>129</v>
      </c>
      <c r="B133" s="34">
        <f t="shared" ref="B133:B196" si="36">IF($A133&gt;NYears*12,"",EDATE(StartMonth,$A133-1))</f>
        <v>50284</v>
      </c>
      <c r="C133" s="33">
        <f t="shared" ref="C133:C196" si="37">IF($A133&gt;NYears*12,"",INT(($A133-1)/12)+1)</f>
        <v>11</v>
      </c>
      <c r="D133" s="33">
        <f t="shared" ref="D133:D196" si="38">IF($A133&gt;NYears*12,"",MOD($A133-1,12)+1)</f>
        <v>9</v>
      </c>
      <c r="E133" s="35">
        <f t="shared" ref="E133:E196" si="39">IF($A133&gt;NYears*12,"",LotValue0*(1+LotGrowth)^($C133-1))</f>
        <v>135740.67593324455</v>
      </c>
      <c r="F133" s="35">
        <f t="shared" ref="F133:F196" si="40">IF($A133&gt;NYears*12,"",IF($A133=1,InitInvest,$R132))</f>
        <v>2133600198.0110118</v>
      </c>
      <c r="G133" s="33">
        <f t="shared" ref="G133:G196" si="41">IF($A133&gt;NYears*12,"",INT($F133/$E133))</f>
        <v>15718</v>
      </c>
      <c r="H133" s="35">
        <f t="shared" ref="H133:H196" si="42">IF($A133&gt;NYears*12,"",$G133*$E133)</f>
        <v>2133571944.3187377</v>
      </c>
      <c r="I133" s="35">
        <f t="shared" ref="I133:I196" si="43">IF($A133&gt;NYears*12,"",$F133-$H133)</f>
        <v>28253.692274093628</v>
      </c>
      <c r="J133" s="35">
        <f t="shared" ref="J133:J196" si="44">IF($A133&gt;NYears*12,"",$H133*RateB)</f>
        <v>170685755.54549903</v>
      </c>
      <c r="K133" s="35">
        <f t="shared" ref="K133:K196" si="45">IF($A133&gt;NYears*12,"",IF($D133=1,$J133,$K132+$J133))</f>
        <v>1239149482.4594028</v>
      </c>
      <c r="L133" s="35">
        <f t="shared" ref="L133:L196" si="46">IF($A133&gt;NYears*12,"",IF(MOD($D133,3)=0,SUM($J131:$J133),0))</f>
        <v>475048928.75005728</v>
      </c>
      <c r="M133" s="35">
        <f t="shared" ref="M133:M196" si="47">IF($A133&gt;NYears*12,"",IF(TaxFreq="Quarterly",$K133*12/$D133,$K133))</f>
        <v>1652199309.9458704</v>
      </c>
      <c r="N133" s="36">
        <f t="shared" ref="N133:N196" si="48">IF($A133&gt;NYears*12,"",LOOKUP($M133,TaxLower,TaxRate))</f>
        <v>0.39</v>
      </c>
      <c r="O133" s="35">
        <f t="shared" ref="O133:O196" si="49">IF($A133&gt;NYears*12,"",IF(TaxFreq="Quarterly",IF(MOD($D133,3)=0,$L133*$N133,0),IF($D133=12,$K133*$N133,0)))</f>
        <v>185269082.21252236</v>
      </c>
      <c r="P133" s="35">
        <f t="shared" ref="P133:P196" si="50">IF($A133&gt;NYears*12,"",IF($D133=1,$O133,$P132+$O133))</f>
        <v>483268298.15916717</v>
      </c>
      <c r="Q133" s="35">
        <f t="shared" ref="Q133:Q196" si="51">IF($A133&gt;NYears*12,"",IF($D133=12,MIN(WdrPct*IF(WdrBase="Post-tax profit",$K133-$P133,$K133),WdrCap),0))</f>
        <v>0</v>
      </c>
      <c r="R133" s="35">
        <f t="shared" ref="R133:R196" si="52">IF($A133&gt;NYears*12,"",$F133+$J133-$O133-$Q133)</f>
        <v>2119016871.3439887</v>
      </c>
      <c r="S133" s="33">
        <f t="shared" ref="S133:S196" si="53">IF($A133&gt;NYears*12,"",INT($R133/$E133))</f>
        <v>15610</v>
      </c>
    </row>
    <row r="134" spans="1:19" x14ac:dyDescent="0.3">
      <c r="A134" s="33">
        <f>130</f>
        <v>130</v>
      </c>
      <c r="B134" s="34">
        <f t="shared" si="36"/>
        <v>50314</v>
      </c>
      <c r="C134" s="33">
        <f t="shared" si="37"/>
        <v>11</v>
      </c>
      <c r="D134" s="33">
        <f t="shared" si="38"/>
        <v>10</v>
      </c>
      <c r="E134" s="35">
        <f t="shared" si="39"/>
        <v>135740.67593324455</v>
      </c>
      <c r="F134" s="35">
        <f t="shared" si="40"/>
        <v>2119016871.3439887</v>
      </c>
      <c r="G134" s="33">
        <f t="shared" si="41"/>
        <v>15610</v>
      </c>
      <c r="H134" s="35">
        <f t="shared" si="42"/>
        <v>2118911951.3179474</v>
      </c>
      <c r="I134" s="35">
        <f t="shared" si="43"/>
        <v>104920.0260412693</v>
      </c>
      <c r="J134" s="35">
        <f t="shared" si="44"/>
        <v>169512956.10543579</v>
      </c>
      <c r="K134" s="35">
        <f t="shared" si="45"/>
        <v>1408662438.5648386</v>
      </c>
      <c r="L134" s="35">
        <f t="shared" si="46"/>
        <v>0</v>
      </c>
      <c r="M134" s="35">
        <f t="shared" si="47"/>
        <v>1690394926.2778065</v>
      </c>
      <c r="N134" s="36">
        <f t="shared" si="48"/>
        <v>0.39</v>
      </c>
      <c r="O134" s="35">
        <f t="shared" si="49"/>
        <v>0</v>
      </c>
      <c r="P134" s="35">
        <f t="shared" si="50"/>
        <v>483268298.15916717</v>
      </c>
      <c r="Q134" s="35">
        <f t="shared" si="51"/>
        <v>0</v>
      </c>
      <c r="R134" s="35">
        <f t="shared" si="52"/>
        <v>2288529827.4494243</v>
      </c>
      <c r="S134" s="33">
        <f t="shared" si="53"/>
        <v>16859</v>
      </c>
    </row>
    <row r="135" spans="1:19" x14ac:dyDescent="0.3">
      <c r="A135" s="33">
        <f>131</f>
        <v>131</v>
      </c>
      <c r="B135" s="34">
        <f t="shared" si="36"/>
        <v>50345</v>
      </c>
      <c r="C135" s="33">
        <f t="shared" si="37"/>
        <v>11</v>
      </c>
      <c r="D135" s="33">
        <f t="shared" si="38"/>
        <v>11</v>
      </c>
      <c r="E135" s="35">
        <f t="shared" si="39"/>
        <v>135740.67593324455</v>
      </c>
      <c r="F135" s="35">
        <f t="shared" si="40"/>
        <v>2288529827.4494243</v>
      </c>
      <c r="G135" s="33">
        <f t="shared" si="41"/>
        <v>16859</v>
      </c>
      <c r="H135" s="35">
        <f t="shared" si="42"/>
        <v>2288452055.5585699</v>
      </c>
      <c r="I135" s="35">
        <f t="shared" si="43"/>
        <v>77771.890854358673</v>
      </c>
      <c r="J135" s="35">
        <f t="shared" si="44"/>
        <v>183076164.44468561</v>
      </c>
      <c r="K135" s="35">
        <f t="shared" si="45"/>
        <v>1591738603.0095243</v>
      </c>
      <c r="L135" s="35">
        <f t="shared" si="46"/>
        <v>0</v>
      </c>
      <c r="M135" s="35">
        <f t="shared" si="47"/>
        <v>1736442112.3740265</v>
      </c>
      <c r="N135" s="36">
        <f t="shared" si="48"/>
        <v>0.39</v>
      </c>
      <c r="O135" s="35">
        <f t="shared" si="49"/>
        <v>0</v>
      </c>
      <c r="P135" s="35">
        <f t="shared" si="50"/>
        <v>483268298.15916717</v>
      </c>
      <c r="Q135" s="35">
        <f t="shared" si="51"/>
        <v>0</v>
      </c>
      <c r="R135" s="35">
        <f t="shared" si="52"/>
        <v>2471605991.8941097</v>
      </c>
      <c r="S135" s="33">
        <f t="shared" si="53"/>
        <v>18208</v>
      </c>
    </row>
    <row r="136" spans="1:19" x14ac:dyDescent="0.3">
      <c r="A136" s="37">
        <f>132</f>
        <v>132</v>
      </c>
      <c r="B136" s="38">
        <f t="shared" si="36"/>
        <v>50375</v>
      </c>
      <c r="C136" s="37">
        <f t="shared" si="37"/>
        <v>11</v>
      </c>
      <c r="D136" s="37">
        <f t="shared" si="38"/>
        <v>12</v>
      </c>
      <c r="E136" s="39">
        <f t="shared" si="39"/>
        <v>135740.67593324455</v>
      </c>
      <c r="F136" s="39">
        <f t="shared" si="40"/>
        <v>2471605991.8941097</v>
      </c>
      <c r="G136" s="37">
        <f t="shared" si="41"/>
        <v>18208</v>
      </c>
      <c r="H136" s="39">
        <f t="shared" si="42"/>
        <v>2471566227.3925166</v>
      </c>
      <c r="I136" s="39">
        <f t="shared" si="43"/>
        <v>39764.501593112946</v>
      </c>
      <c r="J136" s="39">
        <f t="shared" si="44"/>
        <v>197725298.19140133</v>
      </c>
      <c r="K136" s="39">
        <f t="shared" si="45"/>
        <v>1789463901.2009256</v>
      </c>
      <c r="L136" s="39">
        <f t="shared" si="46"/>
        <v>550314418.74152279</v>
      </c>
      <c r="M136" s="39">
        <f t="shared" si="47"/>
        <v>1789463901.2009256</v>
      </c>
      <c r="N136" s="40">
        <f t="shared" si="48"/>
        <v>0.39</v>
      </c>
      <c r="O136" s="39">
        <f t="shared" si="49"/>
        <v>214622623.30919391</v>
      </c>
      <c r="P136" s="39">
        <f t="shared" si="50"/>
        <v>697890921.46836114</v>
      </c>
      <c r="Q136" s="39">
        <f t="shared" si="51"/>
        <v>10000000</v>
      </c>
      <c r="R136" s="39">
        <f t="shared" si="52"/>
        <v>2444708666.7763171</v>
      </c>
      <c r="S136" s="37">
        <f t="shared" si="53"/>
        <v>18010</v>
      </c>
    </row>
    <row r="137" spans="1:19" x14ac:dyDescent="0.3">
      <c r="A137" s="33">
        <f>133</f>
        <v>133</v>
      </c>
      <c r="B137" s="34">
        <f t="shared" si="36"/>
        <v>50406</v>
      </c>
      <c r="C137" s="33">
        <f t="shared" si="37"/>
        <v>12</v>
      </c>
      <c r="D137" s="33">
        <f t="shared" si="38"/>
        <v>1</v>
      </c>
      <c r="E137" s="35">
        <f t="shared" si="39"/>
        <v>142527.70972990678</v>
      </c>
      <c r="F137" s="35">
        <f t="shared" si="40"/>
        <v>2444708666.7763171</v>
      </c>
      <c r="G137" s="33">
        <f t="shared" si="41"/>
        <v>17152</v>
      </c>
      <c r="H137" s="35">
        <f t="shared" si="42"/>
        <v>2444635277.2873611</v>
      </c>
      <c r="I137" s="35">
        <f t="shared" si="43"/>
        <v>73389.488955974579</v>
      </c>
      <c r="J137" s="35">
        <f t="shared" si="44"/>
        <v>195570822.18298888</v>
      </c>
      <c r="K137" s="35">
        <f t="shared" si="45"/>
        <v>195570822.18298888</v>
      </c>
      <c r="L137" s="35">
        <f t="shared" si="46"/>
        <v>0</v>
      </c>
      <c r="M137" s="35">
        <f t="shared" si="47"/>
        <v>2346849866.1958666</v>
      </c>
      <c r="N137" s="36">
        <f t="shared" si="48"/>
        <v>0.39</v>
      </c>
      <c r="O137" s="35">
        <f t="shared" si="49"/>
        <v>0</v>
      </c>
      <c r="P137" s="35">
        <f t="shared" si="50"/>
        <v>0</v>
      </c>
      <c r="Q137" s="35">
        <f t="shared" si="51"/>
        <v>0</v>
      </c>
      <c r="R137" s="35">
        <f t="shared" si="52"/>
        <v>2640279488.9593058</v>
      </c>
      <c r="S137" s="33">
        <f t="shared" si="53"/>
        <v>18524</v>
      </c>
    </row>
    <row r="138" spans="1:19" x14ac:dyDescent="0.3">
      <c r="A138" s="33">
        <f>134</f>
        <v>134</v>
      </c>
      <c r="B138" s="34">
        <f t="shared" si="36"/>
        <v>50437</v>
      </c>
      <c r="C138" s="33">
        <f t="shared" si="37"/>
        <v>12</v>
      </c>
      <c r="D138" s="33">
        <f t="shared" si="38"/>
        <v>2</v>
      </c>
      <c r="E138" s="35">
        <f t="shared" si="39"/>
        <v>142527.70972990678</v>
      </c>
      <c r="F138" s="35">
        <f t="shared" si="40"/>
        <v>2640279488.9593058</v>
      </c>
      <c r="G138" s="33">
        <f t="shared" si="41"/>
        <v>18524</v>
      </c>
      <c r="H138" s="35">
        <f t="shared" si="42"/>
        <v>2640183295.0367932</v>
      </c>
      <c r="I138" s="35">
        <f t="shared" si="43"/>
        <v>96193.922512531281</v>
      </c>
      <c r="J138" s="35">
        <f t="shared" si="44"/>
        <v>211214663.60294345</v>
      </c>
      <c r="K138" s="35">
        <f t="shared" si="45"/>
        <v>406785485.7859323</v>
      </c>
      <c r="L138" s="35">
        <f t="shared" si="46"/>
        <v>0</v>
      </c>
      <c r="M138" s="35">
        <f t="shared" si="47"/>
        <v>2440712914.7155938</v>
      </c>
      <c r="N138" s="36">
        <f t="shared" si="48"/>
        <v>0.39</v>
      </c>
      <c r="O138" s="35">
        <f t="shared" si="49"/>
        <v>0</v>
      </c>
      <c r="P138" s="35">
        <f t="shared" si="50"/>
        <v>0</v>
      </c>
      <c r="Q138" s="35">
        <f t="shared" si="51"/>
        <v>0</v>
      </c>
      <c r="R138" s="35">
        <f t="shared" si="52"/>
        <v>2851494152.5622492</v>
      </c>
      <c r="S138" s="33">
        <f t="shared" si="53"/>
        <v>20006</v>
      </c>
    </row>
    <row r="139" spans="1:19" x14ac:dyDescent="0.3">
      <c r="A139" s="33">
        <f>135</f>
        <v>135</v>
      </c>
      <c r="B139" s="34">
        <f t="shared" si="36"/>
        <v>50465</v>
      </c>
      <c r="C139" s="33">
        <f t="shared" si="37"/>
        <v>12</v>
      </c>
      <c r="D139" s="33">
        <f t="shared" si="38"/>
        <v>3</v>
      </c>
      <c r="E139" s="35">
        <f t="shared" si="39"/>
        <v>142527.70972990678</v>
      </c>
      <c r="F139" s="35">
        <f t="shared" si="40"/>
        <v>2851494152.5622492</v>
      </c>
      <c r="G139" s="33">
        <f t="shared" si="41"/>
        <v>20006</v>
      </c>
      <c r="H139" s="35">
        <f t="shared" si="42"/>
        <v>2851409360.8565149</v>
      </c>
      <c r="I139" s="35">
        <f t="shared" si="43"/>
        <v>84791.70573425293</v>
      </c>
      <c r="J139" s="35">
        <f t="shared" si="44"/>
        <v>228112748.86852121</v>
      </c>
      <c r="K139" s="35">
        <f t="shared" si="45"/>
        <v>634898234.65445352</v>
      </c>
      <c r="L139" s="35">
        <f t="shared" si="46"/>
        <v>634898234.65445352</v>
      </c>
      <c r="M139" s="35">
        <f t="shared" si="47"/>
        <v>2539592938.6178141</v>
      </c>
      <c r="N139" s="36">
        <f t="shared" si="48"/>
        <v>0.39</v>
      </c>
      <c r="O139" s="35">
        <f t="shared" si="49"/>
        <v>247610311.51523688</v>
      </c>
      <c r="P139" s="35">
        <f t="shared" si="50"/>
        <v>247610311.51523688</v>
      </c>
      <c r="Q139" s="35">
        <f t="shared" si="51"/>
        <v>0</v>
      </c>
      <c r="R139" s="35">
        <f t="shared" si="52"/>
        <v>2831996589.9155335</v>
      </c>
      <c r="S139" s="33">
        <f t="shared" si="53"/>
        <v>19869</v>
      </c>
    </row>
    <row r="140" spans="1:19" x14ac:dyDescent="0.3">
      <c r="A140" s="33">
        <f>136</f>
        <v>136</v>
      </c>
      <c r="B140" s="34">
        <f t="shared" si="36"/>
        <v>50496</v>
      </c>
      <c r="C140" s="33">
        <f t="shared" si="37"/>
        <v>12</v>
      </c>
      <c r="D140" s="33">
        <f t="shared" si="38"/>
        <v>4</v>
      </c>
      <c r="E140" s="35">
        <f t="shared" si="39"/>
        <v>142527.70972990678</v>
      </c>
      <c r="F140" s="35">
        <f t="shared" si="40"/>
        <v>2831996589.9155335</v>
      </c>
      <c r="G140" s="33">
        <f t="shared" si="41"/>
        <v>19869</v>
      </c>
      <c r="H140" s="35">
        <f t="shared" si="42"/>
        <v>2831883064.623518</v>
      </c>
      <c r="I140" s="35">
        <f t="shared" si="43"/>
        <v>113525.29201555252</v>
      </c>
      <c r="J140" s="35">
        <f t="shared" si="44"/>
        <v>226550645.16988143</v>
      </c>
      <c r="K140" s="35">
        <f t="shared" si="45"/>
        <v>861448879.82433498</v>
      </c>
      <c r="L140" s="35">
        <f t="shared" si="46"/>
        <v>0</v>
      </c>
      <c r="M140" s="35">
        <f t="shared" si="47"/>
        <v>2584346639.4730048</v>
      </c>
      <c r="N140" s="36">
        <f t="shared" si="48"/>
        <v>0.39</v>
      </c>
      <c r="O140" s="35">
        <f t="shared" si="49"/>
        <v>0</v>
      </c>
      <c r="P140" s="35">
        <f t="shared" si="50"/>
        <v>247610311.51523688</v>
      </c>
      <c r="Q140" s="35">
        <f t="shared" si="51"/>
        <v>0</v>
      </c>
      <c r="R140" s="35">
        <f t="shared" si="52"/>
        <v>3058547235.0854149</v>
      </c>
      <c r="S140" s="33">
        <f t="shared" si="53"/>
        <v>21459</v>
      </c>
    </row>
    <row r="141" spans="1:19" x14ac:dyDescent="0.3">
      <c r="A141" s="33">
        <f>137</f>
        <v>137</v>
      </c>
      <c r="B141" s="34">
        <f t="shared" si="36"/>
        <v>50526</v>
      </c>
      <c r="C141" s="33">
        <f t="shared" si="37"/>
        <v>12</v>
      </c>
      <c r="D141" s="33">
        <f t="shared" si="38"/>
        <v>5</v>
      </c>
      <c r="E141" s="35">
        <f t="shared" si="39"/>
        <v>142527.70972990678</v>
      </c>
      <c r="F141" s="35">
        <f t="shared" si="40"/>
        <v>3058547235.0854149</v>
      </c>
      <c r="G141" s="33">
        <f t="shared" si="41"/>
        <v>21459</v>
      </c>
      <c r="H141" s="35">
        <f t="shared" si="42"/>
        <v>3058502123.0940695</v>
      </c>
      <c r="I141" s="35">
        <f t="shared" si="43"/>
        <v>45111.991345405579</v>
      </c>
      <c r="J141" s="35">
        <f t="shared" si="44"/>
        <v>244680169.84752557</v>
      </c>
      <c r="K141" s="35">
        <f t="shared" si="45"/>
        <v>1106129049.6718605</v>
      </c>
      <c r="L141" s="35">
        <f t="shared" si="46"/>
        <v>0</v>
      </c>
      <c r="M141" s="35">
        <f t="shared" si="47"/>
        <v>2654709719.2124648</v>
      </c>
      <c r="N141" s="36">
        <f t="shared" si="48"/>
        <v>0.39</v>
      </c>
      <c r="O141" s="35">
        <f t="shared" si="49"/>
        <v>0</v>
      </c>
      <c r="P141" s="35">
        <f t="shared" si="50"/>
        <v>247610311.51523688</v>
      </c>
      <c r="Q141" s="35">
        <f t="shared" si="51"/>
        <v>0</v>
      </c>
      <c r="R141" s="35">
        <f t="shared" si="52"/>
        <v>3303227404.9329405</v>
      </c>
      <c r="S141" s="33">
        <f t="shared" si="53"/>
        <v>23176</v>
      </c>
    </row>
    <row r="142" spans="1:19" x14ac:dyDescent="0.3">
      <c r="A142" s="33">
        <f>138</f>
        <v>138</v>
      </c>
      <c r="B142" s="34">
        <f t="shared" si="36"/>
        <v>50557</v>
      </c>
      <c r="C142" s="33">
        <f t="shared" si="37"/>
        <v>12</v>
      </c>
      <c r="D142" s="33">
        <f t="shared" si="38"/>
        <v>6</v>
      </c>
      <c r="E142" s="35">
        <f t="shared" si="39"/>
        <v>142527.70972990678</v>
      </c>
      <c r="F142" s="35">
        <f t="shared" si="40"/>
        <v>3303227404.9329405</v>
      </c>
      <c r="G142" s="33">
        <f t="shared" si="41"/>
        <v>23176</v>
      </c>
      <c r="H142" s="35">
        <f t="shared" si="42"/>
        <v>3303222200.7003198</v>
      </c>
      <c r="I142" s="35">
        <f t="shared" si="43"/>
        <v>5204.232620716095</v>
      </c>
      <c r="J142" s="35">
        <f t="shared" si="44"/>
        <v>264257776.05602559</v>
      </c>
      <c r="K142" s="35">
        <f t="shared" si="45"/>
        <v>1370386825.727886</v>
      </c>
      <c r="L142" s="35">
        <f t="shared" si="46"/>
        <v>735488591.07343256</v>
      </c>
      <c r="M142" s="35">
        <f t="shared" si="47"/>
        <v>2740773651.4557719</v>
      </c>
      <c r="N142" s="36">
        <f t="shared" si="48"/>
        <v>0.39</v>
      </c>
      <c r="O142" s="35">
        <f t="shared" si="49"/>
        <v>286840550.51863873</v>
      </c>
      <c r="P142" s="35">
        <f t="shared" si="50"/>
        <v>534450862.03387558</v>
      </c>
      <c r="Q142" s="35">
        <f t="shared" si="51"/>
        <v>0</v>
      </c>
      <c r="R142" s="35">
        <f t="shared" si="52"/>
        <v>3280644630.4703274</v>
      </c>
      <c r="S142" s="33">
        <f t="shared" si="53"/>
        <v>23017</v>
      </c>
    </row>
    <row r="143" spans="1:19" x14ac:dyDescent="0.3">
      <c r="A143" s="33">
        <f>139</f>
        <v>139</v>
      </c>
      <c r="B143" s="34">
        <f t="shared" si="36"/>
        <v>50587</v>
      </c>
      <c r="C143" s="33">
        <f t="shared" si="37"/>
        <v>12</v>
      </c>
      <c r="D143" s="33">
        <f t="shared" si="38"/>
        <v>7</v>
      </c>
      <c r="E143" s="35">
        <f t="shared" si="39"/>
        <v>142527.70972990678</v>
      </c>
      <c r="F143" s="35">
        <f t="shared" si="40"/>
        <v>3280644630.4703274</v>
      </c>
      <c r="G143" s="33">
        <f t="shared" si="41"/>
        <v>23017</v>
      </c>
      <c r="H143" s="35">
        <f t="shared" si="42"/>
        <v>3280560294.8532643</v>
      </c>
      <c r="I143" s="35">
        <f t="shared" si="43"/>
        <v>84335.617063045502</v>
      </c>
      <c r="J143" s="35">
        <f t="shared" si="44"/>
        <v>262444823.58826116</v>
      </c>
      <c r="K143" s="35">
        <f t="shared" si="45"/>
        <v>1632831649.3161471</v>
      </c>
      <c r="L143" s="35">
        <f t="shared" si="46"/>
        <v>0</v>
      </c>
      <c r="M143" s="35">
        <f t="shared" si="47"/>
        <v>2799139970.2562523</v>
      </c>
      <c r="N143" s="36">
        <f t="shared" si="48"/>
        <v>0.39</v>
      </c>
      <c r="O143" s="35">
        <f t="shared" si="49"/>
        <v>0</v>
      </c>
      <c r="P143" s="35">
        <f t="shared" si="50"/>
        <v>534450862.03387558</v>
      </c>
      <c r="Q143" s="35">
        <f t="shared" si="51"/>
        <v>0</v>
      </c>
      <c r="R143" s="35">
        <f t="shared" si="52"/>
        <v>3543089454.0585885</v>
      </c>
      <c r="S143" s="33">
        <f t="shared" si="53"/>
        <v>24858</v>
      </c>
    </row>
    <row r="144" spans="1:19" x14ac:dyDescent="0.3">
      <c r="A144" s="33">
        <f>140</f>
        <v>140</v>
      </c>
      <c r="B144" s="34">
        <f t="shared" si="36"/>
        <v>50618</v>
      </c>
      <c r="C144" s="33">
        <f t="shared" si="37"/>
        <v>12</v>
      </c>
      <c r="D144" s="33">
        <f t="shared" si="38"/>
        <v>8</v>
      </c>
      <c r="E144" s="35">
        <f t="shared" si="39"/>
        <v>142527.70972990678</v>
      </c>
      <c r="F144" s="35">
        <f t="shared" si="40"/>
        <v>3543089454.0585885</v>
      </c>
      <c r="G144" s="33">
        <f t="shared" si="41"/>
        <v>24858</v>
      </c>
      <c r="H144" s="35">
        <f t="shared" si="42"/>
        <v>3542953808.466023</v>
      </c>
      <c r="I144" s="35">
        <f t="shared" si="43"/>
        <v>135645.5925655365</v>
      </c>
      <c r="J144" s="35">
        <f t="shared" si="44"/>
        <v>283436304.67728186</v>
      </c>
      <c r="K144" s="35">
        <f t="shared" si="45"/>
        <v>1916267953.9934289</v>
      </c>
      <c r="L144" s="35">
        <f t="shared" si="46"/>
        <v>0</v>
      </c>
      <c r="M144" s="35">
        <f t="shared" si="47"/>
        <v>2874401930.9901433</v>
      </c>
      <c r="N144" s="36">
        <f t="shared" si="48"/>
        <v>0.39</v>
      </c>
      <c r="O144" s="35">
        <f t="shared" si="49"/>
        <v>0</v>
      </c>
      <c r="P144" s="35">
        <f t="shared" si="50"/>
        <v>534450862.03387558</v>
      </c>
      <c r="Q144" s="35">
        <f t="shared" si="51"/>
        <v>0</v>
      </c>
      <c r="R144" s="35">
        <f t="shared" si="52"/>
        <v>3826525758.7358704</v>
      </c>
      <c r="S144" s="33">
        <f t="shared" si="53"/>
        <v>26847</v>
      </c>
    </row>
    <row r="145" spans="1:19" x14ac:dyDescent="0.3">
      <c r="A145" s="33">
        <f>141</f>
        <v>141</v>
      </c>
      <c r="B145" s="34">
        <f t="shared" si="36"/>
        <v>50649</v>
      </c>
      <c r="C145" s="33">
        <f t="shared" si="37"/>
        <v>12</v>
      </c>
      <c r="D145" s="33">
        <f t="shared" si="38"/>
        <v>9</v>
      </c>
      <c r="E145" s="35">
        <f t="shared" si="39"/>
        <v>142527.70972990678</v>
      </c>
      <c r="F145" s="35">
        <f t="shared" si="40"/>
        <v>3826525758.7358704</v>
      </c>
      <c r="G145" s="33">
        <f t="shared" si="41"/>
        <v>26847</v>
      </c>
      <c r="H145" s="35">
        <f t="shared" si="42"/>
        <v>3826441423.1188073</v>
      </c>
      <c r="I145" s="35">
        <f t="shared" si="43"/>
        <v>84335.617063045502</v>
      </c>
      <c r="J145" s="35">
        <f t="shared" si="44"/>
        <v>306115313.84950459</v>
      </c>
      <c r="K145" s="35">
        <f t="shared" si="45"/>
        <v>2222383267.8429337</v>
      </c>
      <c r="L145" s="35">
        <f t="shared" si="46"/>
        <v>851996442.11504757</v>
      </c>
      <c r="M145" s="35">
        <f t="shared" si="47"/>
        <v>2963177690.4572449</v>
      </c>
      <c r="N145" s="36">
        <f t="shared" si="48"/>
        <v>0.39</v>
      </c>
      <c r="O145" s="35">
        <f t="shared" si="49"/>
        <v>332278612.42486858</v>
      </c>
      <c r="P145" s="35">
        <f t="shared" si="50"/>
        <v>866729474.45874417</v>
      </c>
      <c r="Q145" s="35">
        <f t="shared" si="51"/>
        <v>0</v>
      </c>
      <c r="R145" s="35">
        <f t="shared" si="52"/>
        <v>3800362460.1605062</v>
      </c>
      <c r="S145" s="33">
        <f t="shared" si="53"/>
        <v>26664</v>
      </c>
    </row>
    <row r="146" spans="1:19" x14ac:dyDescent="0.3">
      <c r="A146" s="33">
        <f>142</f>
        <v>142</v>
      </c>
      <c r="B146" s="34">
        <f t="shared" si="36"/>
        <v>50679</v>
      </c>
      <c r="C146" s="33">
        <f t="shared" si="37"/>
        <v>12</v>
      </c>
      <c r="D146" s="33">
        <f t="shared" si="38"/>
        <v>10</v>
      </c>
      <c r="E146" s="35">
        <f t="shared" si="39"/>
        <v>142527.70972990678</v>
      </c>
      <c r="F146" s="35">
        <f t="shared" si="40"/>
        <v>3800362460.1605062</v>
      </c>
      <c r="G146" s="33">
        <f t="shared" si="41"/>
        <v>26664</v>
      </c>
      <c r="H146" s="35">
        <f t="shared" si="42"/>
        <v>3800358852.2382345</v>
      </c>
      <c r="I146" s="35">
        <f t="shared" si="43"/>
        <v>3607.9222717285156</v>
      </c>
      <c r="J146" s="35">
        <f t="shared" si="44"/>
        <v>304028708.17905879</v>
      </c>
      <c r="K146" s="35">
        <f t="shared" si="45"/>
        <v>2526411976.0219927</v>
      </c>
      <c r="L146" s="35">
        <f t="shared" si="46"/>
        <v>0</v>
      </c>
      <c r="M146" s="35">
        <f t="shared" si="47"/>
        <v>3031694371.2263913</v>
      </c>
      <c r="N146" s="36">
        <f t="shared" si="48"/>
        <v>0.39</v>
      </c>
      <c r="O146" s="35">
        <f t="shared" si="49"/>
        <v>0</v>
      </c>
      <c r="P146" s="35">
        <f t="shared" si="50"/>
        <v>866729474.45874417</v>
      </c>
      <c r="Q146" s="35">
        <f t="shared" si="51"/>
        <v>0</v>
      </c>
      <c r="R146" s="35">
        <f t="shared" si="52"/>
        <v>4104391168.3395653</v>
      </c>
      <c r="S146" s="33">
        <f t="shared" si="53"/>
        <v>28797</v>
      </c>
    </row>
    <row r="147" spans="1:19" x14ac:dyDescent="0.3">
      <c r="A147" s="33">
        <f>143</f>
        <v>143</v>
      </c>
      <c r="B147" s="34">
        <f t="shared" si="36"/>
        <v>50710</v>
      </c>
      <c r="C147" s="33">
        <f t="shared" si="37"/>
        <v>12</v>
      </c>
      <c r="D147" s="33">
        <f t="shared" si="38"/>
        <v>11</v>
      </c>
      <c r="E147" s="35">
        <f t="shared" si="39"/>
        <v>142527.70972990678</v>
      </c>
      <c r="F147" s="35">
        <f t="shared" si="40"/>
        <v>4104391168.3395653</v>
      </c>
      <c r="G147" s="33">
        <f t="shared" si="41"/>
        <v>28797</v>
      </c>
      <c r="H147" s="35">
        <f t="shared" si="42"/>
        <v>4104370457.0921254</v>
      </c>
      <c r="I147" s="35">
        <f t="shared" si="43"/>
        <v>20711.247439861298</v>
      </c>
      <c r="J147" s="35">
        <f t="shared" si="44"/>
        <v>328349636.56737006</v>
      </c>
      <c r="K147" s="35">
        <f t="shared" si="45"/>
        <v>2854761612.5893626</v>
      </c>
      <c r="L147" s="35">
        <f t="shared" si="46"/>
        <v>0</v>
      </c>
      <c r="M147" s="35">
        <f t="shared" si="47"/>
        <v>3114285395.552032</v>
      </c>
      <c r="N147" s="36">
        <f t="shared" si="48"/>
        <v>0.39</v>
      </c>
      <c r="O147" s="35">
        <f t="shared" si="49"/>
        <v>0</v>
      </c>
      <c r="P147" s="35">
        <f t="shared" si="50"/>
        <v>866729474.45874417</v>
      </c>
      <c r="Q147" s="35">
        <f t="shared" si="51"/>
        <v>0</v>
      </c>
      <c r="R147" s="35">
        <f t="shared" si="52"/>
        <v>4432740804.9069357</v>
      </c>
      <c r="S147" s="33">
        <f t="shared" si="53"/>
        <v>31100</v>
      </c>
    </row>
    <row r="148" spans="1:19" x14ac:dyDescent="0.3">
      <c r="A148" s="37">
        <f>144</f>
        <v>144</v>
      </c>
      <c r="B148" s="38">
        <f t="shared" si="36"/>
        <v>50740</v>
      </c>
      <c r="C148" s="37">
        <f t="shared" si="37"/>
        <v>12</v>
      </c>
      <c r="D148" s="37">
        <f t="shared" si="38"/>
        <v>12</v>
      </c>
      <c r="E148" s="39">
        <f t="shared" si="39"/>
        <v>142527.70972990678</v>
      </c>
      <c r="F148" s="39">
        <f t="shared" si="40"/>
        <v>4432740804.9069357</v>
      </c>
      <c r="G148" s="37">
        <f t="shared" si="41"/>
        <v>31100</v>
      </c>
      <c r="H148" s="39">
        <f t="shared" si="42"/>
        <v>4432611772.6001005</v>
      </c>
      <c r="I148" s="39">
        <f t="shared" si="43"/>
        <v>129032.30683517456</v>
      </c>
      <c r="J148" s="39">
        <f t="shared" si="44"/>
        <v>354608941.80800807</v>
      </c>
      <c r="K148" s="39">
        <f t="shared" si="45"/>
        <v>3209370554.3973708</v>
      </c>
      <c r="L148" s="39">
        <f t="shared" si="46"/>
        <v>986987286.55443692</v>
      </c>
      <c r="M148" s="39">
        <f t="shared" si="47"/>
        <v>3209370554.3973708</v>
      </c>
      <c r="N148" s="40">
        <f t="shared" si="48"/>
        <v>0.39</v>
      </c>
      <c r="O148" s="39">
        <f t="shared" si="49"/>
        <v>384925041.75623041</v>
      </c>
      <c r="P148" s="39">
        <f t="shared" si="50"/>
        <v>1251654516.2149746</v>
      </c>
      <c r="Q148" s="39">
        <f t="shared" si="51"/>
        <v>10000000</v>
      </c>
      <c r="R148" s="39">
        <f t="shared" si="52"/>
        <v>4392424704.9587135</v>
      </c>
      <c r="S148" s="37">
        <f t="shared" si="53"/>
        <v>30818</v>
      </c>
    </row>
    <row r="149" spans="1:19" x14ac:dyDescent="0.3">
      <c r="A149" s="33">
        <f>145</f>
        <v>145</v>
      </c>
      <c r="B149" s="34" t="str">
        <f t="shared" si="36"/>
        <v/>
      </c>
      <c r="C149" s="33" t="str">
        <f t="shared" si="37"/>
        <v/>
      </c>
      <c r="D149" s="33" t="str">
        <f t="shared" si="38"/>
        <v/>
      </c>
      <c r="E149" s="35" t="str">
        <f t="shared" si="39"/>
        <v/>
      </c>
      <c r="F149" s="35" t="str">
        <f t="shared" si="40"/>
        <v/>
      </c>
      <c r="G149" s="33" t="str">
        <f t="shared" si="41"/>
        <v/>
      </c>
      <c r="H149" s="35" t="str">
        <f t="shared" si="42"/>
        <v/>
      </c>
      <c r="I149" s="35" t="str">
        <f t="shared" si="43"/>
        <v/>
      </c>
      <c r="J149" s="35" t="str">
        <f t="shared" si="44"/>
        <v/>
      </c>
      <c r="K149" s="35" t="str">
        <f t="shared" si="45"/>
        <v/>
      </c>
      <c r="L149" s="35" t="str">
        <f t="shared" si="46"/>
        <v/>
      </c>
      <c r="M149" s="35" t="str">
        <f t="shared" si="47"/>
        <v/>
      </c>
      <c r="N149" s="36" t="str">
        <f t="shared" si="48"/>
        <v/>
      </c>
      <c r="O149" s="35" t="str">
        <f t="shared" si="49"/>
        <v/>
      </c>
      <c r="P149" s="35" t="str">
        <f t="shared" si="50"/>
        <v/>
      </c>
      <c r="Q149" s="35" t="str">
        <f t="shared" si="51"/>
        <v/>
      </c>
      <c r="R149" s="35" t="str">
        <f t="shared" si="52"/>
        <v/>
      </c>
      <c r="S149" s="33" t="str">
        <f t="shared" si="53"/>
        <v/>
      </c>
    </row>
    <row r="150" spans="1:19" x14ac:dyDescent="0.3">
      <c r="A150" s="33">
        <f>146</f>
        <v>146</v>
      </c>
      <c r="B150" s="34" t="str">
        <f t="shared" si="36"/>
        <v/>
      </c>
      <c r="C150" s="33" t="str">
        <f t="shared" si="37"/>
        <v/>
      </c>
      <c r="D150" s="33" t="str">
        <f t="shared" si="38"/>
        <v/>
      </c>
      <c r="E150" s="35" t="str">
        <f t="shared" si="39"/>
        <v/>
      </c>
      <c r="F150" s="35" t="str">
        <f t="shared" si="40"/>
        <v/>
      </c>
      <c r="G150" s="33" t="str">
        <f t="shared" si="41"/>
        <v/>
      </c>
      <c r="H150" s="35" t="str">
        <f t="shared" si="42"/>
        <v/>
      </c>
      <c r="I150" s="35" t="str">
        <f t="shared" si="43"/>
        <v/>
      </c>
      <c r="J150" s="35" t="str">
        <f t="shared" si="44"/>
        <v/>
      </c>
      <c r="K150" s="35" t="str">
        <f t="shared" si="45"/>
        <v/>
      </c>
      <c r="L150" s="35" t="str">
        <f t="shared" si="46"/>
        <v/>
      </c>
      <c r="M150" s="35" t="str">
        <f t="shared" si="47"/>
        <v/>
      </c>
      <c r="N150" s="36" t="str">
        <f t="shared" si="48"/>
        <v/>
      </c>
      <c r="O150" s="35" t="str">
        <f t="shared" si="49"/>
        <v/>
      </c>
      <c r="P150" s="35" t="str">
        <f t="shared" si="50"/>
        <v/>
      </c>
      <c r="Q150" s="35" t="str">
        <f t="shared" si="51"/>
        <v/>
      </c>
      <c r="R150" s="35" t="str">
        <f t="shared" si="52"/>
        <v/>
      </c>
      <c r="S150" s="33" t="str">
        <f t="shared" si="53"/>
        <v/>
      </c>
    </row>
    <row r="151" spans="1:19" x14ac:dyDescent="0.3">
      <c r="A151" s="33">
        <f>147</f>
        <v>147</v>
      </c>
      <c r="B151" s="34" t="str">
        <f t="shared" si="36"/>
        <v/>
      </c>
      <c r="C151" s="33" t="str">
        <f t="shared" si="37"/>
        <v/>
      </c>
      <c r="D151" s="33" t="str">
        <f t="shared" si="38"/>
        <v/>
      </c>
      <c r="E151" s="35" t="str">
        <f t="shared" si="39"/>
        <v/>
      </c>
      <c r="F151" s="35" t="str">
        <f t="shared" si="40"/>
        <v/>
      </c>
      <c r="G151" s="33" t="str">
        <f t="shared" si="41"/>
        <v/>
      </c>
      <c r="H151" s="35" t="str">
        <f t="shared" si="42"/>
        <v/>
      </c>
      <c r="I151" s="35" t="str">
        <f t="shared" si="43"/>
        <v/>
      </c>
      <c r="J151" s="35" t="str">
        <f t="shared" si="44"/>
        <v/>
      </c>
      <c r="K151" s="35" t="str">
        <f t="shared" si="45"/>
        <v/>
      </c>
      <c r="L151" s="35" t="str">
        <f t="shared" si="46"/>
        <v/>
      </c>
      <c r="M151" s="35" t="str">
        <f t="shared" si="47"/>
        <v/>
      </c>
      <c r="N151" s="36" t="str">
        <f t="shared" si="48"/>
        <v/>
      </c>
      <c r="O151" s="35" t="str">
        <f t="shared" si="49"/>
        <v/>
      </c>
      <c r="P151" s="35" t="str">
        <f t="shared" si="50"/>
        <v/>
      </c>
      <c r="Q151" s="35" t="str">
        <f t="shared" si="51"/>
        <v/>
      </c>
      <c r="R151" s="35" t="str">
        <f t="shared" si="52"/>
        <v/>
      </c>
      <c r="S151" s="33" t="str">
        <f t="shared" si="53"/>
        <v/>
      </c>
    </row>
    <row r="152" spans="1:19" x14ac:dyDescent="0.3">
      <c r="A152" s="33">
        <f>148</f>
        <v>148</v>
      </c>
      <c r="B152" s="34" t="str">
        <f t="shared" si="36"/>
        <v/>
      </c>
      <c r="C152" s="33" t="str">
        <f t="shared" si="37"/>
        <v/>
      </c>
      <c r="D152" s="33" t="str">
        <f t="shared" si="38"/>
        <v/>
      </c>
      <c r="E152" s="35" t="str">
        <f t="shared" si="39"/>
        <v/>
      </c>
      <c r="F152" s="35" t="str">
        <f t="shared" si="40"/>
        <v/>
      </c>
      <c r="G152" s="33" t="str">
        <f t="shared" si="41"/>
        <v/>
      </c>
      <c r="H152" s="35" t="str">
        <f t="shared" si="42"/>
        <v/>
      </c>
      <c r="I152" s="35" t="str">
        <f t="shared" si="43"/>
        <v/>
      </c>
      <c r="J152" s="35" t="str">
        <f t="shared" si="44"/>
        <v/>
      </c>
      <c r="K152" s="35" t="str">
        <f t="shared" si="45"/>
        <v/>
      </c>
      <c r="L152" s="35" t="str">
        <f t="shared" si="46"/>
        <v/>
      </c>
      <c r="M152" s="35" t="str">
        <f t="shared" si="47"/>
        <v/>
      </c>
      <c r="N152" s="36" t="str">
        <f t="shared" si="48"/>
        <v/>
      </c>
      <c r="O152" s="35" t="str">
        <f t="shared" si="49"/>
        <v/>
      </c>
      <c r="P152" s="35" t="str">
        <f t="shared" si="50"/>
        <v/>
      </c>
      <c r="Q152" s="35" t="str">
        <f t="shared" si="51"/>
        <v/>
      </c>
      <c r="R152" s="35" t="str">
        <f t="shared" si="52"/>
        <v/>
      </c>
      <c r="S152" s="33" t="str">
        <f t="shared" si="53"/>
        <v/>
      </c>
    </row>
    <row r="153" spans="1:19" x14ac:dyDescent="0.3">
      <c r="A153" s="33">
        <f>149</f>
        <v>149</v>
      </c>
      <c r="B153" s="34" t="str">
        <f t="shared" si="36"/>
        <v/>
      </c>
      <c r="C153" s="33" t="str">
        <f t="shared" si="37"/>
        <v/>
      </c>
      <c r="D153" s="33" t="str">
        <f t="shared" si="38"/>
        <v/>
      </c>
      <c r="E153" s="35" t="str">
        <f t="shared" si="39"/>
        <v/>
      </c>
      <c r="F153" s="35" t="str">
        <f t="shared" si="40"/>
        <v/>
      </c>
      <c r="G153" s="33" t="str">
        <f t="shared" si="41"/>
        <v/>
      </c>
      <c r="H153" s="35" t="str">
        <f t="shared" si="42"/>
        <v/>
      </c>
      <c r="I153" s="35" t="str">
        <f t="shared" si="43"/>
        <v/>
      </c>
      <c r="J153" s="35" t="str">
        <f t="shared" si="44"/>
        <v/>
      </c>
      <c r="K153" s="35" t="str">
        <f t="shared" si="45"/>
        <v/>
      </c>
      <c r="L153" s="35" t="str">
        <f t="shared" si="46"/>
        <v/>
      </c>
      <c r="M153" s="35" t="str">
        <f t="shared" si="47"/>
        <v/>
      </c>
      <c r="N153" s="36" t="str">
        <f t="shared" si="48"/>
        <v/>
      </c>
      <c r="O153" s="35" t="str">
        <f t="shared" si="49"/>
        <v/>
      </c>
      <c r="P153" s="35" t="str">
        <f t="shared" si="50"/>
        <v/>
      </c>
      <c r="Q153" s="35" t="str">
        <f t="shared" si="51"/>
        <v/>
      </c>
      <c r="R153" s="35" t="str">
        <f t="shared" si="52"/>
        <v/>
      </c>
      <c r="S153" s="33" t="str">
        <f t="shared" si="53"/>
        <v/>
      </c>
    </row>
    <row r="154" spans="1:19" x14ac:dyDescent="0.3">
      <c r="A154" s="33">
        <f>150</f>
        <v>150</v>
      </c>
      <c r="B154" s="34" t="str">
        <f t="shared" si="36"/>
        <v/>
      </c>
      <c r="C154" s="33" t="str">
        <f t="shared" si="37"/>
        <v/>
      </c>
      <c r="D154" s="33" t="str">
        <f t="shared" si="38"/>
        <v/>
      </c>
      <c r="E154" s="35" t="str">
        <f t="shared" si="39"/>
        <v/>
      </c>
      <c r="F154" s="35" t="str">
        <f t="shared" si="40"/>
        <v/>
      </c>
      <c r="G154" s="33" t="str">
        <f t="shared" si="41"/>
        <v/>
      </c>
      <c r="H154" s="35" t="str">
        <f t="shared" si="42"/>
        <v/>
      </c>
      <c r="I154" s="35" t="str">
        <f t="shared" si="43"/>
        <v/>
      </c>
      <c r="J154" s="35" t="str">
        <f t="shared" si="44"/>
        <v/>
      </c>
      <c r="K154" s="35" t="str">
        <f t="shared" si="45"/>
        <v/>
      </c>
      <c r="L154" s="35" t="str">
        <f t="shared" si="46"/>
        <v/>
      </c>
      <c r="M154" s="35" t="str">
        <f t="shared" si="47"/>
        <v/>
      </c>
      <c r="N154" s="36" t="str">
        <f t="shared" si="48"/>
        <v/>
      </c>
      <c r="O154" s="35" t="str">
        <f t="shared" si="49"/>
        <v/>
      </c>
      <c r="P154" s="35" t="str">
        <f t="shared" si="50"/>
        <v/>
      </c>
      <c r="Q154" s="35" t="str">
        <f t="shared" si="51"/>
        <v/>
      </c>
      <c r="R154" s="35" t="str">
        <f t="shared" si="52"/>
        <v/>
      </c>
      <c r="S154" s="33" t="str">
        <f t="shared" si="53"/>
        <v/>
      </c>
    </row>
    <row r="155" spans="1:19" x14ac:dyDescent="0.3">
      <c r="A155" s="33">
        <f>151</f>
        <v>151</v>
      </c>
      <c r="B155" s="34" t="str">
        <f t="shared" si="36"/>
        <v/>
      </c>
      <c r="C155" s="33" t="str">
        <f t="shared" si="37"/>
        <v/>
      </c>
      <c r="D155" s="33" t="str">
        <f t="shared" si="38"/>
        <v/>
      </c>
      <c r="E155" s="35" t="str">
        <f t="shared" si="39"/>
        <v/>
      </c>
      <c r="F155" s="35" t="str">
        <f t="shared" si="40"/>
        <v/>
      </c>
      <c r="G155" s="33" t="str">
        <f t="shared" si="41"/>
        <v/>
      </c>
      <c r="H155" s="35" t="str">
        <f t="shared" si="42"/>
        <v/>
      </c>
      <c r="I155" s="35" t="str">
        <f t="shared" si="43"/>
        <v/>
      </c>
      <c r="J155" s="35" t="str">
        <f t="shared" si="44"/>
        <v/>
      </c>
      <c r="K155" s="35" t="str">
        <f t="shared" si="45"/>
        <v/>
      </c>
      <c r="L155" s="35" t="str">
        <f t="shared" si="46"/>
        <v/>
      </c>
      <c r="M155" s="35" t="str">
        <f t="shared" si="47"/>
        <v/>
      </c>
      <c r="N155" s="36" t="str">
        <f t="shared" si="48"/>
        <v/>
      </c>
      <c r="O155" s="35" t="str">
        <f t="shared" si="49"/>
        <v/>
      </c>
      <c r="P155" s="35" t="str">
        <f t="shared" si="50"/>
        <v/>
      </c>
      <c r="Q155" s="35" t="str">
        <f t="shared" si="51"/>
        <v/>
      </c>
      <c r="R155" s="35" t="str">
        <f t="shared" si="52"/>
        <v/>
      </c>
      <c r="S155" s="33" t="str">
        <f t="shared" si="53"/>
        <v/>
      </c>
    </row>
    <row r="156" spans="1:19" x14ac:dyDescent="0.3">
      <c r="A156" s="33">
        <f>152</f>
        <v>152</v>
      </c>
      <c r="B156" s="34" t="str">
        <f t="shared" si="36"/>
        <v/>
      </c>
      <c r="C156" s="33" t="str">
        <f t="shared" si="37"/>
        <v/>
      </c>
      <c r="D156" s="33" t="str">
        <f t="shared" si="38"/>
        <v/>
      </c>
      <c r="E156" s="35" t="str">
        <f t="shared" si="39"/>
        <v/>
      </c>
      <c r="F156" s="35" t="str">
        <f t="shared" si="40"/>
        <v/>
      </c>
      <c r="G156" s="33" t="str">
        <f t="shared" si="41"/>
        <v/>
      </c>
      <c r="H156" s="35" t="str">
        <f t="shared" si="42"/>
        <v/>
      </c>
      <c r="I156" s="35" t="str">
        <f t="shared" si="43"/>
        <v/>
      </c>
      <c r="J156" s="35" t="str">
        <f t="shared" si="44"/>
        <v/>
      </c>
      <c r="K156" s="35" t="str">
        <f t="shared" si="45"/>
        <v/>
      </c>
      <c r="L156" s="35" t="str">
        <f t="shared" si="46"/>
        <v/>
      </c>
      <c r="M156" s="35" t="str">
        <f t="shared" si="47"/>
        <v/>
      </c>
      <c r="N156" s="36" t="str">
        <f t="shared" si="48"/>
        <v/>
      </c>
      <c r="O156" s="35" t="str">
        <f t="shared" si="49"/>
        <v/>
      </c>
      <c r="P156" s="35" t="str">
        <f t="shared" si="50"/>
        <v/>
      </c>
      <c r="Q156" s="35" t="str">
        <f t="shared" si="51"/>
        <v/>
      </c>
      <c r="R156" s="35" t="str">
        <f t="shared" si="52"/>
        <v/>
      </c>
      <c r="S156" s="33" t="str">
        <f t="shared" si="53"/>
        <v/>
      </c>
    </row>
    <row r="157" spans="1:19" x14ac:dyDescent="0.3">
      <c r="A157" s="33">
        <f>153</f>
        <v>153</v>
      </c>
      <c r="B157" s="34" t="str">
        <f t="shared" si="36"/>
        <v/>
      </c>
      <c r="C157" s="33" t="str">
        <f t="shared" si="37"/>
        <v/>
      </c>
      <c r="D157" s="33" t="str">
        <f t="shared" si="38"/>
        <v/>
      </c>
      <c r="E157" s="35" t="str">
        <f t="shared" si="39"/>
        <v/>
      </c>
      <c r="F157" s="35" t="str">
        <f t="shared" si="40"/>
        <v/>
      </c>
      <c r="G157" s="33" t="str">
        <f t="shared" si="41"/>
        <v/>
      </c>
      <c r="H157" s="35" t="str">
        <f t="shared" si="42"/>
        <v/>
      </c>
      <c r="I157" s="35" t="str">
        <f t="shared" si="43"/>
        <v/>
      </c>
      <c r="J157" s="35" t="str">
        <f t="shared" si="44"/>
        <v/>
      </c>
      <c r="K157" s="35" t="str">
        <f t="shared" si="45"/>
        <v/>
      </c>
      <c r="L157" s="35" t="str">
        <f t="shared" si="46"/>
        <v/>
      </c>
      <c r="M157" s="35" t="str">
        <f t="shared" si="47"/>
        <v/>
      </c>
      <c r="N157" s="36" t="str">
        <f t="shared" si="48"/>
        <v/>
      </c>
      <c r="O157" s="35" t="str">
        <f t="shared" si="49"/>
        <v/>
      </c>
      <c r="P157" s="35" t="str">
        <f t="shared" si="50"/>
        <v/>
      </c>
      <c r="Q157" s="35" t="str">
        <f t="shared" si="51"/>
        <v/>
      </c>
      <c r="R157" s="35" t="str">
        <f t="shared" si="52"/>
        <v/>
      </c>
      <c r="S157" s="33" t="str">
        <f t="shared" si="53"/>
        <v/>
      </c>
    </row>
    <row r="158" spans="1:19" x14ac:dyDescent="0.3">
      <c r="A158" s="33">
        <f>154</f>
        <v>154</v>
      </c>
      <c r="B158" s="34" t="str">
        <f t="shared" si="36"/>
        <v/>
      </c>
      <c r="C158" s="33" t="str">
        <f t="shared" si="37"/>
        <v/>
      </c>
      <c r="D158" s="33" t="str">
        <f t="shared" si="38"/>
        <v/>
      </c>
      <c r="E158" s="35" t="str">
        <f t="shared" si="39"/>
        <v/>
      </c>
      <c r="F158" s="35" t="str">
        <f t="shared" si="40"/>
        <v/>
      </c>
      <c r="G158" s="33" t="str">
        <f t="shared" si="41"/>
        <v/>
      </c>
      <c r="H158" s="35" t="str">
        <f t="shared" si="42"/>
        <v/>
      </c>
      <c r="I158" s="35" t="str">
        <f t="shared" si="43"/>
        <v/>
      </c>
      <c r="J158" s="35" t="str">
        <f t="shared" si="44"/>
        <v/>
      </c>
      <c r="K158" s="35" t="str">
        <f t="shared" si="45"/>
        <v/>
      </c>
      <c r="L158" s="35" t="str">
        <f t="shared" si="46"/>
        <v/>
      </c>
      <c r="M158" s="35" t="str">
        <f t="shared" si="47"/>
        <v/>
      </c>
      <c r="N158" s="36" t="str">
        <f t="shared" si="48"/>
        <v/>
      </c>
      <c r="O158" s="35" t="str">
        <f t="shared" si="49"/>
        <v/>
      </c>
      <c r="P158" s="35" t="str">
        <f t="shared" si="50"/>
        <v/>
      </c>
      <c r="Q158" s="35" t="str">
        <f t="shared" si="51"/>
        <v/>
      </c>
      <c r="R158" s="35" t="str">
        <f t="shared" si="52"/>
        <v/>
      </c>
      <c r="S158" s="33" t="str">
        <f t="shared" si="53"/>
        <v/>
      </c>
    </row>
    <row r="159" spans="1:19" x14ac:dyDescent="0.3">
      <c r="A159" s="33">
        <f>155</f>
        <v>155</v>
      </c>
      <c r="B159" s="34" t="str">
        <f t="shared" si="36"/>
        <v/>
      </c>
      <c r="C159" s="33" t="str">
        <f t="shared" si="37"/>
        <v/>
      </c>
      <c r="D159" s="33" t="str">
        <f t="shared" si="38"/>
        <v/>
      </c>
      <c r="E159" s="35" t="str">
        <f t="shared" si="39"/>
        <v/>
      </c>
      <c r="F159" s="35" t="str">
        <f t="shared" si="40"/>
        <v/>
      </c>
      <c r="G159" s="33" t="str">
        <f t="shared" si="41"/>
        <v/>
      </c>
      <c r="H159" s="35" t="str">
        <f t="shared" si="42"/>
        <v/>
      </c>
      <c r="I159" s="35" t="str">
        <f t="shared" si="43"/>
        <v/>
      </c>
      <c r="J159" s="35" t="str">
        <f t="shared" si="44"/>
        <v/>
      </c>
      <c r="K159" s="35" t="str">
        <f t="shared" si="45"/>
        <v/>
      </c>
      <c r="L159" s="35" t="str">
        <f t="shared" si="46"/>
        <v/>
      </c>
      <c r="M159" s="35" t="str">
        <f t="shared" si="47"/>
        <v/>
      </c>
      <c r="N159" s="36" t="str">
        <f t="shared" si="48"/>
        <v/>
      </c>
      <c r="O159" s="35" t="str">
        <f t="shared" si="49"/>
        <v/>
      </c>
      <c r="P159" s="35" t="str">
        <f t="shared" si="50"/>
        <v/>
      </c>
      <c r="Q159" s="35" t="str">
        <f t="shared" si="51"/>
        <v/>
      </c>
      <c r="R159" s="35" t="str">
        <f t="shared" si="52"/>
        <v/>
      </c>
      <c r="S159" s="33" t="str">
        <f t="shared" si="53"/>
        <v/>
      </c>
    </row>
    <row r="160" spans="1:19" x14ac:dyDescent="0.3">
      <c r="A160" s="37">
        <f>156</f>
        <v>156</v>
      </c>
      <c r="B160" s="38" t="str">
        <f t="shared" si="36"/>
        <v/>
      </c>
      <c r="C160" s="37" t="str">
        <f t="shared" si="37"/>
        <v/>
      </c>
      <c r="D160" s="37" t="str">
        <f t="shared" si="38"/>
        <v/>
      </c>
      <c r="E160" s="39" t="str">
        <f t="shared" si="39"/>
        <v/>
      </c>
      <c r="F160" s="39" t="str">
        <f t="shared" si="40"/>
        <v/>
      </c>
      <c r="G160" s="37" t="str">
        <f t="shared" si="41"/>
        <v/>
      </c>
      <c r="H160" s="39" t="str">
        <f t="shared" si="42"/>
        <v/>
      </c>
      <c r="I160" s="39" t="str">
        <f t="shared" si="43"/>
        <v/>
      </c>
      <c r="J160" s="39" t="str">
        <f t="shared" si="44"/>
        <v/>
      </c>
      <c r="K160" s="39" t="str">
        <f t="shared" si="45"/>
        <v/>
      </c>
      <c r="L160" s="39" t="str">
        <f t="shared" si="46"/>
        <v/>
      </c>
      <c r="M160" s="39" t="str">
        <f t="shared" si="47"/>
        <v/>
      </c>
      <c r="N160" s="40" t="str">
        <f t="shared" si="48"/>
        <v/>
      </c>
      <c r="O160" s="39" t="str">
        <f t="shared" si="49"/>
        <v/>
      </c>
      <c r="P160" s="39" t="str">
        <f t="shared" si="50"/>
        <v/>
      </c>
      <c r="Q160" s="39" t="str">
        <f t="shared" si="51"/>
        <v/>
      </c>
      <c r="R160" s="39" t="str">
        <f t="shared" si="52"/>
        <v/>
      </c>
      <c r="S160" s="37" t="str">
        <f t="shared" si="53"/>
        <v/>
      </c>
    </row>
    <row r="161" spans="1:19" x14ac:dyDescent="0.3">
      <c r="A161" s="33">
        <f>157</f>
        <v>157</v>
      </c>
      <c r="B161" s="34" t="str">
        <f t="shared" si="36"/>
        <v/>
      </c>
      <c r="C161" s="33" t="str">
        <f t="shared" si="37"/>
        <v/>
      </c>
      <c r="D161" s="33" t="str">
        <f t="shared" si="38"/>
        <v/>
      </c>
      <c r="E161" s="35" t="str">
        <f t="shared" si="39"/>
        <v/>
      </c>
      <c r="F161" s="35" t="str">
        <f t="shared" si="40"/>
        <v/>
      </c>
      <c r="G161" s="33" t="str">
        <f t="shared" si="41"/>
        <v/>
      </c>
      <c r="H161" s="35" t="str">
        <f t="shared" si="42"/>
        <v/>
      </c>
      <c r="I161" s="35" t="str">
        <f t="shared" si="43"/>
        <v/>
      </c>
      <c r="J161" s="35" t="str">
        <f t="shared" si="44"/>
        <v/>
      </c>
      <c r="K161" s="35" t="str">
        <f t="shared" si="45"/>
        <v/>
      </c>
      <c r="L161" s="35" t="str">
        <f t="shared" si="46"/>
        <v/>
      </c>
      <c r="M161" s="35" t="str">
        <f t="shared" si="47"/>
        <v/>
      </c>
      <c r="N161" s="36" t="str">
        <f t="shared" si="48"/>
        <v/>
      </c>
      <c r="O161" s="35" t="str">
        <f t="shared" si="49"/>
        <v/>
      </c>
      <c r="P161" s="35" t="str">
        <f t="shared" si="50"/>
        <v/>
      </c>
      <c r="Q161" s="35" t="str">
        <f t="shared" si="51"/>
        <v/>
      </c>
      <c r="R161" s="35" t="str">
        <f t="shared" si="52"/>
        <v/>
      </c>
      <c r="S161" s="33" t="str">
        <f t="shared" si="53"/>
        <v/>
      </c>
    </row>
    <row r="162" spans="1:19" x14ac:dyDescent="0.3">
      <c r="A162" s="33">
        <f>158</f>
        <v>158</v>
      </c>
      <c r="B162" s="34" t="str">
        <f t="shared" si="36"/>
        <v/>
      </c>
      <c r="C162" s="33" t="str">
        <f t="shared" si="37"/>
        <v/>
      </c>
      <c r="D162" s="33" t="str">
        <f t="shared" si="38"/>
        <v/>
      </c>
      <c r="E162" s="35" t="str">
        <f t="shared" si="39"/>
        <v/>
      </c>
      <c r="F162" s="35" t="str">
        <f t="shared" si="40"/>
        <v/>
      </c>
      <c r="G162" s="33" t="str">
        <f t="shared" si="41"/>
        <v/>
      </c>
      <c r="H162" s="35" t="str">
        <f t="shared" si="42"/>
        <v/>
      </c>
      <c r="I162" s="35" t="str">
        <f t="shared" si="43"/>
        <v/>
      </c>
      <c r="J162" s="35" t="str">
        <f t="shared" si="44"/>
        <v/>
      </c>
      <c r="K162" s="35" t="str">
        <f t="shared" si="45"/>
        <v/>
      </c>
      <c r="L162" s="35" t="str">
        <f t="shared" si="46"/>
        <v/>
      </c>
      <c r="M162" s="35" t="str">
        <f t="shared" si="47"/>
        <v/>
      </c>
      <c r="N162" s="36" t="str">
        <f t="shared" si="48"/>
        <v/>
      </c>
      <c r="O162" s="35" t="str">
        <f t="shared" si="49"/>
        <v/>
      </c>
      <c r="P162" s="35" t="str">
        <f t="shared" si="50"/>
        <v/>
      </c>
      <c r="Q162" s="35" t="str">
        <f t="shared" si="51"/>
        <v/>
      </c>
      <c r="R162" s="35" t="str">
        <f t="shared" si="52"/>
        <v/>
      </c>
      <c r="S162" s="33" t="str">
        <f t="shared" si="53"/>
        <v/>
      </c>
    </row>
    <row r="163" spans="1:19" x14ac:dyDescent="0.3">
      <c r="A163" s="33">
        <f>159</f>
        <v>159</v>
      </c>
      <c r="B163" s="34" t="str">
        <f t="shared" si="36"/>
        <v/>
      </c>
      <c r="C163" s="33" t="str">
        <f t="shared" si="37"/>
        <v/>
      </c>
      <c r="D163" s="33" t="str">
        <f t="shared" si="38"/>
        <v/>
      </c>
      <c r="E163" s="35" t="str">
        <f t="shared" si="39"/>
        <v/>
      </c>
      <c r="F163" s="35" t="str">
        <f t="shared" si="40"/>
        <v/>
      </c>
      <c r="G163" s="33" t="str">
        <f t="shared" si="41"/>
        <v/>
      </c>
      <c r="H163" s="35" t="str">
        <f t="shared" si="42"/>
        <v/>
      </c>
      <c r="I163" s="35" t="str">
        <f t="shared" si="43"/>
        <v/>
      </c>
      <c r="J163" s="35" t="str">
        <f t="shared" si="44"/>
        <v/>
      </c>
      <c r="K163" s="35" t="str">
        <f t="shared" si="45"/>
        <v/>
      </c>
      <c r="L163" s="35" t="str">
        <f t="shared" si="46"/>
        <v/>
      </c>
      <c r="M163" s="35" t="str">
        <f t="shared" si="47"/>
        <v/>
      </c>
      <c r="N163" s="36" t="str">
        <f t="shared" si="48"/>
        <v/>
      </c>
      <c r="O163" s="35" t="str">
        <f t="shared" si="49"/>
        <v/>
      </c>
      <c r="P163" s="35" t="str">
        <f t="shared" si="50"/>
        <v/>
      </c>
      <c r="Q163" s="35" t="str">
        <f t="shared" si="51"/>
        <v/>
      </c>
      <c r="R163" s="35" t="str">
        <f t="shared" si="52"/>
        <v/>
      </c>
      <c r="S163" s="33" t="str">
        <f t="shared" si="53"/>
        <v/>
      </c>
    </row>
    <row r="164" spans="1:19" x14ac:dyDescent="0.3">
      <c r="A164" s="33">
        <f>160</f>
        <v>160</v>
      </c>
      <c r="B164" s="34" t="str">
        <f t="shared" si="36"/>
        <v/>
      </c>
      <c r="C164" s="33" t="str">
        <f t="shared" si="37"/>
        <v/>
      </c>
      <c r="D164" s="33" t="str">
        <f t="shared" si="38"/>
        <v/>
      </c>
      <c r="E164" s="35" t="str">
        <f t="shared" si="39"/>
        <v/>
      </c>
      <c r="F164" s="35" t="str">
        <f t="shared" si="40"/>
        <v/>
      </c>
      <c r="G164" s="33" t="str">
        <f t="shared" si="41"/>
        <v/>
      </c>
      <c r="H164" s="35" t="str">
        <f t="shared" si="42"/>
        <v/>
      </c>
      <c r="I164" s="35" t="str">
        <f t="shared" si="43"/>
        <v/>
      </c>
      <c r="J164" s="35" t="str">
        <f t="shared" si="44"/>
        <v/>
      </c>
      <c r="K164" s="35" t="str">
        <f t="shared" si="45"/>
        <v/>
      </c>
      <c r="L164" s="35" t="str">
        <f t="shared" si="46"/>
        <v/>
      </c>
      <c r="M164" s="35" t="str">
        <f t="shared" si="47"/>
        <v/>
      </c>
      <c r="N164" s="36" t="str">
        <f t="shared" si="48"/>
        <v/>
      </c>
      <c r="O164" s="35" t="str">
        <f t="shared" si="49"/>
        <v/>
      </c>
      <c r="P164" s="35" t="str">
        <f t="shared" si="50"/>
        <v/>
      </c>
      <c r="Q164" s="35" t="str">
        <f t="shared" si="51"/>
        <v/>
      </c>
      <c r="R164" s="35" t="str">
        <f t="shared" si="52"/>
        <v/>
      </c>
      <c r="S164" s="33" t="str">
        <f t="shared" si="53"/>
        <v/>
      </c>
    </row>
    <row r="165" spans="1:19" x14ac:dyDescent="0.3">
      <c r="A165" s="33">
        <f>161</f>
        <v>161</v>
      </c>
      <c r="B165" s="34" t="str">
        <f t="shared" si="36"/>
        <v/>
      </c>
      <c r="C165" s="33" t="str">
        <f t="shared" si="37"/>
        <v/>
      </c>
      <c r="D165" s="33" t="str">
        <f t="shared" si="38"/>
        <v/>
      </c>
      <c r="E165" s="35" t="str">
        <f t="shared" si="39"/>
        <v/>
      </c>
      <c r="F165" s="35" t="str">
        <f t="shared" si="40"/>
        <v/>
      </c>
      <c r="G165" s="33" t="str">
        <f t="shared" si="41"/>
        <v/>
      </c>
      <c r="H165" s="35" t="str">
        <f t="shared" si="42"/>
        <v/>
      </c>
      <c r="I165" s="35" t="str">
        <f t="shared" si="43"/>
        <v/>
      </c>
      <c r="J165" s="35" t="str">
        <f t="shared" si="44"/>
        <v/>
      </c>
      <c r="K165" s="35" t="str">
        <f t="shared" si="45"/>
        <v/>
      </c>
      <c r="L165" s="35" t="str">
        <f t="shared" si="46"/>
        <v/>
      </c>
      <c r="M165" s="35" t="str">
        <f t="shared" si="47"/>
        <v/>
      </c>
      <c r="N165" s="36" t="str">
        <f t="shared" si="48"/>
        <v/>
      </c>
      <c r="O165" s="35" t="str">
        <f t="shared" si="49"/>
        <v/>
      </c>
      <c r="P165" s="35" t="str">
        <f t="shared" si="50"/>
        <v/>
      </c>
      <c r="Q165" s="35" t="str">
        <f t="shared" si="51"/>
        <v/>
      </c>
      <c r="R165" s="35" t="str">
        <f t="shared" si="52"/>
        <v/>
      </c>
      <c r="S165" s="33" t="str">
        <f t="shared" si="53"/>
        <v/>
      </c>
    </row>
    <row r="166" spans="1:19" x14ac:dyDescent="0.3">
      <c r="A166" s="33">
        <f>162</f>
        <v>162</v>
      </c>
      <c r="B166" s="34" t="str">
        <f t="shared" si="36"/>
        <v/>
      </c>
      <c r="C166" s="33" t="str">
        <f t="shared" si="37"/>
        <v/>
      </c>
      <c r="D166" s="33" t="str">
        <f t="shared" si="38"/>
        <v/>
      </c>
      <c r="E166" s="35" t="str">
        <f t="shared" si="39"/>
        <v/>
      </c>
      <c r="F166" s="35" t="str">
        <f t="shared" si="40"/>
        <v/>
      </c>
      <c r="G166" s="33" t="str">
        <f t="shared" si="41"/>
        <v/>
      </c>
      <c r="H166" s="35" t="str">
        <f t="shared" si="42"/>
        <v/>
      </c>
      <c r="I166" s="35" t="str">
        <f t="shared" si="43"/>
        <v/>
      </c>
      <c r="J166" s="35" t="str">
        <f t="shared" si="44"/>
        <v/>
      </c>
      <c r="K166" s="35" t="str">
        <f t="shared" si="45"/>
        <v/>
      </c>
      <c r="L166" s="35" t="str">
        <f t="shared" si="46"/>
        <v/>
      </c>
      <c r="M166" s="35" t="str">
        <f t="shared" si="47"/>
        <v/>
      </c>
      <c r="N166" s="36" t="str">
        <f t="shared" si="48"/>
        <v/>
      </c>
      <c r="O166" s="35" t="str">
        <f t="shared" si="49"/>
        <v/>
      </c>
      <c r="P166" s="35" t="str">
        <f t="shared" si="50"/>
        <v/>
      </c>
      <c r="Q166" s="35" t="str">
        <f t="shared" si="51"/>
        <v/>
      </c>
      <c r="R166" s="35" t="str">
        <f t="shared" si="52"/>
        <v/>
      </c>
      <c r="S166" s="33" t="str">
        <f t="shared" si="53"/>
        <v/>
      </c>
    </row>
    <row r="167" spans="1:19" x14ac:dyDescent="0.3">
      <c r="A167" s="33">
        <f>163</f>
        <v>163</v>
      </c>
      <c r="B167" s="34" t="str">
        <f t="shared" si="36"/>
        <v/>
      </c>
      <c r="C167" s="33" t="str">
        <f t="shared" si="37"/>
        <v/>
      </c>
      <c r="D167" s="33" t="str">
        <f t="shared" si="38"/>
        <v/>
      </c>
      <c r="E167" s="35" t="str">
        <f t="shared" si="39"/>
        <v/>
      </c>
      <c r="F167" s="35" t="str">
        <f t="shared" si="40"/>
        <v/>
      </c>
      <c r="G167" s="33" t="str">
        <f t="shared" si="41"/>
        <v/>
      </c>
      <c r="H167" s="35" t="str">
        <f t="shared" si="42"/>
        <v/>
      </c>
      <c r="I167" s="35" t="str">
        <f t="shared" si="43"/>
        <v/>
      </c>
      <c r="J167" s="35" t="str">
        <f t="shared" si="44"/>
        <v/>
      </c>
      <c r="K167" s="35" t="str">
        <f t="shared" si="45"/>
        <v/>
      </c>
      <c r="L167" s="35" t="str">
        <f t="shared" si="46"/>
        <v/>
      </c>
      <c r="M167" s="35" t="str">
        <f t="shared" si="47"/>
        <v/>
      </c>
      <c r="N167" s="36" t="str">
        <f t="shared" si="48"/>
        <v/>
      </c>
      <c r="O167" s="35" t="str">
        <f t="shared" si="49"/>
        <v/>
      </c>
      <c r="P167" s="35" t="str">
        <f t="shared" si="50"/>
        <v/>
      </c>
      <c r="Q167" s="35" t="str">
        <f t="shared" si="51"/>
        <v/>
      </c>
      <c r="R167" s="35" t="str">
        <f t="shared" si="52"/>
        <v/>
      </c>
      <c r="S167" s="33" t="str">
        <f t="shared" si="53"/>
        <v/>
      </c>
    </row>
    <row r="168" spans="1:19" x14ac:dyDescent="0.3">
      <c r="A168" s="33">
        <f>164</f>
        <v>164</v>
      </c>
      <c r="B168" s="34" t="str">
        <f t="shared" si="36"/>
        <v/>
      </c>
      <c r="C168" s="33" t="str">
        <f t="shared" si="37"/>
        <v/>
      </c>
      <c r="D168" s="33" t="str">
        <f t="shared" si="38"/>
        <v/>
      </c>
      <c r="E168" s="35" t="str">
        <f t="shared" si="39"/>
        <v/>
      </c>
      <c r="F168" s="35" t="str">
        <f t="shared" si="40"/>
        <v/>
      </c>
      <c r="G168" s="33" t="str">
        <f t="shared" si="41"/>
        <v/>
      </c>
      <c r="H168" s="35" t="str">
        <f t="shared" si="42"/>
        <v/>
      </c>
      <c r="I168" s="35" t="str">
        <f t="shared" si="43"/>
        <v/>
      </c>
      <c r="J168" s="35" t="str">
        <f t="shared" si="44"/>
        <v/>
      </c>
      <c r="K168" s="35" t="str">
        <f t="shared" si="45"/>
        <v/>
      </c>
      <c r="L168" s="35" t="str">
        <f t="shared" si="46"/>
        <v/>
      </c>
      <c r="M168" s="35" t="str">
        <f t="shared" si="47"/>
        <v/>
      </c>
      <c r="N168" s="36" t="str">
        <f t="shared" si="48"/>
        <v/>
      </c>
      <c r="O168" s="35" t="str">
        <f t="shared" si="49"/>
        <v/>
      </c>
      <c r="P168" s="35" t="str">
        <f t="shared" si="50"/>
        <v/>
      </c>
      <c r="Q168" s="35" t="str">
        <f t="shared" si="51"/>
        <v/>
      </c>
      <c r="R168" s="35" t="str">
        <f t="shared" si="52"/>
        <v/>
      </c>
      <c r="S168" s="33" t="str">
        <f t="shared" si="53"/>
        <v/>
      </c>
    </row>
    <row r="169" spans="1:19" x14ac:dyDescent="0.3">
      <c r="A169" s="33">
        <f>165</f>
        <v>165</v>
      </c>
      <c r="B169" s="34" t="str">
        <f t="shared" si="36"/>
        <v/>
      </c>
      <c r="C169" s="33" t="str">
        <f t="shared" si="37"/>
        <v/>
      </c>
      <c r="D169" s="33" t="str">
        <f t="shared" si="38"/>
        <v/>
      </c>
      <c r="E169" s="35" t="str">
        <f t="shared" si="39"/>
        <v/>
      </c>
      <c r="F169" s="35" t="str">
        <f t="shared" si="40"/>
        <v/>
      </c>
      <c r="G169" s="33" t="str">
        <f t="shared" si="41"/>
        <v/>
      </c>
      <c r="H169" s="35" t="str">
        <f t="shared" si="42"/>
        <v/>
      </c>
      <c r="I169" s="35" t="str">
        <f t="shared" si="43"/>
        <v/>
      </c>
      <c r="J169" s="35" t="str">
        <f t="shared" si="44"/>
        <v/>
      </c>
      <c r="K169" s="35" t="str">
        <f t="shared" si="45"/>
        <v/>
      </c>
      <c r="L169" s="35" t="str">
        <f t="shared" si="46"/>
        <v/>
      </c>
      <c r="M169" s="35" t="str">
        <f t="shared" si="47"/>
        <v/>
      </c>
      <c r="N169" s="36" t="str">
        <f t="shared" si="48"/>
        <v/>
      </c>
      <c r="O169" s="35" t="str">
        <f t="shared" si="49"/>
        <v/>
      </c>
      <c r="P169" s="35" t="str">
        <f t="shared" si="50"/>
        <v/>
      </c>
      <c r="Q169" s="35" t="str">
        <f t="shared" si="51"/>
        <v/>
      </c>
      <c r="R169" s="35" t="str">
        <f t="shared" si="52"/>
        <v/>
      </c>
      <c r="S169" s="33" t="str">
        <f t="shared" si="53"/>
        <v/>
      </c>
    </row>
    <row r="170" spans="1:19" x14ac:dyDescent="0.3">
      <c r="A170" s="33">
        <f>166</f>
        <v>166</v>
      </c>
      <c r="B170" s="34" t="str">
        <f t="shared" si="36"/>
        <v/>
      </c>
      <c r="C170" s="33" t="str">
        <f t="shared" si="37"/>
        <v/>
      </c>
      <c r="D170" s="33" t="str">
        <f t="shared" si="38"/>
        <v/>
      </c>
      <c r="E170" s="35" t="str">
        <f t="shared" si="39"/>
        <v/>
      </c>
      <c r="F170" s="35" t="str">
        <f t="shared" si="40"/>
        <v/>
      </c>
      <c r="G170" s="33" t="str">
        <f t="shared" si="41"/>
        <v/>
      </c>
      <c r="H170" s="35" t="str">
        <f t="shared" si="42"/>
        <v/>
      </c>
      <c r="I170" s="35" t="str">
        <f t="shared" si="43"/>
        <v/>
      </c>
      <c r="J170" s="35" t="str">
        <f t="shared" si="44"/>
        <v/>
      </c>
      <c r="K170" s="35" t="str">
        <f t="shared" si="45"/>
        <v/>
      </c>
      <c r="L170" s="35" t="str">
        <f t="shared" si="46"/>
        <v/>
      </c>
      <c r="M170" s="35" t="str">
        <f t="shared" si="47"/>
        <v/>
      </c>
      <c r="N170" s="36" t="str">
        <f t="shared" si="48"/>
        <v/>
      </c>
      <c r="O170" s="35" t="str">
        <f t="shared" si="49"/>
        <v/>
      </c>
      <c r="P170" s="35" t="str">
        <f t="shared" si="50"/>
        <v/>
      </c>
      <c r="Q170" s="35" t="str">
        <f t="shared" si="51"/>
        <v/>
      </c>
      <c r="R170" s="35" t="str">
        <f t="shared" si="52"/>
        <v/>
      </c>
      <c r="S170" s="33" t="str">
        <f t="shared" si="53"/>
        <v/>
      </c>
    </row>
    <row r="171" spans="1:19" x14ac:dyDescent="0.3">
      <c r="A171" s="33">
        <f>167</f>
        <v>167</v>
      </c>
      <c r="B171" s="34" t="str">
        <f t="shared" si="36"/>
        <v/>
      </c>
      <c r="C171" s="33" t="str">
        <f t="shared" si="37"/>
        <v/>
      </c>
      <c r="D171" s="33" t="str">
        <f t="shared" si="38"/>
        <v/>
      </c>
      <c r="E171" s="35" t="str">
        <f t="shared" si="39"/>
        <v/>
      </c>
      <c r="F171" s="35" t="str">
        <f t="shared" si="40"/>
        <v/>
      </c>
      <c r="G171" s="33" t="str">
        <f t="shared" si="41"/>
        <v/>
      </c>
      <c r="H171" s="35" t="str">
        <f t="shared" si="42"/>
        <v/>
      </c>
      <c r="I171" s="35" t="str">
        <f t="shared" si="43"/>
        <v/>
      </c>
      <c r="J171" s="35" t="str">
        <f t="shared" si="44"/>
        <v/>
      </c>
      <c r="K171" s="35" t="str">
        <f t="shared" si="45"/>
        <v/>
      </c>
      <c r="L171" s="35" t="str">
        <f t="shared" si="46"/>
        <v/>
      </c>
      <c r="M171" s="35" t="str">
        <f t="shared" si="47"/>
        <v/>
      </c>
      <c r="N171" s="36" t="str">
        <f t="shared" si="48"/>
        <v/>
      </c>
      <c r="O171" s="35" t="str">
        <f t="shared" si="49"/>
        <v/>
      </c>
      <c r="P171" s="35" t="str">
        <f t="shared" si="50"/>
        <v/>
      </c>
      <c r="Q171" s="35" t="str">
        <f t="shared" si="51"/>
        <v/>
      </c>
      <c r="R171" s="35" t="str">
        <f t="shared" si="52"/>
        <v/>
      </c>
      <c r="S171" s="33" t="str">
        <f t="shared" si="53"/>
        <v/>
      </c>
    </row>
    <row r="172" spans="1:19" x14ac:dyDescent="0.3">
      <c r="A172" s="37">
        <f>168</f>
        <v>168</v>
      </c>
      <c r="B172" s="38" t="str">
        <f t="shared" si="36"/>
        <v/>
      </c>
      <c r="C172" s="37" t="str">
        <f t="shared" si="37"/>
        <v/>
      </c>
      <c r="D172" s="37" t="str">
        <f t="shared" si="38"/>
        <v/>
      </c>
      <c r="E172" s="39" t="str">
        <f t="shared" si="39"/>
        <v/>
      </c>
      <c r="F172" s="39" t="str">
        <f t="shared" si="40"/>
        <v/>
      </c>
      <c r="G172" s="37" t="str">
        <f t="shared" si="41"/>
        <v/>
      </c>
      <c r="H172" s="39" t="str">
        <f t="shared" si="42"/>
        <v/>
      </c>
      <c r="I172" s="39" t="str">
        <f t="shared" si="43"/>
        <v/>
      </c>
      <c r="J172" s="39" t="str">
        <f t="shared" si="44"/>
        <v/>
      </c>
      <c r="K172" s="39" t="str">
        <f t="shared" si="45"/>
        <v/>
      </c>
      <c r="L172" s="39" t="str">
        <f t="shared" si="46"/>
        <v/>
      </c>
      <c r="M172" s="39" t="str">
        <f t="shared" si="47"/>
        <v/>
      </c>
      <c r="N172" s="40" t="str">
        <f t="shared" si="48"/>
        <v/>
      </c>
      <c r="O172" s="39" t="str">
        <f t="shared" si="49"/>
        <v/>
      </c>
      <c r="P172" s="39" t="str">
        <f t="shared" si="50"/>
        <v/>
      </c>
      <c r="Q172" s="39" t="str">
        <f t="shared" si="51"/>
        <v/>
      </c>
      <c r="R172" s="39" t="str">
        <f t="shared" si="52"/>
        <v/>
      </c>
      <c r="S172" s="37" t="str">
        <f t="shared" si="53"/>
        <v/>
      </c>
    </row>
    <row r="173" spans="1:19" x14ac:dyDescent="0.3">
      <c r="A173" s="33">
        <f>169</f>
        <v>169</v>
      </c>
      <c r="B173" s="34" t="str">
        <f t="shared" si="36"/>
        <v/>
      </c>
      <c r="C173" s="33" t="str">
        <f t="shared" si="37"/>
        <v/>
      </c>
      <c r="D173" s="33" t="str">
        <f t="shared" si="38"/>
        <v/>
      </c>
      <c r="E173" s="35" t="str">
        <f t="shared" si="39"/>
        <v/>
      </c>
      <c r="F173" s="35" t="str">
        <f t="shared" si="40"/>
        <v/>
      </c>
      <c r="G173" s="33" t="str">
        <f t="shared" si="41"/>
        <v/>
      </c>
      <c r="H173" s="35" t="str">
        <f t="shared" si="42"/>
        <v/>
      </c>
      <c r="I173" s="35" t="str">
        <f t="shared" si="43"/>
        <v/>
      </c>
      <c r="J173" s="35" t="str">
        <f t="shared" si="44"/>
        <v/>
      </c>
      <c r="K173" s="35" t="str">
        <f t="shared" si="45"/>
        <v/>
      </c>
      <c r="L173" s="35" t="str">
        <f t="shared" si="46"/>
        <v/>
      </c>
      <c r="M173" s="35" t="str">
        <f t="shared" si="47"/>
        <v/>
      </c>
      <c r="N173" s="36" t="str">
        <f t="shared" si="48"/>
        <v/>
      </c>
      <c r="O173" s="35" t="str">
        <f t="shared" si="49"/>
        <v/>
      </c>
      <c r="P173" s="35" t="str">
        <f t="shared" si="50"/>
        <v/>
      </c>
      <c r="Q173" s="35" t="str">
        <f t="shared" si="51"/>
        <v/>
      </c>
      <c r="R173" s="35" t="str">
        <f t="shared" si="52"/>
        <v/>
      </c>
      <c r="S173" s="33" t="str">
        <f t="shared" si="53"/>
        <v/>
      </c>
    </row>
    <row r="174" spans="1:19" x14ac:dyDescent="0.3">
      <c r="A174" s="33">
        <f>170</f>
        <v>170</v>
      </c>
      <c r="B174" s="34" t="str">
        <f t="shared" si="36"/>
        <v/>
      </c>
      <c r="C174" s="33" t="str">
        <f t="shared" si="37"/>
        <v/>
      </c>
      <c r="D174" s="33" t="str">
        <f t="shared" si="38"/>
        <v/>
      </c>
      <c r="E174" s="35" t="str">
        <f t="shared" si="39"/>
        <v/>
      </c>
      <c r="F174" s="35" t="str">
        <f t="shared" si="40"/>
        <v/>
      </c>
      <c r="G174" s="33" t="str">
        <f t="shared" si="41"/>
        <v/>
      </c>
      <c r="H174" s="35" t="str">
        <f t="shared" si="42"/>
        <v/>
      </c>
      <c r="I174" s="35" t="str">
        <f t="shared" si="43"/>
        <v/>
      </c>
      <c r="J174" s="35" t="str">
        <f t="shared" si="44"/>
        <v/>
      </c>
      <c r="K174" s="35" t="str">
        <f t="shared" si="45"/>
        <v/>
      </c>
      <c r="L174" s="35" t="str">
        <f t="shared" si="46"/>
        <v/>
      </c>
      <c r="M174" s="35" t="str">
        <f t="shared" si="47"/>
        <v/>
      </c>
      <c r="N174" s="36" t="str">
        <f t="shared" si="48"/>
        <v/>
      </c>
      <c r="O174" s="35" t="str">
        <f t="shared" si="49"/>
        <v/>
      </c>
      <c r="P174" s="35" t="str">
        <f t="shared" si="50"/>
        <v/>
      </c>
      <c r="Q174" s="35" t="str">
        <f t="shared" si="51"/>
        <v/>
      </c>
      <c r="R174" s="35" t="str">
        <f t="shared" si="52"/>
        <v/>
      </c>
      <c r="S174" s="33" t="str">
        <f t="shared" si="53"/>
        <v/>
      </c>
    </row>
    <row r="175" spans="1:19" x14ac:dyDescent="0.3">
      <c r="A175" s="33">
        <f>171</f>
        <v>171</v>
      </c>
      <c r="B175" s="34" t="str">
        <f t="shared" si="36"/>
        <v/>
      </c>
      <c r="C175" s="33" t="str">
        <f t="shared" si="37"/>
        <v/>
      </c>
      <c r="D175" s="33" t="str">
        <f t="shared" si="38"/>
        <v/>
      </c>
      <c r="E175" s="35" t="str">
        <f t="shared" si="39"/>
        <v/>
      </c>
      <c r="F175" s="35" t="str">
        <f t="shared" si="40"/>
        <v/>
      </c>
      <c r="G175" s="33" t="str">
        <f t="shared" si="41"/>
        <v/>
      </c>
      <c r="H175" s="35" t="str">
        <f t="shared" si="42"/>
        <v/>
      </c>
      <c r="I175" s="35" t="str">
        <f t="shared" si="43"/>
        <v/>
      </c>
      <c r="J175" s="35" t="str">
        <f t="shared" si="44"/>
        <v/>
      </c>
      <c r="K175" s="35" t="str">
        <f t="shared" si="45"/>
        <v/>
      </c>
      <c r="L175" s="35" t="str">
        <f t="shared" si="46"/>
        <v/>
      </c>
      <c r="M175" s="35" t="str">
        <f t="shared" si="47"/>
        <v/>
      </c>
      <c r="N175" s="36" t="str">
        <f t="shared" si="48"/>
        <v/>
      </c>
      <c r="O175" s="35" t="str">
        <f t="shared" si="49"/>
        <v/>
      </c>
      <c r="P175" s="35" t="str">
        <f t="shared" si="50"/>
        <v/>
      </c>
      <c r="Q175" s="35" t="str">
        <f t="shared" si="51"/>
        <v/>
      </c>
      <c r="R175" s="35" t="str">
        <f t="shared" si="52"/>
        <v/>
      </c>
      <c r="S175" s="33" t="str">
        <f t="shared" si="53"/>
        <v/>
      </c>
    </row>
    <row r="176" spans="1:19" x14ac:dyDescent="0.3">
      <c r="A176" s="33">
        <f>172</f>
        <v>172</v>
      </c>
      <c r="B176" s="34" t="str">
        <f t="shared" si="36"/>
        <v/>
      </c>
      <c r="C176" s="33" t="str">
        <f t="shared" si="37"/>
        <v/>
      </c>
      <c r="D176" s="33" t="str">
        <f t="shared" si="38"/>
        <v/>
      </c>
      <c r="E176" s="35" t="str">
        <f t="shared" si="39"/>
        <v/>
      </c>
      <c r="F176" s="35" t="str">
        <f t="shared" si="40"/>
        <v/>
      </c>
      <c r="G176" s="33" t="str">
        <f t="shared" si="41"/>
        <v/>
      </c>
      <c r="H176" s="35" t="str">
        <f t="shared" si="42"/>
        <v/>
      </c>
      <c r="I176" s="35" t="str">
        <f t="shared" si="43"/>
        <v/>
      </c>
      <c r="J176" s="35" t="str">
        <f t="shared" si="44"/>
        <v/>
      </c>
      <c r="K176" s="35" t="str">
        <f t="shared" si="45"/>
        <v/>
      </c>
      <c r="L176" s="35" t="str">
        <f t="shared" si="46"/>
        <v/>
      </c>
      <c r="M176" s="35" t="str">
        <f t="shared" si="47"/>
        <v/>
      </c>
      <c r="N176" s="36" t="str">
        <f t="shared" si="48"/>
        <v/>
      </c>
      <c r="O176" s="35" t="str">
        <f t="shared" si="49"/>
        <v/>
      </c>
      <c r="P176" s="35" t="str">
        <f t="shared" si="50"/>
        <v/>
      </c>
      <c r="Q176" s="35" t="str">
        <f t="shared" si="51"/>
        <v/>
      </c>
      <c r="R176" s="35" t="str">
        <f t="shared" si="52"/>
        <v/>
      </c>
      <c r="S176" s="33" t="str">
        <f t="shared" si="53"/>
        <v/>
      </c>
    </row>
    <row r="177" spans="1:19" x14ac:dyDescent="0.3">
      <c r="A177" s="33">
        <f>173</f>
        <v>173</v>
      </c>
      <c r="B177" s="34" t="str">
        <f t="shared" si="36"/>
        <v/>
      </c>
      <c r="C177" s="33" t="str">
        <f t="shared" si="37"/>
        <v/>
      </c>
      <c r="D177" s="33" t="str">
        <f t="shared" si="38"/>
        <v/>
      </c>
      <c r="E177" s="35" t="str">
        <f t="shared" si="39"/>
        <v/>
      </c>
      <c r="F177" s="35" t="str">
        <f t="shared" si="40"/>
        <v/>
      </c>
      <c r="G177" s="33" t="str">
        <f t="shared" si="41"/>
        <v/>
      </c>
      <c r="H177" s="35" t="str">
        <f t="shared" si="42"/>
        <v/>
      </c>
      <c r="I177" s="35" t="str">
        <f t="shared" si="43"/>
        <v/>
      </c>
      <c r="J177" s="35" t="str">
        <f t="shared" si="44"/>
        <v/>
      </c>
      <c r="K177" s="35" t="str">
        <f t="shared" si="45"/>
        <v/>
      </c>
      <c r="L177" s="35" t="str">
        <f t="shared" si="46"/>
        <v/>
      </c>
      <c r="M177" s="35" t="str">
        <f t="shared" si="47"/>
        <v/>
      </c>
      <c r="N177" s="36" t="str">
        <f t="shared" si="48"/>
        <v/>
      </c>
      <c r="O177" s="35" t="str">
        <f t="shared" si="49"/>
        <v/>
      </c>
      <c r="P177" s="35" t="str">
        <f t="shared" si="50"/>
        <v/>
      </c>
      <c r="Q177" s="35" t="str">
        <f t="shared" si="51"/>
        <v/>
      </c>
      <c r="R177" s="35" t="str">
        <f t="shared" si="52"/>
        <v/>
      </c>
      <c r="S177" s="33" t="str">
        <f t="shared" si="53"/>
        <v/>
      </c>
    </row>
    <row r="178" spans="1:19" x14ac:dyDescent="0.3">
      <c r="A178" s="33">
        <f>174</f>
        <v>174</v>
      </c>
      <c r="B178" s="34" t="str">
        <f t="shared" si="36"/>
        <v/>
      </c>
      <c r="C178" s="33" t="str">
        <f t="shared" si="37"/>
        <v/>
      </c>
      <c r="D178" s="33" t="str">
        <f t="shared" si="38"/>
        <v/>
      </c>
      <c r="E178" s="35" t="str">
        <f t="shared" si="39"/>
        <v/>
      </c>
      <c r="F178" s="35" t="str">
        <f t="shared" si="40"/>
        <v/>
      </c>
      <c r="G178" s="33" t="str">
        <f t="shared" si="41"/>
        <v/>
      </c>
      <c r="H178" s="35" t="str">
        <f t="shared" si="42"/>
        <v/>
      </c>
      <c r="I178" s="35" t="str">
        <f t="shared" si="43"/>
        <v/>
      </c>
      <c r="J178" s="35" t="str">
        <f t="shared" si="44"/>
        <v/>
      </c>
      <c r="K178" s="35" t="str">
        <f t="shared" si="45"/>
        <v/>
      </c>
      <c r="L178" s="35" t="str">
        <f t="shared" si="46"/>
        <v/>
      </c>
      <c r="M178" s="35" t="str">
        <f t="shared" si="47"/>
        <v/>
      </c>
      <c r="N178" s="36" t="str">
        <f t="shared" si="48"/>
        <v/>
      </c>
      <c r="O178" s="35" t="str">
        <f t="shared" si="49"/>
        <v/>
      </c>
      <c r="P178" s="35" t="str">
        <f t="shared" si="50"/>
        <v/>
      </c>
      <c r="Q178" s="35" t="str">
        <f t="shared" si="51"/>
        <v/>
      </c>
      <c r="R178" s="35" t="str">
        <f t="shared" si="52"/>
        <v/>
      </c>
      <c r="S178" s="33" t="str">
        <f t="shared" si="53"/>
        <v/>
      </c>
    </row>
    <row r="179" spans="1:19" x14ac:dyDescent="0.3">
      <c r="A179" s="33">
        <f>175</f>
        <v>175</v>
      </c>
      <c r="B179" s="34" t="str">
        <f t="shared" si="36"/>
        <v/>
      </c>
      <c r="C179" s="33" t="str">
        <f t="shared" si="37"/>
        <v/>
      </c>
      <c r="D179" s="33" t="str">
        <f t="shared" si="38"/>
        <v/>
      </c>
      <c r="E179" s="35" t="str">
        <f t="shared" si="39"/>
        <v/>
      </c>
      <c r="F179" s="35" t="str">
        <f t="shared" si="40"/>
        <v/>
      </c>
      <c r="G179" s="33" t="str">
        <f t="shared" si="41"/>
        <v/>
      </c>
      <c r="H179" s="35" t="str">
        <f t="shared" si="42"/>
        <v/>
      </c>
      <c r="I179" s="35" t="str">
        <f t="shared" si="43"/>
        <v/>
      </c>
      <c r="J179" s="35" t="str">
        <f t="shared" si="44"/>
        <v/>
      </c>
      <c r="K179" s="35" t="str">
        <f t="shared" si="45"/>
        <v/>
      </c>
      <c r="L179" s="35" t="str">
        <f t="shared" si="46"/>
        <v/>
      </c>
      <c r="M179" s="35" t="str">
        <f t="shared" si="47"/>
        <v/>
      </c>
      <c r="N179" s="36" t="str">
        <f t="shared" si="48"/>
        <v/>
      </c>
      <c r="O179" s="35" t="str">
        <f t="shared" si="49"/>
        <v/>
      </c>
      <c r="P179" s="35" t="str">
        <f t="shared" si="50"/>
        <v/>
      </c>
      <c r="Q179" s="35" t="str">
        <f t="shared" si="51"/>
        <v/>
      </c>
      <c r="R179" s="35" t="str">
        <f t="shared" si="52"/>
        <v/>
      </c>
      <c r="S179" s="33" t="str">
        <f t="shared" si="53"/>
        <v/>
      </c>
    </row>
    <row r="180" spans="1:19" x14ac:dyDescent="0.3">
      <c r="A180" s="33">
        <f>176</f>
        <v>176</v>
      </c>
      <c r="B180" s="34" t="str">
        <f t="shared" si="36"/>
        <v/>
      </c>
      <c r="C180" s="33" t="str">
        <f t="shared" si="37"/>
        <v/>
      </c>
      <c r="D180" s="33" t="str">
        <f t="shared" si="38"/>
        <v/>
      </c>
      <c r="E180" s="35" t="str">
        <f t="shared" si="39"/>
        <v/>
      </c>
      <c r="F180" s="35" t="str">
        <f t="shared" si="40"/>
        <v/>
      </c>
      <c r="G180" s="33" t="str">
        <f t="shared" si="41"/>
        <v/>
      </c>
      <c r="H180" s="35" t="str">
        <f t="shared" si="42"/>
        <v/>
      </c>
      <c r="I180" s="35" t="str">
        <f t="shared" si="43"/>
        <v/>
      </c>
      <c r="J180" s="35" t="str">
        <f t="shared" si="44"/>
        <v/>
      </c>
      <c r="K180" s="35" t="str">
        <f t="shared" si="45"/>
        <v/>
      </c>
      <c r="L180" s="35" t="str">
        <f t="shared" si="46"/>
        <v/>
      </c>
      <c r="M180" s="35" t="str">
        <f t="shared" si="47"/>
        <v/>
      </c>
      <c r="N180" s="36" t="str">
        <f t="shared" si="48"/>
        <v/>
      </c>
      <c r="O180" s="35" t="str">
        <f t="shared" si="49"/>
        <v/>
      </c>
      <c r="P180" s="35" t="str">
        <f t="shared" si="50"/>
        <v/>
      </c>
      <c r="Q180" s="35" t="str">
        <f t="shared" si="51"/>
        <v/>
      </c>
      <c r="R180" s="35" t="str">
        <f t="shared" si="52"/>
        <v/>
      </c>
      <c r="S180" s="33" t="str">
        <f t="shared" si="53"/>
        <v/>
      </c>
    </row>
    <row r="181" spans="1:19" x14ac:dyDescent="0.3">
      <c r="A181" s="33">
        <f>177</f>
        <v>177</v>
      </c>
      <c r="B181" s="34" t="str">
        <f t="shared" si="36"/>
        <v/>
      </c>
      <c r="C181" s="33" t="str">
        <f t="shared" si="37"/>
        <v/>
      </c>
      <c r="D181" s="33" t="str">
        <f t="shared" si="38"/>
        <v/>
      </c>
      <c r="E181" s="35" t="str">
        <f t="shared" si="39"/>
        <v/>
      </c>
      <c r="F181" s="35" t="str">
        <f t="shared" si="40"/>
        <v/>
      </c>
      <c r="G181" s="33" t="str">
        <f t="shared" si="41"/>
        <v/>
      </c>
      <c r="H181" s="35" t="str">
        <f t="shared" si="42"/>
        <v/>
      </c>
      <c r="I181" s="35" t="str">
        <f t="shared" si="43"/>
        <v/>
      </c>
      <c r="J181" s="35" t="str">
        <f t="shared" si="44"/>
        <v/>
      </c>
      <c r="K181" s="35" t="str">
        <f t="shared" si="45"/>
        <v/>
      </c>
      <c r="L181" s="35" t="str">
        <f t="shared" si="46"/>
        <v/>
      </c>
      <c r="M181" s="35" t="str">
        <f t="shared" si="47"/>
        <v/>
      </c>
      <c r="N181" s="36" t="str">
        <f t="shared" si="48"/>
        <v/>
      </c>
      <c r="O181" s="35" t="str">
        <f t="shared" si="49"/>
        <v/>
      </c>
      <c r="P181" s="35" t="str">
        <f t="shared" si="50"/>
        <v/>
      </c>
      <c r="Q181" s="35" t="str">
        <f t="shared" si="51"/>
        <v/>
      </c>
      <c r="R181" s="35" t="str">
        <f t="shared" si="52"/>
        <v/>
      </c>
      <c r="S181" s="33" t="str">
        <f t="shared" si="53"/>
        <v/>
      </c>
    </row>
    <row r="182" spans="1:19" x14ac:dyDescent="0.3">
      <c r="A182" s="33">
        <f>178</f>
        <v>178</v>
      </c>
      <c r="B182" s="34" t="str">
        <f t="shared" si="36"/>
        <v/>
      </c>
      <c r="C182" s="33" t="str">
        <f t="shared" si="37"/>
        <v/>
      </c>
      <c r="D182" s="33" t="str">
        <f t="shared" si="38"/>
        <v/>
      </c>
      <c r="E182" s="35" t="str">
        <f t="shared" si="39"/>
        <v/>
      </c>
      <c r="F182" s="35" t="str">
        <f t="shared" si="40"/>
        <v/>
      </c>
      <c r="G182" s="33" t="str">
        <f t="shared" si="41"/>
        <v/>
      </c>
      <c r="H182" s="35" t="str">
        <f t="shared" si="42"/>
        <v/>
      </c>
      <c r="I182" s="35" t="str">
        <f t="shared" si="43"/>
        <v/>
      </c>
      <c r="J182" s="35" t="str">
        <f t="shared" si="44"/>
        <v/>
      </c>
      <c r="K182" s="35" t="str">
        <f t="shared" si="45"/>
        <v/>
      </c>
      <c r="L182" s="35" t="str">
        <f t="shared" si="46"/>
        <v/>
      </c>
      <c r="M182" s="35" t="str">
        <f t="shared" si="47"/>
        <v/>
      </c>
      <c r="N182" s="36" t="str">
        <f t="shared" si="48"/>
        <v/>
      </c>
      <c r="O182" s="35" t="str">
        <f t="shared" si="49"/>
        <v/>
      </c>
      <c r="P182" s="35" t="str">
        <f t="shared" si="50"/>
        <v/>
      </c>
      <c r="Q182" s="35" t="str">
        <f t="shared" si="51"/>
        <v/>
      </c>
      <c r="R182" s="35" t="str">
        <f t="shared" si="52"/>
        <v/>
      </c>
      <c r="S182" s="33" t="str">
        <f t="shared" si="53"/>
        <v/>
      </c>
    </row>
    <row r="183" spans="1:19" x14ac:dyDescent="0.3">
      <c r="A183" s="33">
        <f>179</f>
        <v>179</v>
      </c>
      <c r="B183" s="34" t="str">
        <f t="shared" si="36"/>
        <v/>
      </c>
      <c r="C183" s="33" t="str">
        <f t="shared" si="37"/>
        <v/>
      </c>
      <c r="D183" s="33" t="str">
        <f t="shared" si="38"/>
        <v/>
      </c>
      <c r="E183" s="35" t="str">
        <f t="shared" si="39"/>
        <v/>
      </c>
      <c r="F183" s="35" t="str">
        <f t="shared" si="40"/>
        <v/>
      </c>
      <c r="G183" s="33" t="str">
        <f t="shared" si="41"/>
        <v/>
      </c>
      <c r="H183" s="35" t="str">
        <f t="shared" si="42"/>
        <v/>
      </c>
      <c r="I183" s="35" t="str">
        <f t="shared" si="43"/>
        <v/>
      </c>
      <c r="J183" s="35" t="str">
        <f t="shared" si="44"/>
        <v/>
      </c>
      <c r="K183" s="35" t="str">
        <f t="shared" si="45"/>
        <v/>
      </c>
      <c r="L183" s="35" t="str">
        <f t="shared" si="46"/>
        <v/>
      </c>
      <c r="M183" s="35" t="str">
        <f t="shared" si="47"/>
        <v/>
      </c>
      <c r="N183" s="36" t="str">
        <f t="shared" si="48"/>
        <v/>
      </c>
      <c r="O183" s="35" t="str">
        <f t="shared" si="49"/>
        <v/>
      </c>
      <c r="P183" s="35" t="str">
        <f t="shared" si="50"/>
        <v/>
      </c>
      <c r="Q183" s="35" t="str">
        <f t="shared" si="51"/>
        <v/>
      </c>
      <c r="R183" s="35" t="str">
        <f t="shared" si="52"/>
        <v/>
      </c>
      <c r="S183" s="33" t="str">
        <f t="shared" si="53"/>
        <v/>
      </c>
    </row>
    <row r="184" spans="1:19" x14ac:dyDescent="0.3">
      <c r="A184" s="37">
        <f>180</f>
        <v>180</v>
      </c>
      <c r="B184" s="38" t="str">
        <f t="shared" si="36"/>
        <v/>
      </c>
      <c r="C184" s="37" t="str">
        <f t="shared" si="37"/>
        <v/>
      </c>
      <c r="D184" s="37" t="str">
        <f t="shared" si="38"/>
        <v/>
      </c>
      <c r="E184" s="39" t="str">
        <f t="shared" si="39"/>
        <v/>
      </c>
      <c r="F184" s="39" t="str">
        <f t="shared" si="40"/>
        <v/>
      </c>
      <c r="G184" s="37" t="str">
        <f t="shared" si="41"/>
        <v/>
      </c>
      <c r="H184" s="39" t="str">
        <f t="shared" si="42"/>
        <v/>
      </c>
      <c r="I184" s="39" t="str">
        <f t="shared" si="43"/>
        <v/>
      </c>
      <c r="J184" s="39" t="str">
        <f t="shared" si="44"/>
        <v/>
      </c>
      <c r="K184" s="39" t="str">
        <f t="shared" si="45"/>
        <v/>
      </c>
      <c r="L184" s="39" t="str">
        <f t="shared" si="46"/>
        <v/>
      </c>
      <c r="M184" s="39" t="str">
        <f t="shared" si="47"/>
        <v/>
      </c>
      <c r="N184" s="40" t="str">
        <f t="shared" si="48"/>
        <v/>
      </c>
      <c r="O184" s="39" t="str">
        <f t="shared" si="49"/>
        <v/>
      </c>
      <c r="P184" s="39" t="str">
        <f t="shared" si="50"/>
        <v/>
      </c>
      <c r="Q184" s="39" t="str">
        <f t="shared" si="51"/>
        <v/>
      </c>
      <c r="R184" s="39" t="str">
        <f t="shared" si="52"/>
        <v/>
      </c>
      <c r="S184" s="37" t="str">
        <f t="shared" si="53"/>
        <v/>
      </c>
    </row>
    <row r="185" spans="1:19" x14ac:dyDescent="0.3">
      <c r="A185" s="33">
        <f>181</f>
        <v>181</v>
      </c>
      <c r="B185" s="34" t="str">
        <f t="shared" si="36"/>
        <v/>
      </c>
      <c r="C185" s="33" t="str">
        <f t="shared" si="37"/>
        <v/>
      </c>
      <c r="D185" s="33" t="str">
        <f t="shared" si="38"/>
        <v/>
      </c>
      <c r="E185" s="35" t="str">
        <f t="shared" si="39"/>
        <v/>
      </c>
      <c r="F185" s="35" t="str">
        <f t="shared" si="40"/>
        <v/>
      </c>
      <c r="G185" s="33" t="str">
        <f t="shared" si="41"/>
        <v/>
      </c>
      <c r="H185" s="35" t="str">
        <f t="shared" si="42"/>
        <v/>
      </c>
      <c r="I185" s="35" t="str">
        <f t="shared" si="43"/>
        <v/>
      </c>
      <c r="J185" s="35" t="str">
        <f t="shared" si="44"/>
        <v/>
      </c>
      <c r="K185" s="35" t="str">
        <f t="shared" si="45"/>
        <v/>
      </c>
      <c r="L185" s="35" t="str">
        <f t="shared" si="46"/>
        <v/>
      </c>
      <c r="M185" s="35" t="str">
        <f t="shared" si="47"/>
        <v/>
      </c>
      <c r="N185" s="36" t="str">
        <f t="shared" si="48"/>
        <v/>
      </c>
      <c r="O185" s="35" t="str">
        <f t="shared" si="49"/>
        <v/>
      </c>
      <c r="P185" s="35" t="str">
        <f t="shared" si="50"/>
        <v/>
      </c>
      <c r="Q185" s="35" t="str">
        <f t="shared" si="51"/>
        <v/>
      </c>
      <c r="R185" s="35" t="str">
        <f t="shared" si="52"/>
        <v/>
      </c>
      <c r="S185" s="33" t="str">
        <f t="shared" si="53"/>
        <v/>
      </c>
    </row>
    <row r="186" spans="1:19" x14ac:dyDescent="0.3">
      <c r="A186" s="33">
        <f>182</f>
        <v>182</v>
      </c>
      <c r="B186" s="34" t="str">
        <f t="shared" si="36"/>
        <v/>
      </c>
      <c r="C186" s="33" t="str">
        <f t="shared" si="37"/>
        <v/>
      </c>
      <c r="D186" s="33" t="str">
        <f t="shared" si="38"/>
        <v/>
      </c>
      <c r="E186" s="35" t="str">
        <f t="shared" si="39"/>
        <v/>
      </c>
      <c r="F186" s="35" t="str">
        <f t="shared" si="40"/>
        <v/>
      </c>
      <c r="G186" s="33" t="str">
        <f t="shared" si="41"/>
        <v/>
      </c>
      <c r="H186" s="35" t="str">
        <f t="shared" si="42"/>
        <v/>
      </c>
      <c r="I186" s="35" t="str">
        <f t="shared" si="43"/>
        <v/>
      </c>
      <c r="J186" s="35" t="str">
        <f t="shared" si="44"/>
        <v/>
      </c>
      <c r="K186" s="35" t="str">
        <f t="shared" si="45"/>
        <v/>
      </c>
      <c r="L186" s="35" t="str">
        <f t="shared" si="46"/>
        <v/>
      </c>
      <c r="M186" s="35" t="str">
        <f t="shared" si="47"/>
        <v/>
      </c>
      <c r="N186" s="36" t="str">
        <f t="shared" si="48"/>
        <v/>
      </c>
      <c r="O186" s="35" t="str">
        <f t="shared" si="49"/>
        <v/>
      </c>
      <c r="P186" s="35" t="str">
        <f t="shared" si="50"/>
        <v/>
      </c>
      <c r="Q186" s="35" t="str">
        <f t="shared" si="51"/>
        <v/>
      </c>
      <c r="R186" s="35" t="str">
        <f t="shared" si="52"/>
        <v/>
      </c>
      <c r="S186" s="33" t="str">
        <f t="shared" si="53"/>
        <v/>
      </c>
    </row>
    <row r="187" spans="1:19" x14ac:dyDescent="0.3">
      <c r="A187" s="33">
        <f>183</f>
        <v>183</v>
      </c>
      <c r="B187" s="34" t="str">
        <f t="shared" si="36"/>
        <v/>
      </c>
      <c r="C187" s="33" t="str">
        <f t="shared" si="37"/>
        <v/>
      </c>
      <c r="D187" s="33" t="str">
        <f t="shared" si="38"/>
        <v/>
      </c>
      <c r="E187" s="35" t="str">
        <f t="shared" si="39"/>
        <v/>
      </c>
      <c r="F187" s="35" t="str">
        <f t="shared" si="40"/>
        <v/>
      </c>
      <c r="G187" s="33" t="str">
        <f t="shared" si="41"/>
        <v/>
      </c>
      <c r="H187" s="35" t="str">
        <f t="shared" si="42"/>
        <v/>
      </c>
      <c r="I187" s="35" t="str">
        <f t="shared" si="43"/>
        <v/>
      </c>
      <c r="J187" s="35" t="str">
        <f t="shared" si="44"/>
        <v/>
      </c>
      <c r="K187" s="35" t="str">
        <f t="shared" si="45"/>
        <v/>
      </c>
      <c r="L187" s="35" t="str">
        <f t="shared" si="46"/>
        <v/>
      </c>
      <c r="M187" s="35" t="str">
        <f t="shared" si="47"/>
        <v/>
      </c>
      <c r="N187" s="36" t="str">
        <f t="shared" si="48"/>
        <v/>
      </c>
      <c r="O187" s="35" t="str">
        <f t="shared" si="49"/>
        <v/>
      </c>
      <c r="P187" s="35" t="str">
        <f t="shared" si="50"/>
        <v/>
      </c>
      <c r="Q187" s="35" t="str">
        <f t="shared" si="51"/>
        <v/>
      </c>
      <c r="R187" s="35" t="str">
        <f t="shared" si="52"/>
        <v/>
      </c>
      <c r="S187" s="33" t="str">
        <f t="shared" si="53"/>
        <v/>
      </c>
    </row>
    <row r="188" spans="1:19" x14ac:dyDescent="0.3">
      <c r="A188" s="33">
        <f>184</f>
        <v>184</v>
      </c>
      <c r="B188" s="34" t="str">
        <f t="shared" si="36"/>
        <v/>
      </c>
      <c r="C188" s="33" t="str">
        <f t="shared" si="37"/>
        <v/>
      </c>
      <c r="D188" s="33" t="str">
        <f t="shared" si="38"/>
        <v/>
      </c>
      <c r="E188" s="35" t="str">
        <f t="shared" si="39"/>
        <v/>
      </c>
      <c r="F188" s="35" t="str">
        <f t="shared" si="40"/>
        <v/>
      </c>
      <c r="G188" s="33" t="str">
        <f t="shared" si="41"/>
        <v/>
      </c>
      <c r="H188" s="35" t="str">
        <f t="shared" si="42"/>
        <v/>
      </c>
      <c r="I188" s="35" t="str">
        <f t="shared" si="43"/>
        <v/>
      </c>
      <c r="J188" s="35" t="str">
        <f t="shared" si="44"/>
        <v/>
      </c>
      <c r="K188" s="35" t="str">
        <f t="shared" si="45"/>
        <v/>
      </c>
      <c r="L188" s="35" t="str">
        <f t="shared" si="46"/>
        <v/>
      </c>
      <c r="M188" s="35" t="str">
        <f t="shared" si="47"/>
        <v/>
      </c>
      <c r="N188" s="36" t="str">
        <f t="shared" si="48"/>
        <v/>
      </c>
      <c r="O188" s="35" t="str">
        <f t="shared" si="49"/>
        <v/>
      </c>
      <c r="P188" s="35" t="str">
        <f t="shared" si="50"/>
        <v/>
      </c>
      <c r="Q188" s="35" t="str">
        <f t="shared" si="51"/>
        <v/>
      </c>
      <c r="R188" s="35" t="str">
        <f t="shared" si="52"/>
        <v/>
      </c>
      <c r="S188" s="33" t="str">
        <f t="shared" si="53"/>
        <v/>
      </c>
    </row>
    <row r="189" spans="1:19" x14ac:dyDescent="0.3">
      <c r="A189" s="33">
        <f>185</f>
        <v>185</v>
      </c>
      <c r="B189" s="34" t="str">
        <f t="shared" si="36"/>
        <v/>
      </c>
      <c r="C189" s="33" t="str">
        <f t="shared" si="37"/>
        <v/>
      </c>
      <c r="D189" s="33" t="str">
        <f t="shared" si="38"/>
        <v/>
      </c>
      <c r="E189" s="35" t="str">
        <f t="shared" si="39"/>
        <v/>
      </c>
      <c r="F189" s="35" t="str">
        <f t="shared" si="40"/>
        <v/>
      </c>
      <c r="G189" s="33" t="str">
        <f t="shared" si="41"/>
        <v/>
      </c>
      <c r="H189" s="35" t="str">
        <f t="shared" si="42"/>
        <v/>
      </c>
      <c r="I189" s="35" t="str">
        <f t="shared" si="43"/>
        <v/>
      </c>
      <c r="J189" s="35" t="str">
        <f t="shared" si="44"/>
        <v/>
      </c>
      <c r="K189" s="35" t="str">
        <f t="shared" si="45"/>
        <v/>
      </c>
      <c r="L189" s="35" t="str">
        <f t="shared" si="46"/>
        <v/>
      </c>
      <c r="M189" s="35" t="str">
        <f t="shared" si="47"/>
        <v/>
      </c>
      <c r="N189" s="36" t="str">
        <f t="shared" si="48"/>
        <v/>
      </c>
      <c r="O189" s="35" t="str">
        <f t="shared" si="49"/>
        <v/>
      </c>
      <c r="P189" s="35" t="str">
        <f t="shared" si="50"/>
        <v/>
      </c>
      <c r="Q189" s="35" t="str">
        <f t="shared" si="51"/>
        <v/>
      </c>
      <c r="R189" s="35" t="str">
        <f t="shared" si="52"/>
        <v/>
      </c>
      <c r="S189" s="33" t="str">
        <f t="shared" si="53"/>
        <v/>
      </c>
    </row>
    <row r="190" spans="1:19" x14ac:dyDescent="0.3">
      <c r="A190" s="33">
        <f>186</f>
        <v>186</v>
      </c>
      <c r="B190" s="34" t="str">
        <f t="shared" si="36"/>
        <v/>
      </c>
      <c r="C190" s="33" t="str">
        <f t="shared" si="37"/>
        <v/>
      </c>
      <c r="D190" s="33" t="str">
        <f t="shared" si="38"/>
        <v/>
      </c>
      <c r="E190" s="35" t="str">
        <f t="shared" si="39"/>
        <v/>
      </c>
      <c r="F190" s="35" t="str">
        <f t="shared" si="40"/>
        <v/>
      </c>
      <c r="G190" s="33" t="str">
        <f t="shared" si="41"/>
        <v/>
      </c>
      <c r="H190" s="35" t="str">
        <f t="shared" si="42"/>
        <v/>
      </c>
      <c r="I190" s="35" t="str">
        <f t="shared" si="43"/>
        <v/>
      </c>
      <c r="J190" s="35" t="str">
        <f t="shared" si="44"/>
        <v/>
      </c>
      <c r="K190" s="35" t="str">
        <f t="shared" si="45"/>
        <v/>
      </c>
      <c r="L190" s="35" t="str">
        <f t="shared" si="46"/>
        <v/>
      </c>
      <c r="M190" s="35" t="str">
        <f t="shared" si="47"/>
        <v/>
      </c>
      <c r="N190" s="36" t="str">
        <f t="shared" si="48"/>
        <v/>
      </c>
      <c r="O190" s="35" t="str">
        <f t="shared" si="49"/>
        <v/>
      </c>
      <c r="P190" s="35" t="str">
        <f t="shared" si="50"/>
        <v/>
      </c>
      <c r="Q190" s="35" t="str">
        <f t="shared" si="51"/>
        <v/>
      </c>
      <c r="R190" s="35" t="str">
        <f t="shared" si="52"/>
        <v/>
      </c>
      <c r="S190" s="33" t="str">
        <f t="shared" si="53"/>
        <v/>
      </c>
    </row>
    <row r="191" spans="1:19" x14ac:dyDescent="0.3">
      <c r="A191" s="33">
        <f>187</f>
        <v>187</v>
      </c>
      <c r="B191" s="34" t="str">
        <f t="shared" si="36"/>
        <v/>
      </c>
      <c r="C191" s="33" t="str">
        <f t="shared" si="37"/>
        <v/>
      </c>
      <c r="D191" s="33" t="str">
        <f t="shared" si="38"/>
        <v/>
      </c>
      <c r="E191" s="35" t="str">
        <f t="shared" si="39"/>
        <v/>
      </c>
      <c r="F191" s="35" t="str">
        <f t="shared" si="40"/>
        <v/>
      </c>
      <c r="G191" s="33" t="str">
        <f t="shared" si="41"/>
        <v/>
      </c>
      <c r="H191" s="35" t="str">
        <f t="shared" si="42"/>
        <v/>
      </c>
      <c r="I191" s="35" t="str">
        <f t="shared" si="43"/>
        <v/>
      </c>
      <c r="J191" s="35" t="str">
        <f t="shared" si="44"/>
        <v/>
      </c>
      <c r="K191" s="35" t="str">
        <f t="shared" si="45"/>
        <v/>
      </c>
      <c r="L191" s="35" t="str">
        <f t="shared" si="46"/>
        <v/>
      </c>
      <c r="M191" s="35" t="str">
        <f t="shared" si="47"/>
        <v/>
      </c>
      <c r="N191" s="36" t="str">
        <f t="shared" si="48"/>
        <v/>
      </c>
      <c r="O191" s="35" t="str">
        <f t="shared" si="49"/>
        <v/>
      </c>
      <c r="P191" s="35" t="str">
        <f t="shared" si="50"/>
        <v/>
      </c>
      <c r="Q191" s="35" t="str">
        <f t="shared" si="51"/>
        <v/>
      </c>
      <c r="R191" s="35" t="str">
        <f t="shared" si="52"/>
        <v/>
      </c>
      <c r="S191" s="33" t="str">
        <f t="shared" si="53"/>
        <v/>
      </c>
    </row>
    <row r="192" spans="1:19" x14ac:dyDescent="0.3">
      <c r="A192" s="33">
        <f>188</f>
        <v>188</v>
      </c>
      <c r="B192" s="34" t="str">
        <f t="shared" si="36"/>
        <v/>
      </c>
      <c r="C192" s="33" t="str">
        <f t="shared" si="37"/>
        <v/>
      </c>
      <c r="D192" s="33" t="str">
        <f t="shared" si="38"/>
        <v/>
      </c>
      <c r="E192" s="35" t="str">
        <f t="shared" si="39"/>
        <v/>
      </c>
      <c r="F192" s="35" t="str">
        <f t="shared" si="40"/>
        <v/>
      </c>
      <c r="G192" s="33" t="str">
        <f t="shared" si="41"/>
        <v/>
      </c>
      <c r="H192" s="35" t="str">
        <f t="shared" si="42"/>
        <v/>
      </c>
      <c r="I192" s="35" t="str">
        <f t="shared" si="43"/>
        <v/>
      </c>
      <c r="J192" s="35" t="str">
        <f t="shared" si="44"/>
        <v/>
      </c>
      <c r="K192" s="35" t="str">
        <f t="shared" si="45"/>
        <v/>
      </c>
      <c r="L192" s="35" t="str">
        <f t="shared" si="46"/>
        <v/>
      </c>
      <c r="M192" s="35" t="str">
        <f t="shared" si="47"/>
        <v/>
      </c>
      <c r="N192" s="36" t="str">
        <f t="shared" si="48"/>
        <v/>
      </c>
      <c r="O192" s="35" t="str">
        <f t="shared" si="49"/>
        <v/>
      </c>
      <c r="P192" s="35" t="str">
        <f t="shared" si="50"/>
        <v/>
      </c>
      <c r="Q192" s="35" t="str">
        <f t="shared" si="51"/>
        <v/>
      </c>
      <c r="R192" s="35" t="str">
        <f t="shared" si="52"/>
        <v/>
      </c>
      <c r="S192" s="33" t="str">
        <f t="shared" si="53"/>
        <v/>
      </c>
    </row>
    <row r="193" spans="1:19" x14ac:dyDescent="0.3">
      <c r="A193" s="33">
        <f>189</f>
        <v>189</v>
      </c>
      <c r="B193" s="34" t="str">
        <f t="shared" si="36"/>
        <v/>
      </c>
      <c r="C193" s="33" t="str">
        <f t="shared" si="37"/>
        <v/>
      </c>
      <c r="D193" s="33" t="str">
        <f t="shared" si="38"/>
        <v/>
      </c>
      <c r="E193" s="35" t="str">
        <f t="shared" si="39"/>
        <v/>
      </c>
      <c r="F193" s="35" t="str">
        <f t="shared" si="40"/>
        <v/>
      </c>
      <c r="G193" s="33" t="str">
        <f t="shared" si="41"/>
        <v/>
      </c>
      <c r="H193" s="35" t="str">
        <f t="shared" si="42"/>
        <v/>
      </c>
      <c r="I193" s="35" t="str">
        <f t="shared" si="43"/>
        <v/>
      </c>
      <c r="J193" s="35" t="str">
        <f t="shared" si="44"/>
        <v/>
      </c>
      <c r="K193" s="35" t="str">
        <f t="shared" si="45"/>
        <v/>
      </c>
      <c r="L193" s="35" t="str">
        <f t="shared" si="46"/>
        <v/>
      </c>
      <c r="M193" s="35" t="str">
        <f t="shared" si="47"/>
        <v/>
      </c>
      <c r="N193" s="36" t="str">
        <f t="shared" si="48"/>
        <v/>
      </c>
      <c r="O193" s="35" t="str">
        <f t="shared" si="49"/>
        <v/>
      </c>
      <c r="P193" s="35" t="str">
        <f t="shared" si="50"/>
        <v/>
      </c>
      <c r="Q193" s="35" t="str">
        <f t="shared" si="51"/>
        <v/>
      </c>
      <c r="R193" s="35" t="str">
        <f t="shared" si="52"/>
        <v/>
      </c>
      <c r="S193" s="33" t="str">
        <f t="shared" si="53"/>
        <v/>
      </c>
    </row>
    <row r="194" spans="1:19" x14ac:dyDescent="0.3">
      <c r="A194" s="33">
        <f>190</f>
        <v>190</v>
      </c>
      <c r="B194" s="34" t="str">
        <f t="shared" si="36"/>
        <v/>
      </c>
      <c r="C194" s="33" t="str">
        <f t="shared" si="37"/>
        <v/>
      </c>
      <c r="D194" s="33" t="str">
        <f t="shared" si="38"/>
        <v/>
      </c>
      <c r="E194" s="35" t="str">
        <f t="shared" si="39"/>
        <v/>
      </c>
      <c r="F194" s="35" t="str">
        <f t="shared" si="40"/>
        <v/>
      </c>
      <c r="G194" s="33" t="str">
        <f t="shared" si="41"/>
        <v/>
      </c>
      <c r="H194" s="35" t="str">
        <f t="shared" si="42"/>
        <v/>
      </c>
      <c r="I194" s="35" t="str">
        <f t="shared" si="43"/>
        <v/>
      </c>
      <c r="J194" s="35" t="str">
        <f t="shared" si="44"/>
        <v/>
      </c>
      <c r="K194" s="35" t="str">
        <f t="shared" si="45"/>
        <v/>
      </c>
      <c r="L194" s="35" t="str">
        <f t="shared" si="46"/>
        <v/>
      </c>
      <c r="M194" s="35" t="str">
        <f t="shared" si="47"/>
        <v/>
      </c>
      <c r="N194" s="36" t="str">
        <f t="shared" si="48"/>
        <v/>
      </c>
      <c r="O194" s="35" t="str">
        <f t="shared" si="49"/>
        <v/>
      </c>
      <c r="P194" s="35" t="str">
        <f t="shared" si="50"/>
        <v/>
      </c>
      <c r="Q194" s="35" t="str">
        <f t="shared" si="51"/>
        <v/>
      </c>
      <c r="R194" s="35" t="str">
        <f t="shared" si="52"/>
        <v/>
      </c>
      <c r="S194" s="33" t="str">
        <f t="shared" si="53"/>
        <v/>
      </c>
    </row>
    <row r="195" spans="1:19" x14ac:dyDescent="0.3">
      <c r="A195" s="33">
        <f>191</f>
        <v>191</v>
      </c>
      <c r="B195" s="34" t="str">
        <f t="shared" si="36"/>
        <v/>
      </c>
      <c r="C195" s="33" t="str">
        <f t="shared" si="37"/>
        <v/>
      </c>
      <c r="D195" s="33" t="str">
        <f t="shared" si="38"/>
        <v/>
      </c>
      <c r="E195" s="35" t="str">
        <f t="shared" si="39"/>
        <v/>
      </c>
      <c r="F195" s="35" t="str">
        <f t="shared" si="40"/>
        <v/>
      </c>
      <c r="G195" s="33" t="str">
        <f t="shared" si="41"/>
        <v/>
      </c>
      <c r="H195" s="35" t="str">
        <f t="shared" si="42"/>
        <v/>
      </c>
      <c r="I195" s="35" t="str">
        <f t="shared" si="43"/>
        <v/>
      </c>
      <c r="J195" s="35" t="str">
        <f t="shared" si="44"/>
        <v/>
      </c>
      <c r="K195" s="35" t="str">
        <f t="shared" si="45"/>
        <v/>
      </c>
      <c r="L195" s="35" t="str">
        <f t="shared" si="46"/>
        <v/>
      </c>
      <c r="M195" s="35" t="str">
        <f t="shared" si="47"/>
        <v/>
      </c>
      <c r="N195" s="36" t="str">
        <f t="shared" si="48"/>
        <v/>
      </c>
      <c r="O195" s="35" t="str">
        <f t="shared" si="49"/>
        <v/>
      </c>
      <c r="P195" s="35" t="str">
        <f t="shared" si="50"/>
        <v/>
      </c>
      <c r="Q195" s="35" t="str">
        <f t="shared" si="51"/>
        <v/>
      </c>
      <c r="R195" s="35" t="str">
        <f t="shared" si="52"/>
        <v/>
      </c>
      <c r="S195" s="33" t="str">
        <f t="shared" si="53"/>
        <v/>
      </c>
    </row>
    <row r="196" spans="1:19" x14ac:dyDescent="0.3">
      <c r="A196" s="37">
        <f>192</f>
        <v>192</v>
      </c>
      <c r="B196" s="38" t="str">
        <f t="shared" si="36"/>
        <v/>
      </c>
      <c r="C196" s="37" t="str">
        <f t="shared" si="37"/>
        <v/>
      </c>
      <c r="D196" s="37" t="str">
        <f t="shared" si="38"/>
        <v/>
      </c>
      <c r="E196" s="39" t="str">
        <f t="shared" si="39"/>
        <v/>
      </c>
      <c r="F196" s="39" t="str">
        <f t="shared" si="40"/>
        <v/>
      </c>
      <c r="G196" s="37" t="str">
        <f t="shared" si="41"/>
        <v/>
      </c>
      <c r="H196" s="39" t="str">
        <f t="shared" si="42"/>
        <v/>
      </c>
      <c r="I196" s="39" t="str">
        <f t="shared" si="43"/>
        <v/>
      </c>
      <c r="J196" s="39" t="str">
        <f t="shared" si="44"/>
        <v/>
      </c>
      <c r="K196" s="39" t="str">
        <f t="shared" si="45"/>
        <v/>
      </c>
      <c r="L196" s="39" t="str">
        <f t="shared" si="46"/>
        <v/>
      </c>
      <c r="M196" s="39" t="str">
        <f t="shared" si="47"/>
        <v/>
      </c>
      <c r="N196" s="40" t="str">
        <f t="shared" si="48"/>
        <v/>
      </c>
      <c r="O196" s="39" t="str">
        <f t="shared" si="49"/>
        <v/>
      </c>
      <c r="P196" s="39" t="str">
        <f t="shared" si="50"/>
        <v/>
      </c>
      <c r="Q196" s="39" t="str">
        <f t="shared" si="51"/>
        <v/>
      </c>
      <c r="R196" s="39" t="str">
        <f t="shared" si="52"/>
        <v/>
      </c>
      <c r="S196" s="37" t="str">
        <f t="shared" si="53"/>
        <v/>
      </c>
    </row>
    <row r="197" spans="1:19" x14ac:dyDescent="0.3">
      <c r="A197" s="33">
        <f>193</f>
        <v>193</v>
      </c>
      <c r="B197" s="34" t="str">
        <f t="shared" ref="B197:B260" si="54">IF($A197&gt;NYears*12,"",EDATE(StartMonth,$A197-1))</f>
        <v/>
      </c>
      <c r="C197" s="33" t="str">
        <f t="shared" ref="C197:C260" si="55">IF($A197&gt;NYears*12,"",INT(($A197-1)/12)+1)</f>
        <v/>
      </c>
      <c r="D197" s="33" t="str">
        <f t="shared" ref="D197:D260" si="56">IF($A197&gt;NYears*12,"",MOD($A197-1,12)+1)</f>
        <v/>
      </c>
      <c r="E197" s="35" t="str">
        <f t="shared" ref="E197:E260" si="57">IF($A197&gt;NYears*12,"",LotValue0*(1+LotGrowth)^($C197-1))</f>
        <v/>
      </c>
      <c r="F197" s="35" t="str">
        <f t="shared" ref="F197:F260" si="58">IF($A197&gt;NYears*12,"",IF($A197=1,InitInvest,$R196))</f>
        <v/>
      </c>
      <c r="G197" s="33" t="str">
        <f t="shared" ref="G197:G260" si="59">IF($A197&gt;NYears*12,"",INT($F197/$E197))</f>
        <v/>
      </c>
      <c r="H197" s="35" t="str">
        <f t="shared" ref="H197:H260" si="60">IF($A197&gt;NYears*12,"",$G197*$E197)</f>
        <v/>
      </c>
      <c r="I197" s="35" t="str">
        <f t="shared" ref="I197:I260" si="61">IF($A197&gt;NYears*12,"",$F197-$H197)</f>
        <v/>
      </c>
      <c r="J197" s="35" t="str">
        <f t="shared" ref="J197:J260" si="62">IF($A197&gt;NYears*12,"",$H197*RateB)</f>
        <v/>
      </c>
      <c r="K197" s="35" t="str">
        <f t="shared" ref="K197:K260" si="63">IF($A197&gt;NYears*12,"",IF($D197=1,$J197,$K196+$J197))</f>
        <v/>
      </c>
      <c r="L197" s="35" t="str">
        <f t="shared" ref="L197:L260" si="64">IF($A197&gt;NYears*12,"",IF(MOD($D197,3)=0,SUM($J195:$J197),0))</f>
        <v/>
      </c>
      <c r="M197" s="35" t="str">
        <f t="shared" ref="M197:M260" si="65">IF($A197&gt;NYears*12,"",IF(TaxFreq="Quarterly",$K197*12/$D197,$K197))</f>
        <v/>
      </c>
      <c r="N197" s="36" t="str">
        <f t="shared" ref="N197:N260" si="66">IF($A197&gt;NYears*12,"",LOOKUP($M197,TaxLower,TaxRate))</f>
        <v/>
      </c>
      <c r="O197" s="35" t="str">
        <f t="shared" ref="O197:O260" si="67">IF($A197&gt;NYears*12,"",IF(TaxFreq="Quarterly",IF(MOD($D197,3)=0,$L197*$N197,0),IF($D197=12,$K197*$N197,0)))</f>
        <v/>
      </c>
      <c r="P197" s="35" t="str">
        <f t="shared" ref="P197:P260" si="68">IF($A197&gt;NYears*12,"",IF($D197=1,$O197,$P196+$O197))</f>
        <v/>
      </c>
      <c r="Q197" s="35" t="str">
        <f t="shared" ref="Q197:Q260" si="69">IF($A197&gt;NYears*12,"",IF($D197=12,MIN(WdrPct*IF(WdrBase="Post-tax profit",$K197-$P197,$K197),WdrCap),0))</f>
        <v/>
      </c>
      <c r="R197" s="35" t="str">
        <f t="shared" ref="R197:R260" si="70">IF($A197&gt;NYears*12,"",$F197+$J197-$O197-$Q197)</f>
        <v/>
      </c>
      <c r="S197" s="33" t="str">
        <f t="shared" ref="S197:S260" si="71">IF($A197&gt;NYears*12,"",INT($R197/$E197))</f>
        <v/>
      </c>
    </row>
    <row r="198" spans="1:19" x14ac:dyDescent="0.3">
      <c r="A198" s="33">
        <f>194</f>
        <v>194</v>
      </c>
      <c r="B198" s="34" t="str">
        <f t="shared" si="54"/>
        <v/>
      </c>
      <c r="C198" s="33" t="str">
        <f t="shared" si="55"/>
        <v/>
      </c>
      <c r="D198" s="33" t="str">
        <f t="shared" si="56"/>
        <v/>
      </c>
      <c r="E198" s="35" t="str">
        <f t="shared" si="57"/>
        <v/>
      </c>
      <c r="F198" s="35" t="str">
        <f t="shared" si="58"/>
        <v/>
      </c>
      <c r="G198" s="33" t="str">
        <f t="shared" si="59"/>
        <v/>
      </c>
      <c r="H198" s="35" t="str">
        <f t="shared" si="60"/>
        <v/>
      </c>
      <c r="I198" s="35" t="str">
        <f t="shared" si="61"/>
        <v/>
      </c>
      <c r="J198" s="35" t="str">
        <f t="shared" si="62"/>
        <v/>
      </c>
      <c r="K198" s="35" t="str">
        <f t="shared" si="63"/>
        <v/>
      </c>
      <c r="L198" s="35" t="str">
        <f t="shared" si="64"/>
        <v/>
      </c>
      <c r="M198" s="35" t="str">
        <f t="shared" si="65"/>
        <v/>
      </c>
      <c r="N198" s="36" t="str">
        <f t="shared" si="66"/>
        <v/>
      </c>
      <c r="O198" s="35" t="str">
        <f t="shared" si="67"/>
        <v/>
      </c>
      <c r="P198" s="35" t="str">
        <f t="shared" si="68"/>
        <v/>
      </c>
      <c r="Q198" s="35" t="str">
        <f t="shared" si="69"/>
        <v/>
      </c>
      <c r="R198" s="35" t="str">
        <f t="shared" si="70"/>
        <v/>
      </c>
      <c r="S198" s="33" t="str">
        <f t="shared" si="71"/>
        <v/>
      </c>
    </row>
    <row r="199" spans="1:19" x14ac:dyDescent="0.3">
      <c r="A199" s="33">
        <f>195</f>
        <v>195</v>
      </c>
      <c r="B199" s="34" t="str">
        <f t="shared" si="54"/>
        <v/>
      </c>
      <c r="C199" s="33" t="str">
        <f t="shared" si="55"/>
        <v/>
      </c>
      <c r="D199" s="33" t="str">
        <f t="shared" si="56"/>
        <v/>
      </c>
      <c r="E199" s="35" t="str">
        <f t="shared" si="57"/>
        <v/>
      </c>
      <c r="F199" s="35" t="str">
        <f t="shared" si="58"/>
        <v/>
      </c>
      <c r="G199" s="33" t="str">
        <f t="shared" si="59"/>
        <v/>
      </c>
      <c r="H199" s="35" t="str">
        <f t="shared" si="60"/>
        <v/>
      </c>
      <c r="I199" s="35" t="str">
        <f t="shared" si="61"/>
        <v/>
      </c>
      <c r="J199" s="35" t="str">
        <f t="shared" si="62"/>
        <v/>
      </c>
      <c r="K199" s="35" t="str">
        <f t="shared" si="63"/>
        <v/>
      </c>
      <c r="L199" s="35" t="str">
        <f t="shared" si="64"/>
        <v/>
      </c>
      <c r="M199" s="35" t="str">
        <f t="shared" si="65"/>
        <v/>
      </c>
      <c r="N199" s="36" t="str">
        <f t="shared" si="66"/>
        <v/>
      </c>
      <c r="O199" s="35" t="str">
        <f t="shared" si="67"/>
        <v/>
      </c>
      <c r="P199" s="35" t="str">
        <f t="shared" si="68"/>
        <v/>
      </c>
      <c r="Q199" s="35" t="str">
        <f t="shared" si="69"/>
        <v/>
      </c>
      <c r="R199" s="35" t="str">
        <f t="shared" si="70"/>
        <v/>
      </c>
      <c r="S199" s="33" t="str">
        <f t="shared" si="71"/>
        <v/>
      </c>
    </row>
    <row r="200" spans="1:19" x14ac:dyDescent="0.3">
      <c r="A200" s="33">
        <f>196</f>
        <v>196</v>
      </c>
      <c r="B200" s="34" t="str">
        <f t="shared" si="54"/>
        <v/>
      </c>
      <c r="C200" s="33" t="str">
        <f t="shared" si="55"/>
        <v/>
      </c>
      <c r="D200" s="33" t="str">
        <f t="shared" si="56"/>
        <v/>
      </c>
      <c r="E200" s="35" t="str">
        <f t="shared" si="57"/>
        <v/>
      </c>
      <c r="F200" s="35" t="str">
        <f t="shared" si="58"/>
        <v/>
      </c>
      <c r="G200" s="33" t="str">
        <f t="shared" si="59"/>
        <v/>
      </c>
      <c r="H200" s="35" t="str">
        <f t="shared" si="60"/>
        <v/>
      </c>
      <c r="I200" s="35" t="str">
        <f t="shared" si="61"/>
        <v/>
      </c>
      <c r="J200" s="35" t="str">
        <f t="shared" si="62"/>
        <v/>
      </c>
      <c r="K200" s="35" t="str">
        <f t="shared" si="63"/>
        <v/>
      </c>
      <c r="L200" s="35" t="str">
        <f t="shared" si="64"/>
        <v/>
      </c>
      <c r="M200" s="35" t="str">
        <f t="shared" si="65"/>
        <v/>
      </c>
      <c r="N200" s="36" t="str">
        <f t="shared" si="66"/>
        <v/>
      </c>
      <c r="O200" s="35" t="str">
        <f t="shared" si="67"/>
        <v/>
      </c>
      <c r="P200" s="35" t="str">
        <f t="shared" si="68"/>
        <v/>
      </c>
      <c r="Q200" s="35" t="str">
        <f t="shared" si="69"/>
        <v/>
      </c>
      <c r="R200" s="35" t="str">
        <f t="shared" si="70"/>
        <v/>
      </c>
      <c r="S200" s="33" t="str">
        <f t="shared" si="71"/>
        <v/>
      </c>
    </row>
    <row r="201" spans="1:19" x14ac:dyDescent="0.3">
      <c r="A201" s="33">
        <f>197</f>
        <v>197</v>
      </c>
      <c r="B201" s="34" t="str">
        <f t="shared" si="54"/>
        <v/>
      </c>
      <c r="C201" s="33" t="str">
        <f t="shared" si="55"/>
        <v/>
      </c>
      <c r="D201" s="33" t="str">
        <f t="shared" si="56"/>
        <v/>
      </c>
      <c r="E201" s="35" t="str">
        <f t="shared" si="57"/>
        <v/>
      </c>
      <c r="F201" s="35" t="str">
        <f t="shared" si="58"/>
        <v/>
      </c>
      <c r="G201" s="33" t="str">
        <f t="shared" si="59"/>
        <v/>
      </c>
      <c r="H201" s="35" t="str">
        <f t="shared" si="60"/>
        <v/>
      </c>
      <c r="I201" s="35" t="str">
        <f t="shared" si="61"/>
        <v/>
      </c>
      <c r="J201" s="35" t="str">
        <f t="shared" si="62"/>
        <v/>
      </c>
      <c r="K201" s="35" t="str">
        <f t="shared" si="63"/>
        <v/>
      </c>
      <c r="L201" s="35" t="str">
        <f t="shared" si="64"/>
        <v/>
      </c>
      <c r="M201" s="35" t="str">
        <f t="shared" si="65"/>
        <v/>
      </c>
      <c r="N201" s="36" t="str">
        <f t="shared" si="66"/>
        <v/>
      </c>
      <c r="O201" s="35" t="str">
        <f t="shared" si="67"/>
        <v/>
      </c>
      <c r="P201" s="35" t="str">
        <f t="shared" si="68"/>
        <v/>
      </c>
      <c r="Q201" s="35" t="str">
        <f t="shared" si="69"/>
        <v/>
      </c>
      <c r="R201" s="35" t="str">
        <f t="shared" si="70"/>
        <v/>
      </c>
      <c r="S201" s="33" t="str">
        <f t="shared" si="71"/>
        <v/>
      </c>
    </row>
    <row r="202" spans="1:19" x14ac:dyDescent="0.3">
      <c r="A202" s="33">
        <f>198</f>
        <v>198</v>
      </c>
      <c r="B202" s="34" t="str">
        <f t="shared" si="54"/>
        <v/>
      </c>
      <c r="C202" s="33" t="str">
        <f t="shared" si="55"/>
        <v/>
      </c>
      <c r="D202" s="33" t="str">
        <f t="shared" si="56"/>
        <v/>
      </c>
      <c r="E202" s="35" t="str">
        <f t="shared" si="57"/>
        <v/>
      </c>
      <c r="F202" s="35" t="str">
        <f t="shared" si="58"/>
        <v/>
      </c>
      <c r="G202" s="33" t="str">
        <f t="shared" si="59"/>
        <v/>
      </c>
      <c r="H202" s="35" t="str">
        <f t="shared" si="60"/>
        <v/>
      </c>
      <c r="I202" s="35" t="str">
        <f t="shared" si="61"/>
        <v/>
      </c>
      <c r="J202" s="35" t="str">
        <f t="shared" si="62"/>
        <v/>
      </c>
      <c r="K202" s="35" t="str">
        <f t="shared" si="63"/>
        <v/>
      </c>
      <c r="L202" s="35" t="str">
        <f t="shared" si="64"/>
        <v/>
      </c>
      <c r="M202" s="35" t="str">
        <f t="shared" si="65"/>
        <v/>
      </c>
      <c r="N202" s="36" t="str">
        <f t="shared" si="66"/>
        <v/>
      </c>
      <c r="O202" s="35" t="str">
        <f t="shared" si="67"/>
        <v/>
      </c>
      <c r="P202" s="35" t="str">
        <f t="shared" si="68"/>
        <v/>
      </c>
      <c r="Q202" s="35" t="str">
        <f t="shared" si="69"/>
        <v/>
      </c>
      <c r="R202" s="35" t="str">
        <f t="shared" si="70"/>
        <v/>
      </c>
      <c r="S202" s="33" t="str">
        <f t="shared" si="71"/>
        <v/>
      </c>
    </row>
    <row r="203" spans="1:19" x14ac:dyDescent="0.3">
      <c r="A203" s="33">
        <f>199</f>
        <v>199</v>
      </c>
      <c r="B203" s="34" t="str">
        <f t="shared" si="54"/>
        <v/>
      </c>
      <c r="C203" s="33" t="str">
        <f t="shared" si="55"/>
        <v/>
      </c>
      <c r="D203" s="33" t="str">
        <f t="shared" si="56"/>
        <v/>
      </c>
      <c r="E203" s="35" t="str">
        <f t="shared" si="57"/>
        <v/>
      </c>
      <c r="F203" s="35" t="str">
        <f t="shared" si="58"/>
        <v/>
      </c>
      <c r="G203" s="33" t="str">
        <f t="shared" si="59"/>
        <v/>
      </c>
      <c r="H203" s="35" t="str">
        <f t="shared" si="60"/>
        <v/>
      </c>
      <c r="I203" s="35" t="str">
        <f t="shared" si="61"/>
        <v/>
      </c>
      <c r="J203" s="35" t="str">
        <f t="shared" si="62"/>
        <v/>
      </c>
      <c r="K203" s="35" t="str">
        <f t="shared" si="63"/>
        <v/>
      </c>
      <c r="L203" s="35" t="str">
        <f t="shared" si="64"/>
        <v/>
      </c>
      <c r="M203" s="35" t="str">
        <f t="shared" si="65"/>
        <v/>
      </c>
      <c r="N203" s="36" t="str">
        <f t="shared" si="66"/>
        <v/>
      </c>
      <c r="O203" s="35" t="str">
        <f t="shared" si="67"/>
        <v/>
      </c>
      <c r="P203" s="35" t="str">
        <f t="shared" si="68"/>
        <v/>
      </c>
      <c r="Q203" s="35" t="str">
        <f t="shared" si="69"/>
        <v/>
      </c>
      <c r="R203" s="35" t="str">
        <f t="shared" si="70"/>
        <v/>
      </c>
      <c r="S203" s="33" t="str">
        <f t="shared" si="71"/>
        <v/>
      </c>
    </row>
    <row r="204" spans="1:19" x14ac:dyDescent="0.3">
      <c r="A204" s="33">
        <f>200</f>
        <v>200</v>
      </c>
      <c r="B204" s="34" t="str">
        <f t="shared" si="54"/>
        <v/>
      </c>
      <c r="C204" s="33" t="str">
        <f t="shared" si="55"/>
        <v/>
      </c>
      <c r="D204" s="33" t="str">
        <f t="shared" si="56"/>
        <v/>
      </c>
      <c r="E204" s="35" t="str">
        <f t="shared" si="57"/>
        <v/>
      </c>
      <c r="F204" s="35" t="str">
        <f t="shared" si="58"/>
        <v/>
      </c>
      <c r="G204" s="33" t="str">
        <f t="shared" si="59"/>
        <v/>
      </c>
      <c r="H204" s="35" t="str">
        <f t="shared" si="60"/>
        <v/>
      </c>
      <c r="I204" s="35" t="str">
        <f t="shared" si="61"/>
        <v/>
      </c>
      <c r="J204" s="35" t="str">
        <f t="shared" si="62"/>
        <v/>
      </c>
      <c r="K204" s="35" t="str">
        <f t="shared" si="63"/>
        <v/>
      </c>
      <c r="L204" s="35" t="str">
        <f t="shared" si="64"/>
        <v/>
      </c>
      <c r="M204" s="35" t="str">
        <f t="shared" si="65"/>
        <v/>
      </c>
      <c r="N204" s="36" t="str">
        <f t="shared" si="66"/>
        <v/>
      </c>
      <c r="O204" s="35" t="str">
        <f t="shared" si="67"/>
        <v/>
      </c>
      <c r="P204" s="35" t="str">
        <f t="shared" si="68"/>
        <v/>
      </c>
      <c r="Q204" s="35" t="str">
        <f t="shared" si="69"/>
        <v/>
      </c>
      <c r="R204" s="35" t="str">
        <f t="shared" si="70"/>
        <v/>
      </c>
      <c r="S204" s="33" t="str">
        <f t="shared" si="71"/>
        <v/>
      </c>
    </row>
    <row r="205" spans="1:19" x14ac:dyDescent="0.3">
      <c r="A205" s="33">
        <f>201</f>
        <v>201</v>
      </c>
      <c r="B205" s="34" t="str">
        <f t="shared" si="54"/>
        <v/>
      </c>
      <c r="C205" s="33" t="str">
        <f t="shared" si="55"/>
        <v/>
      </c>
      <c r="D205" s="33" t="str">
        <f t="shared" si="56"/>
        <v/>
      </c>
      <c r="E205" s="35" t="str">
        <f t="shared" si="57"/>
        <v/>
      </c>
      <c r="F205" s="35" t="str">
        <f t="shared" si="58"/>
        <v/>
      </c>
      <c r="G205" s="33" t="str">
        <f t="shared" si="59"/>
        <v/>
      </c>
      <c r="H205" s="35" t="str">
        <f t="shared" si="60"/>
        <v/>
      </c>
      <c r="I205" s="35" t="str">
        <f t="shared" si="61"/>
        <v/>
      </c>
      <c r="J205" s="35" t="str">
        <f t="shared" si="62"/>
        <v/>
      </c>
      <c r="K205" s="35" t="str">
        <f t="shared" si="63"/>
        <v/>
      </c>
      <c r="L205" s="35" t="str">
        <f t="shared" si="64"/>
        <v/>
      </c>
      <c r="M205" s="35" t="str">
        <f t="shared" si="65"/>
        <v/>
      </c>
      <c r="N205" s="36" t="str">
        <f t="shared" si="66"/>
        <v/>
      </c>
      <c r="O205" s="35" t="str">
        <f t="shared" si="67"/>
        <v/>
      </c>
      <c r="P205" s="35" t="str">
        <f t="shared" si="68"/>
        <v/>
      </c>
      <c r="Q205" s="35" t="str">
        <f t="shared" si="69"/>
        <v/>
      </c>
      <c r="R205" s="35" t="str">
        <f t="shared" si="70"/>
        <v/>
      </c>
      <c r="S205" s="33" t="str">
        <f t="shared" si="71"/>
        <v/>
      </c>
    </row>
    <row r="206" spans="1:19" x14ac:dyDescent="0.3">
      <c r="A206" s="33">
        <f>202</f>
        <v>202</v>
      </c>
      <c r="B206" s="34" t="str">
        <f t="shared" si="54"/>
        <v/>
      </c>
      <c r="C206" s="33" t="str">
        <f t="shared" si="55"/>
        <v/>
      </c>
      <c r="D206" s="33" t="str">
        <f t="shared" si="56"/>
        <v/>
      </c>
      <c r="E206" s="35" t="str">
        <f t="shared" si="57"/>
        <v/>
      </c>
      <c r="F206" s="35" t="str">
        <f t="shared" si="58"/>
        <v/>
      </c>
      <c r="G206" s="33" t="str">
        <f t="shared" si="59"/>
        <v/>
      </c>
      <c r="H206" s="35" t="str">
        <f t="shared" si="60"/>
        <v/>
      </c>
      <c r="I206" s="35" t="str">
        <f t="shared" si="61"/>
        <v/>
      </c>
      <c r="J206" s="35" t="str">
        <f t="shared" si="62"/>
        <v/>
      </c>
      <c r="K206" s="35" t="str">
        <f t="shared" si="63"/>
        <v/>
      </c>
      <c r="L206" s="35" t="str">
        <f t="shared" si="64"/>
        <v/>
      </c>
      <c r="M206" s="35" t="str">
        <f t="shared" si="65"/>
        <v/>
      </c>
      <c r="N206" s="36" t="str">
        <f t="shared" si="66"/>
        <v/>
      </c>
      <c r="O206" s="35" t="str">
        <f t="shared" si="67"/>
        <v/>
      </c>
      <c r="P206" s="35" t="str">
        <f t="shared" si="68"/>
        <v/>
      </c>
      <c r="Q206" s="35" t="str">
        <f t="shared" si="69"/>
        <v/>
      </c>
      <c r="R206" s="35" t="str">
        <f t="shared" si="70"/>
        <v/>
      </c>
      <c r="S206" s="33" t="str">
        <f t="shared" si="71"/>
        <v/>
      </c>
    </row>
    <row r="207" spans="1:19" x14ac:dyDescent="0.3">
      <c r="A207" s="33">
        <f>203</f>
        <v>203</v>
      </c>
      <c r="B207" s="34" t="str">
        <f t="shared" si="54"/>
        <v/>
      </c>
      <c r="C207" s="33" t="str">
        <f t="shared" si="55"/>
        <v/>
      </c>
      <c r="D207" s="33" t="str">
        <f t="shared" si="56"/>
        <v/>
      </c>
      <c r="E207" s="35" t="str">
        <f t="shared" si="57"/>
        <v/>
      </c>
      <c r="F207" s="35" t="str">
        <f t="shared" si="58"/>
        <v/>
      </c>
      <c r="G207" s="33" t="str">
        <f t="shared" si="59"/>
        <v/>
      </c>
      <c r="H207" s="35" t="str">
        <f t="shared" si="60"/>
        <v/>
      </c>
      <c r="I207" s="35" t="str">
        <f t="shared" si="61"/>
        <v/>
      </c>
      <c r="J207" s="35" t="str">
        <f t="shared" si="62"/>
        <v/>
      </c>
      <c r="K207" s="35" t="str">
        <f t="shared" si="63"/>
        <v/>
      </c>
      <c r="L207" s="35" t="str">
        <f t="shared" si="64"/>
        <v/>
      </c>
      <c r="M207" s="35" t="str">
        <f t="shared" si="65"/>
        <v/>
      </c>
      <c r="N207" s="36" t="str">
        <f t="shared" si="66"/>
        <v/>
      </c>
      <c r="O207" s="35" t="str">
        <f t="shared" si="67"/>
        <v/>
      </c>
      <c r="P207" s="35" t="str">
        <f t="shared" si="68"/>
        <v/>
      </c>
      <c r="Q207" s="35" t="str">
        <f t="shared" si="69"/>
        <v/>
      </c>
      <c r="R207" s="35" t="str">
        <f t="shared" si="70"/>
        <v/>
      </c>
      <c r="S207" s="33" t="str">
        <f t="shared" si="71"/>
        <v/>
      </c>
    </row>
    <row r="208" spans="1:19" x14ac:dyDescent="0.3">
      <c r="A208" s="37">
        <f>204</f>
        <v>204</v>
      </c>
      <c r="B208" s="38" t="str">
        <f t="shared" si="54"/>
        <v/>
      </c>
      <c r="C208" s="37" t="str">
        <f t="shared" si="55"/>
        <v/>
      </c>
      <c r="D208" s="37" t="str">
        <f t="shared" si="56"/>
        <v/>
      </c>
      <c r="E208" s="39" t="str">
        <f t="shared" si="57"/>
        <v/>
      </c>
      <c r="F208" s="39" t="str">
        <f t="shared" si="58"/>
        <v/>
      </c>
      <c r="G208" s="37" t="str">
        <f t="shared" si="59"/>
        <v/>
      </c>
      <c r="H208" s="39" t="str">
        <f t="shared" si="60"/>
        <v/>
      </c>
      <c r="I208" s="39" t="str">
        <f t="shared" si="61"/>
        <v/>
      </c>
      <c r="J208" s="39" t="str">
        <f t="shared" si="62"/>
        <v/>
      </c>
      <c r="K208" s="39" t="str">
        <f t="shared" si="63"/>
        <v/>
      </c>
      <c r="L208" s="39" t="str">
        <f t="shared" si="64"/>
        <v/>
      </c>
      <c r="M208" s="39" t="str">
        <f t="shared" si="65"/>
        <v/>
      </c>
      <c r="N208" s="40" t="str">
        <f t="shared" si="66"/>
        <v/>
      </c>
      <c r="O208" s="39" t="str">
        <f t="shared" si="67"/>
        <v/>
      </c>
      <c r="P208" s="39" t="str">
        <f t="shared" si="68"/>
        <v/>
      </c>
      <c r="Q208" s="39" t="str">
        <f t="shared" si="69"/>
        <v/>
      </c>
      <c r="R208" s="39" t="str">
        <f t="shared" si="70"/>
        <v/>
      </c>
      <c r="S208" s="37" t="str">
        <f t="shared" si="71"/>
        <v/>
      </c>
    </row>
    <row r="209" spans="1:19" x14ac:dyDescent="0.3">
      <c r="A209" s="33">
        <f>205</f>
        <v>205</v>
      </c>
      <c r="B209" s="34" t="str">
        <f t="shared" si="54"/>
        <v/>
      </c>
      <c r="C209" s="33" t="str">
        <f t="shared" si="55"/>
        <v/>
      </c>
      <c r="D209" s="33" t="str">
        <f t="shared" si="56"/>
        <v/>
      </c>
      <c r="E209" s="35" t="str">
        <f t="shared" si="57"/>
        <v/>
      </c>
      <c r="F209" s="35" t="str">
        <f t="shared" si="58"/>
        <v/>
      </c>
      <c r="G209" s="33" t="str">
        <f t="shared" si="59"/>
        <v/>
      </c>
      <c r="H209" s="35" t="str">
        <f t="shared" si="60"/>
        <v/>
      </c>
      <c r="I209" s="35" t="str">
        <f t="shared" si="61"/>
        <v/>
      </c>
      <c r="J209" s="35" t="str">
        <f t="shared" si="62"/>
        <v/>
      </c>
      <c r="K209" s="35" t="str">
        <f t="shared" si="63"/>
        <v/>
      </c>
      <c r="L209" s="35" t="str">
        <f t="shared" si="64"/>
        <v/>
      </c>
      <c r="M209" s="35" t="str">
        <f t="shared" si="65"/>
        <v/>
      </c>
      <c r="N209" s="36" t="str">
        <f t="shared" si="66"/>
        <v/>
      </c>
      <c r="O209" s="35" t="str">
        <f t="shared" si="67"/>
        <v/>
      </c>
      <c r="P209" s="35" t="str">
        <f t="shared" si="68"/>
        <v/>
      </c>
      <c r="Q209" s="35" t="str">
        <f t="shared" si="69"/>
        <v/>
      </c>
      <c r="R209" s="35" t="str">
        <f t="shared" si="70"/>
        <v/>
      </c>
      <c r="S209" s="33" t="str">
        <f t="shared" si="71"/>
        <v/>
      </c>
    </row>
    <row r="210" spans="1:19" x14ac:dyDescent="0.3">
      <c r="A210" s="33">
        <f>206</f>
        <v>206</v>
      </c>
      <c r="B210" s="34" t="str">
        <f t="shared" si="54"/>
        <v/>
      </c>
      <c r="C210" s="33" t="str">
        <f t="shared" si="55"/>
        <v/>
      </c>
      <c r="D210" s="33" t="str">
        <f t="shared" si="56"/>
        <v/>
      </c>
      <c r="E210" s="35" t="str">
        <f t="shared" si="57"/>
        <v/>
      </c>
      <c r="F210" s="35" t="str">
        <f t="shared" si="58"/>
        <v/>
      </c>
      <c r="G210" s="33" t="str">
        <f t="shared" si="59"/>
        <v/>
      </c>
      <c r="H210" s="35" t="str">
        <f t="shared" si="60"/>
        <v/>
      </c>
      <c r="I210" s="35" t="str">
        <f t="shared" si="61"/>
        <v/>
      </c>
      <c r="J210" s="35" t="str">
        <f t="shared" si="62"/>
        <v/>
      </c>
      <c r="K210" s="35" t="str">
        <f t="shared" si="63"/>
        <v/>
      </c>
      <c r="L210" s="35" t="str">
        <f t="shared" si="64"/>
        <v/>
      </c>
      <c r="M210" s="35" t="str">
        <f t="shared" si="65"/>
        <v/>
      </c>
      <c r="N210" s="36" t="str">
        <f t="shared" si="66"/>
        <v/>
      </c>
      <c r="O210" s="35" t="str">
        <f t="shared" si="67"/>
        <v/>
      </c>
      <c r="P210" s="35" t="str">
        <f t="shared" si="68"/>
        <v/>
      </c>
      <c r="Q210" s="35" t="str">
        <f t="shared" si="69"/>
        <v/>
      </c>
      <c r="R210" s="35" t="str">
        <f t="shared" si="70"/>
        <v/>
      </c>
      <c r="S210" s="33" t="str">
        <f t="shared" si="71"/>
        <v/>
      </c>
    </row>
    <row r="211" spans="1:19" x14ac:dyDescent="0.3">
      <c r="A211" s="33">
        <f>207</f>
        <v>207</v>
      </c>
      <c r="B211" s="34" t="str">
        <f t="shared" si="54"/>
        <v/>
      </c>
      <c r="C211" s="33" t="str">
        <f t="shared" si="55"/>
        <v/>
      </c>
      <c r="D211" s="33" t="str">
        <f t="shared" si="56"/>
        <v/>
      </c>
      <c r="E211" s="35" t="str">
        <f t="shared" si="57"/>
        <v/>
      </c>
      <c r="F211" s="35" t="str">
        <f t="shared" si="58"/>
        <v/>
      </c>
      <c r="G211" s="33" t="str">
        <f t="shared" si="59"/>
        <v/>
      </c>
      <c r="H211" s="35" t="str">
        <f t="shared" si="60"/>
        <v/>
      </c>
      <c r="I211" s="35" t="str">
        <f t="shared" si="61"/>
        <v/>
      </c>
      <c r="J211" s="35" t="str">
        <f t="shared" si="62"/>
        <v/>
      </c>
      <c r="K211" s="35" t="str">
        <f t="shared" si="63"/>
        <v/>
      </c>
      <c r="L211" s="35" t="str">
        <f t="shared" si="64"/>
        <v/>
      </c>
      <c r="M211" s="35" t="str">
        <f t="shared" si="65"/>
        <v/>
      </c>
      <c r="N211" s="36" t="str">
        <f t="shared" si="66"/>
        <v/>
      </c>
      <c r="O211" s="35" t="str">
        <f t="shared" si="67"/>
        <v/>
      </c>
      <c r="P211" s="35" t="str">
        <f t="shared" si="68"/>
        <v/>
      </c>
      <c r="Q211" s="35" t="str">
        <f t="shared" si="69"/>
        <v/>
      </c>
      <c r="R211" s="35" t="str">
        <f t="shared" si="70"/>
        <v/>
      </c>
      <c r="S211" s="33" t="str">
        <f t="shared" si="71"/>
        <v/>
      </c>
    </row>
    <row r="212" spans="1:19" x14ac:dyDescent="0.3">
      <c r="A212" s="33">
        <f>208</f>
        <v>208</v>
      </c>
      <c r="B212" s="34" t="str">
        <f t="shared" si="54"/>
        <v/>
      </c>
      <c r="C212" s="33" t="str">
        <f t="shared" si="55"/>
        <v/>
      </c>
      <c r="D212" s="33" t="str">
        <f t="shared" si="56"/>
        <v/>
      </c>
      <c r="E212" s="35" t="str">
        <f t="shared" si="57"/>
        <v/>
      </c>
      <c r="F212" s="35" t="str">
        <f t="shared" si="58"/>
        <v/>
      </c>
      <c r="G212" s="33" t="str">
        <f t="shared" si="59"/>
        <v/>
      </c>
      <c r="H212" s="35" t="str">
        <f t="shared" si="60"/>
        <v/>
      </c>
      <c r="I212" s="35" t="str">
        <f t="shared" si="61"/>
        <v/>
      </c>
      <c r="J212" s="35" t="str">
        <f t="shared" si="62"/>
        <v/>
      </c>
      <c r="K212" s="35" t="str">
        <f t="shared" si="63"/>
        <v/>
      </c>
      <c r="L212" s="35" t="str">
        <f t="shared" si="64"/>
        <v/>
      </c>
      <c r="M212" s="35" t="str">
        <f t="shared" si="65"/>
        <v/>
      </c>
      <c r="N212" s="36" t="str">
        <f t="shared" si="66"/>
        <v/>
      </c>
      <c r="O212" s="35" t="str">
        <f t="shared" si="67"/>
        <v/>
      </c>
      <c r="P212" s="35" t="str">
        <f t="shared" si="68"/>
        <v/>
      </c>
      <c r="Q212" s="35" t="str">
        <f t="shared" si="69"/>
        <v/>
      </c>
      <c r="R212" s="35" t="str">
        <f t="shared" si="70"/>
        <v/>
      </c>
      <c r="S212" s="33" t="str">
        <f t="shared" si="71"/>
        <v/>
      </c>
    </row>
    <row r="213" spans="1:19" x14ac:dyDescent="0.3">
      <c r="A213" s="33">
        <f>209</f>
        <v>209</v>
      </c>
      <c r="B213" s="34" t="str">
        <f t="shared" si="54"/>
        <v/>
      </c>
      <c r="C213" s="33" t="str">
        <f t="shared" si="55"/>
        <v/>
      </c>
      <c r="D213" s="33" t="str">
        <f t="shared" si="56"/>
        <v/>
      </c>
      <c r="E213" s="35" t="str">
        <f t="shared" si="57"/>
        <v/>
      </c>
      <c r="F213" s="35" t="str">
        <f t="shared" si="58"/>
        <v/>
      </c>
      <c r="G213" s="33" t="str">
        <f t="shared" si="59"/>
        <v/>
      </c>
      <c r="H213" s="35" t="str">
        <f t="shared" si="60"/>
        <v/>
      </c>
      <c r="I213" s="35" t="str">
        <f t="shared" si="61"/>
        <v/>
      </c>
      <c r="J213" s="35" t="str">
        <f t="shared" si="62"/>
        <v/>
      </c>
      <c r="K213" s="35" t="str">
        <f t="shared" si="63"/>
        <v/>
      </c>
      <c r="L213" s="35" t="str">
        <f t="shared" si="64"/>
        <v/>
      </c>
      <c r="M213" s="35" t="str">
        <f t="shared" si="65"/>
        <v/>
      </c>
      <c r="N213" s="36" t="str">
        <f t="shared" si="66"/>
        <v/>
      </c>
      <c r="O213" s="35" t="str">
        <f t="shared" si="67"/>
        <v/>
      </c>
      <c r="P213" s="35" t="str">
        <f t="shared" si="68"/>
        <v/>
      </c>
      <c r="Q213" s="35" t="str">
        <f t="shared" si="69"/>
        <v/>
      </c>
      <c r="R213" s="35" t="str">
        <f t="shared" si="70"/>
        <v/>
      </c>
      <c r="S213" s="33" t="str">
        <f t="shared" si="71"/>
        <v/>
      </c>
    </row>
    <row r="214" spans="1:19" x14ac:dyDescent="0.3">
      <c r="A214" s="33">
        <f>210</f>
        <v>210</v>
      </c>
      <c r="B214" s="34" t="str">
        <f t="shared" si="54"/>
        <v/>
      </c>
      <c r="C214" s="33" t="str">
        <f t="shared" si="55"/>
        <v/>
      </c>
      <c r="D214" s="33" t="str">
        <f t="shared" si="56"/>
        <v/>
      </c>
      <c r="E214" s="35" t="str">
        <f t="shared" si="57"/>
        <v/>
      </c>
      <c r="F214" s="35" t="str">
        <f t="shared" si="58"/>
        <v/>
      </c>
      <c r="G214" s="33" t="str">
        <f t="shared" si="59"/>
        <v/>
      </c>
      <c r="H214" s="35" t="str">
        <f t="shared" si="60"/>
        <v/>
      </c>
      <c r="I214" s="35" t="str">
        <f t="shared" si="61"/>
        <v/>
      </c>
      <c r="J214" s="35" t="str">
        <f t="shared" si="62"/>
        <v/>
      </c>
      <c r="K214" s="35" t="str">
        <f t="shared" si="63"/>
        <v/>
      </c>
      <c r="L214" s="35" t="str">
        <f t="shared" si="64"/>
        <v/>
      </c>
      <c r="M214" s="35" t="str">
        <f t="shared" si="65"/>
        <v/>
      </c>
      <c r="N214" s="36" t="str">
        <f t="shared" si="66"/>
        <v/>
      </c>
      <c r="O214" s="35" t="str">
        <f t="shared" si="67"/>
        <v/>
      </c>
      <c r="P214" s="35" t="str">
        <f t="shared" si="68"/>
        <v/>
      </c>
      <c r="Q214" s="35" t="str">
        <f t="shared" si="69"/>
        <v/>
      </c>
      <c r="R214" s="35" t="str">
        <f t="shared" si="70"/>
        <v/>
      </c>
      <c r="S214" s="33" t="str">
        <f t="shared" si="71"/>
        <v/>
      </c>
    </row>
    <row r="215" spans="1:19" x14ac:dyDescent="0.3">
      <c r="A215" s="33">
        <f>211</f>
        <v>211</v>
      </c>
      <c r="B215" s="34" t="str">
        <f t="shared" si="54"/>
        <v/>
      </c>
      <c r="C215" s="33" t="str">
        <f t="shared" si="55"/>
        <v/>
      </c>
      <c r="D215" s="33" t="str">
        <f t="shared" si="56"/>
        <v/>
      </c>
      <c r="E215" s="35" t="str">
        <f t="shared" si="57"/>
        <v/>
      </c>
      <c r="F215" s="35" t="str">
        <f t="shared" si="58"/>
        <v/>
      </c>
      <c r="G215" s="33" t="str">
        <f t="shared" si="59"/>
        <v/>
      </c>
      <c r="H215" s="35" t="str">
        <f t="shared" si="60"/>
        <v/>
      </c>
      <c r="I215" s="35" t="str">
        <f t="shared" si="61"/>
        <v/>
      </c>
      <c r="J215" s="35" t="str">
        <f t="shared" si="62"/>
        <v/>
      </c>
      <c r="K215" s="35" t="str">
        <f t="shared" si="63"/>
        <v/>
      </c>
      <c r="L215" s="35" t="str">
        <f t="shared" si="64"/>
        <v/>
      </c>
      <c r="M215" s="35" t="str">
        <f t="shared" si="65"/>
        <v/>
      </c>
      <c r="N215" s="36" t="str">
        <f t="shared" si="66"/>
        <v/>
      </c>
      <c r="O215" s="35" t="str">
        <f t="shared" si="67"/>
        <v/>
      </c>
      <c r="P215" s="35" t="str">
        <f t="shared" si="68"/>
        <v/>
      </c>
      <c r="Q215" s="35" t="str">
        <f t="shared" si="69"/>
        <v/>
      </c>
      <c r="R215" s="35" t="str">
        <f t="shared" si="70"/>
        <v/>
      </c>
      <c r="S215" s="33" t="str">
        <f t="shared" si="71"/>
        <v/>
      </c>
    </row>
    <row r="216" spans="1:19" x14ac:dyDescent="0.3">
      <c r="A216" s="33">
        <f>212</f>
        <v>212</v>
      </c>
      <c r="B216" s="34" t="str">
        <f t="shared" si="54"/>
        <v/>
      </c>
      <c r="C216" s="33" t="str">
        <f t="shared" si="55"/>
        <v/>
      </c>
      <c r="D216" s="33" t="str">
        <f t="shared" si="56"/>
        <v/>
      </c>
      <c r="E216" s="35" t="str">
        <f t="shared" si="57"/>
        <v/>
      </c>
      <c r="F216" s="35" t="str">
        <f t="shared" si="58"/>
        <v/>
      </c>
      <c r="G216" s="33" t="str">
        <f t="shared" si="59"/>
        <v/>
      </c>
      <c r="H216" s="35" t="str">
        <f t="shared" si="60"/>
        <v/>
      </c>
      <c r="I216" s="35" t="str">
        <f t="shared" si="61"/>
        <v/>
      </c>
      <c r="J216" s="35" t="str">
        <f t="shared" si="62"/>
        <v/>
      </c>
      <c r="K216" s="35" t="str">
        <f t="shared" si="63"/>
        <v/>
      </c>
      <c r="L216" s="35" t="str">
        <f t="shared" si="64"/>
        <v/>
      </c>
      <c r="M216" s="35" t="str">
        <f t="shared" si="65"/>
        <v/>
      </c>
      <c r="N216" s="36" t="str">
        <f t="shared" si="66"/>
        <v/>
      </c>
      <c r="O216" s="35" t="str">
        <f t="shared" si="67"/>
        <v/>
      </c>
      <c r="P216" s="35" t="str">
        <f t="shared" si="68"/>
        <v/>
      </c>
      <c r="Q216" s="35" t="str">
        <f t="shared" si="69"/>
        <v/>
      </c>
      <c r="R216" s="35" t="str">
        <f t="shared" si="70"/>
        <v/>
      </c>
      <c r="S216" s="33" t="str">
        <f t="shared" si="71"/>
        <v/>
      </c>
    </row>
    <row r="217" spans="1:19" x14ac:dyDescent="0.3">
      <c r="A217" s="33">
        <f>213</f>
        <v>213</v>
      </c>
      <c r="B217" s="34" t="str">
        <f t="shared" si="54"/>
        <v/>
      </c>
      <c r="C217" s="33" t="str">
        <f t="shared" si="55"/>
        <v/>
      </c>
      <c r="D217" s="33" t="str">
        <f t="shared" si="56"/>
        <v/>
      </c>
      <c r="E217" s="35" t="str">
        <f t="shared" si="57"/>
        <v/>
      </c>
      <c r="F217" s="35" t="str">
        <f t="shared" si="58"/>
        <v/>
      </c>
      <c r="G217" s="33" t="str">
        <f t="shared" si="59"/>
        <v/>
      </c>
      <c r="H217" s="35" t="str">
        <f t="shared" si="60"/>
        <v/>
      </c>
      <c r="I217" s="35" t="str">
        <f t="shared" si="61"/>
        <v/>
      </c>
      <c r="J217" s="35" t="str">
        <f t="shared" si="62"/>
        <v/>
      </c>
      <c r="K217" s="35" t="str">
        <f t="shared" si="63"/>
        <v/>
      </c>
      <c r="L217" s="35" t="str">
        <f t="shared" si="64"/>
        <v/>
      </c>
      <c r="M217" s="35" t="str">
        <f t="shared" si="65"/>
        <v/>
      </c>
      <c r="N217" s="36" t="str">
        <f t="shared" si="66"/>
        <v/>
      </c>
      <c r="O217" s="35" t="str">
        <f t="shared" si="67"/>
        <v/>
      </c>
      <c r="P217" s="35" t="str">
        <f t="shared" si="68"/>
        <v/>
      </c>
      <c r="Q217" s="35" t="str">
        <f t="shared" si="69"/>
        <v/>
      </c>
      <c r="R217" s="35" t="str">
        <f t="shared" si="70"/>
        <v/>
      </c>
      <c r="S217" s="33" t="str">
        <f t="shared" si="71"/>
        <v/>
      </c>
    </row>
    <row r="218" spans="1:19" x14ac:dyDescent="0.3">
      <c r="A218" s="33">
        <f>214</f>
        <v>214</v>
      </c>
      <c r="B218" s="34" t="str">
        <f t="shared" si="54"/>
        <v/>
      </c>
      <c r="C218" s="33" t="str">
        <f t="shared" si="55"/>
        <v/>
      </c>
      <c r="D218" s="33" t="str">
        <f t="shared" si="56"/>
        <v/>
      </c>
      <c r="E218" s="35" t="str">
        <f t="shared" si="57"/>
        <v/>
      </c>
      <c r="F218" s="35" t="str">
        <f t="shared" si="58"/>
        <v/>
      </c>
      <c r="G218" s="33" t="str">
        <f t="shared" si="59"/>
        <v/>
      </c>
      <c r="H218" s="35" t="str">
        <f t="shared" si="60"/>
        <v/>
      </c>
      <c r="I218" s="35" t="str">
        <f t="shared" si="61"/>
        <v/>
      </c>
      <c r="J218" s="35" t="str">
        <f t="shared" si="62"/>
        <v/>
      </c>
      <c r="K218" s="35" t="str">
        <f t="shared" si="63"/>
        <v/>
      </c>
      <c r="L218" s="35" t="str">
        <f t="shared" si="64"/>
        <v/>
      </c>
      <c r="M218" s="35" t="str">
        <f t="shared" si="65"/>
        <v/>
      </c>
      <c r="N218" s="36" t="str">
        <f t="shared" si="66"/>
        <v/>
      </c>
      <c r="O218" s="35" t="str">
        <f t="shared" si="67"/>
        <v/>
      </c>
      <c r="P218" s="35" t="str">
        <f t="shared" si="68"/>
        <v/>
      </c>
      <c r="Q218" s="35" t="str">
        <f t="shared" si="69"/>
        <v/>
      </c>
      <c r="R218" s="35" t="str">
        <f t="shared" si="70"/>
        <v/>
      </c>
      <c r="S218" s="33" t="str">
        <f t="shared" si="71"/>
        <v/>
      </c>
    </row>
    <row r="219" spans="1:19" x14ac:dyDescent="0.3">
      <c r="A219" s="33">
        <f>215</f>
        <v>215</v>
      </c>
      <c r="B219" s="34" t="str">
        <f t="shared" si="54"/>
        <v/>
      </c>
      <c r="C219" s="33" t="str">
        <f t="shared" si="55"/>
        <v/>
      </c>
      <c r="D219" s="33" t="str">
        <f t="shared" si="56"/>
        <v/>
      </c>
      <c r="E219" s="35" t="str">
        <f t="shared" si="57"/>
        <v/>
      </c>
      <c r="F219" s="35" t="str">
        <f t="shared" si="58"/>
        <v/>
      </c>
      <c r="G219" s="33" t="str">
        <f t="shared" si="59"/>
        <v/>
      </c>
      <c r="H219" s="35" t="str">
        <f t="shared" si="60"/>
        <v/>
      </c>
      <c r="I219" s="35" t="str">
        <f t="shared" si="61"/>
        <v/>
      </c>
      <c r="J219" s="35" t="str">
        <f t="shared" si="62"/>
        <v/>
      </c>
      <c r="K219" s="35" t="str">
        <f t="shared" si="63"/>
        <v/>
      </c>
      <c r="L219" s="35" t="str">
        <f t="shared" si="64"/>
        <v/>
      </c>
      <c r="M219" s="35" t="str">
        <f t="shared" si="65"/>
        <v/>
      </c>
      <c r="N219" s="36" t="str">
        <f t="shared" si="66"/>
        <v/>
      </c>
      <c r="O219" s="35" t="str">
        <f t="shared" si="67"/>
        <v/>
      </c>
      <c r="P219" s="35" t="str">
        <f t="shared" si="68"/>
        <v/>
      </c>
      <c r="Q219" s="35" t="str">
        <f t="shared" si="69"/>
        <v/>
      </c>
      <c r="R219" s="35" t="str">
        <f t="shared" si="70"/>
        <v/>
      </c>
      <c r="S219" s="33" t="str">
        <f t="shared" si="71"/>
        <v/>
      </c>
    </row>
    <row r="220" spans="1:19" x14ac:dyDescent="0.3">
      <c r="A220" s="37">
        <f>216</f>
        <v>216</v>
      </c>
      <c r="B220" s="38" t="str">
        <f t="shared" si="54"/>
        <v/>
      </c>
      <c r="C220" s="37" t="str">
        <f t="shared" si="55"/>
        <v/>
      </c>
      <c r="D220" s="37" t="str">
        <f t="shared" si="56"/>
        <v/>
      </c>
      <c r="E220" s="39" t="str">
        <f t="shared" si="57"/>
        <v/>
      </c>
      <c r="F220" s="39" t="str">
        <f t="shared" si="58"/>
        <v/>
      </c>
      <c r="G220" s="37" t="str">
        <f t="shared" si="59"/>
        <v/>
      </c>
      <c r="H220" s="39" t="str">
        <f t="shared" si="60"/>
        <v/>
      </c>
      <c r="I220" s="39" t="str">
        <f t="shared" si="61"/>
        <v/>
      </c>
      <c r="J220" s="39" t="str">
        <f t="shared" si="62"/>
        <v/>
      </c>
      <c r="K220" s="39" t="str">
        <f t="shared" si="63"/>
        <v/>
      </c>
      <c r="L220" s="39" t="str">
        <f t="shared" si="64"/>
        <v/>
      </c>
      <c r="M220" s="39" t="str">
        <f t="shared" si="65"/>
        <v/>
      </c>
      <c r="N220" s="40" t="str">
        <f t="shared" si="66"/>
        <v/>
      </c>
      <c r="O220" s="39" t="str">
        <f t="shared" si="67"/>
        <v/>
      </c>
      <c r="P220" s="39" t="str">
        <f t="shared" si="68"/>
        <v/>
      </c>
      <c r="Q220" s="39" t="str">
        <f t="shared" si="69"/>
        <v/>
      </c>
      <c r="R220" s="39" t="str">
        <f t="shared" si="70"/>
        <v/>
      </c>
      <c r="S220" s="37" t="str">
        <f t="shared" si="71"/>
        <v/>
      </c>
    </row>
    <row r="221" spans="1:19" x14ac:dyDescent="0.3">
      <c r="A221" s="33">
        <f>217</f>
        <v>217</v>
      </c>
      <c r="B221" s="34" t="str">
        <f t="shared" si="54"/>
        <v/>
      </c>
      <c r="C221" s="33" t="str">
        <f t="shared" si="55"/>
        <v/>
      </c>
      <c r="D221" s="33" t="str">
        <f t="shared" si="56"/>
        <v/>
      </c>
      <c r="E221" s="35" t="str">
        <f t="shared" si="57"/>
        <v/>
      </c>
      <c r="F221" s="35" t="str">
        <f t="shared" si="58"/>
        <v/>
      </c>
      <c r="G221" s="33" t="str">
        <f t="shared" si="59"/>
        <v/>
      </c>
      <c r="H221" s="35" t="str">
        <f t="shared" si="60"/>
        <v/>
      </c>
      <c r="I221" s="35" t="str">
        <f t="shared" si="61"/>
        <v/>
      </c>
      <c r="J221" s="35" t="str">
        <f t="shared" si="62"/>
        <v/>
      </c>
      <c r="K221" s="35" t="str">
        <f t="shared" si="63"/>
        <v/>
      </c>
      <c r="L221" s="35" t="str">
        <f t="shared" si="64"/>
        <v/>
      </c>
      <c r="M221" s="35" t="str">
        <f t="shared" si="65"/>
        <v/>
      </c>
      <c r="N221" s="36" t="str">
        <f t="shared" si="66"/>
        <v/>
      </c>
      <c r="O221" s="35" t="str">
        <f t="shared" si="67"/>
        <v/>
      </c>
      <c r="P221" s="35" t="str">
        <f t="shared" si="68"/>
        <v/>
      </c>
      <c r="Q221" s="35" t="str">
        <f t="shared" si="69"/>
        <v/>
      </c>
      <c r="R221" s="35" t="str">
        <f t="shared" si="70"/>
        <v/>
      </c>
      <c r="S221" s="33" t="str">
        <f t="shared" si="71"/>
        <v/>
      </c>
    </row>
    <row r="222" spans="1:19" x14ac:dyDescent="0.3">
      <c r="A222" s="33">
        <f>218</f>
        <v>218</v>
      </c>
      <c r="B222" s="34" t="str">
        <f t="shared" si="54"/>
        <v/>
      </c>
      <c r="C222" s="33" t="str">
        <f t="shared" si="55"/>
        <v/>
      </c>
      <c r="D222" s="33" t="str">
        <f t="shared" si="56"/>
        <v/>
      </c>
      <c r="E222" s="35" t="str">
        <f t="shared" si="57"/>
        <v/>
      </c>
      <c r="F222" s="35" t="str">
        <f t="shared" si="58"/>
        <v/>
      </c>
      <c r="G222" s="33" t="str">
        <f t="shared" si="59"/>
        <v/>
      </c>
      <c r="H222" s="35" t="str">
        <f t="shared" si="60"/>
        <v/>
      </c>
      <c r="I222" s="35" t="str">
        <f t="shared" si="61"/>
        <v/>
      </c>
      <c r="J222" s="35" t="str">
        <f t="shared" si="62"/>
        <v/>
      </c>
      <c r="K222" s="35" t="str">
        <f t="shared" si="63"/>
        <v/>
      </c>
      <c r="L222" s="35" t="str">
        <f t="shared" si="64"/>
        <v/>
      </c>
      <c r="M222" s="35" t="str">
        <f t="shared" si="65"/>
        <v/>
      </c>
      <c r="N222" s="36" t="str">
        <f t="shared" si="66"/>
        <v/>
      </c>
      <c r="O222" s="35" t="str">
        <f t="shared" si="67"/>
        <v/>
      </c>
      <c r="P222" s="35" t="str">
        <f t="shared" si="68"/>
        <v/>
      </c>
      <c r="Q222" s="35" t="str">
        <f t="shared" si="69"/>
        <v/>
      </c>
      <c r="R222" s="35" t="str">
        <f t="shared" si="70"/>
        <v/>
      </c>
      <c r="S222" s="33" t="str">
        <f t="shared" si="71"/>
        <v/>
      </c>
    </row>
    <row r="223" spans="1:19" x14ac:dyDescent="0.3">
      <c r="A223" s="33">
        <f>219</f>
        <v>219</v>
      </c>
      <c r="B223" s="34" t="str">
        <f t="shared" si="54"/>
        <v/>
      </c>
      <c r="C223" s="33" t="str">
        <f t="shared" si="55"/>
        <v/>
      </c>
      <c r="D223" s="33" t="str">
        <f t="shared" si="56"/>
        <v/>
      </c>
      <c r="E223" s="35" t="str">
        <f t="shared" si="57"/>
        <v/>
      </c>
      <c r="F223" s="35" t="str">
        <f t="shared" si="58"/>
        <v/>
      </c>
      <c r="G223" s="33" t="str">
        <f t="shared" si="59"/>
        <v/>
      </c>
      <c r="H223" s="35" t="str">
        <f t="shared" si="60"/>
        <v/>
      </c>
      <c r="I223" s="35" t="str">
        <f t="shared" si="61"/>
        <v/>
      </c>
      <c r="J223" s="35" t="str">
        <f t="shared" si="62"/>
        <v/>
      </c>
      <c r="K223" s="35" t="str">
        <f t="shared" si="63"/>
        <v/>
      </c>
      <c r="L223" s="35" t="str">
        <f t="shared" si="64"/>
        <v/>
      </c>
      <c r="M223" s="35" t="str">
        <f t="shared" si="65"/>
        <v/>
      </c>
      <c r="N223" s="36" t="str">
        <f t="shared" si="66"/>
        <v/>
      </c>
      <c r="O223" s="35" t="str">
        <f t="shared" si="67"/>
        <v/>
      </c>
      <c r="P223" s="35" t="str">
        <f t="shared" si="68"/>
        <v/>
      </c>
      <c r="Q223" s="35" t="str">
        <f t="shared" si="69"/>
        <v/>
      </c>
      <c r="R223" s="35" t="str">
        <f t="shared" si="70"/>
        <v/>
      </c>
      <c r="S223" s="33" t="str">
        <f t="shared" si="71"/>
        <v/>
      </c>
    </row>
    <row r="224" spans="1:19" x14ac:dyDescent="0.3">
      <c r="A224" s="33">
        <f>220</f>
        <v>220</v>
      </c>
      <c r="B224" s="34" t="str">
        <f t="shared" si="54"/>
        <v/>
      </c>
      <c r="C224" s="33" t="str">
        <f t="shared" si="55"/>
        <v/>
      </c>
      <c r="D224" s="33" t="str">
        <f t="shared" si="56"/>
        <v/>
      </c>
      <c r="E224" s="35" t="str">
        <f t="shared" si="57"/>
        <v/>
      </c>
      <c r="F224" s="35" t="str">
        <f t="shared" si="58"/>
        <v/>
      </c>
      <c r="G224" s="33" t="str">
        <f t="shared" si="59"/>
        <v/>
      </c>
      <c r="H224" s="35" t="str">
        <f t="shared" si="60"/>
        <v/>
      </c>
      <c r="I224" s="35" t="str">
        <f t="shared" si="61"/>
        <v/>
      </c>
      <c r="J224" s="35" t="str">
        <f t="shared" si="62"/>
        <v/>
      </c>
      <c r="K224" s="35" t="str">
        <f t="shared" si="63"/>
        <v/>
      </c>
      <c r="L224" s="35" t="str">
        <f t="shared" si="64"/>
        <v/>
      </c>
      <c r="M224" s="35" t="str">
        <f t="shared" si="65"/>
        <v/>
      </c>
      <c r="N224" s="36" t="str">
        <f t="shared" si="66"/>
        <v/>
      </c>
      <c r="O224" s="35" t="str">
        <f t="shared" si="67"/>
        <v/>
      </c>
      <c r="P224" s="35" t="str">
        <f t="shared" si="68"/>
        <v/>
      </c>
      <c r="Q224" s="35" t="str">
        <f t="shared" si="69"/>
        <v/>
      </c>
      <c r="R224" s="35" t="str">
        <f t="shared" si="70"/>
        <v/>
      </c>
      <c r="S224" s="33" t="str">
        <f t="shared" si="71"/>
        <v/>
      </c>
    </row>
    <row r="225" spans="1:19" x14ac:dyDescent="0.3">
      <c r="A225" s="33">
        <f>221</f>
        <v>221</v>
      </c>
      <c r="B225" s="34" t="str">
        <f t="shared" si="54"/>
        <v/>
      </c>
      <c r="C225" s="33" t="str">
        <f t="shared" si="55"/>
        <v/>
      </c>
      <c r="D225" s="33" t="str">
        <f t="shared" si="56"/>
        <v/>
      </c>
      <c r="E225" s="35" t="str">
        <f t="shared" si="57"/>
        <v/>
      </c>
      <c r="F225" s="35" t="str">
        <f t="shared" si="58"/>
        <v/>
      </c>
      <c r="G225" s="33" t="str">
        <f t="shared" si="59"/>
        <v/>
      </c>
      <c r="H225" s="35" t="str">
        <f t="shared" si="60"/>
        <v/>
      </c>
      <c r="I225" s="35" t="str">
        <f t="shared" si="61"/>
        <v/>
      </c>
      <c r="J225" s="35" t="str">
        <f t="shared" si="62"/>
        <v/>
      </c>
      <c r="K225" s="35" t="str">
        <f t="shared" si="63"/>
        <v/>
      </c>
      <c r="L225" s="35" t="str">
        <f t="shared" si="64"/>
        <v/>
      </c>
      <c r="M225" s="35" t="str">
        <f t="shared" si="65"/>
        <v/>
      </c>
      <c r="N225" s="36" t="str">
        <f t="shared" si="66"/>
        <v/>
      </c>
      <c r="O225" s="35" t="str">
        <f t="shared" si="67"/>
        <v/>
      </c>
      <c r="P225" s="35" t="str">
        <f t="shared" si="68"/>
        <v/>
      </c>
      <c r="Q225" s="35" t="str">
        <f t="shared" si="69"/>
        <v/>
      </c>
      <c r="R225" s="35" t="str">
        <f t="shared" si="70"/>
        <v/>
      </c>
      <c r="S225" s="33" t="str">
        <f t="shared" si="71"/>
        <v/>
      </c>
    </row>
    <row r="226" spans="1:19" x14ac:dyDescent="0.3">
      <c r="A226" s="33">
        <f>222</f>
        <v>222</v>
      </c>
      <c r="B226" s="34" t="str">
        <f t="shared" si="54"/>
        <v/>
      </c>
      <c r="C226" s="33" t="str">
        <f t="shared" si="55"/>
        <v/>
      </c>
      <c r="D226" s="33" t="str">
        <f t="shared" si="56"/>
        <v/>
      </c>
      <c r="E226" s="35" t="str">
        <f t="shared" si="57"/>
        <v/>
      </c>
      <c r="F226" s="35" t="str">
        <f t="shared" si="58"/>
        <v/>
      </c>
      <c r="G226" s="33" t="str">
        <f t="shared" si="59"/>
        <v/>
      </c>
      <c r="H226" s="35" t="str">
        <f t="shared" si="60"/>
        <v/>
      </c>
      <c r="I226" s="35" t="str">
        <f t="shared" si="61"/>
        <v/>
      </c>
      <c r="J226" s="35" t="str">
        <f t="shared" si="62"/>
        <v/>
      </c>
      <c r="K226" s="35" t="str">
        <f t="shared" si="63"/>
        <v/>
      </c>
      <c r="L226" s="35" t="str">
        <f t="shared" si="64"/>
        <v/>
      </c>
      <c r="M226" s="35" t="str">
        <f t="shared" si="65"/>
        <v/>
      </c>
      <c r="N226" s="36" t="str">
        <f t="shared" si="66"/>
        <v/>
      </c>
      <c r="O226" s="35" t="str">
        <f t="shared" si="67"/>
        <v/>
      </c>
      <c r="P226" s="35" t="str">
        <f t="shared" si="68"/>
        <v/>
      </c>
      <c r="Q226" s="35" t="str">
        <f t="shared" si="69"/>
        <v/>
      </c>
      <c r="R226" s="35" t="str">
        <f t="shared" si="70"/>
        <v/>
      </c>
      <c r="S226" s="33" t="str">
        <f t="shared" si="71"/>
        <v/>
      </c>
    </row>
    <row r="227" spans="1:19" x14ac:dyDescent="0.3">
      <c r="A227" s="33">
        <f>223</f>
        <v>223</v>
      </c>
      <c r="B227" s="34" t="str">
        <f t="shared" si="54"/>
        <v/>
      </c>
      <c r="C227" s="33" t="str">
        <f t="shared" si="55"/>
        <v/>
      </c>
      <c r="D227" s="33" t="str">
        <f t="shared" si="56"/>
        <v/>
      </c>
      <c r="E227" s="35" t="str">
        <f t="shared" si="57"/>
        <v/>
      </c>
      <c r="F227" s="35" t="str">
        <f t="shared" si="58"/>
        <v/>
      </c>
      <c r="G227" s="33" t="str">
        <f t="shared" si="59"/>
        <v/>
      </c>
      <c r="H227" s="35" t="str">
        <f t="shared" si="60"/>
        <v/>
      </c>
      <c r="I227" s="35" t="str">
        <f t="shared" si="61"/>
        <v/>
      </c>
      <c r="J227" s="35" t="str">
        <f t="shared" si="62"/>
        <v/>
      </c>
      <c r="K227" s="35" t="str">
        <f t="shared" si="63"/>
        <v/>
      </c>
      <c r="L227" s="35" t="str">
        <f t="shared" si="64"/>
        <v/>
      </c>
      <c r="M227" s="35" t="str">
        <f t="shared" si="65"/>
        <v/>
      </c>
      <c r="N227" s="36" t="str">
        <f t="shared" si="66"/>
        <v/>
      </c>
      <c r="O227" s="35" t="str">
        <f t="shared" si="67"/>
        <v/>
      </c>
      <c r="P227" s="35" t="str">
        <f t="shared" si="68"/>
        <v/>
      </c>
      <c r="Q227" s="35" t="str">
        <f t="shared" si="69"/>
        <v/>
      </c>
      <c r="R227" s="35" t="str">
        <f t="shared" si="70"/>
        <v/>
      </c>
      <c r="S227" s="33" t="str">
        <f t="shared" si="71"/>
        <v/>
      </c>
    </row>
    <row r="228" spans="1:19" x14ac:dyDescent="0.3">
      <c r="A228" s="33">
        <f>224</f>
        <v>224</v>
      </c>
      <c r="B228" s="34" t="str">
        <f t="shared" si="54"/>
        <v/>
      </c>
      <c r="C228" s="33" t="str">
        <f t="shared" si="55"/>
        <v/>
      </c>
      <c r="D228" s="33" t="str">
        <f t="shared" si="56"/>
        <v/>
      </c>
      <c r="E228" s="35" t="str">
        <f t="shared" si="57"/>
        <v/>
      </c>
      <c r="F228" s="35" t="str">
        <f t="shared" si="58"/>
        <v/>
      </c>
      <c r="G228" s="33" t="str">
        <f t="shared" si="59"/>
        <v/>
      </c>
      <c r="H228" s="35" t="str">
        <f t="shared" si="60"/>
        <v/>
      </c>
      <c r="I228" s="35" t="str">
        <f t="shared" si="61"/>
        <v/>
      </c>
      <c r="J228" s="35" t="str">
        <f t="shared" si="62"/>
        <v/>
      </c>
      <c r="K228" s="35" t="str">
        <f t="shared" si="63"/>
        <v/>
      </c>
      <c r="L228" s="35" t="str">
        <f t="shared" si="64"/>
        <v/>
      </c>
      <c r="M228" s="35" t="str">
        <f t="shared" si="65"/>
        <v/>
      </c>
      <c r="N228" s="36" t="str">
        <f t="shared" si="66"/>
        <v/>
      </c>
      <c r="O228" s="35" t="str">
        <f t="shared" si="67"/>
        <v/>
      </c>
      <c r="P228" s="35" t="str">
        <f t="shared" si="68"/>
        <v/>
      </c>
      <c r="Q228" s="35" t="str">
        <f t="shared" si="69"/>
        <v/>
      </c>
      <c r="R228" s="35" t="str">
        <f t="shared" si="70"/>
        <v/>
      </c>
      <c r="S228" s="33" t="str">
        <f t="shared" si="71"/>
        <v/>
      </c>
    </row>
    <row r="229" spans="1:19" x14ac:dyDescent="0.3">
      <c r="A229" s="33">
        <f>225</f>
        <v>225</v>
      </c>
      <c r="B229" s="34" t="str">
        <f t="shared" si="54"/>
        <v/>
      </c>
      <c r="C229" s="33" t="str">
        <f t="shared" si="55"/>
        <v/>
      </c>
      <c r="D229" s="33" t="str">
        <f t="shared" si="56"/>
        <v/>
      </c>
      <c r="E229" s="35" t="str">
        <f t="shared" si="57"/>
        <v/>
      </c>
      <c r="F229" s="35" t="str">
        <f t="shared" si="58"/>
        <v/>
      </c>
      <c r="G229" s="33" t="str">
        <f t="shared" si="59"/>
        <v/>
      </c>
      <c r="H229" s="35" t="str">
        <f t="shared" si="60"/>
        <v/>
      </c>
      <c r="I229" s="35" t="str">
        <f t="shared" si="61"/>
        <v/>
      </c>
      <c r="J229" s="35" t="str">
        <f t="shared" si="62"/>
        <v/>
      </c>
      <c r="K229" s="35" t="str">
        <f t="shared" si="63"/>
        <v/>
      </c>
      <c r="L229" s="35" t="str">
        <f t="shared" si="64"/>
        <v/>
      </c>
      <c r="M229" s="35" t="str">
        <f t="shared" si="65"/>
        <v/>
      </c>
      <c r="N229" s="36" t="str">
        <f t="shared" si="66"/>
        <v/>
      </c>
      <c r="O229" s="35" t="str">
        <f t="shared" si="67"/>
        <v/>
      </c>
      <c r="P229" s="35" t="str">
        <f t="shared" si="68"/>
        <v/>
      </c>
      <c r="Q229" s="35" t="str">
        <f t="shared" si="69"/>
        <v/>
      </c>
      <c r="R229" s="35" t="str">
        <f t="shared" si="70"/>
        <v/>
      </c>
      <c r="S229" s="33" t="str">
        <f t="shared" si="71"/>
        <v/>
      </c>
    </row>
    <row r="230" spans="1:19" x14ac:dyDescent="0.3">
      <c r="A230" s="33">
        <f>226</f>
        <v>226</v>
      </c>
      <c r="B230" s="34" t="str">
        <f t="shared" si="54"/>
        <v/>
      </c>
      <c r="C230" s="33" t="str">
        <f t="shared" si="55"/>
        <v/>
      </c>
      <c r="D230" s="33" t="str">
        <f t="shared" si="56"/>
        <v/>
      </c>
      <c r="E230" s="35" t="str">
        <f t="shared" si="57"/>
        <v/>
      </c>
      <c r="F230" s="35" t="str">
        <f t="shared" si="58"/>
        <v/>
      </c>
      <c r="G230" s="33" t="str">
        <f t="shared" si="59"/>
        <v/>
      </c>
      <c r="H230" s="35" t="str">
        <f t="shared" si="60"/>
        <v/>
      </c>
      <c r="I230" s="35" t="str">
        <f t="shared" si="61"/>
        <v/>
      </c>
      <c r="J230" s="35" t="str">
        <f t="shared" si="62"/>
        <v/>
      </c>
      <c r="K230" s="35" t="str">
        <f t="shared" si="63"/>
        <v/>
      </c>
      <c r="L230" s="35" t="str">
        <f t="shared" si="64"/>
        <v/>
      </c>
      <c r="M230" s="35" t="str">
        <f t="shared" si="65"/>
        <v/>
      </c>
      <c r="N230" s="36" t="str">
        <f t="shared" si="66"/>
        <v/>
      </c>
      <c r="O230" s="35" t="str">
        <f t="shared" si="67"/>
        <v/>
      </c>
      <c r="P230" s="35" t="str">
        <f t="shared" si="68"/>
        <v/>
      </c>
      <c r="Q230" s="35" t="str">
        <f t="shared" si="69"/>
        <v/>
      </c>
      <c r="R230" s="35" t="str">
        <f t="shared" si="70"/>
        <v/>
      </c>
      <c r="S230" s="33" t="str">
        <f t="shared" si="71"/>
        <v/>
      </c>
    </row>
    <row r="231" spans="1:19" x14ac:dyDescent="0.3">
      <c r="A231" s="33">
        <f>227</f>
        <v>227</v>
      </c>
      <c r="B231" s="34" t="str">
        <f t="shared" si="54"/>
        <v/>
      </c>
      <c r="C231" s="33" t="str">
        <f t="shared" si="55"/>
        <v/>
      </c>
      <c r="D231" s="33" t="str">
        <f t="shared" si="56"/>
        <v/>
      </c>
      <c r="E231" s="35" t="str">
        <f t="shared" si="57"/>
        <v/>
      </c>
      <c r="F231" s="35" t="str">
        <f t="shared" si="58"/>
        <v/>
      </c>
      <c r="G231" s="33" t="str">
        <f t="shared" si="59"/>
        <v/>
      </c>
      <c r="H231" s="35" t="str">
        <f t="shared" si="60"/>
        <v/>
      </c>
      <c r="I231" s="35" t="str">
        <f t="shared" si="61"/>
        <v/>
      </c>
      <c r="J231" s="35" t="str">
        <f t="shared" si="62"/>
        <v/>
      </c>
      <c r="K231" s="35" t="str">
        <f t="shared" si="63"/>
        <v/>
      </c>
      <c r="L231" s="35" t="str">
        <f t="shared" si="64"/>
        <v/>
      </c>
      <c r="M231" s="35" t="str">
        <f t="shared" si="65"/>
        <v/>
      </c>
      <c r="N231" s="36" t="str">
        <f t="shared" si="66"/>
        <v/>
      </c>
      <c r="O231" s="35" t="str">
        <f t="shared" si="67"/>
        <v/>
      </c>
      <c r="P231" s="35" t="str">
        <f t="shared" si="68"/>
        <v/>
      </c>
      <c r="Q231" s="35" t="str">
        <f t="shared" si="69"/>
        <v/>
      </c>
      <c r="R231" s="35" t="str">
        <f t="shared" si="70"/>
        <v/>
      </c>
      <c r="S231" s="33" t="str">
        <f t="shared" si="71"/>
        <v/>
      </c>
    </row>
    <row r="232" spans="1:19" x14ac:dyDescent="0.3">
      <c r="A232" s="37">
        <f>228</f>
        <v>228</v>
      </c>
      <c r="B232" s="38" t="str">
        <f t="shared" si="54"/>
        <v/>
      </c>
      <c r="C232" s="37" t="str">
        <f t="shared" si="55"/>
        <v/>
      </c>
      <c r="D232" s="37" t="str">
        <f t="shared" si="56"/>
        <v/>
      </c>
      <c r="E232" s="39" t="str">
        <f t="shared" si="57"/>
        <v/>
      </c>
      <c r="F232" s="39" t="str">
        <f t="shared" si="58"/>
        <v/>
      </c>
      <c r="G232" s="37" t="str">
        <f t="shared" si="59"/>
        <v/>
      </c>
      <c r="H232" s="39" t="str">
        <f t="shared" si="60"/>
        <v/>
      </c>
      <c r="I232" s="39" t="str">
        <f t="shared" si="61"/>
        <v/>
      </c>
      <c r="J232" s="39" t="str">
        <f t="shared" si="62"/>
        <v/>
      </c>
      <c r="K232" s="39" t="str">
        <f t="shared" si="63"/>
        <v/>
      </c>
      <c r="L232" s="39" t="str">
        <f t="shared" si="64"/>
        <v/>
      </c>
      <c r="M232" s="39" t="str">
        <f t="shared" si="65"/>
        <v/>
      </c>
      <c r="N232" s="40" t="str">
        <f t="shared" si="66"/>
        <v/>
      </c>
      <c r="O232" s="39" t="str">
        <f t="shared" si="67"/>
        <v/>
      </c>
      <c r="P232" s="39" t="str">
        <f t="shared" si="68"/>
        <v/>
      </c>
      <c r="Q232" s="39" t="str">
        <f t="shared" si="69"/>
        <v/>
      </c>
      <c r="R232" s="39" t="str">
        <f t="shared" si="70"/>
        <v/>
      </c>
      <c r="S232" s="37" t="str">
        <f t="shared" si="71"/>
        <v/>
      </c>
    </row>
    <row r="233" spans="1:19" x14ac:dyDescent="0.3">
      <c r="A233" s="33">
        <f>229</f>
        <v>229</v>
      </c>
      <c r="B233" s="34" t="str">
        <f t="shared" si="54"/>
        <v/>
      </c>
      <c r="C233" s="33" t="str">
        <f t="shared" si="55"/>
        <v/>
      </c>
      <c r="D233" s="33" t="str">
        <f t="shared" si="56"/>
        <v/>
      </c>
      <c r="E233" s="35" t="str">
        <f t="shared" si="57"/>
        <v/>
      </c>
      <c r="F233" s="35" t="str">
        <f t="shared" si="58"/>
        <v/>
      </c>
      <c r="G233" s="33" t="str">
        <f t="shared" si="59"/>
        <v/>
      </c>
      <c r="H233" s="35" t="str">
        <f t="shared" si="60"/>
        <v/>
      </c>
      <c r="I233" s="35" t="str">
        <f t="shared" si="61"/>
        <v/>
      </c>
      <c r="J233" s="35" t="str">
        <f t="shared" si="62"/>
        <v/>
      </c>
      <c r="K233" s="35" t="str">
        <f t="shared" si="63"/>
        <v/>
      </c>
      <c r="L233" s="35" t="str">
        <f t="shared" si="64"/>
        <v/>
      </c>
      <c r="M233" s="35" t="str">
        <f t="shared" si="65"/>
        <v/>
      </c>
      <c r="N233" s="36" t="str">
        <f t="shared" si="66"/>
        <v/>
      </c>
      <c r="O233" s="35" t="str">
        <f t="shared" si="67"/>
        <v/>
      </c>
      <c r="P233" s="35" t="str">
        <f t="shared" si="68"/>
        <v/>
      </c>
      <c r="Q233" s="35" t="str">
        <f t="shared" si="69"/>
        <v/>
      </c>
      <c r="R233" s="35" t="str">
        <f t="shared" si="70"/>
        <v/>
      </c>
      <c r="S233" s="33" t="str">
        <f t="shared" si="71"/>
        <v/>
      </c>
    </row>
    <row r="234" spans="1:19" x14ac:dyDescent="0.3">
      <c r="A234" s="33">
        <f>230</f>
        <v>230</v>
      </c>
      <c r="B234" s="34" t="str">
        <f t="shared" si="54"/>
        <v/>
      </c>
      <c r="C234" s="33" t="str">
        <f t="shared" si="55"/>
        <v/>
      </c>
      <c r="D234" s="33" t="str">
        <f t="shared" si="56"/>
        <v/>
      </c>
      <c r="E234" s="35" t="str">
        <f t="shared" si="57"/>
        <v/>
      </c>
      <c r="F234" s="35" t="str">
        <f t="shared" si="58"/>
        <v/>
      </c>
      <c r="G234" s="33" t="str">
        <f t="shared" si="59"/>
        <v/>
      </c>
      <c r="H234" s="35" t="str">
        <f t="shared" si="60"/>
        <v/>
      </c>
      <c r="I234" s="35" t="str">
        <f t="shared" si="61"/>
        <v/>
      </c>
      <c r="J234" s="35" t="str">
        <f t="shared" si="62"/>
        <v/>
      </c>
      <c r="K234" s="35" t="str">
        <f t="shared" si="63"/>
        <v/>
      </c>
      <c r="L234" s="35" t="str">
        <f t="shared" si="64"/>
        <v/>
      </c>
      <c r="M234" s="35" t="str">
        <f t="shared" si="65"/>
        <v/>
      </c>
      <c r="N234" s="36" t="str">
        <f t="shared" si="66"/>
        <v/>
      </c>
      <c r="O234" s="35" t="str">
        <f t="shared" si="67"/>
        <v/>
      </c>
      <c r="P234" s="35" t="str">
        <f t="shared" si="68"/>
        <v/>
      </c>
      <c r="Q234" s="35" t="str">
        <f t="shared" si="69"/>
        <v/>
      </c>
      <c r="R234" s="35" t="str">
        <f t="shared" si="70"/>
        <v/>
      </c>
      <c r="S234" s="33" t="str">
        <f t="shared" si="71"/>
        <v/>
      </c>
    </row>
    <row r="235" spans="1:19" x14ac:dyDescent="0.3">
      <c r="A235" s="33">
        <f>231</f>
        <v>231</v>
      </c>
      <c r="B235" s="34" t="str">
        <f t="shared" si="54"/>
        <v/>
      </c>
      <c r="C235" s="33" t="str">
        <f t="shared" si="55"/>
        <v/>
      </c>
      <c r="D235" s="33" t="str">
        <f t="shared" si="56"/>
        <v/>
      </c>
      <c r="E235" s="35" t="str">
        <f t="shared" si="57"/>
        <v/>
      </c>
      <c r="F235" s="35" t="str">
        <f t="shared" si="58"/>
        <v/>
      </c>
      <c r="G235" s="33" t="str">
        <f t="shared" si="59"/>
        <v/>
      </c>
      <c r="H235" s="35" t="str">
        <f t="shared" si="60"/>
        <v/>
      </c>
      <c r="I235" s="35" t="str">
        <f t="shared" si="61"/>
        <v/>
      </c>
      <c r="J235" s="35" t="str">
        <f t="shared" si="62"/>
        <v/>
      </c>
      <c r="K235" s="35" t="str">
        <f t="shared" si="63"/>
        <v/>
      </c>
      <c r="L235" s="35" t="str">
        <f t="shared" si="64"/>
        <v/>
      </c>
      <c r="M235" s="35" t="str">
        <f t="shared" si="65"/>
        <v/>
      </c>
      <c r="N235" s="36" t="str">
        <f t="shared" si="66"/>
        <v/>
      </c>
      <c r="O235" s="35" t="str">
        <f t="shared" si="67"/>
        <v/>
      </c>
      <c r="P235" s="35" t="str">
        <f t="shared" si="68"/>
        <v/>
      </c>
      <c r="Q235" s="35" t="str">
        <f t="shared" si="69"/>
        <v/>
      </c>
      <c r="R235" s="35" t="str">
        <f t="shared" si="70"/>
        <v/>
      </c>
      <c r="S235" s="33" t="str">
        <f t="shared" si="71"/>
        <v/>
      </c>
    </row>
    <row r="236" spans="1:19" x14ac:dyDescent="0.3">
      <c r="A236" s="33">
        <f>232</f>
        <v>232</v>
      </c>
      <c r="B236" s="34" t="str">
        <f t="shared" si="54"/>
        <v/>
      </c>
      <c r="C236" s="33" t="str">
        <f t="shared" si="55"/>
        <v/>
      </c>
      <c r="D236" s="33" t="str">
        <f t="shared" si="56"/>
        <v/>
      </c>
      <c r="E236" s="35" t="str">
        <f t="shared" si="57"/>
        <v/>
      </c>
      <c r="F236" s="35" t="str">
        <f t="shared" si="58"/>
        <v/>
      </c>
      <c r="G236" s="33" t="str">
        <f t="shared" si="59"/>
        <v/>
      </c>
      <c r="H236" s="35" t="str">
        <f t="shared" si="60"/>
        <v/>
      </c>
      <c r="I236" s="35" t="str">
        <f t="shared" si="61"/>
        <v/>
      </c>
      <c r="J236" s="35" t="str">
        <f t="shared" si="62"/>
        <v/>
      </c>
      <c r="K236" s="35" t="str">
        <f t="shared" si="63"/>
        <v/>
      </c>
      <c r="L236" s="35" t="str">
        <f t="shared" si="64"/>
        <v/>
      </c>
      <c r="M236" s="35" t="str">
        <f t="shared" si="65"/>
        <v/>
      </c>
      <c r="N236" s="36" t="str">
        <f t="shared" si="66"/>
        <v/>
      </c>
      <c r="O236" s="35" t="str">
        <f t="shared" si="67"/>
        <v/>
      </c>
      <c r="P236" s="35" t="str">
        <f t="shared" si="68"/>
        <v/>
      </c>
      <c r="Q236" s="35" t="str">
        <f t="shared" si="69"/>
        <v/>
      </c>
      <c r="R236" s="35" t="str">
        <f t="shared" si="70"/>
        <v/>
      </c>
      <c r="S236" s="33" t="str">
        <f t="shared" si="71"/>
        <v/>
      </c>
    </row>
    <row r="237" spans="1:19" x14ac:dyDescent="0.3">
      <c r="A237" s="33">
        <f>233</f>
        <v>233</v>
      </c>
      <c r="B237" s="34" t="str">
        <f t="shared" si="54"/>
        <v/>
      </c>
      <c r="C237" s="33" t="str">
        <f t="shared" si="55"/>
        <v/>
      </c>
      <c r="D237" s="33" t="str">
        <f t="shared" si="56"/>
        <v/>
      </c>
      <c r="E237" s="35" t="str">
        <f t="shared" si="57"/>
        <v/>
      </c>
      <c r="F237" s="35" t="str">
        <f t="shared" si="58"/>
        <v/>
      </c>
      <c r="G237" s="33" t="str">
        <f t="shared" si="59"/>
        <v/>
      </c>
      <c r="H237" s="35" t="str">
        <f t="shared" si="60"/>
        <v/>
      </c>
      <c r="I237" s="35" t="str">
        <f t="shared" si="61"/>
        <v/>
      </c>
      <c r="J237" s="35" t="str">
        <f t="shared" si="62"/>
        <v/>
      </c>
      <c r="K237" s="35" t="str">
        <f t="shared" si="63"/>
        <v/>
      </c>
      <c r="L237" s="35" t="str">
        <f t="shared" si="64"/>
        <v/>
      </c>
      <c r="M237" s="35" t="str">
        <f t="shared" si="65"/>
        <v/>
      </c>
      <c r="N237" s="36" t="str">
        <f t="shared" si="66"/>
        <v/>
      </c>
      <c r="O237" s="35" t="str">
        <f t="shared" si="67"/>
        <v/>
      </c>
      <c r="P237" s="35" t="str">
        <f t="shared" si="68"/>
        <v/>
      </c>
      <c r="Q237" s="35" t="str">
        <f t="shared" si="69"/>
        <v/>
      </c>
      <c r="R237" s="35" t="str">
        <f t="shared" si="70"/>
        <v/>
      </c>
      <c r="S237" s="33" t="str">
        <f t="shared" si="71"/>
        <v/>
      </c>
    </row>
    <row r="238" spans="1:19" x14ac:dyDescent="0.3">
      <c r="A238" s="33">
        <f>234</f>
        <v>234</v>
      </c>
      <c r="B238" s="34" t="str">
        <f t="shared" si="54"/>
        <v/>
      </c>
      <c r="C238" s="33" t="str">
        <f t="shared" si="55"/>
        <v/>
      </c>
      <c r="D238" s="33" t="str">
        <f t="shared" si="56"/>
        <v/>
      </c>
      <c r="E238" s="35" t="str">
        <f t="shared" si="57"/>
        <v/>
      </c>
      <c r="F238" s="35" t="str">
        <f t="shared" si="58"/>
        <v/>
      </c>
      <c r="G238" s="33" t="str">
        <f t="shared" si="59"/>
        <v/>
      </c>
      <c r="H238" s="35" t="str">
        <f t="shared" si="60"/>
        <v/>
      </c>
      <c r="I238" s="35" t="str">
        <f t="shared" si="61"/>
        <v/>
      </c>
      <c r="J238" s="35" t="str">
        <f t="shared" si="62"/>
        <v/>
      </c>
      <c r="K238" s="35" t="str">
        <f t="shared" si="63"/>
        <v/>
      </c>
      <c r="L238" s="35" t="str">
        <f t="shared" si="64"/>
        <v/>
      </c>
      <c r="M238" s="35" t="str">
        <f t="shared" si="65"/>
        <v/>
      </c>
      <c r="N238" s="36" t="str">
        <f t="shared" si="66"/>
        <v/>
      </c>
      <c r="O238" s="35" t="str">
        <f t="shared" si="67"/>
        <v/>
      </c>
      <c r="P238" s="35" t="str">
        <f t="shared" si="68"/>
        <v/>
      </c>
      <c r="Q238" s="35" t="str">
        <f t="shared" si="69"/>
        <v/>
      </c>
      <c r="R238" s="35" t="str">
        <f t="shared" si="70"/>
        <v/>
      </c>
      <c r="S238" s="33" t="str">
        <f t="shared" si="71"/>
        <v/>
      </c>
    </row>
    <row r="239" spans="1:19" x14ac:dyDescent="0.3">
      <c r="A239" s="33">
        <f>235</f>
        <v>235</v>
      </c>
      <c r="B239" s="34" t="str">
        <f t="shared" si="54"/>
        <v/>
      </c>
      <c r="C239" s="33" t="str">
        <f t="shared" si="55"/>
        <v/>
      </c>
      <c r="D239" s="33" t="str">
        <f t="shared" si="56"/>
        <v/>
      </c>
      <c r="E239" s="35" t="str">
        <f t="shared" si="57"/>
        <v/>
      </c>
      <c r="F239" s="35" t="str">
        <f t="shared" si="58"/>
        <v/>
      </c>
      <c r="G239" s="33" t="str">
        <f t="shared" si="59"/>
        <v/>
      </c>
      <c r="H239" s="35" t="str">
        <f t="shared" si="60"/>
        <v/>
      </c>
      <c r="I239" s="35" t="str">
        <f t="shared" si="61"/>
        <v/>
      </c>
      <c r="J239" s="35" t="str">
        <f t="shared" si="62"/>
        <v/>
      </c>
      <c r="K239" s="35" t="str">
        <f t="shared" si="63"/>
        <v/>
      </c>
      <c r="L239" s="35" t="str">
        <f t="shared" si="64"/>
        <v/>
      </c>
      <c r="M239" s="35" t="str">
        <f t="shared" si="65"/>
        <v/>
      </c>
      <c r="N239" s="36" t="str">
        <f t="shared" si="66"/>
        <v/>
      </c>
      <c r="O239" s="35" t="str">
        <f t="shared" si="67"/>
        <v/>
      </c>
      <c r="P239" s="35" t="str">
        <f t="shared" si="68"/>
        <v/>
      </c>
      <c r="Q239" s="35" t="str">
        <f t="shared" si="69"/>
        <v/>
      </c>
      <c r="R239" s="35" t="str">
        <f t="shared" si="70"/>
        <v/>
      </c>
      <c r="S239" s="33" t="str">
        <f t="shared" si="71"/>
        <v/>
      </c>
    </row>
    <row r="240" spans="1:19" x14ac:dyDescent="0.3">
      <c r="A240" s="33">
        <f>236</f>
        <v>236</v>
      </c>
      <c r="B240" s="34" t="str">
        <f t="shared" si="54"/>
        <v/>
      </c>
      <c r="C240" s="33" t="str">
        <f t="shared" si="55"/>
        <v/>
      </c>
      <c r="D240" s="33" t="str">
        <f t="shared" si="56"/>
        <v/>
      </c>
      <c r="E240" s="35" t="str">
        <f t="shared" si="57"/>
        <v/>
      </c>
      <c r="F240" s="35" t="str">
        <f t="shared" si="58"/>
        <v/>
      </c>
      <c r="G240" s="33" t="str">
        <f t="shared" si="59"/>
        <v/>
      </c>
      <c r="H240" s="35" t="str">
        <f t="shared" si="60"/>
        <v/>
      </c>
      <c r="I240" s="35" t="str">
        <f t="shared" si="61"/>
        <v/>
      </c>
      <c r="J240" s="35" t="str">
        <f t="shared" si="62"/>
        <v/>
      </c>
      <c r="K240" s="35" t="str">
        <f t="shared" si="63"/>
        <v/>
      </c>
      <c r="L240" s="35" t="str">
        <f t="shared" si="64"/>
        <v/>
      </c>
      <c r="M240" s="35" t="str">
        <f t="shared" si="65"/>
        <v/>
      </c>
      <c r="N240" s="36" t="str">
        <f t="shared" si="66"/>
        <v/>
      </c>
      <c r="O240" s="35" t="str">
        <f t="shared" si="67"/>
        <v/>
      </c>
      <c r="P240" s="35" t="str">
        <f t="shared" si="68"/>
        <v/>
      </c>
      <c r="Q240" s="35" t="str">
        <f t="shared" si="69"/>
        <v/>
      </c>
      <c r="R240" s="35" t="str">
        <f t="shared" si="70"/>
        <v/>
      </c>
      <c r="S240" s="33" t="str">
        <f t="shared" si="71"/>
        <v/>
      </c>
    </row>
    <row r="241" spans="1:19" x14ac:dyDescent="0.3">
      <c r="A241" s="33">
        <f>237</f>
        <v>237</v>
      </c>
      <c r="B241" s="34" t="str">
        <f t="shared" si="54"/>
        <v/>
      </c>
      <c r="C241" s="33" t="str">
        <f t="shared" si="55"/>
        <v/>
      </c>
      <c r="D241" s="33" t="str">
        <f t="shared" si="56"/>
        <v/>
      </c>
      <c r="E241" s="35" t="str">
        <f t="shared" si="57"/>
        <v/>
      </c>
      <c r="F241" s="35" t="str">
        <f t="shared" si="58"/>
        <v/>
      </c>
      <c r="G241" s="33" t="str">
        <f t="shared" si="59"/>
        <v/>
      </c>
      <c r="H241" s="35" t="str">
        <f t="shared" si="60"/>
        <v/>
      </c>
      <c r="I241" s="35" t="str">
        <f t="shared" si="61"/>
        <v/>
      </c>
      <c r="J241" s="35" t="str">
        <f t="shared" si="62"/>
        <v/>
      </c>
      <c r="K241" s="35" t="str">
        <f t="shared" si="63"/>
        <v/>
      </c>
      <c r="L241" s="35" t="str">
        <f t="shared" si="64"/>
        <v/>
      </c>
      <c r="M241" s="35" t="str">
        <f t="shared" si="65"/>
        <v/>
      </c>
      <c r="N241" s="36" t="str">
        <f t="shared" si="66"/>
        <v/>
      </c>
      <c r="O241" s="35" t="str">
        <f t="shared" si="67"/>
        <v/>
      </c>
      <c r="P241" s="35" t="str">
        <f t="shared" si="68"/>
        <v/>
      </c>
      <c r="Q241" s="35" t="str">
        <f t="shared" si="69"/>
        <v/>
      </c>
      <c r="R241" s="35" t="str">
        <f t="shared" si="70"/>
        <v/>
      </c>
      <c r="S241" s="33" t="str">
        <f t="shared" si="71"/>
        <v/>
      </c>
    </row>
    <row r="242" spans="1:19" x14ac:dyDescent="0.3">
      <c r="A242" s="33">
        <f>238</f>
        <v>238</v>
      </c>
      <c r="B242" s="34" t="str">
        <f t="shared" si="54"/>
        <v/>
      </c>
      <c r="C242" s="33" t="str">
        <f t="shared" si="55"/>
        <v/>
      </c>
      <c r="D242" s="33" t="str">
        <f t="shared" si="56"/>
        <v/>
      </c>
      <c r="E242" s="35" t="str">
        <f t="shared" si="57"/>
        <v/>
      </c>
      <c r="F242" s="35" t="str">
        <f t="shared" si="58"/>
        <v/>
      </c>
      <c r="G242" s="33" t="str">
        <f t="shared" si="59"/>
        <v/>
      </c>
      <c r="H242" s="35" t="str">
        <f t="shared" si="60"/>
        <v/>
      </c>
      <c r="I242" s="35" t="str">
        <f t="shared" si="61"/>
        <v/>
      </c>
      <c r="J242" s="35" t="str">
        <f t="shared" si="62"/>
        <v/>
      </c>
      <c r="K242" s="35" t="str">
        <f t="shared" si="63"/>
        <v/>
      </c>
      <c r="L242" s="35" t="str">
        <f t="shared" si="64"/>
        <v/>
      </c>
      <c r="M242" s="35" t="str">
        <f t="shared" si="65"/>
        <v/>
      </c>
      <c r="N242" s="36" t="str">
        <f t="shared" si="66"/>
        <v/>
      </c>
      <c r="O242" s="35" t="str">
        <f t="shared" si="67"/>
        <v/>
      </c>
      <c r="P242" s="35" t="str">
        <f t="shared" si="68"/>
        <v/>
      </c>
      <c r="Q242" s="35" t="str">
        <f t="shared" si="69"/>
        <v/>
      </c>
      <c r="R242" s="35" t="str">
        <f t="shared" si="70"/>
        <v/>
      </c>
      <c r="S242" s="33" t="str">
        <f t="shared" si="71"/>
        <v/>
      </c>
    </row>
    <row r="243" spans="1:19" x14ac:dyDescent="0.3">
      <c r="A243" s="33">
        <f>239</f>
        <v>239</v>
      </c>
      <c r="B243" s="34" t="str">
        <f t="shared" si="54"/>
        <v/>
      </c>
      <c r="C243" s="33" t="str">
        <f t="shared" si="55"/>
        <v/>
      </c>
      <c r="D243" s="33" t="str">
        <f t="shared" si="56"/>
        <v/>
      </c>
      <c r="E243" s="35" t="str">
        <f t="shared" si="57"/>
        <v/>
      </c>
      <c r="F243" s="35" t="str">
        <f t="shared" si="58"/>
        <v/>
      </c>
      <c r="G243" s="33" t="str">
        <f t="shared" si="59"/>
        <v/>
      </c>
      <c r="H243" s="35" t="str">
        <f t="shared" si="60"/>
        <v/>
      </c>
      <c r="I243" s="35" t="str">
        <f t="shared" si="61"/>
        <v/>
      </c>
      <c r="J243" s="35" t="str">
        <f t="shared" si="62"/>
        <v/>
      </c>
      <c r="K243" s="35" t="str">
        <f t="shared" si="63"/>
        <v/>
      </c>
      <c r="L243" s="35" t="str">
        <f t="shared" si="64"/>
        <v/>
      </c>
      <c r="M243" s="35" t="str">
        <f t="shared" si="65"/>
        <v/>
      </c>
      <c r="N243" s="36" t="str">
        <f t="shared" si="66"/>
        <v/>
      </c>
      <c r="O243" s="35" t="str">
        <f t="shared" si="67"/>
        <v/>
      </c>
      <c r="P243" s="35" t="str">
        <f t="shared" si="68"/>
        <v/>
      </c>
      <c r="Q243" s="35" t="str">
        <f t="shared" si="69"/>
        <v/>
      </c>
      <c r="R243" s="35" t="str">
        <f t="shared" si="70"/>
        <v/>
      </c>
      <c r="S243" s="33" t="str">
        <f t="shared" si="71"/>
        <v/>
      </c>
    </row>
    <row r="244" spans="1:19" x14ac:dyDescent="0.3">
      <c r="A244" s="37">
        <f>240</f>
        <v>240</v>
      </c>
      <c r="B244" s="38" t="str">
        <f t="shared" si="54"/>
        <v/>
      </c>
      <c r="C244" s="37" t="str">
        <f t="shared" si="55"/>
        <v/>
      </c>
      <c r="D244" s="37" t="str">
        <f t="shared" si="56"/>
        <v/>
      </c>
      <c r="E244" s="39" t="str">
        <f t="shared" si="57"/>
        <v/>
      </c>
      <c r="F244" s="39" t="str">
        <f t="shared" si="58"/>
        <v/>
      </c>
      <c r="G244" s="37" t="str">
        <f t="shared" si="59"/>
        <v/>
      </c>
      <c r="H244" s="39" t="str">
        <f t="shared" si="60"/>
        <v/>
      </c>
      <c r="I244" s="39" t="str">
        <f t="shared" si="61"/>
        <v/>
      </c>
      <c r="J244" s="39" t="str">
        <f t="shared" si="62"/>
        <v/>
      </c>
      <c r="K244" s="39" t="str">
        <f t="shared" si="63"/>
        <v/>
      </c>
      <c r="L244" s="39" t="str">
        <f t="shared" si="64"/>
        <v/>
      </c>
      <c r="M244" s="39" t="str">
        <f t="shared" si="65"/>
        <v/>
      </c>
      <c r="N244" s="40" t="str">
        <f t="shared" si="66"/>
        <v/>
      </c>
      <c r="O244" s="39" t="str">
        <f t="shared" si="67"/>
        <v/>
      </c>
      <c r="P244" s="39" t="str">
        <f t="shared" si="68"/>
        <v/>
      </c>
      <c r="Q244" s="39" t="str">
        <f t="shared" si="69"/>
        <v/>
      </c>
      <c r="R244" s="39" t="str">
        <f t="shared" si="70"/>
        <v/>
      </c>
      <c r="S244" s="37" t="str">
        <f t="shared" si="71"/>
        <v/>
      </c>
    </row>
    <row r="245" spans="1:19" x14ac:dyDescent="0.3">
      <c r="A245" s="33">
        <f>241</f>
        <v>241</v>
      </c>
      <c r="B245" s="34" t="str">
        <f t="shared" si="54"/>
        <v/>
      </c>
      <c r="C245" s="33" t="str">
        <f t="shared" si="55"/>
        <v/>
      </c>
      <c r="D245" s="33" t="str">
        <f t="shared" si="56"/>
        <v/>
      </c>
      <c r="E245" s="35" t="str">
        <f t="shared" si="57"/>
        <v/>
      </c>
      <c r="F245" s="35" t="str">
        <f t="shared" si="58"/>
        <v/>
      </c>
      <c r="G245" s="33" t="str">
        <f t="shared" si="59"/>
        <v/>
      </c>
      <c r="H245" s="35" t="str">
        <f t="shared" si="60"/>
        <v/>
      </c>
      <c r="I245" s="35" t="str">
        <f t="shared" si="61"/>
        <v/>
      </c>
      <c r="J245" s="35" t="str">
        <f t="shared" si="62"/>
        <v/>
      </c>
      <c r="K245" s="35" t="str">
        <f t="shared" si="63"/>
        <v/>
      </c>
      <c r="L245" s="35" t="str">
        <f t="shared" si="64"/>
        <v/>
      </c>
      <c r="M245" s="35" t="str">
        <f t="shared" si="65"/>
        <v/>
      </c>
      <c r="N245" s="36" t="str">
        <f t="shared" si="66"/>
        <v/>
      </c>
      <c r="O245" s="35" t="str">
        <f t="shared" si="67"/>
        <v/>
      </c>
      <c r="P245" s="35" t="str">
        <f t="shared" si="68"/>
        <v/>
      </c>
      <c r="Q245" s="35" t="str">
        <f t="shared" si="69"/>
        <v/>
      </c>
      <c r="R245" s="35" t="str">
        <f t="shared" si="70"/>
        <v/>
      </c>
      <c r="S245" s="33" t="str">
        <f t="shared" si="71"/>
        <v/>
      </c>
    </row>
    <row r="246" spans="1:19" x14ac:dyDescent="0.3">
      <c r="A246" s="33">
        <f>242</f>
        <v>242</v>
      </c>
      <c r="B246" s="34" t="str">
        <f t="shared" si="54"/>
        <v/>
      </c>
      <c r="C246" s="33" t="str">
        <f t="shared" si="55"/>
        <v/>
      </c>
      <c r="D246" s="33" t="str">
        <f t="shared" si="56"/>
        <v/>
      </c>
      <c r="E246" s="35" t="str">
        <f t="shared" si="57"/>
        <v/>
      </c>
      <c r="F246" s="35" t="str">
        <f t="shared" si="58"/>
        <v/>
      </c>
      <c r="G246" s="33" t="str">
        <f t="shared" si="59"/>
        <v/>
      </c>
      <c r="H246" s="35" t="str">
        <f t="shared" si="60"/>
        <v/>
      </c>
      <c r="I246" s="35" t="str">
        <f t="shared" si="61"/>
        <v/>
      </c>
      <c r="J246" s="35" t="str">
        <f t="shared" si="62"/>
        <v/>
      </c>
      <c r="K246" s="35" t="str">
        <f t="shared" si="63"/>
        <v/>
      </c>
      <c r="L246" s="35" t="str">
        <f t="shared" si="64"/>
        <v/>
      </c>
      <c r="M246" s="35" t="str">
        <f t="shared" si="65"/>
        <v/>
      </c>
      <c r="N246" s="36" t="str">
        <f t="shared" si="66"/>
        <v/>
      </c>
      <c r="O246" s="35" t="str">
        <f t="shared" si="67"/>
        <v/>
      </c>
      <c r="P246" s="35" t="str">
        <f t="shared" si="68"/>
        <v/>
      </c>
      <c r="Q246" s="35" t="str">
        <f t="shared" si="69"/>
        <v/>
      </c>
      <c r="R246" s="35" t="str">
        <f t="shared" si="70"/>
        <v/>
      </c>
      <c r="S246" s="33" t="str">
        <f t="shared" si="71"/>
        <v/>
      </c>
    </row>
    <row r="247" spans="1:19" x14ac:dyDescent="0.3">
      <c r="A247" s="33">
        <f>243</f>
        <v>243</v>
      </c>
      <c r="B247" s="34" t="str">
        <f t="shared" si="54"/>
        <v/>
      </c>
      <c r="C247" s="33" t="str">
        <f t="shared" si="55"/>
        <v/>
      </c>
      <c r="D247" s="33" t="str">
        <f t="shared" si="56"/>
        <v/>
      </c>
      <c r="E247" s="35" t="str">
        <f t="shared" si="57"/>
        <v/>
      </c>
      <c r="F247" s="35" t="str">
        <f t="shared" si="58"/>
        <v/>
      </c>
      <c r="G247" s="33" t="str">
        <f t="shared" si="59"/>
        <v/>
      </c>
      <c r="H247" s="35" t="str">
        <f t="shared" si="60"/>
        <v/>
      </c>
      <c r="I247" s="35" t="str">
        <f t="shared" si="61"/>
        <v/>
      </c>
      <c r="J247" s="35" t="str">
        <f t="shared" si="62"/>
        <v/>
      </c>
      <c r="K247" s="35" t="str">
        <f t="shared" si="63"/>
        <v/>
      </c>
      <c r="L247" s="35" t="str">
        <f t="shared" si="64"/>
        <v/>
      </c>
      <c r="M247" s="35" t="str">
        <f t="shared" si="65"/>
        <v/>
      </c>
      <c r="N247" s="36" t="str">
        <f t="shared" si="66"/>
        <v/>
      </c>
      <c r="O247" s="35" t="str">
        <f t="shared" si="67"/>
        <v/>
      </c>
      <c r="P247" s="35" t="str">
        <f t="shared" si="68"/>
        <v/>
      </c>
      <c r="Q247" s="35" t="str">
        <f t="shared" si="69"/>
        <v/>
      </c>
      <c r="R247" s="35" t="str">
        <f t="shared" si="70"/>
        <v/>
      </c>
      <c r="S247" s="33" t="str">
        <f t="shared" si="71"/>
        <v/>
      </c>
    </row>
    <row r="248" spans="1:19" x14ac:dyDescent="0.3">
      <c r="A248" s="33">
        <f>244</f>
        <v>244</v>
      </c>
      <c r="B248" s="34" t="str">
        <f t="shared" si="54"/>
        <v/>
      </c>
      <c r="C248" s="33" t="str">
        <f t="shared" si="55"/>
        <v/>
      </c>
      <c r="D248" s="33" t="str">
        <f t="shared" si="56"/>
        <v/>
      </c>
      <c r="E248" s="35" t="str">
        <f t="shared" si="57"/>
        <v/>
      </c>
      <c r="F248" s="35" t="str">
        <f t="shared" si="58"/>
        <v/>
      </c>
      <c r="G248" s="33" t="str">
        <f t="shared" si="59"/>
        <v/>
      </c>
      <c r="H248" s="35" t="str">
        <f t="shared" si="60"/>
        <v/>
      </c>
      <c r="I248" s="35" t="str">
        <f t="shared" si="61"/>
        <v/>
      </c>
      <c r="J248" s="35" t="str">
        <f t="shared" si="62"/>
        <v/>
      </c>
      <c r="K248" s="35" t="str">
        <f t="shared" si="63"/>
        <v/>
      </c>
      <c r="L248" s="35" t="str">
        <f t="shared" si="64"/>
        <v/>
      </c>
      <c r="M248" s="35" t="str">
        <f t="shared" si="65"/>
        <v/>
      </c>
      <c r="N248" s="36" t="str">
        <f t="shared" si="66"/>
        <v/>
      </c>
      <c r="O248" s="35" t="str">
        <f t="shared" si="67"/>
        <v/>
      </c>
      <c r="P248" s="35" t="str">
        <f t="shared" si="68"/>
        <v/>
      </c>
      <c r="Q248" s="35" t="str">
        <f t="shared" si="69"/>
        <v/>
      </c>
      <c r="R248" s="35" t="str">
        <f t="shared" si="70"/>
        <v/>
      </c>
      <c r="S248" s="33" t="str">
        <f t="shared" si="71"/>
        <v/>
      </c>
    </row>
    <row r="249" spans="1:19" x14ac:dyDescent="0.3">
      <c r="A249" s="33">
        <f>245</f>
        <v>245</v>
      </c>
      <c r="B249" s="34" t="str">
        <f t="shared" si="54"/>
        <v/>
      </c>
      <c r="C249" s="33" t="str">
        <f t="shared" si="55"/>
        <v/>
      </c>
      <c r="D249" s="33" t="str">
        <f t="shared" si="56"/>
        <v/>
      </c>
      <c r="E249" s="35" t="str">
        <f t="shared" si="57"/>
        <v/>
      </c>
      <c r="F249" s="35" t="str">
        <f t="shared" si="58"/>
        <v/>
      </c>
      <c r="G249" s="33" t="str">
        <f t="shared" si="59"/>
        <v/>
      </c>
      <c r="H249" s="35" t="str">
        <f t="shared" si="60"/>
        <v/>
      </c>
      <c r="I249" s="35" t="str">
        <f t="shared" si="61"/>
        <v/>
      </c>
      <c r="J249" s="35" t="str">
        <f t="shared" si="62"/>
        <v/>
      </c>
      <c r="K249" s="35" t="str">
        <f t="shared" si="63"/>
        <v/>
      </c>
      <c r="L249" s="35" t="str">
        <f t="shared" si="64"/>
        <v/>
      </c>
      <c r="M249" s="35" t="str">
        <f t="shared" si="65"/>
        <v/>
      </c>
      <c r="N249" s="36" t="str">
        <f t="shared" si="66"/>
        <v/>
      </c>
      <c r="O249" s="35" t="str">
        <f t="shared" si="67"/>
        <v/>
      </c>
      <c r="P249" s="35" t="str">
        <f t="shared" si="68"/>
        <v/>
      </c>
      <c r="Q249" s="35" t="str">
        <f t="shared" si="69"/>
        <v/>
      </c>
      <c r="R249" s="35" t="str">
        <f t="shared" si="70"/>
        <v/>
      </c>
      <c r="S249" s="33" t="str">
        <f t="shared" si="71"/>
        <v/>
      </c>
    </row>
    <row r="250" spans="1:19" x14ac:dyDescent="0.3">
      <c r="A250" s="33">
        <f>246</f>
        <v>246</v>
      </c>
      <c r="B250" s="34" t="str">
        <f t="shared" si="54"/>
        <v/>
      </c>
      <c r="C250" s="33" t="str">
        <f t="shared" si="55"/>
        <v/>
      </c>
      <c r="D250" s="33" t="str">
        <f t="shared" si="56"/>
        <v/>
      </c>
      <c r="E250" s="35" t="str">
        <f t="shared" si="57"/>
        <v/>
      </c>
      <c r="F250" s="35" t="str">
        <f t="shared" si="58"/>
        <v/>
      </c>
      <c r="G250" s="33" t="str">
        <f t="shared" si="59"/>
        <v/>
      </c>
      <c r="H250" s="35" t="str">
        <f t="shared" si="60"/>
        <v/>
      </c>
      <c r="I250" s="35" t="str">
        <f t="shared" si="61"/>
        <v/>
      </c>
      <c r="J250" s="35" t="str">
        <f t="shared" si="62"/>
        <v/>
      </c>
      <c r="K250" s="35" t="str">
        <f t="shared" si="63"/>
        <v/>
      </c>
      <c r="L250" s="35" t="str">
        <f t="shared" si="64"/>
        <v/>
      </c>
      <c r="M250" s="35" t="str">
        <f t="shared" si="65"/>
        <v/>
      </c>
      <c r="N250" s="36" t="str">
        <f t="shared" si="66"/>
        <v/>
      </c>
      <c r="O250" s="35" t="str">
        <f t="shared" si="67"/>
        <v/>
      </c>
      <c r="P250" s="35" t="str">
        <f t="shared" si="68"/>
        <v/>
      </c>
      <c r="Q250" s="35" t="str">
        <f t="shared" si="69"/>
        <v/>
      </c>
      <c r="R250" s="35" t="str">
        <f t="shared" si="70"/>
        <v/>
      </c>
      <c r="S250" s="33" t="str">
        <f t="shared" si="71"/>
        <v/>
      </c>
    </row>
    <row r="251" spans="1:19" x14ac:dyDescent="0.3">
      <c r="A251" s="33">
        <f>247</f>
        <v>247</v>
      </c>
      <c r="B251" s="34" t="str">
        <f t="shared" si="54"/>
        <v/>
      </c>
      <c r="C251" s="33" t="str">
        <f t="shared" si="55"/>
        <v/>
      </c>
      <c r="D251" s="33" t="str">
        <f t="shared" si="56"/>
        <v/>
      </c>
      <c r="E251" s="35" t="str">
        <f t="shared" si="57"/>
        <v/>
      </c>
      <c r="F251" s="35" t="str">
        <f t="shared" si="58"/>
        <v/>
      </c>
      <c r="G251" s="33" t="str">
        <f t="shared" si="59"/>
        <v/>
      </c>
      <c r="H251" s="35" t="str">
        <f t="shared" si="60"/>
        <v/>
      </c>
      <c r="I251" s="35" t="str">
        <f t="shared" si="61"/>
        <v/>
      </c>
      <c r="J251" s="35" t="str">
        <f t="shared" si="62"/>
        <v/>
      </c>
      <c r="K251" s="35" t="str">
        <f t="shared" si="63"/>
        <v/>
      </c>
      <c r="L251" s="35" t="str">
        <f t="shared" si="64"/>
        <v/>
      </c>
      <c r="M251" s="35" t="str">
        <f t="shared" si="65"/>
        <v/>
      </c>
      <c r="N251" s="36" t="str">
        <f t="shared" si="66"/>
        <v/>
      </c>
      <c r="O251" s="35" t="str">
        <f t="shared" si="67"/>
        <v/>
      </c>
      <c r="P251" s="35" t="str">
        <f t="shared" si="68"/>
        <v/>
      </c>
      <c r="Q251" s="35" t="str">
        <f t="shared" si="69"/>
        <v/>
      </c>
      <c r="R251" s="35" t="str">
        <f t="shared" si="70"/>
        <v/>
      </c>
      <c r="S251" s="33" t="str">
        <f t="shared" si="71"/>
        <v/>
      </c>
    </row>
    <row r="252" spans="1:19" x14ac:dyDescent="0.3">
      <c r="A252" s="33">
        <f>248</f>
        <v>248</v>
      </c>
      <c r="B252" s="34" t="str">
        <f t="shared" si="54"/>
        <v/>
      </c>
      <c r="C252" s="33" t="str">
        <f t="shared" si="55"/>
        <v/>
      </c>
      <c r="D252" s="33" t="str">
        <f t="shared" si="56"/>
        <v/>
      </c>
      <c r="E252" s="35" t="str">
        <f t="shared" si="57"/>
        <v/>
      </c>
      <c r="F252" s="35" t="str">
        <f t="shared" si="58"/>
        <v/>
      </c>
      <c r="G252" s="33" t="str">
        <f t="shared" si="59"/>
        <v/>
      </c>
      <c r="H252" s="35" t="str">
        <f t="shared" si="60"/>
        <v/>
      </c>
      <c r="I252" s="35" t="str">
        <f t="shared" si="61"/>
        <v/>
      </c>
      <c r="J252" s="35" t="str">
        <f t="shared" si="62"/>
        <v/>
      </c>
      <c r="K252" s="35" t="str">
        <f t="shared" si="63"/>
        <v/>
      </c>
      <c r="L252" s="35" t="str">
        <f t="shared" si="64"/>
        <v/>
      </c>
      <c r="M252" s="35" t="str">
        <f t="shared" si="65"/>
        <v/>
      </c>
      <c r="N252" s="36" t="str">
        <f t="shared" si="66"/>
        <v/>
      </c>
      <c r="O252" s="35" t="str">
        <f t="shared" si="67"/>
        <v/>
      </c>
      <c r="P252" s="35" t="str">
        <f t="shared" si="68"/>
        <v/>
      </c>
      <c r="Q252" s="35" t="str">
        <f t="shared" si="69"/>
        <v/>
      </c>
      <c r="R252" s="35" t="str">
        <f t="shared" si="70"/>
        <v/>
      </c>
      <c r="S252" s="33" t="str">
        <f t="shared" si="71"/>
        <v/>
      </c>
    </row>
    <row r="253" spans="1:19" x14ac:dyDescent="0.3">
      <c r="A253" s="33">
        <f>249</f>
        <v>249</v>
      </c>
      <c r="B253" s="34" t="str">
        <f t="shared" si="54"/>
        <v/>
      </c>
      <c r="C253" s="33" t="str">
        <f t="shared" si="55"/>
        <v/>
      </c>
      <c r="D253" s="33" t="str">
        <f t="shared" si="56"/>
        <v/>
      </c>
      <c r="E253" s="35" t="str">
        <f t="shared" si="57"/>
        <v/>
      </c>
      <c r="F253" s="35" t="str">
        <f t="shared" si="58"/>
        <v/>
      </c>
      <c r="G253" s="33" t="str">
        <f t="shared" si="59"/>
        <v/>
      </c>
      <c r="H253" s="35" t="str">
        <f t="shared" si="60"/>
        <v/>
      </c>
      <c r="I253" s="35" t="str">
        <f t="shared" si="61"/>
        <v/>
      </c>
      <c r="J253" s="35" t="str">
        <f t="shared" si="62"/>
        <v/>
      </c>
      <c r="K253" s="35" t="str">
        <f t="shared" si="63"/>
        <v/>
      </c>
      <c r="L253" s="35" t="str">
        <f t="shared" si="64"/>
        <v/>
      </c>
      <c r="M253" s="35" t="str">
        <f t="shared" si="65"/>
        <v/>
      </c>
      <c r="N253" s="36" t="str">
        <f t="shared" si="66"/>
        <v/>
      </c>
      <c r="O253" s="35" t="str">
        <f t="shared" si="67"/>
        <v/>
      </c>
      <c r="P253" s="35" t="str">
        <f t="shared" si="68"/>
        <v/>
      </c>
      <c r="Q253" s="35" t="str">
        <f t="shared" si="69"/>
        <v/>
      </c>
      <c r="R253" s="35" t="str">
        <f t="shared" si="70"/>
        <v/>
      </c>
      <c r="S253" s="33" t="str">
        <f t="shared" si="71"/>
        <v/>
      </c>
    </row>
    <row r="254" spans="1:19" x14ac:dyDescent="0.3">
      <c r="A254" s="33">
        <f>250</f>
        <v>250</v>
      </c>
      <c r="B254" s="34" t="str">
        <f t="shared" si="54"/>
        <v/>
      </c>
      <c r="C254" s="33" t="str">
        <f t="shared" si="55"/>
        <v/>
      </c>
      <c r="D254" s="33" t="str">
        <f t="shared" si="56"/>
        <v/>
      </c>
      <c r="E254" s="35" t="str">
        <f t="shared" si="57"/>
        <v/>
      </c>
      <c r="F254" s="35" t="str">
        <f t="shared" si="58"/>
        <v/>
      </c>
      <c r="G254" s="33" t="str">
        <f t="shared" si="59"/>
        <v/>
      </c>
      <c r="H254" s="35" t="str">
        <f t="shared" si="60"/>
        <v/>
      </c>
      <c r="I254" s="35" t="str">
        <f t="shared" si="61"/>
        <v/>
      </c>
      <c r="J254" s="35" t="str">
        <f t="shared" si="62"/>
        <v/>
      </c>
      <c r="K254" s="35" t="str">
        <f t="shared" si="63"/>
        <v/>
      </c>
      <c r="L254" s="35" t="str">
        <f t="shared" si="64"/>
        <v/>
      </c>
      <c r="M254" s="35" t="str">
        <f t="shared" si="65"/>
        <v/>
      </c>
      <c r="N254" s="36" t="str">
        <f t="shared" si="66"/>
        <v/>
      </c>
      <c r="O254" s="35" t="str">
        <f t="shared" si="67"/>
        <v/>
      </c>
      <c r="P254" s="35" t="str">
        <f t="shared" si="68"/>
        <v/>
      </c>
      <c r="Q254" s="35" t="str">
        <f t="shared" si="69"/>
        <v/>
      </c>
      <c r="R254" s="35" t="str">
        <f t="shared" si="70"/>
        <v/>
      </c>
      <c r="S254" s="33" t="str">
        <f t="shared" si="71"/>
        <v/>
      </c>
    </row>
    <row r="255" spans="1:19" x14ac:dyDescent="0.3">
      <c r="A255" s="33">
        <f>251</f>
        <v>251</v>
      </c>
      <c r="B255" s="34" t="str">
        <f t="shared" si="54"/>
        <v/>
      </c>
      <c r="C255" s="33" t="str">
        <f t="shared" si="55"/>
        <v/>
      </c>
      <c r="D255" s="33" t="str">
        <f t="shared" si="56"/>
        <v/>
      </c>
      <c r="E255" s="35" t="str">
        <f t="shared" si="57"/>
        <v/>
      </c>
      <c r="F255" s="35" t="str">
        <f t="shared" si="58"/>
        <v/>
      </c>
      <c r="G255" s="33" t="str">
        <f t="shared" si="59"/>
        <v/>
      </c>
      <c r="H255" s="35" t="str">
        <f t="shared" si="60"/>
        <v/>
      </c>
      <c r="I255" s="35" t="str">
        <f t="shared" si="61"/>
        <v/>
      </c>
      <c r="J255" s="35" t="str">
        <f t="shared" si="62"/>
        <v/>
      </c>
      <c r="K255" s="35" t="str">
        <f t="shared" si="63"/>
        <v/>
      </c>
      <c r="L255" s="35" t="str">
        <f t="shared" si="64"/>
        <v/>
      </c>
      <c r="M255" s="35" t="str">
        <f t="shared" si="65"/>
        <v/>
      </c>
      <c r="N255" s="36" t="str">
        <f t="shared" si="66"/>
        <v/>
      </c>
      <c r="O255" s="35" t="str">
        <f t="shared" si="67"/>
        <v/>
      </c>
      <c r="P255" s="35" t="str">
        <f t="shared" si="68"/>
        <v/>
      </c>
      <c r="Q255" s="35" t="str">
        <f t="shared" si="69"/>
        <v/>
      </c>
      <c r="R255" s="35" t="str">
        <f t="shared" si="70"/>
        <v/>
      </c>
      <c r="S255" s="33" t="str">
        <f t="shared" si="71"/>
        <v/>
      </c>
    </row>
    <row r="256" spans="1:19" x14ac:dyDescent="0.3">
      <c r="A256" s="37">
        <f>252</f>
        <v>252</v>
      </c>
      <c r="B256" s="38" t="str">
        <f t="shared" si="54"/>
        <v/>
      </c>
      <c r="C256" s="37" t="str">
        <f t="shared" si="55"/>
        <v/>
      </c>
      <c r="D256" s="37" t="str">
        <f t="shared" si="56"/>
        <v/>
      </c>
      <c r="E256" s="39" t="str">
        <f t="shared" si="57"/>
        <v/>
      </c>
      <c r="F256" s="39" t="str">
        <f t="shared" si="58"/>
        <v/>
      </c>
      <c r="G256" s="37" t="str">
        <f t="shared" si="59"/>
        <v/>
      </c>
      <c r="H256" s="39" t="str">
        <f t="shared" si="60"/>
        <v/>
      </c>
      <c r="I256" s="39" t="str">
        <f t="shared" si="61"/>
        <v/>
      </c>
      <c r="J256" s="39" t="str">
        <f t="shared" si="62"/>
        <v/>
      </c>
      <c r="K256" s="39" t="str">
        <f t="shared" si="63"/>
        <v/>
      </c>
      <c r="L256" s="39" t="str">
        <f t="shared" si="64"/>
        <v/>
      </c>
      <c r="M256" s="39" t="str">
        <f t="shared" si="65"/>
        <v/>
      </c>
      <c r="N256" s="40" t="str">
        <f t="shared" si="66"/>
        <v/>
      </c>
      <c r="O256" s="39" t="str">
        <f t="shared" si="67"/>
        <v/>
      </c>
      <c r="P256" s="39" t="str">
        <f t="shared" si="68"/>
        <v/>
      </c>
      <c r="Q256" s="39" t="str">
        <f t="shared" si="69"/>
        <v/>
      </c>
      <c r="R256" s="39" t="str">
        <f t="shared" si="70"/>
        <v/>
      </c>
      <c r="S256" s="37" t="str">
        <f t="shared" si="71"/>
        <v/>
      </c>
    </row>
    <row r="257" spans="1:19" x14ac:dyDescent="0.3">
      <c r="A257" s="33">
        <f>253</f>
        <v>253</v>
      </c>
      <c r="B257" s="34" t="str">
        <f t="shared" si="54"/>
        <v/>
      </c>
      <c r="C257" s="33" t="str">
        <f t="shared" si="55"/>
        <v/>
      </c>
      <c r="D257" s="33" t="str">
        <f t="shared" si="56"/>
        <v/>
      </c>
      <c r="E257" s="35" t="str">
        <f t="shared" si="57"/>
        <v/>
      </c>
      <c r="F257" s="35" t="str">
        <f t="shared" si="58"/>
        <v/>
      </c>
      <c r="G257" s="33" t="str">
        <f t="shared" si="59"/>
        <v/>
      </c>
      <c r="H257" s="35" t="str">
        <f t="shared" si="60"/>
        <v/>
      </c>
      <c r="I257" s="35" t="str">
        <f t="shared" si="61"/>
        <v/>
      </c>
      <c r="J257" s="35" t="str">
        <f t="shared" si="62"/>
        <v/>
      </c>
      <c r="K257" s="35" t="str">
        <f t="shared" si="63"/>
        <v/>
      </c>
      <c r="L257" s="35" t="str">
        <f t="shared" si="64"/>
        <v/>
      </c>
      <c r="M257" s="35" t="str">
        <f t="shared" si="65"/>
        <v/>
      </c>
      <c r="N257" s="36" t="str">
        <f t="shared" si="66"/>
        <v/>
      </c>
      <c r="O257" s="35" t="str">
        <f t="shared" si="67"/>
        <v/>
      </c>
      <c r="P257" s="35" t="str">
        <f t="shared" si="68"/>
        <v/>
      </c>
      <c r="Q257" s="35" t="str">
        <f t="shared" si="69"/>
        <v/>
      </c>
      <c r="R257" s="35" t="str">
        <f t="shared" si="70"/>
        <v/>
      </c>
      <c r="S257" s="33" t="str">
        <f t="shared" si="71"/>
        <v/>
      </c>
    </row>
    <row r="258" spans="1:19" x14ac:dyDescent="0.3">
      <c r="A258" s="33">
        <f>254</f>
        <v>254</v>
      </c>
      <c r="B258" s="34" t="str">
        <f t="shared" si="54"/>
        <v/>
      </c>
      <c r="C258" s="33" t="str">
        <f t="shared" si="55"/>
        <v/>
      </c>
      <c r="D258" s="33" t="str">
        <f t="shared" si="56"/>
        <v/>
      </c>
      <c r="E258" s="35" t="str">
        <f t="shared" si="57"/>
        <v/>
      </c>
      <c r="F258" s="35" t="str">
        <f t="shared" si="58"/>
        <v/>
      </c>
      <c r="G258" s="33" t="str">
        <f t="shared" si="59"/>
        <v/>
      </c>
      <c r="H258" s="35" t="str">
        <f t="shared" si="60"/>
        <v/>
      </c>
      <c r="I258" s="35" t="str">
        <f t="shared" si="61"/>
        <v/>
      </c>
      <c r="J258" s="35" t="str">
        <f t="shared" si="62"/>
        <v/>
      </c>
      <c r="K258" s="35" t="str">
        <f t="shared" si="63"/>
        <v/>
      </c>
      <c r="L258" s="35" t="str">
        <f t="shared" si="64"/>
        <v/>
      </c>
      <c r="M258" s="35" t="str">
        <f t="shared" si="65"/>
        <v/>
      </c>
      <c r="N258" s="36" t="str">
        <f t="shared" si="66"/>
        <v/>
      </c>
      <c r="O258" s="35" t="str">
        <f t="shared" si="67"/>
        <v/>
      </c>
      <c r="P258" s="35" t="str">
        <f t="shared" si="68"/>
        <v/>
      </c>
      <c r="Q258" s="35" t="str">
        <f t="shared" si="69"/>
        <v/>
      </c>
      <c r="R258" s="35" t="str">
        <f t="shared" si="70"/>
        <v/>
      </c>
      <c r="S258" s="33" t="str">
        <f t="shared" si="71"/>
        <v/>
      </c>
    </row>
    <row r="259" spans="1:19" x14ac:dyDescent="0.3">
      <c r="A259" s="33">
        <f>255</f>
        <v>255</v>
      </c>
      <c r="B259" s="34" t="str">
        <f t="shared" si="54"/>
        <v/>
      </c>
      <c r="C259" s="33" t="str">
        <f t="shared" si="55"/>
        <v/>
      </c>
      <c r="D259" s="33" t="str">
        <f t="shared" si="56"/>
        <v/>
      </c>
      <c r="E259" s="35" t="str">
        <f t="shared" si="57"/>
        <v/>
      </c>
      <c r="F259" s="35" t="str">
        <f t="shared" si="58"/>
        <v/>
      </c>
      <c r="G259" s="33" t="str">
        <f t="shared" si="59"/>
        <v/>
      </c>
      <c r="H259" s="35" t="str">
        <f t="shared" si="60"/>
        <v/>
      </c>
      <c r="I259" s="35" t="str">
        <f t="shared" si="61"/>
        <v/>
      </c>
      <c r="J259" s="35" t="str">
        <f t="shared" si="62"/>
        <v/>
      </c>
      <c r="K259" s="35" t="str">
        <f t="shared" si="63"/>
        <v/>
      </c>
      <c r="L259" s="35" t="str">
        <f t="shared" si="64"/>
        <v/>
      </c>
      <c r="M259" s="35" t="str">
        <f t="shared" si="65"/>
        <v/>
      </c>
      <c r="N259" s="36" t="str">
        <f t="shared" si="66"/>
        <v/>
      </c>
      <c r="O259" s="35" t="str">
        <f t="shared" si="67"/>
        <v/>
      </c>
      <c r="P259" s="35" t="str">
        <f t="shared" si="68"/>
        <v/>
      </c>
      <c r="Q259" s="35" t="str">
        <f t="shared" si="69"/>
        <v/>
      </c>
      <c r="R259" s="35" t="str">
        <f t="shared" si="70"/>
        <v/>
      </c>
      <c r="S259" s="33" t="str">
        <f t="shared" si="71"/>
        <v/>
      </c>
    </row>
    <row r="260" spans="1:19" x14ac:dyDescent="0.3">
      <c r="A260" s="33">
        <f>256</f>
        <v>256</v>
      </c>
      <c r="B260" s="34" t="str">
        <f t="shared" si="54"/>
        <v/>
      </c>
      <c r="C260" s="33" t="str">
        <f t="shared" si="55"/>
        <v/>
      </c>
      <c r="D260" s="33" t="str">
        <f t="shared" si="56"/>
        <v/>
      </c>
      <c r="E260" s="35" t="str">
        <f t="shared" si="57"/>
        <v/>
      </c>
      <c r="F260" s="35" t="str">
        <f t="shared" si="58"/>
        <v/>
      </c>
      <c r="G260" s="33" t="str">
        <f t="shared" si="59"/>
        <v/>
      </c>
      <c r="H260" s="35" t="str">
        <f t="shared" si="60"/>
        <v/>
      </c>
      <c r="I260" s="35" t="str">
        <f t="shared" si="61"/>
        <v/>
      </c>
      <c r="J260" s="35" t="str">
        <f t="shared" si="62"/>
        <v/>
      </c>
      <c r="K260" s="35" t="str">
        <f t="shared" si="63"/>
        <v/>
      </c>
      <c r="L260" s="35" t="str">
        <f t="shared" si="64"/>
        <v/>
      </c>
      <c r="M260" s="35" t="str">
        <f t="shared" si="65"/>
        <v/>
      </c>
      <c r="N260" s="36" t="str">
        <f t="shared" si="66"/>
        <v/>
      </c>
      <c r="O260" s="35" t="str">
        <f t="shared" si="67"/>
        <v/>
      </c>
      <c r="P260" s="35" t="str">
        <f t="shared" si="68"/>
        <v/>
      </c>
      <c r="Q260" s="35" t="str">
        <f t="shared" si="69"/>
        <v/>
      </c>
      <c r="R260" s="35" t="str">
        <f t="shared" si="70"/>
        <v/>
      </c>
      <c r="S260" s="33" t="str">
        <f t="shared" si="71"/>
        <v/>
      </c>
    </row>
    <row r="261" spans="1:19" x14ac:dyDescent="0.3">
      <c r="A261" s="33">
        <f>257</f>
        <v>257</v>
      </c>
      <c r="B261" s="34" t="str">
        <f t="shared" ref="B261:B324" si="72">IF($A261&gt;NYears*12,"",EDATE(StartMonth,$A261-1))</f>
        <v/>
      </c>
      <c r="C261" s="33" t="str">
        <f t="shared" ref="C261:C324" si="73">IF($A261&gt;NYears*12,"",INT(($A261-1)/12)+1)</f>
        <v/>
      </c>
      <c r="D261" s="33" t="str">
        <f t="shared" ref="D261:D324" si="74">IF($A261&gt;NYears*12,"",MOD($A261-1,12)+1)</f>
        <v/>
      </c>
      <c r="E261" s="35" t="str">
        <f t="shared" ref="E261:E324" si="75">IF($A261&gt;NYears*12,"",LotValue0*(1+LotGrowth)^($C261-1))</f>
        <v/>
      </c>
      <c r="F261" s="35" t="str">
        <f t="shared" ref="F261:F324" si="76">IF($A261&gt;NYears*12,"",IF($A261=1,InitInvest,$R260))</f>
        <v/>
      </c>
      <c r="G261" s="33" t="str">
        <f t="shared" ref="G261:G324" si="77">IF($A261&gt;NYears*12,"",INT($F261/$E261))</f>
        <v/>
      </c>
      <c r="H261" s="35" t="str">
        <f t="shared" ref="H261:H324" si="78">IF($A261&gt;NYears*12,"",$G261*$E261)</f>
        <v/>
      </c>
      <c r="I261" s="35" t="str">
        <f t="shared" ref="I261:I324" si="79">IF($A261&gt;NYears*12,"",$F261-$H261)</f>
        <v/>
      </c>
      <c r="J261" s="35" t="str">
        <f t="shared" ref="J261:J324" si="80">IF($A261&gt;NYears*12,"",$H261*RateB)</f>
        <v/>
      </c>
      <c r="K261" s="35" t="str">
        <f t="shared" ref="K261:K324" si="81">IF($A261&gt;NYears*12,"",IF($D261=1,$J261,$K260+$J261))</f>
        <v/>
      </c>
      <c r="L261" s="35" t="str">
        <f t="shared" ref="L261:L324" si="82">IF($A261&gt;NYears*12,"",IF(MOD($D261,3)=0,SUM($J259:$J261),0))</f>
        <v/>
      </c>
      <c r="M261" s="35" t="str">
        <f t="shared" ref="M261:M324" si="83">IF($A261&gt;NYears*12,"",IF(TaxFreq="Quarterly",$K261*12/$D261,$K261))</f>
        <v/>
      </c>
      <c r="N261" s="36" t="str">
        <f t="shared" ref="N261:N324" si="84">IF($A261&gt;NYears*12,"",LOOKUP($M261,TaxLower,TaxRate))</f>
        <v/>
      </c>
      <c r="O261" s="35" t="str">
        <f t="shared" ref="O261:O324" si="85">IF($A261&gt;NYears*12,"",IF(TaxFreq="Quarterly",IF(MOD($D261,3)=0,$L261*$N261,0),IF($D261=12,$K261*$N261,0)))</f>
        <v/>
      </c>
      <c r="P261" s="35" t="str">
        <f t="shared" ref="P261:P324" si="86">IF($A261&gt;NYears*12,"",IF($D261=1,$O261,$P260+$O261))</f>
        <v/>
      </c>
      <c r="Q261" s="35" t="str">
        <f t="shared" ref="Q261:Q324" si="87">IF($A261&gt;NYears*12,"",IF($D261=12,MIN(WdrPct*IF(WdrBase="Post-tax profit",$K261-$P261,$K261),WdrCap),0))</f>
        <v/>
      </c>
      <c r="R261" s="35" t="str">
        <f t="shared" ref="R261:R324" si="88">IF($A261&gt;NYears*12,"",$F261+$J261-$O261-$Q261)</f>
        <v/>
      </c>
      <c r="S261" s="33" t="str">
        <f t="shared" ref="S261:S324" si="89">IF($A261&gt;NYears*12,"",INT($R261/$E261))</f>
        <v/>
      </c>
    </row>
    <row r="262" spans="1:19" x14ac:dyDescent="0.3">
      <c r="A262" s="33">
        <f>258</f>
        <v>258</v>
      </c>
      <c r="B262" s="34" t="str">
        <f t="shared" si="72"/>
        <v/>
      </c>
      <c r="C262" s="33" t="str">
        <f t="shared" si="73"/>
        <v/>
      </c>
      <c r="D262" s="33" t="str">
        <f t="shared" si="74"/>
        <v/>
      </c>
      <c r="E262" s="35" t="str">
        <f t="shared" si="75"/>
        <v/>
      </c>
      <c r="F262" s="35" t="str">
        <f t="shared" si="76"/>
        <v/>
      </c>
      <c r="G262" s="33" t="str">
        <f t="shared" si="77"/>
        <v/>
      </c>
      <c r="H262" s="35" t="str">
        <f t="shared" si="78"/>
        <v/>
      </c>
      <c r="I262" s="35" t="str">
        <f t="shared" si="79"/>
        <v/>
      </c>
      <c r="J262" s="35" t="str">
        <f t="shared" si="80"/>
        <v/>
      </c>
      <c r="K262" s="35" t="str">
        <f t="shared" si="81"/>
        <v/>
      </c>
      <c r="L262" s="35" t="str">
        <f t="shared" si="82"/>
        <v/>
      </c>
      <c r="M262" s="35" t="str">
        <f t="shared" si="83"/>
        <v/>
      </c>
      <c r="N262" s="36" t="str">
        <f t="shared" si="84"/>
        <v/>
      </c>
      <c r="O262" s="35" t="str">
        <f t="shared" si="85"/>
        <v/>
      </c>
      <c r="P262" s="35" t="str">
        <f t="shared" si="86"/>
        <v/>
      </c>
      <c r="Q262" s="35" t="str">
        <f t="shared" si="87"/>
        <v/>
      </c>
      <c r="R262" s="35" t="str">
        <f t="shared" si="88"/>
        <v/>
      </c>
      <c r="S262" s="33" t="str">
        <f t="shared" si="89"/>
        <v/>
      </c>
    </row>
    <row r="263" spans="1:19" x14ac:dyDescent="0.3">
      <c r="A263" s="33">
        <f>259</f>
        <v>259</v>
      </c>
      <c r="B263" s="34" t="str">
        <f t="shared" si="72"/>
        <v/>
      </c>
      <c r="C263" s="33" t="str">
        <f t="shared" si="73"/>
        <v/>
      </c>
      <c r="D263" s="33" t="str">
        <f t="shared" si="74"/>
        <v/>
      </c>
      <c r="E263" s="35" t="str">
        <f t="shared" si="75"/>
        <v/>
      </c>
      <c r="F263" s="35" t="str">
        <f t="shared" si="76"/>
        <v/>
      </c>
      <c r="G263" s="33" t="str">
        <f t="shared" si="77"/>
        <v/>
      </c>
      <c r="H263" s="35" t="str">
        <f t="shared" si="78"/>
        <v/>
      </c>
      <c r="I263" s="35" t="str">
        <f t="shared" si="79"/>
        <v/>
      </c>
      <c r="J263" s="35" t="str">
        <f t="shared" si="80"/>
        <v/>
      </c>
      <c r="K263" s="35" t="str">
        <f t="shared" si="81"/>
        <v/>
      </c>
      <c r="L263" s="35" t="str">
        <f t="shared" si="82"/>
        <v/>
      </c>
      <c r="M263" s="35" t="str">
        <f t="shared" si="83"/>
        <v/>
      </c>
      <c r="N263" s="36" t="str">
        <f t="shared" si="84"/>
        <v/>
      </c>
      <c r="O263" s="35" t="str">
        <f t="shared" si="85"/>
        <v/>
      </c>
      <c r="P263" s="35" t="str">
        <f t="shared" si="86"/>
        <v/>
      </c>
      <c r="Q263" s="35" t="str">
        <f t="shared" si="87"/>
        <v/>
      </c>
      <c r="R263" s="35" t="str">
        <f t="shared" si="88"/>
        <v/>
      </c>
      <c r="S263" s="33" t="str">
        <f t="shared" si="89"/>
        <v/>
      </c>
    </row>
    <row r="264" spans="1:19" x14ac:dyDescent="0.3">
      <c r="A264" s="33">
        <f>260</f>
        <v>260</v>
      </c>
      <c r="B264" s="34" t="str">
        <f t="shared" si="72"/>
        <v/>
      </c>
      <c r="C264" s="33" t="str">
        <f t="shared" si="73"/>
        <v/>
      </c>
      <c r="D264" s="33" t="str">
        <f t="shared" si="74"/>
        <v/>
      </c>
      <c r="E264" s="35" t="str">
        <f t="shared" si="75"/>
        <v/>
      </c>
      <c r="F264" s="35" t="str">
        <f t="shared" si="76"/>
        <v/>
      </c>
      <c r="G264" s="33" t="str">
        <f t="shared" si="77"/>
        <v/>
      </c>
      <c r="H264" s="35" t="str">
        <f t="shared" si="78"/>
        <v/>
      </c>
      <c r="I264" s="35" t="str">
        <f t="shared" si="79"/>
        <v/>
      </c>
      <c r="J264" s="35" t="str">
        <f t="shared" si="80"/>
        <v/>
      </c>
      <c r="K264" s="35" t="str">
        <f t="shared" si="81"/>
        <v/>
      </c>
      <c r="L264" s="35" t="str">
        <f t="shared" si="82"/>
        <v/>
      </c>
      <c r="M264" s="35" t="str">
        <f t="shared" si="83"/>
        <v/>
      </c>
      <c r="N264" s="36" t="str">
        <f t="shared" si="84"/>
        <v/>
      </c>
      <c r="O264" s="35" t="str">
        <f t="shared" si="85"/>
        <v/>
      </c>
      <c r="P264" s="35" t="str">
        <f t="shared" si="86"/>
        <v/>
      </c>
      <c r="Q264" s="35" t="str">
        <f t="shared" si="87"/>
        <v/>
      </c>
      <c r="R264" s="35" t="str">
        <f t="shared" si="88"/>
        <v/>
      </c>
      <c r="S264" s="33" t="str">
        <f t="shared" si="89"/>
        <v/>
      </c>
    </row>
    <row r="265" spans="1:19" x14ac:dyDescent="0.3">
      <c r="A265" s="33">
        <f>261</f>
        <v>261</v>
      </c>
      <c r="B265" s="34" t="str">
        <f t="shared" si="72"/>
        <v/>
      </c>
      <c r="C265" s="33" t="str">
        <f t="shared" si="73"/>
        <v/>
      </c>
      <c r="D265" s="33" t="str">
        <f t="shared" si="74"/>
        <v/>
      </c>
      <c r="E265" s="35" t="str">
        <f t="shared" si="75"/>
        <v/>
      </c>
      <c r="F265" s="35" t="str">
        <f t="shared" si="76"/>
        <v/>
      </c>
      <c r="G265" s="33" t="str">
        <f t="shared" si="77"/>
        <v/>
      </c>
      <c r="H265" s="35" t="str">
        <f t="shared" si="78"/>
        <v/>
      </c>
      <c r="I265" s="35" t="str">
        <f t="shared" si="79"/>
        <v/>
      </c>
      <c r="J265" s="35" t="str">
        <f t="shared" si="80"/>
        <v/>
      </c>
      <c r="K265" s="35" t="str">
        <f t="shared" si="81"/>
        <v/>
      </c>
      <c r="L265" s="35" t="str">
        <f t="shared" si="82"/>
        <v/>
      </c>
      <c r="M265" s="35" t="str">
        <f t="shared" si="83"/>
        <v/>
      </c>
      <c r="N265" s="36" t="str">
        <f t="shared" si="84"/>
        <v/>
      </c>
      <c r="O265" s="35" t="str">
        <f t="shared" si="85"/>
        <v/>
      </c>
      <c r="P265" s="35" t="str">
        <f t="shared" si="86"/>
        <v/>
      </c>
      <c r="Q265" s="35" t="str">
        <f t="shared" si="87"/>
        <v/>
      </c>
      <c r="R265" s="35" t="str">
        <f t="shared" si="88"/>
        <v/>
      </c>
      <c r="S265" s="33" t="str">
        <f t="shared" si="89"/>
        <v/>
      </c>
    </row>
    <row r="266" spans="1:19" x14ac:dyDescent="0.3">
      <c r="A266" s="33">
        <f>262</f>
        <v>262</v>
      </c>
      <c r="B266" s="34" t="str">
        <f t="shared" si="72"/>
        <v/>
      </c>
      <c r="C266" s="33" t="str">
        <f t="shared" si="73"/>
        <v/>
      </c>
      <c r="D266" s="33" t="str">
        <f t="shared" si="74"/>
        <v/>
      </c>
      <c r="E266" s="35" t="str">
        <f t="shared" si="75"/>
        <v/>
      </c>
      <c r="F266" s="35" t="str">
        <f t="shared" si="76"/>
        <v/>
      </c>
      <c r="G266" s="33" t="str">
        <f t="shared" si="77"/>
        <v/>
      </c>
      <c r="H266" s="35" t="str">
        <f t="shared" si="78"/>
        <v/>
      </c>
      <c r="I266" s="35" t="str">
        <f t="shared" si="79"/>
        <v/>
      </c>
      <c r="J266" s="35" t="str">
        <f t="shared" si="80"/>
        <v/>
      </c>
      <c r="K266" s="35" t="str">
        <f t="shared" si="81"/>
        <v/>
      </c>
      <c r="L266" s="35" t="str">
        <f t="shared" si="82"/>
        <v/>
      </c>
      <c r="M266" s="35" t="str">
        <f t="shared" si="83"/>
        <v/>
      </c>
      <c r="N266" s="36" t="str">
        <f t="shared" si="84"/>
        <v/>
      </c>
      <c r="O266" s="35" t="str">
        <f t="shared" si="85"/>
        <v/>
      </c>
      <c r="P266" s="35" t="str">
        <f t="shared" si="86"/>
        <v/>
      </c>
      <c r="Q266" s="35" t="str">
        <f t="shared" si="87"/>
        <v/>
      </c>
      <c r="R266" s="35" t="str">
        <f t="shared" si="88"/>
        <v/>
      </c>
      <c r="S266" s="33" t="str">
        <f t="shared" si="89"/>
        <v/>
      </c>
    </row>
    <row r="267" spans="1:19" x14ac:dyDescent="0.3">
      <c r="A267" s="33">
        <f>263</f>
        <v>263</v>
      </c>
      <c r="B267" s="34" t="str">
        <f t="shared" si="72"/>
        <v/>
      </c>
      <c r="C267" s="33" t="str">
        <f t="shared" si="73"/>
        <v/>
      </c>
      <c r="D267" s="33" t="str">
        <f t="shared" si="74"/>
        <v/>
      </c>
      <c r="E267" s="35" t="str">
        <f t="shared" si="75"/>
        <v/>
      </c>
      <c r="F267" s="35" t="str">
        <f t="shared" si="76"/>
        <v/>
      </c>
      <c r="G267" s="33" t="str">
        <f t="shared" si="77"/>
        <v/>
      </c>
      <c r="H267" s="35" t="str">
        <f t="shared" si="78"/>
        <v/>
      </c>
      <c r="I267" s="35" t="str">
        <f t="shared" si="79"/>
        <v/>
      </c>
      <c r="J267" s="35" t="str">
        <f t="shared" si="80"/>
        <v/>
      </c>
      <c r="K267" s="35" t="str">
        <f t="shared" si="81"/>
        <v/>
      </c>
      <c r="L267" s="35" t="str">
        <f t="shared" si="82"/>
        <v/>
      </c>
      <c r="M267" s="35" t="str">
        <f t="shared" si="83"/>
        <v/>
      </c>
      <c r="N267" s="36" t="str">
        <f t="shared" si="84"/>
        <v/>
      </c>
      <c r="O267" s="35" t="str">
        <f t="shared" si="85"/>
        <v/>
      </c>
      <c r="P267" s="35" t="str">
        <f t="shared" si="86"/>
        <v/>
      </c>
      <c r="Q267" s="35" t="str">
        <f t="shared" si="87"/>
        <v/>
      </c>
      <c r="R267" s="35" t="str">
        <f t="shared" si="88"/>
        <v/>
      </c>
      <c r="S267" s="33" t="str">
        <f t="shared" si="89"/>
        <v/>
      </c>
    </row>
    <row r="268" spans="1:19" x14ac:dyDescent="0.3">
      <c r="A268" s="37">
        <f>264</f>
        <v>264</v>
      </c>
      <c r="B268" s="38" t="str">
        <f t="shared" si="72"/>
        <v/>
      </c>
      <c r="C268" s="37" t="str">
        <f t="shared" si="73"/>
        <v/>
      </c>
      <c r="D268" s="37" t="str">
        <f t="shared" si="74"/>
        <v/>
      </c>
      <c r="E268" s="39" t="str">
        <f t="shared" si="75"/>
        <v/>
      </c>
      <c r="F268" s="39" t="str">
        <f t="shared" si="76"/>
        <v/>
      </c>
      <c r="G268" s="37" t="str">
        <f t="shared" si="77"/>
        <v/>
      </c>
      <c r="H268" s="39" t="str">
        <f t="shared" si="78"/>
        <v/>
      </c>
      <c r="I268" s="39" t="str">
        <f t="shared" si="79"/>
        <v/>
      </c>
      <c r="J268" s="39" t="str">
        <f t="shared" si="80"/>
        <v/>
      </c>
      <c r="K268" s="39" t="str">
        <f t="shared" si="81"/>
        <v/>
      </c>
      <c r="L268" s="39" t="str">
        <f t="shared" si="82"/>
        <v/>
      </c>
      <c r="M268" s="39" t="str">
        <f t="shared" si="83"/>
        <v/>
      </c>
      <c r="N268" s="40" t="str">
        <f t="shared" si="84"/>
        <v/>
      </c>
      <c r="O268" s="39" t="str">
        <f t="shared" si="85"/>
        <v/>
      </c>
      <c r="P268" s="39" t="str">
        <f t="shared" si="86"/>
        <v/>
      </c>
      <c r="Q268" s="39" t="str">
        <f t="shared" si="87"/>
        <v/>
      </c>
      <c r="R268" s="39" t="str">
        <f t="shared" si="88"/>
        <v/>
      </c>
      <c r="S268" s="37" t="str">
        <f t="shared" si="89"/>
        <v/>
      </c>
    </row>
    <row r="269" spans="1:19" x14ac:dyDescent="0.3">
      <c r="A269" s="33">
        <f>265</f>
        <v>265</v>
      </c>
      <c r="B269" s="34" t="str">
        <f t="shared" si="72"/>
        <v/>
      </c>
      <c r="C269" s="33" t="str">
        <f t="shared" si="73"/>
        <v/>
      </c>
      <c r="D269" s="33" t="str">
        <f t="shared" si="74"/>
        <v/>
      </c>
      <c r="E269" s="35" t="str">
        <f t="shared" si="75"/>
        <v/>
      </c>
      <c r="F269" s="35" t="str">
        <f t="shared" si="76"/>
        <v/>
      </c>
      <c r="G269" s="33" t="str">
        <f t="shared" si="77"/>
        <v/>
      </c>
      <c r="H269" s="35" t="str">
        <f t="shared" si="78"/>
        <v/>
      </c>
      <c r="I269" s="35" t="str">
        <f t="shared" si="79"/>
        <v/>
      </c>
      <c r="J269" s="35" t="str">
        <f t="shared" si="80"/>
        <v/>
      </c>
      <c r="K269" s="35" t="str">
        <f t="shared" si="81"/>
        <v/>
      </c>
      <c r="L269" s="35" t="str">
        <f t="shared" si="82"/>
        <v/>
      </c>
      <c r="M269" s="35" t="str">
        <f t="shared" si="83"/>
        <v/>
      </c>
      <c r="N269" s="36" t="str">
        <f t="shared" si="84"/>
        <v/>
      </c>
      <c r="O269" s="35" t="str">
        <f t="shared" si="85"/>
        <v/>
      </c>
      <c r="P269" s="35" t="str">
        <f t="shared" si="86"/>
        <v/>
      </c>
      <c r="Q269" s="35" t="str">
        <f t="shared" si="87"/>
        <v/>
      </c>
      <c r="R269" s="35" t="str">
        <f t="shared" si="88"/>
        <v/>
      </c>
      <c r="S269" s="33" t="str">
        <f t="shared" si="89"/>
        <v/>
      </c>
    </row>
    <row r="270" spans="1:19" x14ac:dyDescent="0.3">
      <c r="A270" s="33">
        <f>266</f>
        <v>266</v>
      </c>
      <c r="B270" s="34" t="str">
        <f t="shared" si="72"/>
        <v/>
      </c>
      <c r="C270" s="33" t="str">
        <f t="shared" si="73"/>
        <v/>
      </c>
      <c r="D270" s="33" t="str">
        <f t="shared" si="74"/>
        <v/>
      </c>
      <c r="E270" s="35" t="str">
        <f t="shared" si="75"/>
        <v/>
      </c>
      <c r="F270" s="35" t="str">
        <f t="shared" si="76"/>
        <v/>
      </c>
      <c r="G270" s="33" t="str">
        <f t="shared" si="77"/>
        <v/>
      </c>
      <c r="H270" s="35" t="str">
        <f t="shared" si="78"/>
        <v/>
      </c>
      <c r="I270" s="35" t="str">
        <f t="shared" si="79"/>
        <v/>
      </c>
      <c r="J270" s="35" t="str">
        <f t="shared" si="80"/>
        <v/>
      </c>
      <c r="K270" s="35" t="str">
        <f t="shared" si="81"/>
        <v/>
      </c>
      <c r="L270" s="35" t="str">
        <f t="shared" si="82"/>
        <v/>
      </c>
      <c r="M270" s="35" t="str">
        <f t="shared" si="83"/>
        <v/>
      </c>
      <c r="N270" s="36" t="str">
        <f t="shared" si="84"/>
        <v/>
      </c>
      <c r="O270" s="35" t="str">
        <f t="shared" si="85"/>
        <v/>
      </c>
      <c r="P270" s="35" t="str">
        <f t="shared" si="86"/>
        <v/>
      </c>
      <c r="Q270" s="35" t="str">
        <f t="shared" si="87"/>
        <v/>
      </c>
      <c r="R270" s="35" t="str">
        <f t="shared" si="88"/>
        <v/>
      </c>
      <c r="S270" s="33" t="str">
        <f t="shared" si="89"/>
        <v/>
      </c>
    </row>
    <row r="271" spans="1:19" x14ac:dyDescent="0.3">
      <c r="A271" s="33">
        <f>267</f>
        <v>267</v>
      </c>
      <c r="B271" s="34" t="str">
        <f t="shared" si="72"/>
        <v/>
      </c>
      <c r="C271" s="33" t="str">
        <f t="shared" si="73"/>
        <v/>
      </c>
      <c r="D271" s="33" t="str">
        <f t="shared" si="74"/>
        <v/>
      </c>
      <c r="E271" s="35" t="str">
        <f t="shared" si="75"/>
        <v/>
      </c>
      <c r="F271" s="35" t="str">
        <f t="shared" si="76"/>
        <v/>
      </c>
      <c r="G271" s="33" t="str">
        <f t="shared" si="77"/>
        <v/>
      </c>
      <c r="H271" s="35" t="str">
        <f t="shared" si="78"/>
        <v/>
      </c>
      <c r="I271" s="35" t="str">
        <f t="shared" si="79"/>
        <v/>
      </c>
      <c r="J271" s="35" t="str">
        <f t="shared" si="80"/>
        <v/>
      </c>
      <c r="K271" s="35" t="str">
        <f t="shared" si="81"/>
        <v/>
      </c>
      <c r="L271" s="35" t="str">
        <f t="shared" si="82"/>
        <v/>
      </c>
      <c r="M271" s="35" t="str">
        <f t="shared" si="83"/>
        <v/>
      </c>
      <c r="N271" s="36" t="str">
        <f t="shared" si="84"/>
        <v/>
      </c>
      <c r="O271" s="35" t="str">
        <f t="shared" si="85"/>
        <v/>
      </c>
      <c r="P271" s="35" t="str">
        <f t="shared" si="86"/>
        <v/>
      </c>
      <c r="Q271" s="35" t="str">
        <f t="shared" si="87"/>
        <v/>
      </c>
      <c r="R271" s="35" t="str">
        <f t="shared" si="88"/>
        <v/>
      </c>
      <c r="S271" s="33" t="str">
        <f t="shared" si="89"/>
        <v/>
      </c>
    </row>
    <row r="272" spans="1:19" x14ac:dyDescent="0.3">
      <c r="A272" s="33">
        <f>268</f>
        <v>268</v>
      </c>
      <c r="B272" s="34" t="str">
        <f t="shared" si="72"/>
        <v/>
      </c>
      <c r="C272" s="33" t="str">
        <f t="shared" si="73"/>
        <v/>
      </c>
      <c r="D272" s="33" t="str">
        <f t="shared" si="74"/>
        <v/>
      </c>
      <c r="E272" s="35" t="str">
        <f t="shared" si="75"/>
        <v/>
      </c>
      <c r="F272" s="35" t="str">
        <f t="shared" si="76"/>
        <v/>
      </c>
      <c r="G272" s="33" t="str">
        <f t="shared" si="77"/>
        <v/>
      </c>
      <c r="H272" s="35" t="str">
        <f t="shared" si="78"/>
        <v/>
      </c>
      <c r="I272" s="35" t="str">
        <f t="shared" si="79"/>
        <v/>
      </c>
      <c r="J272" s="35" t="str">
        <f t="shared" si="80"/>
        <v/>
      </c>
      <c r="K272" s="35" t="str">
        <f t="shared" si="81"/>
        <v/>
      </c>
      <c r="L272" s="35" t="str">
        <f t="shared" si="82"/>
        <v/>
      </c>
      <c r="M272" s="35" t="str">
        <f t="shared" si="83"/>
        <v/>
      </c>
      <c r="N272" s="36" t="str">
        <f t="shared" si="84"/>
        <v/>
      </c>
      <c r="O272" s="35" t="str">
        <f t="shared" si="85"/>
        <v/>
      </c>
      <c r="P272" s="35" t="str">
        <f t="shared" si="86"/>
        <v/>
      </c>
      <c r="Q272" s="35" t="str">
        <f t="shared" si="87"/>
        <v/>
      </c>
      <c r="R272" s="35" t="str">
        <f t="shared" si="88"/>
        <v/>
      </c>
      <c r="S272" s="33" t="str">
        <f t="shared" si="89"/>
        <v/>
      </c>
    </row>
    <row r="273" spans="1:19" x14ac:dyDescent="0.3">
      <c r="A273" s="33">
        <f>269</f>
        <v>269</v>
      </c>
      <c r="B273" s="34" t="str">
        <f t="shared" si="72"/>
        <v/>
      </c>
      <c r="C273" s="33" t="str">
        <f t="shared" si="73"/>
        <v/>
      </c>
      <c r="D273" s="33" t="str">
        <f t="shared" si="74"/>
        <v/>
      </c>
      <c r="E273" s="35" t="str">
        <f t="shared" si="75"/>
        <v/>
      </c>
      <c r="F273" s="35" t="str">
        <f t="shared" si="76"/>
        <v/>
      </c>
      <c r="G273" s="33" t="str">
        <f t="shared" si="77"/>
        <v/>
      </c>
      <c r="H273" s="35" t="str">
        <f t="shared" si="78"/>
        <v/>
      </c>
      <c r="I273" s="35" t="str">
        <f t="shared" si="79"/>
        <v/>
      </c>
      <c r="J273" s="35" t="str">
        <f t="shared" si="80"/>
        <v/>
      </c>
      <c r="K273" s="35" t="str">
        <f t="shared" si="81"/>
        <v/>
      </c>
      <c r="L273" s="35" t="str">
        <f t="shared" si="82"/>
        <v/>
      </c>
      <c r="M273" s="35" t="str">
        <f t="shared" si="83"/>
        <v/>
      </c>
      <c r="N273" s="36" t="str">
        <f t="shared" si="84"/>
        <v/>
      </c>
      <c r="O273" s="35" t="str">
        <f t="shared" si="85"/>
        <v/>
      </c>
      <c r="P273" s="35" t="str">
        <f t="shared" si="86"/>
        <v/>
      </c>
      <c r="Q273" s="35" t="str">
        <f t="shared" si="87"/>
        <v/>
      </c>
      <c r="R273" s="35" t="str">
        <f t="shared" si="88"/>
        <v/>
      </c>
      <c r="S273" s="33" t="str">
        <f t="shared" si="89"/>
        <v/>
      </c>
    </row>
    <row r="274" spans="1:19" x14ac:dyDescent="0.3">
      <c r="A274" s="33">
        <f>270</f>
        <v>270</v>
      </c>
      <c r="B274" s="34" t="str">
        <f t="shared" si="72"/>
        <v/>
      </c>
      <c r="C274" s="33" t="str">
        <f t="shared" si="73"/>
        <v/>
      </c>
      <c r="D274" s="33" t="str">
        <f t="shared" si="74"/>
        <v/>
      </c>
      <c r="E274" s="35" t="str">
        <f t="shared" si="75"/>
        <v/>
      </c>
      <c r="F274" s="35" t="str">
        <f t="shared" si="76"/>
        <v/>
      </c>
      <c r="G274" s="33" t="str">
        <f t="shared" si="77"/>
        <v/>
      </c>
      <c r="H274" s="35" t="str">
        <f t="shared" si="78"/>
        <v/>
      </c>
      <c r="I274" s="35" t="str">
        <f t="shared" si="79"/>
        <v/>
      </c>
      <c r="J274" s="35" t="str">
        <f t="shared" si="80"/>
        <v/>
      </c>
      <c r="K274" s="35" t="str">
        <f t="shared" si="81"/>
        <v/>
      </c>
      <c r="L274" s="35" t="str">
        <f t="shared" si="82"/>
        <v/>
      </c>
      <c r="M274" s="35" t="str">
        <f t="shared" si="83"/>
        <v/>
      </c>
      <c r="N274" s="36" t="str">
        <f t="shared" si="84"/>
        <v/>
      </c>
      <c r="O274" s="35" t="str">
        <f t="shared" si="85"/>
        <v/>
      </c>
      <c r="P274" s="35" t="str">
        <f t="shared" si="86"/>
        <v/>
      </c>
      <c r="Q274" s="35" t="str">
        <f t="shared" si="87"/>
        <v/>
      </c>
      <c r="R274" s="35" t="str">
        <f t="shared" si="88"/>
        <v/>
      </c>
      <c r="S274" s="33" t="str">
        <f t="shared" si="89"/>
        <v/>
      </c>
    </row>
    <row r="275" spans="1:19" x14ac:dyDescent="0.3">
      <c r="A275" s="33">
        <f>271</f>
        <v>271</v>
      </c>
      <c r="B275" s="34" t="str">
        <f t="shared" si="72"/>
        <v/>
      </c>
      <c r="C275" s="33" t="str">
        <f t="shared" si="73"/>
        <v/>
      </c>
      <c r="D275" s="33" t="str">
        <f t="shared" si="74"/>
        <v/>
      </c>
      <c r="E275" s="35" t="str">
        <f t="shared" si="75"/>
        <v/>
      </c>
      <c r="F275" s="35" t="str">
        <f t="shared" si="76"/>
        <v/>
      </c>
      <c r="G275" s="33" t="str">
        <f t="shared" si="77"/>
        <v/>
      </c>
      <c r="H275" s="35" t="str">
        <f t="shared" si="78"/>
        <v/>
      </c>
      <c r="I275" s="35" t="str">
        <f t="shared" si="79"/>
        <v/>
      </c>
      <c r="J275" s="35" t="str">
        <f t="shared" si="80"/>
        <v/>
      </c>
      <c r="K275" s="35" t="str">
        <f t="shared" si="81"/>
        <v/>
      </c>
      <c r="L275" s="35" t="str">
        <f t="shared" si="82"/>
        <v/>
      </c>
      <c r="M275" s="35" t="str">
        <f t="shared" si="83"/>
        <v/>
      </c>
      <c r="N275" s="36" t="str">
        <f t="shared" si="84"/>
        <v/>
      </c>
      <c r="O275" s="35" t="str">
        <f t="shared" si="85"/>
        <v/>
      </c>
      <c r="P275" s="35" t="str">
        <f t="shared" si="86"/>
        <v/>
      </c>
      <c r="Q275" s="35" t="str">
        <f t="shared" si="87"/>
        <v/>
      </c>
      <c r="R275" s="35" t="str">
        <f t="shared" si="88"/>
        <v/>
      </c>
      <c r="S275" s="33" t="str">
        <f t="shared" si="89"/>
        <v/>
      </c>
    </row>
    <row r="276" spans="1:19" x14ac:dyDescent="0.3">
      <c r="A276" s="33">
        <f>272</f>
        <v>272</v>
      </c>
      <c r="B276" s="34" t="str">
        <f t="shared" si="72"/>
        <v/>
      </c>
      <c r="C276" s="33" t="str">
        <f t="shared" si="73"/>
        <v/>
      </c>
      <c r="D276" s="33" t="str">
        <f t="shared" si="74"/>
        <v/>
      </c>
      <c r="E276" s="35" t="str">
        <f t="shared" si="75"/>
        <v/>
      </c>
      <c r="F276" s="35" t="str">
        <f t="shared" si="76"/>
        <v/>
      </c>
      <c r="G276" s="33" t="str">
        <f t="shared" si="77"/>
        <v/>
      </c>
      <c r="H276" s="35" t="str">
        <f t="shared" si="78"/>
        <v/>
      </c>
      <c r="I276" s="35" t="str">
        <f t="shared" si="79"/>
        <v/>
      </c>
      <c r="J276" s="35" t="str">
        <f t="shared" si="80"/>
        <v/>
      </c>
      <c r="K276" s="35" t="str">
        <f t="shared" si="81"/>
        <v/>
      </c>
      <c r="L276" s="35" t="str">
        <f t="shared" si="82"/>
        <v/>
      </c>
      <c r="M276" s="35" t="str">
        <f t="shared" si="83"/>
        <v/>
      </c>
      <c r="N276" s="36" t="str">
        <f t="shared" si="84"/>
        <v/>
      </c>
      <c r="O276" s="35" t="str">
        <f t="shared" si="85"/>
        <v/>
      </c>
      <c r="P276" s="35" t="str">
        <f t="shared" si="86"/>
        <v/>
      </c>
      <c r="Q276" s="35" t="str">
        <f t="shared" si="87"/>
        <v/>
      </c>
      <c r="R276" s="35" t="str">
        <f t="shared" si="88"/>
        <v/>
      </c>
      <c r="S276" s="33" t="str">
        <f t="shared" si="89"/>
        <v/>
      </c>
    </row>
    <row r="277" spans="1:19" x14ac:dyDescent="0.3">
      <c r="A277" s="33">
        <f>273</f>
        <v>273</v>
      </c>
      <c r="B277" s="34" t="str">
        <f t="shared" si="72"/>
        <v/>
      </c>
      <c r="C277" s="33" t="str">
        <f t="shared" si="73"/>
        <v/>
      </c>
      <c r="D277" s="33" t="str">
        <f t="shared" si="74"/>
        <v/>
      </c>
      <c r="E277" s="35" t="str">
        <f t="shared" si="75"/>
        <v/>
      </c>
      <c r="F277" s="35" t="str">
        <f t="shared" si="76"/>
        <v/>
      </c>
      <c r="G277" s="33" t="str">
        <f t="shared" si="77"/>
        <v/>
      </c>
      <c r="H277" s="35" t="str">
        <f t="shared" si="78"/>
        <v/>
      </c>
      <c r="I277" s="35" t="str">
        <f t="shared" si="79"/>
        <v/>
      </c>
      <c r="J277" s="35" t="str">
        <f t="shared" si="80"/>
        <v/>
      </c>
      <c r="K277" s="35" t="str">
        <f t="shared" si="81"/>
        <v/>
      </c>
      <c r="L277" s="35" t="str">
        <f t="shared" si="82"/>
        <v/>
      </c>
      <c r="M277" s="35" t="str">
        <f t="shared" si="83"/>
        <v/>
      </c>
      <c r="N277" s="36" t="str">
        <f t="shared" si="84"/>
        <v/>
      </c>
      <c r="O277" s="35" t="str">
        <f t="shared" si="85"/>
        <v/>
      </c>
      <c r="P277" s="35" t="str">
        <f t="shared" si="86"/>
        <v/>
      </c>
      <c r="Q277" s="35" t="str">
        <f t="shared" si="87"/>
        <v/>
      </c>
      <c r="R277" s="35" t="str">
        <f t="shared" si="88"/>
        <v/>
      </c>
      <c r="S277" s="33" t="str">
        <f t="shared" si="89"/>
        <v/>
      </c>
    </row>
    <row r="278" spans="1:19" x14ac:dyDescent="0.3">
      <c r="A278" s="33">
        <f>274</f>
        <v>274</v>
      </c>
      <c r="B278" s="34" t="str">
        <f t="shared" si="72"/>
        <v/>
      </c>
      <c r="C278" s="33" t="str">
        <f t="shared" si="73"/>
        <v/>
      </c>
      <c r="D278" s="33" t="str">
        <f t="shared" si="74"/>
        <v/>
      </c>
      <c r="E278" s="35" t="str">
        <f t="shared" si="75"/>
        <v/>
      </c>
      <c r="F278" s="35" t="str">
        <f t="shared" si="76"/>
        <v/>
      </c>
      <c r="G278" s="33" t="str">
        <f t="shared" si="77"/>
        <v/>
      </c>
      <c r="H278" s="35" t="str">
        <f t="shared" si="78"/>
        <v/>
      </c>
      <c r="I278" s="35" t="str">
        <f t="shared" si="79"/>
        <v/>
      </c>
      <c r="J278" s="35" t="str">
        <f t="shared" si="80"/>
        <v/>
      </c>
      <c r="K278" s="35" t="str">
        <f t="shared" si="81"/>
        <v/>
      </c>
      <c r="L278" s="35" t="str">
        <f t="shared" si="82"/>
        <v/>
      </c>
      <c r="M278" s="35" t="str">
        <f t="shared" si="83"/>
        <v/>
      </c>
      <c r="N278" s="36" t="str">
        <f t="shared" si="84"/>
        <v/>
      </c>
      <c r="O278" s="35" t="str">
        <f t="shared" si="85"/>
        <v/>
      </c>
      <c r="P278" s="35" t="str">
        <f t="shared" si="86"/>
        <v/>
      </c>
      <c r="Q278" s="35" t="str">
        <f t="shared" si="87"/>
        <v/>
      </c>
      <c r="R278" s="35" t="str">
        <f t="shared" si="88"/>
        <v/>
      </c>
      <c r="S278" s="33" t="str">
        <f t="shared" si="89"/>
        <v/>
      </c>
    </row>
    <row r="279" spans="1:19" x14ac:dyDescent="0.3">
      <c r="A279" s="33">
        <f>275</f>
        <v>275</v>
      </c>
      <c r="B279" s="34" t="str">
        <f t="shared" si="72"/>
        <v/>
      </c>
      <c r="C279" s="33" t="str">
        <f t="shared" si="73"/>
        <v/>
      </c>
      <c r="D279" s="33" t="str">
        <f t="shared" si="74"/>
        <v/>
      </c>
      <c r="E279" s="35" t="str">
        <f t="shared" si="75"/>
        <v/>
      </c>
      <c r="F279" s="35" t="str">
        <f t="shared" si="76"/>
        <v/>
      </c>
      <c r="G279" s="33" t="str">
        <f t="shared" si="77"/>
        <v/>
      </c>
      <c r="H279" s="35" t="str">
        <f t="shared" si="78"/>
        <v/>
      </c>
      <c r="I279" s="35" t="str">
        <f t="shared" si="79"/>
        <v/>
      </c>
      <c r="J279" s="35" t="str">
        <f t="shared" si="80"/>
        <v/>
      </c>
      <c r="K279" s="35" t="str">
        <f t="shared" si="81"/>
        <v/>
      </c>
      <c r="L279" s="35" t="str">
        <f t="shared" si="82"/>
        <v/>
      </c>
      <c r="M279" s="35" t="str">
        <f t="shared" si="83"/>
        <v/>
      </c>
      <c r="N279" s="36" t="str">
        <f t="shared" si="84"/>
        <v/>
      </c>
      <c r="O279" s="35" t="str">
        <f t="shared" si="85"/>
        <v/>
      </c>
      <c r="P279" s="35" t="str">
        <f t="shared" si="86"/>
        <v/>
      </c>
      <c r="Q279" s="35" t="str">
        <f t="shared" si="87"/>
        <v/>
      </c>
      <c r="R279" s="35" t="str">
        <f t="shared" si="88"/>
        <v/>
      </c>
      <c r="S279" s="33" t="str">
        <f t="shared" si="89"/>
        <v/>
      </c>
    </row>
    <row r="280" spans="1:19" x14ac:dyDescent="0.3">
      <c r="A280" s="37">
        <f>276</f>
        <v>276</v>
      </c>
      <c r="B280" s="38" t="str">
        <f t="shared" si="72"/>
        <v/>
      </c>
      <c r="C280" s="37" t="str">
        <f t="shared" si="73"/>
        <v/>
      </c>
      <c r="D280" s="37" t="str">
        <f t="shared" si="74"/>
        <v/>
      </c>
      <c r="E280" s="39" t="str">
        <f t="shared" si="75"/>
        <v/>
      </c>
      <c r="F280" s="39" t="str">
        <f t="shared" si="76"/>
        <v/>
      </c>
      <c r="G280" s="37" t="str">
        <f t="shared" si="77"/>
        <v/>
      </c>
      <c r="H280" s="39" t="str">
        <f t="shared" si="78"/>
        <v/>
      </c>
      <c r="I280" s="39" t="str">
        <f t="shared" si="79"/>
        <v/>
      </c>
      <c r="J280" s="39" t="str">
        <f t="shared" si="80"/>
        <v/>
      </c>
      <c r="K280" s="39" t="str">
        <f t="shared" si="81"/>
        <v/>
      </c>
      <c r="L280" s="39" t="str">
        <f t="shared" si="82"/>
        <v/>
      </c>
      <c r="M280" s="39" t="str">
        <f t="shared" si="83"/>
        <v/>
      </c>
      <c r="N280" s="40" t="str">
        <f t="shared" si="84"/>
        <v/>
      </c>
      <c r="O280" s="39" t="str">
        <f t="shared" si="85"/>
        <v/>
      </c>
      <c r="P280" s="39" t="str">
        <f t="shared" si="86"/>
        <v/>
      </c>
      <c r="Q280" s="39" t="str">
        <f t="shared" si="87"/>
        <v/>
      </c>
      <c r="R280" s="39" t="str">
        <f t="shared" si="88"/>
        <v/>
      </c>
      <c r="S280" s="37" t="str">
        <f t="shared" si="89"/>
        <v/>
      </c>
    </row>
    <row r="281" spans="1:19" x14ac:dyDescent="0.3">
      <c r="A281" s="33">
        <f>277</f>
        <v>277</v>
      </c>
      <c r="B281" s="34" t="str">
        <f t="shared" si="72"/>
        <v/>
      </c>
      <c r="C281" s="33" t="str">
        <f t="shared" si="73"/>
        <v/>
      </c>
      <c r="D281" s="33" t="str">
        <f t="shared" si="74"/>
        <v/>
      </c>
      <c r="E281" s="35" t="str">
        <f t="shared" si="75"/>
        <v/>
      </c>
      <c r="F281" s="35" t="str">
        <f t="shared" si="76"/>
        <v/>
      </c>
      <c r="G281" s="33" t="str">
        <f t="shared" si="77"/>
        <v/>
      </c>
      <c r="H281" s="35" t="str">
        <f t="shared" si="78"/>
        <v/>
      </c>
      <c r="I281" s="35" t="str">
        <f t="shared" si="79"/>
        <v/>
      </c>
      <c r="J281" s="35" t="str">
        <f t="shared" si="80"/>
        <v/>
      </c>
      <c r="K281" s="35" t="str">
        <f t="shared" si="81"/>
        <v/>
      </c>
      <c r="L281" s="35" t="str">
        <f t="shared" si="82"/>
        <v/>
      </c>
      <c r="M281" s="35" t="str">
        <f t="shared" si="83"/>
        <v/>
      </c>
      <c r="N281" s="36" t="str">
        <f t="shared" si="84"/>
        <v/>
      </c>
      <c r="O281" s="35" t="str">
        <f t="shared" si="85"/>
        <v/>
      </c>
      <c r="P281" s="35" t="str">
        <f t="shared" si="86"/>
        <v/>
      </c>
      <c r="Q281" s="35" t="str">
        <f t="shared" si="87"/>
        <v/>
      </c>
      <c r="R281" s="35" t="str">
        <f t="shared" si="88"/>
        <v/>
      </c>
      <c r="S281" s="33" t="str">
        <f t="shared" si="89"/>
        <v/>
      </c>
    </row>
    <row r="282" spans="1:19" x14ac:dyDescent="0.3">
      <c r="A282" s="33">
        <f>278</f>
        <v>278</v>
      </c>
      <c r="B282" s="34" t="str">
        <f t="shared" si="72"/>
        <v/>
      </c>
      <c r="C282" s="33" t="str">
        <f t="shared" si="73"/>
        <v/>
      </c>
      <c r="D282" s="33" t="str">
        <f t="shared" si="74"/>
        <v/>
      </c>
      <c r="E282" s="35" t="str">
        <f t="shared" si="75"/>
        <v/>
      </c>
      <c r="F282" s="35" t="str">
        <f t="shared" si="76"/>
        <v/>
      </c>
      <c r="G282" s="33" t="str">
        <f t="shared" si="77"/>
        <v/>
      </c>
      <c r="H282" s="35" t="str">
        <f t="shared" si="78"/>
        <v/>
      </c>
      <c r="I282" s="35" t="str">
        <f t="shared" si="79"/>
        <v/>
      </c>
      <c r="J282" s="35" t="str">
        <f t="shared" si="80"/>
        <v/>
      </c>
      <c r="K282" s="35" t="str">
        <f t="shared" si="81"/>
        <v/>
      </c>
      <c r="L282" s="35" t="str">
        <f t="shared" si="82"/>
        <v/>
      </c>
      <c r="M282" s="35" t="str">
        <f t="shared" si="83"/>
        <v/>
      </c>
      <c r="N282" s="36" t="str">
        <f t="shared" si="84"/>
        <v/>
      </c>
      <c r="O282" s="35" t="str">
        <f t="shared" si="85"/>
        <v/>
      </c>
      <c r="P282" s="35" t="str">
        <f t="shared" si="86"/>
        <v/>
      </c>
      <c r="Q282" s="35" t="str">
        <f t="shared" si="87"/>
        <v/>
      </c>
      <c r="R282" s="35" t="str">
        <f t="shared" si="88"/>
        <v/>
      </c>
      <c r="S282" s="33" t="str">
        <f t="shared" si="89"/>
        <v/>
      </c>
    </row>
    <row r="283" spans="1:19" x14ac:dyDescent="0.3">
      <c r="A283" s="33">
        <f>279</f>
        <v>279</v>
      </c>
      <c r="B283" s="34" t="str">
        <f t="shared" si="72"/>
        <v/>
      </c>
      <c r="C283" s="33" t="str">
        <f t="shared" si="73"/>
        <v/>
      </c>
      <c r="D283" s="33" t="str">
        <f t="shared" si="74"/>
        <v/>
      </c>
      <c r="E283" s="35" t="str">
        <f t="shared" si="75"/>
        <v/>
      </c>
      <c r="F283" s="35" t="str">
        <f t="shared" si="76"/>
        <v/>
      </c>
      <c r="G283" s="33" t="str">
        <f t="shared" si="77"/>
        <v/>
      </c>
      <c r="H283" s="35" t="str">
        <f t="shared" si="78"/>
        <v/>
      </c>
      <c r="I283" s="35" t="str">
        <f t="shared" si="79"/>
        <v/>
      </c>
      <c r="J283" s="35" t="str">
        <f t="shared" si="80"/>
        <v/>
      </c>
      <c r="K283" s="35" t="str">
        <f t="shared" si="81"/>
        <v/>
      </c>
      <c r="L283" s="35" t="str">
        <f t="shared" si="82"/>
        <v/>
      </c>
      <c r="M283" s="35" t="str">
        <f t="shared" si="83"/>
        <v/>
      </c>
      <c r="N283" s="36" t="str">
        <f t="shared" si="84"/>
        <v/>
      </c>
      <c r="O283" s="35" t="str">
        <f t="shared" si="85"/>
        <v/>
      </c>
      <c r="P283" s="35" t="str">
        <f t="shared" si="86"/>
        <v/>
      </c>
      <c r="Q283" s="35" t="str">
        <f t="shared" si="87"/>
        <v/>
      </c>
      <c r="R283" s="35" t="str">
        <f t="shared" si="88"/>
        <v/>
      </c>
      <c r="S283" s="33" t="str">
        <f t="shared" si="89"/>
        <v/>
      </c>
    </row>
    <row r="284" spans="1:19" x14ac:dyDescent="0.3">
      <c r="A284" s="33">
        <f>280</f>
        <v>280</v>
      </c>
      <c r="B284" s="34" t="str">
        <f t="shared" si="72"/>
        <v/>
      </c>
      <c r="C284" s="33" t="str">
        <f t="shared" si="73"/>
        <v/>
      </c>
      <c r="D284" s="33" t="str">
        <f t="shared" si="74"/>
        <v/>
      </c>
      <c r="E284" s="35" t="str">
        <f t="shared" si="75"/>
        <v/>
      </c>
      <c r="F284" s="35" t="str">
        <f t="shared" si="76"/>
        <v/>
      </c>
      <c r="G284" s="33" t="str">
        <f t="shared" si="77"/>
        <v/>
      </c>
      <c r="H284" s="35" t="str">
        <f t="shared" si="78"/>
        <v/>
      </c>
      <c r="I284" s="35" t="str">
        <f t="shared" si="79"/>
        <v/>
      </c>
      <c r="J284" s="35" t="str">
        <f t="shared" si="80"/>
        <v/>
      </c>
      <c r="K284" s="35" t="str">
        <f t="shared" si="81"/>
        <v/>
      </c>
      <c r="L284" s="35" t="str">
        <f t="shared" si="82"/>
        <v/>
      </c>
      <c r="M284" s="35" t="str">
        <f t="shared" si="83"/>
        <v/>
      </c>
      <c r="N284" s="36" t="str">
        <f t="shared" si="84"/>
        <v/>
      </c>
      <c r="O284" s="35" t="str">
        <f t="shared" si="85"/>
        <v/>
      </c>
      <c r="P284" s="35" t="str">
        <f t="shared" si="86"/>
        <v/>
      </c>
      <c r="Q284" s="35" t="str">
        <f t="shared" si="87"/>
        <v/>
      </c>
      <c r="R284" s="35" t="str">
        <f t="shared" si="88"/>
        <v/>
      </c>
      <c r="S284" s="33" t="str">
        <f t="shared" si="89"/>
        <v/>
      </c>
    </row>
    <row r="285" spans="1:19" x14ac:dyDescent="0.3">
      <c r="A285" s="33">
        <f>281</f>
        <v>281</v>
      </c>
      <c r="B285" s="34" t="str">
        <f t="shared" si="72"/>
        <v/>
      </c>
      <c r="C285" s="33" t="str">
        <f t="shared" si="73"/>
        <v/>
      </c>
      <c r="D285" s="33" t="str">
        <f t="shared" si="74"/>
        <v/>
      </c>
      <c r="E285" s="35" t="str">
        <f t="shared" si="75"/>
        <v/>
      </c>
      <c r="F285" s="35" t="str">
        <f t="shared" si="76"/>
        <v/>
      </c>
      <c r="G285" s="33" t="str">
        <f t="shared" si="77"/>
        <v/>
      </c>
      <c r="H285" s="35" t="str">
        <f t="shared" si="78"/>
        <v/>
      </c>
      <c r="I285" s="35" t="str">
        <f t="shared" si="79"/>
        <v/>
      </c>
      <c r="J285" s="35" t="str">
        <f t="shared" si="80"/>
        <v/>
      </c>
      <c r="K285" s="35" t="str">
        <f t="shared" si="81"/>
        <v/>
      </c>
      <c r="L285" s="35" t="str">
        <f t="shared" si="82"/>
        <v/>
      </c>
      <c r="M285" s="35" t="str">
        <f t="shared" si="83"/>
        <v/>
      </c>
      <c r="N285" s="36" t="str">
        <f t="shared" si="84"/>
        <v/>
      </c>
      <c r="O285" s="35" t="str">
        <f t="shared" si="85"/>
        <v/>
      </c>
      <c r="P285" s="35" t="str">
        <f t="shared" si="86"/>
        <v/>
      </c>
      <c r="Q285" s="35" t="str">
        <f t="shared" si="87"/>
        <v/>
      </c>
      <c r="R285" s="35" t="str">
        <f t="shared" si="88"/>
        <v/>
      </c>
      <c r="S285" s="33" t="str">
        <f t="shared" si="89"/>
        <v/>
      </c>
    </row>
    <row r="286" spans="1:19" x14ac:dyDescent="0.3">
      <c r="A286" s="33">
        <f>282</f>
        <v>282</v>
      </c>
      <c r="B286" s="34" t="str">
        <f t="shared" si="72"/>
        <v/>
      </c>
      <c r="C286" s="33" t="str">
        <f t="shared" si="73"/>
        <v/>
      </c>
      <c r="D286" s="33" t="str">
        <f t="shared" si="74"/>
        <v/>
      </c>
      <c r="E286" s="35" t="str">
        <f t="shared" si="75"/>
        <v/>
      </c>
      <c r="F286" s="35" t="str">
        <f t="shared" si="76"/>
        <v/>
      </c>
      <c r="G286" s="33" t="str">
        <f t="shared" si="77"/>
        <v/>
      </c>
      <c r="H286" s="35" t="str">
        <f t="shared" si="78"/>
        <v/>
      </c>
      <c r="I286" s="35" t="str">
        <f t="shared" si="79"/>
        <v/>
      </c>
      <c r="J286" s="35" t="str">
        <f t="shared" si="80"/>
        <v/>
      </c>
      <c r="K286" s="35" t="str">
        <f t="shared" si="81"/>
        <v/>
      </c>
      <c r="L286" s="35" t="str">
        <f t="shared" si="82"/>
        <v/>
      </c>
      <c r="M286" s="35" t="str">
        <f t="shared" si="83"/>
        <v/>
      </c>
      <c r="N286" s="36" t="str">
        <f t="shared" si="84"/>
        <v/>
      </c>
      <c r="O286" s="35" t="str">
        <f t="shared" si="85"/>
        <v/>
      </c>
      <c r="P286" s="35" t="str">
        <f t="shared" si="86"/>
        <v/>
      </c>
      <c r="Q286" s="35" t="str">
        <f t="shared" si="87"/>
        <v/>
      </c>
      <c r="R286" s="35" t="str">
        <f t="shared" si="88"/>
        <v/>
      </c>
      <c r="S286" s="33" t="str">
        <f t="shared" si="89"/>
        <v/>
      </c>
    </row>
    <row r="287" spans="1:19" x14ac:dyDescent="0.3">
      <c r="A287" s="33">
        <f>283</f>
        <v>283</v>
      </c>
      <c r="B287" s="34" t="str">
        <f t="shared" si="72"/>
        <v/>
      </c>
      <c r="C287" s="33" t="str">
        <f t="shared" si="73"/>
        <v/>
      </c>
      <c r="D287" s="33" t="str">
        <f t="shared" si="74"/>
        <v/>
      </c>
      <c r="E287" s="35" t="str">
        <f t="shared" si="75"/>
        <v/>
      </c>
      <c r="F287" s="35" t="str">
        <f t="shared" si="76"/>
        <v/>
      </c>
      <c r="G287" s="33" t="str">
        <f t="shared" si="77"/>
        <v/>
      </c>
      <c r="H287" s="35" t="str">
        <f t="shared" si="78"/>
        <v/>
      </c>
      <c r="I287" s="35" t="str">
        <f t="shared" si="79"/>
        <v/>
      </c>
      <c r="J287" s="35" t="str">
        <f t="shared" si="80"/>
        <v/>
      </c>
      <c r="K287" s="35" t="str">
        <f t="shared" si="81"/>
        <v/>
      </c>
      <c r="L287" s="35" t="str">
        <f t="shared" si="82"/>
        <v/>
      </c>
      <c r="M287" s="35" t="str">
        <f t="shared" si="83"/>
        <v/>
      </c>
      <c r="N287" s="36" t="str">
        <f t="shared" si="84"/>
        <v/>
      </c>
      <c r="O287" s="35" t="str">
        <f t="shared" si="85"/>
        <v/>
      </c>
      <c r="P287" s="35" t="str">
        <f t="shared" si="86"/>
        <v/>
      </c>
      <c r="Q287" s="35" t="str">
        <f t="shared" si="87"/>
        <v/>
      </c>
      <c r="R287" s="35" t="str">
        <f t="shared" si="88"/>
        <v/>
      </c>
      <c r="S287" s="33" t="str">
        <f t="shared" si="89"/>
        <v/>
      </c>
    </row>
    <row r="288" spans="1:19" x14ac:dyDescent="0.3">
      <c r="A288" s="33">
        <f>284</f>
        <v>284</v>
      </c>
      <c r="B288" s="34" t="str">
        <f t="shared" si="72"/>
        <v/>
      </c>
      <c r="C288" s="33" t="str">
        <f t="shared" si="73"/>
        <v/>
      </c>
      <c r="D288" s="33" t="str">
        <f t="shared" si="74"/>
        <v/>
      </c>
      <c r="E288" s="35" t="str">
        <f t="shared" si="75"/>
        <v/>
      </c>
      <c r="F288" s="35" t="str">
        <f t="shared" si="76"/>
        <v/>
      </c>
      <c r="G288" s="33" t="str">
        <f t="shared" si="77"/>
        <v/>
      </c>
      <c r="H288" s="35" t="str">
        <f t="shared" si="78"/>
        <v/>
      </c>
      <c r="I288" s="35" t="str">
        <f t="shared" si="79"/>
        <v/>
      </c>
      <c r="J288" s="35" t="str">
        <f t="shared" si="80"/>
        <v/>
      </c>
      <c r="K288" s="35" t="str">
        <f t="shared" si="81"/>
        <v/>
      </c>
      <c r="L288" s="35" t="str">
        <f t="shared" si="82"/>
        <v/>
      </c>
      <c r="M288" s="35" t="str">
        <f t="shared" si="83"/>
        <v/>
      </c>
      <c r="N288" s="36" t="str">
        <f t="shared" si="84"/>
        <v/>
      </c>
      <c r="O288" s="35" t="str">
        <f t="shared" si="85"/>
        <v/>
      </c>
      <c r="P288" s="35" t="str">
        <f t="shared" si="86"/>
        <v/>
      </c>
      <c r="Q288" s="35" t="str">
        <f t="shared" si="87"/>
        <v/>
      </c>
      <c r="R288" s="35" t="str">
        <f t="shared" si="88"/>
        <v/>
      </c>
      <c r="S288" s="33" t="str">
        <f t="shared" si="89"/>
        <v/>
      </c>
    </row>
    <row r="289" spans="1:19" x14ac:dyDescent="0.3">
      <c r="A289" s="33">
        <f>285</f>
        <v>285</v>
      </c>
      <c r="B289" s="34" t="str">
        <f t="shared" si="72"/>
        <v/>
      </c>
      <c r="C289" s="33" t="str">
        <f t="shared" si="73"/>
        <v/>
      </c>
      <c r="D289" s="33" t="str">
        <f t="shared" si="74"/>
        <v/>
      </c>
      <c r="E289" s="35" t="str">
        <f t="shared" si="75"/>
        <v/>
      </c>
      <c r="F289" s="35" t="str">
        <f t="shared" si="76"/>
        <v/>
      </c>
      <c r="G289" s="33" t="str">
        <f t="shared" si="77"/>
        <v/>
      </c>
      <c r="H289" s="35" t="str">
        <f t="shared" si="78"/>
        <v/>
      </c>
      <c r="I289" s="35" t="str">
        <f t="shared" si="79"/>
        <v/>
      </c>
      <c r="J289" s="35" t="str">
        <f t="shared" si="80"/>
        <v/>
      </c>
      <c r="K289" s="35" t="str">
        <f t="shared" si="81"/>
        <v/>
      </c>
      <c r="L289" s="35" t="str">
        <f t="shared" si="82"/>
        <v/>
      </c>
      <c r="M289" s="35" t="str">
        <f t="shared" si="83"/>
        <v/>
      </c>
      <c r="N289" s="36" t="str">
        <f t="shared" si="84"/>
        <v/>
      </c>
      <c r="O289" s="35" t="str">
        <f t="shared" si="85"/>
        <v/>
      </c>
      <c r="P289" s="35" t="str">
        <f t="shared" si="86"/>
        <v/>
      </c>
      <c r="Q289" s="35" t="str">
        <f t="shared" si="87"/>
        <v/>
      </c>
      <c r="R289" s="35" t="str">
        <f t="shared" si="88"/>
        <v/>
      </c>
      <c r="S289" s="33" t="str">
        <f t="shared" si="89"/>
        <v/>
      </c>
    </row>
    <row r="290" spans="1:19" x14ac:dyDescent="0.3">
      <c r="A290" s="33">
        <f>286</f>
        <v>286</v>
      </c>
      <c r="B290" s="34" t="str">
        <f t="shared" si="72"/>
        <v/>
      </c>
      <c r="C290" s="33" t="str">
        <f t="shared" si="73"/>
        <v/>
      </c>
      <c r="D290" s="33" t="str">
        <f t="shared" si="74"/>
        <v/>
      </c>
      <c r="E290" s="35" t="str">
        <f t="shared" si="75"/>
        <v/>
      </c>
      <c r="F290" s="35" t="str">
        <f t="shared" si="76"/>
        <v/>
      </c>
      <c r="G290" s="33" t="str">
        <f t="shared" si="77"/>
        <v/>
      </c>
      <c r="H290" s="35" t="str">
        <f t="shared" si="78"/>
        <v/>
      </c>
      <c r="I290" s="35" t="str">
        <f t="shared" si="79"/>
        <v/>
      </c>
      <c r="J290" s="35" t="str">
        <f t="shared" si="80"/>
        <v/>
      </c>
      <c r="K290" s="35" t="str">
        <f t="shared" si="81"/>
        <v/>
      </c>
      <c r="L290" s="35" t="str">
        <f t="shared" si="82"/>
        <v/>
      </c>
      <c r="M290" s="35" t="str">
        <f t="shared" si="83"/>
        <v/>
      </c>
      <c r="N290" s="36" t="str">
        <f t="shared" si="84"/>
        <v/>
      </c>
      <c r="O290" s="35" t="str">
        <f t="shared" si="85"/>
        <v/>
      </c>
      <c r="P290" s="35" t="str">
        <f t="shared" si="86"/>
        <v/>
      </c>
      <c r="Q290" s="35" t="str">
        <f t="shared" si="87"/>
        <v/>
      </c>
      <c r="R290" s="35" t="str">
        <f t="shared" si="88"/>
        <v/>
      </c>
      <c r="S290" s="33" t="str">
        <f t="shared" si="89"/>
        <v/>
      </c>
    </row>
    <row r="291" spans="1:19" x14ac:dyDescent="0.3">
      <c r="A291" s="33">
        <f>287</f>
        <v>287</v>
      </c>
      <c r="B291" s="34" t="str">
        <f t="shared" si="72"/>
        <v/>
      </c>
      <c r="C291" s="33" t="str">
        <f t="shared" si="73"/>
        <v/>
      </c>
      <c r="D291" s="33" t="str">
        <f t="shared" si="74"/>
        <v/>
      </c>
      <c r="E291" s="35" t="str">
        <f t="shared" si="75"/>
        <v/>
      </c>
      <c r="F291" s="35" t="str">
        <f t="shared" si="76"/>
        <v/>
      </c>
      <c r="G291" s="33" t="str">
        <f t="shared" si="77"/>
        <v/>
      </c>
      <c r="H291" s="35" t="str">
        <f t="shared" si="78"/>
        <v/>
      </c>
      <c r="I291" s="35" t="str">
        <f t="shared" si="79"/>
        <v/>
      </c>
      <c r="J291" s="35" t="str">
        <f t="shared" si="80"/>
        <v/>
      </c>
      <c r="K291" s="35" t="str">
        <f t="shared" si="81"/>
        <v/>
      </c>
      <c r="L291" s="35" t="str">
        <f t="shared" si="82"/>
        <v/>
      </c>
      <c r="M291" s="35" t="str">
        <f t="shared" si="83"/>
        <v/>
      </c>
      <c r="N291" s="36" t="str">
        <f t="shared" si="84"/>
        <v/>
      </c>
      <c r="O291" s="35" t="str">
        <f t="shared" si="85"/>
        <v/>
      </c>
      <c r="P291" s="35" t="str">
        <f t="shared" si="86"/>
        <v/>
      </c>
      <c r="Q291" s="35" t="str">
        <f t="shared" si="87"/>
        <v/>
      </c>
      <c r="R291" s="35" t="str">
        <f t="shared" si="88"/>
        <v/>
      </c>
      <c r="S291" s="33" t="str">
        <f t="shared" si="89"/>
        <v/>
      </c>
    </row>
    <row r="292" spans="1:19" x14ac:dyDescent="0.3">
      <c r="A292" s="37">
        <f>288</f>
        <v>288</v>
      </c>
      <c r="B292" s="38" t="str">
        <f t="shared" si="72"/>
        <v/>
      </c>
      <c r="C292" s="37" t="str">
        <f t="shared" si="73"/>
        <v/>
      </c>
      <c r="D292" s="37" t="str">
        <f t="shared" si="74"/>
        <v/>
      </c>
      <c r="E292" s="39" t="str">
        <f t="shared" si="75"/>
        <v/>
      </c>
      <c r="F292" s="39" t="str">
        <f t="shared" si="76"/>
        <v/>
      </c>
      <c r="G292" s="37" t="str">
        <f t="shared" si="77"/>
        <v/>
      </c>
      <c r="H292" s="39" t="str">
        <f t="shared" si="78"/>
        <v/>
      </c>
      <c r="I292" s="39" t="str">
        <f t="shared" si="79"/>
        <v/>
      </c>
      <c r="J292" s="39" t="str">
        <f t="shared" si="80"/>
        <v/>
      </c>
      <c r="K292" s="39" t="str">
        <f t="shared" si="81"/>
        <v/>
      </c>
      <c r="L292" s="39" t="str">
        <f t="shared" si="82"/>
        <v/>
      </c>
      <c r="M292" s="39" t="str">
        <f t="shared" si="83"/>
        <v/>
      </c>
      <c r="N292" s="40" t="str">
        <f t="shared" si="84"/>
        <v/>
      </c>
      <c r="O292" s="39" t="str">
        <f t="shared" si="85"/>
        <v/>
      </c>
      <c r="P292" s="39" t="str">
        <f t="shared" si="86"/>
        <v/>
      </c>
      <c r="Q292" s="39" t="str">
        <f t="shared" si="87"/>
        <v/>
      </c>
      <c r="R292" s="39" t="str">
        <f t="shared" si="88"/>
        <v/>
      </c>
      <c r="S292" s="37" t="str">
        <f t="shared" si="89"/>
        <v/>
      </c>
    </row>
    <row r="293" spans="1:19" x14ac:dyDescent="0.3">
      <c r="A293" s="33">
        <f>289</f>
        <v>289</v>
      </c>
      <c r="B293" s="34" t="str">
        <f t="shared" si="72"/>
        <v/>
      </c>
      <c r="C293" s="33" t="str">
        <f t="shared" si="73"/>
        <v/>
      </c>
      <c r="D293" s="33" t="str">
        <f t="shared" si="74"/>
        <v/>
      </c>
      <c r="E293" s="35" t="str">
        <f t="shared" si="75"/>
        <v/>
      </c>
      <c r="F293" s="35" t="str">
        <f t="shared" si="76"/>
        <v/>
      </c>
      <c r="G293" s="33" t="str">
        <f t="shared" si="77"/>
        <v/>
      </c>
      <c r="H293" s="35" t="str">
        <f t="shared" si="78"/>
        <v/>
      </c>
      <c r="I293" s="35" t="str">
        <f t="shared" si="79"/>
        <v/>
      </c>
      <c r="J293" s="35" t="str">
        <f t="shared" si="80"/>
        <v/>
      </c>
      <c r="K293" s="35" t="str">
        <f t="shared" si="81"/>
        <v/>
      </c>
      <c r="L293" s="35" t="str">
        <f t="shared" si="82"/>
        <v/>
      </c>
      <c r="M293" s="35" t="str">
        <f t="shared" si="83"/>
        <v/>
      </c>
      <c r="N293" s="36" t="str">
        <f t="shared" si="84"/>
        <v/>
      </c>
      <c r="O293" s="35" t="str">
        <f t="shared" si="85"/>
        <v/>
      </c>
      <c r="P293" s="35" t="str">
        <f t="shared" si="86"/>
        <v/>
      </c>
      <c r="Q293" s="35" t="str">
        <f t="shared" si="87"/>
        <v/>
      </c>
      <c r="R293" s="35" t="str">
        <f t="shared" si="88"/>
        <v/>
      </c>
      <c r="S293" s="33" t="str">
        <f t="shared" si="89"/>
        <v/>
      </c>
    </row>
    <row r="294" spans="1:19" x14ac:dyDescent="0.3">
      <c r="A294" s="33">
        <f>290</f>
        <v>290</v>
      </c>
      <c r="B294" s="34" t="str">
        <f t="shared" si="72"/>
        <v/>
      </c>
      <c r="C294" s="33" t="str">
        <f t="shared" si="73"/>
        <v/>
      </c>
      <c r="D294" s="33" t="str">
        <f t="shared" si="74"/>
        <v/>
      </c>
      <c r="E294" s="35" t="str">
        <f t="shared" si="75"/>
        <v/>
      </c>
      <c r="F294" s="35" t="str">
        <f t="shared" si="76"/>
        <v/>
      </c>
      <c r="G294" s="33" t="str">
        <f t="shared" si="77"/>
        <v/>
      </c>
      <c r="H294" s="35" t="str">
        <f t="shared" si="78"/>
        <v/>
      </c>
      <c r="I294" s="35" t="str">
        <f t="shared" si="79"/>
        <v/>
      </c>
      <c r="J294" s="35" t="str">
        <f t="shared" si="80"/>
        <v/>
      </c>
      <c r="K294" s="35" t="str">
        <f t="shared" si="81"/>
        <v/>
      </c>
      <c r="L294" s="35" t="str">
        <f t="shared" si="82"/>
        <v/>
      </c>
      <c r="M294" s="35" t="str">
        <f t="shared" si="83"/>
        <v/>
      </c>
      <c r="N294" s="36" t="str">
        <f t="shared" si="84"/>
        <v/>
      </c>
      <c r="O294" s="35" t="str">
        <f t="shared" si="85"/>
        <v/>
      </c>
      <c r="P294" s="35" t="str">
        <f t="shared" si="86"/>
        <v/>
      </c>
      <c r="Q294" s="35" t="str">
        <f t="shared" si="87"/>
        <v/>
      </c>
      <c r="R294" s="35" t="str">
        <f t="shared" si="88"/>
        <v/>
      </c>
      <c r="S294" s="33" t="str">
        <f t="shared" si="89"/>
        <v/>
      </c>
    </row>
    <row r="295" spans="1:19" x14ac:dyDescent="0.3">
      <c r="A295" s="33">
        <f>291</f>
        <v>291</v>
      </c>
      <c r="B295" s="34" t="str">
        <f t="shared" si="72"/>
        <v/>
      </c>
      <c r="C295" s="33" t="str">
        <f t="shared" si="73"/>
        <v/>
      </c>
      <c r="D295" s="33" t="str">
        <f t="shared" si="74"/>
        <v/>
      </c>
      <c r="E295" s="35" t="str">
        <f t="shared" si="75"/>
        <v/>
      </c>
      <c r="F295" s="35" t="str">
        <f t="shared" si="76"/>
        <v/>
      </c>
      <c r="G295" s="33" t="str">
        <f t="shared" si="77"/>
        <v/>
      </c>
      <c r="H295" s="35" t="str">
        <f t="shared" si="78"/>
        <v/>
      </c>
      <c r="I295" s="35" t="str">
        <f t="shared" si="79"/>
        <v/>
      </c>
      <c r="J295" s="35" t="str">
        <f t="shared" si="80"/>
        <v/>
      </c>
      <c r="K295" s="35" t="str">
        <f t="shared" si="81"/>
        <v/>
      </c>
      <c r="L295" s="35" t="str">
        <f t="shared" si="82"/>
        <v/>
      </c>
      <c r="M295" s="35" t="str">
        <f t="shared" si="83"/>
        <v/>
      </c>
      <c r="N295" s="36" t="str">
        <f t="shared" si="84"/>
        <v/>
      </c>
      <c r="O295" s="35" t="str">
        <f t="shared" si="85"/>
        <v/>
      </c>
      <c r="P295" s="35" t="str">
        <f t="shared" si="86"/>
        <v/>
      </c>
      <c r="Q295" s="35" t="str">
        <f t="shared" si="87"/>
        <v/>
      </c>
      <c r="R295" s="35" t="str">
        <f t="shared" si="88"/>
        <v/>
      </c>
      <c r="S295" s="33" t="str">
        <f t="shared" si="89"/>
        <v/>
      </c>
    </row>
    <row r="296" spans="1:19" x14ac:dyDescent="0.3">
      <c r="A296" s="33">
        <f>292</f>
        <v>292</v>
      </c>
      <c r="B296" s="34" t="str">
        <f t="shared" si="72"/>
        <v/>
      </c>
      <c r="C296" s="33" t="str">
        <f t="shared" si="73"/>
        <v/>
      </c>
      <c r="D296" s="33" t="str">
        <f t="shared" si="74"/>
        <v/>
      </c>
      <c r="E296" s="35" t="str">
        <f t="shared" si="75"/>
        <v/>
      </c>
      <c r="F296" s="35" t="str">
        <f t="shared" si="76"/>
        <v/>
      </c>
      <c r="G296" s="33" t="str">
        <f t="shared" si="77"/>
        <v/>
      </c>
      <c r="H296" s="35" t="str">
        <f t="shared" si="78"/>
        <v/>
      </c>
      <c r="I296" s="35" t="str">
        <f t="shared" si="79"/>
        <v/>
      </c>
      <c r="J296" s="35" t="str">
        <f t="shared" si="80"/>
        <v/>
      </c>
      <c r="K296" s="35" t="str">
        <f t="shared" si="81"/>
        <v/>
      </c>
      <c r="L296" s="35" t="str">
        <f t="shared" si="82"/>
        <v/>
      </c>
      <c r="M296" s="35" t="str">
        <f t="shared" si="83"/>
        <v/>
      </c>
      <c r="N296" s="36" t="str">
        <f t="shared" si="84"/>
        <v/>
      </c>
      <c r="O296" s="35" t="str">
        <f t="shared" si="85"/>
        <v/>
      </c>
      <c r="P296" s="35" t="str">
        <f t="shared" si="86"/>
        <v/>
      </c>
      <c r="Q296" s="35" t="str">
        <f t="shared" si="87"/>
        <v/>
      </c>
      <c r="R296" s="35" t="str">
        <f t="shared" si="88"/>
        <v/>
      </c>
      <c r="S296" s="33" t="str">
        <f t="shared" si="89"/>
        <v/>
      </c>
    </row>
    <row r="297" spans="1:19" x14ac:dyDescent="0.3">
      <c r="A297" s="33">
        <f>293</f>
        <v>293</v>
      </c>
      <c r="B297" s="34" t="str">
        <f t="shared" si="72"/>
        <v/>
      </c>
      <c r="C297" s="33" t="str">
        <f t="shared" si="73"/>
        <v/>
      </c>
      <c r="D297" s="33" t="str">
        <f t="shared" si="74"/>
        <v/>
      </c>
      <c r="E297" s="35" t="str">
        <f t="shared" si="75"/>
        <v/>
      </c>
      <c r="F297" s="35" t="str">
        <f t="shared" si="76"/>
        <v/>
      </c>
      <c r="G297" s="33" t="str">
        <f t="shared" si="77"/>
        <v/>
      </c>
      <c r="H297" s="35" t="str">
        <f t="shared" si="78"/>
        <v/>
      </c>
      <c r="I297" s="35" t="str">
        <f t="shared" si="79"/>
        <v/>
      </c>
      <c r="J297" s="35" t="str">
        <f t="shared" si="80"/>
        <v/>
      </c>
      <c r="K297" s="35" t="str">
        <f t="shared" si="81"/>
        <v/>
      </c>
      <c r="L297" s="35" t="str">
        <f t="shared" si="82"/>
        <v/>
      </c>
      <c r="M297" s="35" t="str">
        <f t="shared" si="83"/>
        <v/>
      </c>
      <c r="N297" s="36" t="str">
        <f t="shared" si="84"/>
        <v/>
      </c>
      <c r="O297" s="35" t="str">
        <f t="shared" si="85"/>
        <v/>
      </c>
      <c r="P297" s="35" t="str">
        <f t="shared" si="86"/>
        <v/>
      </c>
      <c r="Q297" s="35" t="str">
        <f t="shared" si="87"/>
        <v/>
      </c>
      <c r="R297" s="35" t="str">
        <f t="shared" si="88"/>
        <v/>
      </c>
      <c r="S297" s="33" t="str">
        <f t="shared" si="89"/>
        <v/>
      </c>
    </row>
    <row r="298" spans="1:19" x14ac:dyDescent="0.3">
      <c r="A298" s="33">
        <f>294</f>
        <v>294</v>
      </c>
      <c r="B298" s="34" t="str">
        <f t="shared" si="72"/>
        <v/>
      </c>
      <c r="C298" s="33" t="str">
        <f t="shared" si="73"/>
        <v/>
      </c>
      <c r="D298" s="33" t="str">
        <f t="shared" si="74"/>
        <v/>
      </c>
      <c r="E298" s="35" t="str">
        <f t="shared" si="75"/>
        <v/>
      </c>
      <c r="F298" s="35" t="str">
        <f t="shared" si="76"/>
        <v/>
      </c>
      <c r="G298" s="33" t="str">
        <f t="shared" si="77"/>
        <v/>
      </c>
      <c r="H298" s="35" t="str">
        <f t="shared" si="78"/>
        <v/>
      </c>
      <c r="I298" s="35" t="str">
        <f t="shared" si="79"/>
        <v/>
      </c>
      <c r="J298" s="35" t="str">
        <f t="shared" si="80"/>
        <v/>
      </c>
      <c r="K298" s="35" t="str">
        <f t="shared" si="81"/>
        <v/>
      </c>
      <c r="L298" s="35" t="str">
        <f t="shared" si="82"/>
        <v/>
      </c>
      <c r="M298" s="35" t="str">
        <f t="shared" si="83"/>
        <v/>
      </c>
      <c r="N298" s="36" t="str">
        <f t="shared" si="84"/>
        <v/>
      </c>
      <c r="O298" s="35" t="str">
        <f t="shared" si="85"/>
        <v/>
      </c>
      <c r="P298" s="35" t="str">
        <f t="shared" si="86"/>
        <v/>
      </c>
      <c r="Q298" s="35" t="str">
        <f t="shared" si="87"/>
        <v/>
      </c>
      <c r="R298" s="35" t="str">
        <f t="shared" si="88"/>
        <v/>
      </c>
      <c r="S298" s="33" t="str">
        <f t="shared" si="89"/>
        <v/>
      </c>
    </row>
    <row r="299" spans="1:19" x14ac:dyDescent="0.3">
      <c r="A299" s="33">
        <f>295</f>
        <v>295</v>
      </c>
      <c r="B299" s="34" t="str">
        <f t="shared" si="72"/>
        <v/>
      </c>
      <c r="C299" s="33" t="str">
        <f t="shared" si="73"/>
        <v/>
      </c>
      <c r="D299" s="33" t="str">
        <f t="shared" si="74"/>
        <v/>
      </c>
      <c r="E299" s="35" t="str">
        <f t="shared" si="75"/>
        <v/>
      </c>
      <c r="F299" s="35" t="str">
        <f t="shared" si="76"/>
        <v/>
      </c>
      <c r="G299" s="33" t="str">
        <f t="shared" si="77"/>
        <v/>
      </c>
      <c r="H299" s="35" t="str">
        <f t="shared" si="78"/>
        <v/>
      </c>
      <c r="I299" s="35" t="str">
        <f t="shared" si="79"/>
        <v/>
      </c>
      <c r="J299" s="35" t="str">
        <f t="shared" si="80"/>
        <v/>
      </c>
      <c r="K299" s="35" t="str">
        <f t="shared" si="81"/>
        <v/>
      </c>
      <c r="L299" s="35" t="str">
        <f t="shared" si="82"/>
        <v/>
      </c>
      <c r="M299" s="35" t="str">
        <f t="shared" si="83"/>
        <v/>
      </c>
      <c r="N299" s="36" t="str">
        <f t="shared" si="84"/>
        <v/>
      </c>
      <c r="O299" s="35" t="str">
        <f t="shared" si="85"/>
        <v/>
      </c>
      <c r="P299" s="35" t="str">
        <f t="shared" si="86"/>
        <v/>
      </c>
      <c r="Q299" s="35" t="str">
        <f t="shared" si="87"/>
        <v/>
      </c>
      <c r="R299" s="35" t="str">
        <f t="shared" si="88"/>
        <v/>
      </c>
      <c r="S299" s="33" t="str">
        <f t="shared" si="89"/>
        <v/>
      </c>
    </row>
    <row r="300" spans="1:19" x14ac:dyDescent="0.3">
      <c r="A300" s="33">
        <f>296</f>
        <v>296</v>
      </c>
      <c r="B300" s="34" t="str">
        <f t="shared" si="72"/>
        <v/>
      </c>
      <c r="C300" s="33" t="str">
        <f t="shared" si="73"/>
        <v/>
      </c>
      <c r="D300" s="33" t="str">
        <f t="shared" si="74"/>
        <v/>
      </c>
      <c r="E300" s="35" t="str">
        <f t="shared" si="75"/>
        <v/>
      </c>
      <c r="F300" s="35" t="str">
        <f t="shared" si="76"/>
        <v/>
      </c>
      <c r="G300" s="33" t="str">
        <f t="shared" si="77"/>
        <v/>
      </c>
      <c r="H300" s="35" t="str">
        <f t="shared" si="78"/>
        <v/>
      </c>
      <c r="I300" s="35" t="str">
        <f t="shared" si="79"/>
        <v/>
      </c>
      <c r="J300" s="35" t="str">
        <f t="shared" si="80"/>
        <v/>
      </c>
      <c r="K300" s="35" t="str">
        <f t="shared" si="81"/>
        <v/>
      </c>
      <c r="L300" s="35" t="str">
        <f t="shared" si="82"/>
        <v/>
      </c>
      <c r="M300" s="35" t="str">
        <f t="shared" si="83"/>
        <v/>
      </c>
      <c r="N300" s="36" t="str">
        <f t="shared" si="84"/>
        <v/>
      </c>
      <c r="O300" s="35" t="str">
        <f t="shared" si="85"/>
        <v/>
      </c>
      <c r="P300" s="35" t="str">
        <f t="shared" si="86"/>
        <v/>
      </c>
      <c r="Q300" s="35" t="str">
        <f t="shared" si="87"/>
        <v/>
      </c>
      <c r="R300" s="35" t="str">
        <f t="shared" si="88"/>
        <v/>
      </c>
      <c r="S300" s="33" t="str">
        <f t="shared" si="89"/>
        <v/>
      </c>
    </row>
    <row r="301" spans="1:19" x14ac:dyDescent="0.3">
      <c r="A301" s="33">
        <f>297</f>
        <v>297</v>
      </c>
      <c r="B301" s="34" t="str">
        <f t="shared" si="72"/>
        <v/>
      </c>
      <c r="C301" s="33" t="str">
        <f t="shared" si="73"/>
        <v/>
      </c>
      <c r="D301" s="33" t="str">
        <f t="shared" si="74"/>
        <v/>
      </c>
      <c r="E301" s="35" t="str">
        <f t="shared" si="75"/>
        <v/>
      </c>
      <c r="F301" s="35" t="str">
        <f t="shared" si="76"/>
        <v/>
      </c>
      <c r="G301" s="33" t="str">
        <f t="shared" si="77"/>
        <v/>
      </c>
      <c r="H301" s="35" t="str">
        <f t="shared" si="78"/>
        <v/>
      </c>
      <c r="I301" s="35" t="str">
        <f t="shared" si="79"/>
        <v/>
      </c>
      <c r="J301" s="35" t="str">
        <f t="shared" si="80"/>
        <v/>
      </c>
      <c r="K301" s="35" t="str">
        <f t="shared" si="81"/>
        <v/>
      </c>
      <c r="L301" s="35" t="str">
        <f t="shared" si="82"/>
        <v/>
      </c>
      <c r="M301" s="35" t="str">
        <f t="shared" si="83"/>
        <v/>
      </c>
      <c r="N301" s="36" t="str">
        <f t="shared" si="84"/>
        <v/>
      </c>
      <c r="O301" s="35" t="str">
        <f t="shared" si="85"/>
        <v/>
      </c>
      <c r="P301" s="35" t="str">
        <f t="shared" si="86"/>
        <v/>
      </c>
      <c r="Q301" s="35" t="str">
        <f t="shared" si="87"/>
        <v/>
      </c>
      <c r="R301" s="35" t="str">
        <f t="shared" si="88"/>
        <v/>
      </c>
      <c r="S301" s="33" t="str">
        <f t="shared" si="89"/>
        <v/>
      </c>
    </row>
    <row r="302" spans="1:19" x14ac:dyDescent="0.3">
      <c r="A302" s="33">
        <f>298</f>
        <v>298</v>
      </c>
      <c r="B302" s="34" t="str">
        <f t="shared" si="72"/>
        <v/>
      </c>
      <c r="C302" s="33" t="str">
        <f t="shared" si="73"/>
        <v/>
      </c>
      <c r="D302" s="33" t="str">
        <f t="shared" si="74"/>
        <v/>
      </c>
      <c r="E302" s="35" t="str">
        <f t="shared" si="75"/>
        <v/>
      </c>
      <c r="F302" s="35" t="str">
        <f t="shared" si="76"/>
        <v/>
      </c>
      <c r="G302" s="33" t="str">
        <f t="shared" si="77"/>
        <v/>
      </c>
      <c r="H302" s="35" t="str">
        <f t="shared" si="78"/>
        <v/>
      </c>
      <c r="I302" s="35" t="str">
        <f t="shared" si="79"/>
        <v/>
      </c>
      <c r="J302" s="35" t="str">
        <f t="shared" si="80"/>
        <v/>
      </c>
      <c r="K302" s="35" t="str">
        <f t="shared" si="81"/>
        <v/>
      </c>
      <c r="L302" s="35" t="str">
        <f t="shared" si="82"/>
        <v/>
      </c>
      <c r="M302" s="35" t="str">
        <f t="shared" si="83"/>
        <v/>
      </c>
      <c r="N302" s="36" t="str">
        <f t="shared" si="84"/>
        <v/>
      </c>
      <c r="O302" s="35" t="str">
        <f t="shared" si="85"/>
        <v/>
      </c>
      <c r="P302" s="35" t="str">
        <f t="shared" si="86"/>
        <v/>
      </c>
      <c r="Q302" s="35" t="str">
        <f t="shared" si="87"/>
        <v/>
      </c>
      <c r="R302" s="35" t="str">
        <f t="shared" si="88"/>
        <v/>
      </c>
      <c r="S302" s="33" t="str">
        <f t="shared" si="89"/>
        <v/>
      </c>
    </row>
    <row r="303" spans="1:19" x14ac:dyDescent="0.3">
      <c r="A303" s="33">
        <f>299</f>
        <v>299</v>
      </c>
      <c r="B303" s="34" t="str">
        <f t="shared" si="72"/>
        <v/>
      </c>
      <c r="C303" s="33" t="str">
        <f t="shared" si="73"/>
        <v/>
      </c>
      <c r="D303" s="33" t="str">
        <f t="shared" si="74"/>
        <v/>
      </c>
      <c r="E303" s="35" t="str">
        <f t="shared" si="75"/>
        <v/>
      </c>
      <c r="F303" s="35" t="str">
        <f t="shared" si="76"/>
        <v/>
      </c>
      <c r="G303" s="33" t="str">
        <f t="shared" si="77"/>
        <v/>
      </c>
      <c r="H303" s="35" t="str">
        <f t="shared" si="78"/>
        <v/>
      </c>
      <c r="I303" s="35" t="str">
        <f t="shared" si="79"/>
        <v/>
      </c>
      <c r="J303" s="35" t="str">
        <f t="shared" si="80"/>
        <v/>
      </c>
      <c r="K303" s="35" t="str">
        <f t="shared" si="81"/>
        <v/>
      </c>
      <c r="L303" s="35" t="str">
        <f t="shared" si="82"/>
        <v/>
      </c>
      <c r="M303" s="35" t="str">
        <f t="shared" si="83"/>
        <v/>
      </c>
      <c r="N303" s="36" t="str">
        <f t="shared" si="84"/>
        <v/>
      </c>
      <c r="O303" s="35" t="str">
        <f t="shared" si="85"/>
        <v/>
      </c>
      <c r="P303" s="35" t="str">
        <f t="shared" si="86"/>
        <v/>
      </c>
      <c r="Q303" s="35" t="str">
        <f t="shared" si="87"/>
        <v/>
      </c>
      <c r="R303" s="35" t="str">
        <f t="shared" si="88"/>
        <v/>
      </c>
      <c r="S303" s="33" t="str">
        <f t="shared" si="89"/>
        <v/>
      </c>
    </row>
    <row r="304" spans="1:19" x14ac:dyDescent="0.3">
      <c r="A304" s="37">
        <f>300</f>
        <v>300</v>
      </c>
      <c r="B304" s="38" t="str">
        <f t="shared" si="72"/>
        <v/>
      </c>
      <c r="C304" s="37" t="str">
        <f t="shared" si="73"/>
        <v/>
      </c>
      <c r="D304" s="37" t="str">
        <f t="shared" si="74"/>
        <v/>
      </c>
      <c r="E304" s="39" t="str">
        <f t="shared" si="75"/>
        <v/>
      </c>
      <c r="F304" s="39" t="str">
        <f t="shared" si="76"/>
        <v/>
      </c>
      <c r="G304" s="37" t="str">
        <f t="shared" si="77"/>
        <v/>
      </c>
      <c r="H304" s="39" t="str">
        <f t="shared" si="78"/>
        <v/>
      </c>
      <c r="I304" s="39" t="str">
        <f t="shared" si="79"/>
        <v/>
      </c>
      <c r="J304" s="39" t="str">
        <f t="shared" si="80"/>
        <v/>
      </c>
      <c r="K304" s="39" t="str">
        <f t="shared" si="81"/>
        <v/>
      </c>
      <c r="L304" s="39" t="str">
        <f t="shared" si="82"/>
        <v/>
      </c>
      <c r="M304" s="39" t="str">
        <f t="shared" si="83"/>
        <v/>
      </c>
      <c r="N304" s="40" t="str">
        <f t="shared" si="84"/>
        <v/>
      </c>
      <c r="O304" s="39" t="str">
        <f t="shared" si="85"/>
        <v/>
      </c>
      <c r="P304" s="39" t="str">
        <f t="shared" si="86"/>
        <v/>
      </c>
      <c r="Q304" s="39" t="str">
        <f t="shared" si="87"/>
        <v/>
      </c>
      <c r="R304" s="39" t="str">
        <f t="shared" si="88"/>
        <v/>
      </c>
      <c r="S304" s="37" t="str">
        <f t="shared" si="89"/>
        <v/>
      </c>
    </row>
    <row r="305" spans="1:19" x14ac:dyDescent="0.3">
      <c r="A305" s="33">
        <f>301</f>
        <v>301</v>
      </c>
      <c r="B305" s="34" t="str">
        <f t="shared" si="72"/>
        <v/>
      </c>
      <c r="C305" s="33" t="str">
        <f t="shared" si="73"/>
        <v/>
      </c>
      <c r="D305" s="33" t="str">
        <f t="shared" si="74"/>
        <v/>
      </c>
      <c r="E305" s="35" t="str">
        <f t="shared" si="75"/>
        <v/>
      </c>
      <c r="F305" s="35" t="str">
        <f t="shared" si="76"/>
        <v/>
      </c>
      <c r="G305" s="33" t="str">
        <f t="shared" si="77"/>
        <v/>
      </c>
      <c r="H305" s="35" t="str">
        <f t="shared" si="78"/>
        <v/>
      </c>
      <c r="I305" s="35" t="str">
        <f t="shared" si="79"/>
        <v/>
      </c>
      <c r="J305" s="35" t="str">
        <f t="shared" si="80"/>
        <v/>
      </c>
      <c r="K305" s="35" t="str">
        <f t="shared" si="81"/>
        <v/>
      </c>
      <c r="L305" s="35" t="str">
        <f t="shared" si="82"/>
        <v/>
      </c>
      <c r="M305" s="35" t="str">
        <f t="shared" si="83"/>
        <v/>
      </c>
      <c r="N305" s="36" t="str">
        <f t="shared" si="84"/>
        <v/>
      </c>
      <c r="O305" s="35" t="str">
        <f t="shared" si="85"/>
        <v/>
      </c>
      <c r="P305" s="35" t="str">
        <f t="shared" si="86"/>
        <v/>
      </c>
      <c r="Q305" s="35" t="str">
        <f t="shared" si="87"/>
        <v/>
      </c>
      <c r="R305" s="35" t="str">
        <f t="shared" si="88"/>
        <v/>
      </c>
      <c r="S305" s="33" t="str">
        <f t="shared" si="89"/>
        <v/>
      </c>
    </row>
    <row r="306" spans="1:19" x14ac:dyDescent="0.3">
      <c r="A306" s="33">
        <f>302</f>
        <v>302</v>
      </c>
      <c r="B306" s="34" t="str">
        <f t="shared" si="72"/>
        <v/>
      </c>
      <c r="C306" s="33" t="str">
        <f t="shared" si="73"/>
        <v/>
      </c>
      <c r="D306" s="33" t="str">
        <f t="shared" si="74"/>
        <v/>
      </c>
      <c r="E306" s="35" t="str">
        <f t="shared" si="75"/>
        <v/>
      </c>
      <c r="F306" s="35" t="str">
        <f t="shared" si="76"/>
        <v/>
      </c>
      <c r="G306" s="33" t="str">
        <f t="shared" si="77"/>
        <v/>
      </c>
      <c r="H306" s="35" t="str">
        <f t="shared" si="78"/>
        <v/>
      </c>
      <c r="I306" s="35" t="str">
        <f t="shared" si="79"/>
        <v/>
      </c>
      <c r="J306" s="35" t="str">
        <f t="shared" si="80"/>
        <v/>
      </c>
      <c r="K306" s="35" t="str">
        <f t="shared" si="81"/>
        <v/>
      </c>
      <c r="L306" s="35" t="str">
        <f t="shared" si="82"/>
        <v/>
      </c>
      <c r="M306" s="35" t="str">
        <f t="shared" si="83"/>
        <v/>
      </c>
      <c r="N306" s="36" t="str">
        <f t="shared" si="84"/>
        <v/>
      </c>
      <c r="O306" s="35" t="str">
        <f t="shared" si="85"/>
        <v/>
      </c>
      <c r="P306" s="35" t="str">
        <f t="shared" si="86"/>
        <v/>
      </c>
      <c r="Q306" s="35" t="str">
        <f t="shared" si="87"/>
        <v/>
      </c>
      <c r="R306" s="35" t="str">
        <f t="shared" si="88"/>
        <v/>
      </c>
      <c r="S306" s="33" t="str">
        <f t="shared" si="89"/>
        <v/>
      </c>
    </row>
    <row r="307" spans="1:19" x14ac:dyDescent="0.3">
      <c r="A307" s="33">
        <f>303</f>
        <v>303</v>
      </c>
      <c r="B307" s="34" t="str">
        <f t="shared" si="72"/>
        <v/>
      </c>
      <c r="C307" s="33" t="str">
        <f t="shared" si="73"/>
        <v/>
      </c>
      <c r="D307" s="33" t="str">
        <f t="shared" si="74"/>
        <v/>
      </c>
      <c r="E307" s="35" t="str">
        <f t="shared" si="75"/>
        <v/>
      </c>
      <c r="F307" s="35" t="str">
        <f t="shared" si="76"/>
        <v/>
      </c>
      <c r="G307" s="33" t="str">
        <f t="shared" si="77"/>
        <v/>
      </c>
      <c r="H307" s="35" t="str">
        <f t="shared" si="78"/>
        <v/>
      </c>
      <c r="I307" s="35" t="str">
        <f t="shared" si="79"/>
        <v/>
      </c>
      <c r="J307" s="35" t="str">
        <f t="shared" si="80"/>
        <v/>
      </c>
      <c r="K307" s="35" t="str">
        <f t="shared" si="81"/>
        <v/>
      </c>
      <c r="L307" s="35" t="str">
        <f t="shared" si="82"/>
        <v/>
      </c>
      <c r="M307" s="35" t="str">
        <f t="shared" si="83"/>
        <v/>
      </c>
      <c r="N307" s="36" t="str">
        <f t="shared" si="84"/>
        <v/>
      </c>
      <c r="O307" s="35" t="str">
        <f t="shared" si="85"/>
        <v/>
      </c>
      <c r="P307" s="35" t="str">
        <f t="shared" si="86"/>
        <v/>
      </c>
      <c r="Q307" s="35" t="str">
        <f t="shared" si="87"/>
        <v/>
      </c>
      <c r="R307" s="35" t="str">
        <f t="shared" si="88"/>
        <v/>
      </c>
      <c r="S307" s="33" t="str">
        <f t="shared" si="89"/>
        <v/>
      </c>
    </row>
    <row r="308" spans="1:19" x14ac:dyDescent="0.3">
      <c r="A308" s="33">
        <f>304</f>
        <v>304</v>
      </c>
      <c r="B308" s="34" t="str">
        <f t="shared" si="72"/>
        <v/>
      </c>
      <c r="C308" s="33" t="str">
        <f t="shared" si="73"/>
        <v/>
      </c>
      <c r="D308" s="33" t="str">
        <f t="shared" si="74"/>
        <v/>
      </c>
      <c r="E308" s="35" t="str">
        <f t="shared" si="75"/>
        <v/>
      </c>
      <c r="F308" s="35" t="str">
        <f t="shared" si="76"/>
        <v/>
      </c>
      <c r="G308" s="33" t="str">
        <f t="shared" si="77"/>
        <v/>
      </c>
      <c r="H308" s="35" t="str">
        <f t="shared" si="78"/>
        <v/>
      </c>
      <c r="I308" s="35" t="str">
        <f t="shared" si="79"/>
        <v/>
      </c>
      <c r="J308" s="35" t="str">
        <f t="shared" si="80"/>
        <v/>
      </c>
      <c r="K308" s="35" t="str">
        <f t="shared" si="81"/>
        <v/>
      </c>
      <c r="L308" s="35" t="str">
        <f t="shared" si="82"/>
        <v/>
      </c>
      <c r="M308" s="35" t="str">
        <f t="shared" si="83"/>
        <v/>
      </c>
      <c r="N308" s="36" t="str">
        <f t="shared" si="84"/>
        <v/>
      </c>
      <c r="O308" s="35" t="str">
        <f t="shared" si="85"/>
        <v/>
      </c>
      <c r="P308" s="35" t="str">
        <f t="shared" si="86"/>
        <v/>
      </c>
      <c r="Q308" s="35" t="str">
        <f t="shared" si="87"/>
        <v/>
      </c>
      <c r="R308" s="35" t="str">
        <f t="shared" si="88"/>
        <v/>
      </c>
      <c r="S308" s="33" t="str">
        <f t="shared" si="89"/>
        <v/>
      </c>
    </row>
    <row r="309" spans="1:19" x14ac:dyDescent="0.3">
      <c r="A309" s="33">
        <f>305</f>
        <v>305</v>
      </c>
      <c r="B309" s="34" t="str">
        <f t="shared" si="72"/>
        <v/>
      </c>
      <c r="C309" s="33" t="str">
        <f t="shared" si="73"/>
        <v/>
      </c>
      <c r="D309" s="33" t="str">
        <f t="shared" si="74"/>
        <v/>
      </c>
      <c r="E309" s="35" t="str">
        <f t="shared" si="75"/>
        <v/>
      </c>
      <c r="F309" s="35" t="str">
        <f t="shared" si="76"/>
        <v/>
      </c>
      <c r="G309" s="33" t="str">
        <f t="shared" si="77"/>
        <v/>
      </c>
      <c r="H309" s="35" t="str">
        <f t="shared" si="78"/>
        <v/>
      </c>
      <c r="I309" s="35" t="str">
        <f t="shared" si="79"/>
        <v/>
      </c>
      <c r="J309" s="35" t="str">
        <f t="shared" si="80"/>
        <v/>
      </c>
      <c r="K309" s="35" t="str">
        <f t="shared" si="81"/>
        <v/>
      </c>
      <c r="L309" s="35" t="str">
        <f t="shared" si="82"/>
        <v/>
      </c>
      <c r="M309" s="35" t="str">
        <f t="shared" si="83"/>
        <v/>
      </c>
      <c r="N309" s="36" t="str">
        <f t="shared" si="84"/>
        <v/>
      </c>
      <c r="O309" s="35" t="str">
        <f t="shared" si="85"/>
        <v/>
      </c>
      <c r="P309" s="35" t="str">
        <f t="shared" si="86"/>
        <v/>
      </c>
      <c r="Q309" s="35" t="str">
        <f t="shared" si="87"/>
        <v/>
      </c>
      <c r="R309" s="35" t="str">
        <f t="shared" si="88"/>
        <v/>
      </c>
      <c r="S309" s="33" t="str">
        <f t="shared" si="89"/>
        <v/>
      </c>
    </row>
    <row r="310" spans="1:19" x14ac:dyDescent="0.3">
      <c r="A310" s="33">
        <f>306</f>
        <v>306</v>
      </c>
      <c r="B310" s="34" t="str">
        <f t="shared" si="72"/>
        <v/>
      </c>
      <c r="C310" s="33" t="str">
        <f t="shared" si="73"/>
        <v/>
      </c>
      <c r="D310" s="33" t="str">
        <f t="shared" si="74"/>
        <v/>
      </c>
      <c r="E310" s="35" t="str">
        <f t="shared" si="75"/>
        <v/>
      </c>
      <c r="F310" s="35" t="str">
        <f t="shared" si="76"/>
        <v/>
      </c>
      <c r="G310" s="33" t="str">
        <f t="shared" si="77"/>
        <v/>
      </c>
      <c r="H310" s="35" t="str">
        <f t="shared" si="78"/>
        <v/>
      </c>
      <c r="I310" s="35" t="str">
        <f t="shared" si="79"/>
        <v/>
      </c>
      <c r="J310" s="35" t="str">
        <f t="shared" si="80"/>
        <v/>
      </c>
      <c r="K310" s="35" t="str">
        <f t="shared" si="81"/>
        <v/>
      </c>
      <c r="L310" s="35" t="str">
        <f t="shared" si="82"/>
        <v/>
      </c>
      <c r="M310" s="35" t="str">
        <f t="shared" si="83"/>
        <v/>
      </c>
      <c r="N310" s="36" t="str">
        <f t="shared" si="84"/>
        <v/>
      </c>
      <c r="O310" s="35" t="str">
        <f t="shared" si="85"/>
        <v/>
      </c>
      <c r="P310" s="35" t="str">
        <f t="shared" si="86"/>
        <v/>
      </c>
      <c r="Q310" s="35" t="str">
        <f t="shared" si="87"/>
        <v/>
      </c>
      <c r="R310" s="35" t="str">
        <f t="shared" si="88"/>
        <v/>
      </c>
      <c r="S310" s="33" t="str">
        <f t="shared" si="89"/>
        <v/>
      </c>
    </row>
    <row r="311" spans="1:19" x14ac:dyDescent="0.3">
      <c r="A311" s="33">
        <f>307</f>
        <v>307</v>
      </c>
      <c r="B311" s="34" t="str">
        <f t="shared" si="72"/>
        <v/>
      </c>
      <c r="C311" s="33" t="str">
        <f t="shared" si="73"/>
        <v/>
      </c>
      <c r="D311" s="33" t="str">
        <f t="shared" si="74"/>
        <v/>
      </c>
      <c r="E311" s="35" t="str">
        <f t="shared" si="75"/>
        <v/>
      </c>
      <c r="F311" s="35" t="str">
        <f t="shared" si="76"/>
        <v/>
      </c>
      <c r="G311" s="33" t="str">
        <f t="shared" si="77"/>
        <v/>
      </c>
      <c r="H311" s="35" t="str">
        <f t="shared" si="78"/>
        <v/>
      </c>
      <c r="I311" s="35" t="str">
        <f t="shared" si="79"/>
        <v/>
      </c>
      <c r="J311" s="35" t="str">
        <f t="shared" si="80"/>
        <v/>
      </c>
      <c r="K311" s="35" t="str">
        <f t="shared" si="81"/>
        <v/>
      </c>
      <c r="L311" s="35" t="str">
        <f t="shared" si="82"/>
        <v/>
      </c>
      <c r="M311" s="35" t="str">
        <f t="shared" si="83"/>
        <v/>
      </c>
      <c r="N311" s="36" t="str">
        <f t="shared" si="84"/>
        <v/>
      </c>
      <c r="O311" s="35" t="str">
        <f t="shared" si="85"/>
        <v/>
      </c>
      <c r="P311" s="35" t="str">
        <f t="shared" si="86"/>
        <v/>
      </c>
      <c r="Q311" s="35" t="str">
        <f t="shared" si="87"/>
        <v/>
      </c>
      <c r="R311" s="35" t="str">
        <f t="shared" si="88"/>
        <v/>
      </c>
      <c r="S311" s="33" t="str">
        <f t="shared" si="89"/>
        <v/>
      </c>
    </row>
    <row r="312" spans="1:19" x14ac:dyDescent="0.3">
      <c r="A312" s="33">
        <f>308</f>
        <v>308</v>
      </c>
      <c r="B312" s="34" t="str">
        <f t="shared" si="72"/>
        <v/>
      </c>
      <c r="C312" s="33" t="str">
        <f t="shared" si="73"/>
        <v/>
      </c>
      <c r="D312" s="33" t="str">
        <f t="shared" si="74"/>
        <v/>
      </c>
      <c r="E312" s="35" t="str">
        <f t="shared" si="75"/>
        <v/>
      </c>
      <c r="F312" s="35" t="str">
        <f t="shared" si="76"/>
        <v/>
      </c>
      <c r="G312" s="33" t="str">
        <f t="shared" si="77"/>
        <v/>
      </c>
      <c r="H312" s="35" t="str">
        <f t="shared" si="78"/>
        <v/>
      </c>
      <c r="I312" s="35" t="str">
        <f t="shared" si="79"/>
        <v/>
      </c>
      <c r="J312" s="35" t="str">
        <f t="shared" si="80"/>
        <v/>
      </c>
      <c r="K312" s="35" t="str">
        <f t="shared" si="81"/>
        <v/>
      </c>
      <c r="L312" s="35" t="str">
        <f t="shared" si="82"/>
        <v/>
      </c>
      <c r="M312" s="35" t="str">
        <f t="shared" si="83"/>
        <v/>
      </c>
      <c r="N312" s="36" t="str">
        <f t="shared" si="84"/>
        <v/>
      </c>
      <c r="O312" s="35" t="str">
        <f t="shared" si="85"/>
        <v/>
      </c>
      <c r="P312" s="35" t="str">
        <f t="shared" si="86"/>
        <v/>
      </c>
      <c r="Q312" s="35" t="str">
        <f t="shared" si="87"/>
        <v/>
      </c>
      <c r="R312" s="35" t="str">
        <f t="shared" si="88"/>
        <v/>
      </c>
      <c r="S312" s="33" t="str">
        <f t="shared" si="89"/>
        <v/>
      </c>
    </row>
    <row r="313" spans="1:19" x14ac:dyDescent="0.3">
      <c r="A313" s="33">
        <f>309</f>
        <v>309</v>
      </c>
      <c r="B313" s="34" t="str">
        <f t="shared" si="72"/>
        <v/>
      </c>
      <c r="C313" s="33" t="str">
        <f t="shared" si="73"/>
        <v/>
      </c>
      <c r="D313" s="33" t="str">
        <f t="shared" si="74"/>
        <v/>
      </c>
      <c r="E313" s="35" t="str">
        <f t="shared" si="75"/>
        <v/>
      </c>
      <c r="F313" s="35" t="str">
        <f t="shared" si="76"/>
        <v/>
      </c>
      <c r="G313" s="33" t="str">
        <f t="shared" si="77"/>
        <v/>
      </c>
      <c r="H313" s="35" t="str">
        <f t="shared" si="78"/>
        <v/>
      </c>
      <c r="I313" s="35" t="str">
        <f t="shared" si="79"/>
        <v/>
      </c>
      <c r="J313" s="35" t="str">
        <f t="shared" si="80"/>
        <v/>
      </c>
      <c r="K313" s="35" t="str">
        <f t="shared" si="81"/>
        <v/>
      </c>
      <c r="L313" s="35" t="str">
        <f t="shared" si="82"/>
        <v/>
      </c>
      <c r="M313" s="35" t="str">
        <f t="shared" si="83"/>
        <v/>
      </c>
      <c r="N313" s="36" t="str">
        <f t="shared" si="84"/>
        <v/>
      </c>
      <c r="O313" s="35" t="str">
        <f t="shared" si="85"/>
        <v/>
      </c>
      <c r="P313" s="35" t="str">
        <f t="shared" si="86"/>
        <v/>
      </c>
      <c r="Q313" s="35" t="str">
        <f t="shared" si="87"/>
        <v/>
      </c>
      <c r="R313" s="35" t="str">
        <f t="shared" si="88"/>
        <v/>
      </c>
      <c r="S313" s="33" t="str">
        <f t="shared" si="89"/>
        <v/>
      </c>
    </row>
    <row r="314" spans="1:19" x14ac:dyDescent="0.3">
      <c r="A314" s="33">
        <f>310</f>
        <v>310</v>
      </c>
      <c r="B314" s="34" t="str">
        <f t="shared" si="72"/>
        <v/>
      </c>
      <c r="C314" s="33" t="str">
        <f t="shared" si="73"/>
        <v/>
      </c>
      <c r="D314" s="33" t="str">
        <f t="shared" si="74"/>
        <v/>
      </c>
      <c r="E314" s="35" t="str">
        <f t="shared" si="75"/>
        <v/>
      </c>
      <c r="F314" s="35" t="str">
        <f t="shared" si="76"/>
        <v/>
      </c>
      <c r="G314" s="33" t="str">
        <f t="shared" si="77"/>
        <v/>
      </c>
      <c r="H314" s="35" t="str">
        <f t="shared" si="78"/>
        <v/>
      </c>
      <c r="I314" s="35" t="str">
        <f t="shared" si="79"/>
        <v/>
      </c>
      <c r="J314" s="35" t="str">
        <f t="shared" si="80"/>
        <v/>
      </c>
      <c r="K314" s="35" t="str">
        <f t="shared" si="81"/>
        <v/>
      </c>
      <c r="L314" s="35" t="str">
        <f t="shared" si="82"/>
        <v/>
      </c>
      <c r="M314" s="35" t="str">
        <f t="shared" si="83"/>
        <v/>
      </c>
      <c r="N314" s="36" t="str">
        <f t="shared" si="84"/>
        <v/>
      </c>
      <c r="O314" s="35" t="str">
        <f t="shared" si="85"/>
        <v/>
      </c>
      <c r="P314" s="35" t="str">
        <f t="shared" si="86"/>
        <v/>
      </c>
      <c r="Q314" s="35" t="str">
        <f t="shared" si="87"/>
        <v/>
      </c>
      <c r="R314" s="35" t="str">
        <f t="shared" si="88"/>
        <v/>
      </c>
      <c r="S314" s="33" t="str">
        <f t="shared" si="89"/>
        <v/>
      </c>
    </row>
    <row r="315" spans="1:19" x14ac:dyDescent="0.3">
      <c r="A315" s="33">
        <f>311</f>
        <v>311</v>
      </c>
      <c r="B315" s="34" t="str">
        <f t="shared" si="72"/>
        <v/>
      </c>
      <c r="C315" s="33" t="str">
        <f t="shared" si="73"/>
        <v/>
      </c>
      <c r="D315" s="33" t="str">
        <f t="shared" si="74"/>
        <v/>
      </c>
      <c r="E315" s="35" t="str">
        <f t="shared" si="75"/>
        <v/>
      </c>
      <c r="F315" s="35" t="str">
        <f t="shared" si="76"/>
        <v/>
      </c>
      <c r="G315" s="33" t="str">
        <f t="shared" si="77"/>
        <v/>
      </c>
      <c r="H315" s="35" t="str">
        <f t="shared" si="78"/>
        <v/>
      </c>
      <c r="I315" s="35" t="str">
        <f t="shared" si="79"/>
        <v/>
      </c>
      <c r="J315" s="35" t="str">
        <f t="shared" si="80"/>
        <v/>
      </c>
      <c r="K315" s="35" t="str">
        <f t="shared" si="81"/>
        <v/>
      </c>
      <c r="L315" s="35" t="str">
        <f t="shared" si="82"/>
        <v/>
      </c>
      <c r="M315" s="35" t="str">
        <f t="shared" si="83"/>
        <v/>
      </c>
      <c r="N315" s="36" t="str">
        <f t="shared" si="84"/>
        <v/>
      </c>
      <c r="O315" s="35" t="str">
        <f t="shared" si="85"/>
        <v/>
      </c>
      <c r="P315" s="35" t="str">
        <f t="shared" si="86"/>
        <v/>
      </c>
      <c r="Q315" s="35" t="str">
        <f t="shared" si="87"/>
        <v/>
      </c>
      <c r="R315" s="35" t="str">
        <f t="shared" si="88"/>
        <v/>
      </c>
      <c r="S315" s="33" t="str">
        <f t="shared" si="89"/>
        <v/>
      </c>
    </row>
    <row r="316" spans="1:19" x14ac:dyDescent="0.3">
      <c r="A316" s="37">
        <f>312</f>
        <v>312</v>
      </c>
      <c r="B316" s="38" t="str">
        <f t="shared" si="72"/>
        <v/>
      </c>
      <c r="C316" s="37" t="str">
        <f t="shared" si="73"/>
        <v/>
      </c>
      <c r="D316" s="37" t="str">
        <f t="shared" si="74"/>
        <v/>
      </c>
      <c r="E316" s="39" t="str">
        <f t="shared" si="75"/>
        <v/>
      </c>
      <c r="F316" s="39" t="str">
        <f t="shared" si="76"/>
        <v/>
      </c>
      <c r="G316" s="37" t="str">
        <f t="shared" si="77"/>
        <v/>
      </c>
      <c r="H316" s="39" t="str">
        <f t="shared" si="78"/>
        <v/>
      </c>
      <c r="I316" s="39" t="str">
        <f t="shared" si="79"/>
        <v/>
      </c>
      <c r="J316" s="39" t="str">
        <f t="shared" si="80"/>
        <v/>
      </c>
      <c r="K316" s="39" t="str">
        <f t="shared" si="81"/>
        <v/>
      </c>
      <c r="L316" s="39" t="str">
        <f t="shared" si="82"/>
        <v/>
      </c>
      <c r="M316" s="39" t="str">
        <f t="shared" si="83"/>
        <v/>
      </c>
      <c r="N316" s="40" t="str">
        <f t="shared" si="84"/>
        <v/>
      </c>
      <c r="O316" s="39" t="str">
        <f t="shared" si="85"/>
        <v/>
      </c>
      <c r="P316" s="39" t="str">
        <f t="shared" si="86"/>
        <v/>
      </c>
      <c r="Q316" s="39" t="str">
        <f t="shared" si="87"/>
        <v/>
      </c>
      <c r="R316" s="39" t="str">
        <f t="shared" si="88"/>
        <v/>
      </c>
      <c r="S316" s="37" t="str">
        <f t="shared" si="89"/>
        <v/>
      </c>
    </row>
    <row r="317" spans="1:19" x14ac:dyDescent="0.3">
      <c r="A317" s="33">
        <f>313</f>
        <v>313</v>
      </c>
      <c r="B317" s="34" t="str">
        <f t="shared" si="72"/>
        <v/>
      </c>
      <c r="C317" s="33" t="str">
        <f t="shared" si="73"/>
        <v/>
      </c>
      <c r="D317" s="33" t="str">
        <f t="shared" si="74"/>
        <v/>
      </c>
      <c r="E317" s="35" t="str">
        <f t="shared" si="75"/>
        <v/>
      </c>
      <c r="F317" s="35" t="str">
        <f t="shared" si="76"/>
        <v/>
      </c>
      <c r="G317" s="33" t="str">
        <f t="shared" si="77"/>
        <v/>
      </c>
      <c r="H317" s="35" t="str">
        <f t="shared" si="78"/>
        <v/>
      </c>
      <c r="I317" s="35" t="str">
        <f t="shared" si="79"/>
        <v/>
      </c>
      <c r="J317" s="35" t="str">
        <f t="shared" si="80"/>
        <v/>
      </c>
      <c r="K317" s="35" t="str">
        <f t="shared" si="81"/>
        <v/>
      </c>
      <c r="L317" s="35" t="str">
        <f t="shared" si="82"/>
        <v/>
      </c>
      <c r="M317" s="35" t="str">
        <f t="shared" si="83"/>
        <v/>
      </c>
      <c r="N317" s="36" t="str">
        <f t="shared" si="84"/>
        <v/>
      </c>
      <c r="O317" s="35" t="str">
        <f t="shared" si="85"/>
        <v/>
      </c>
      <c r="P317" s="35" t="str">
        <f t="shared" si="86"/>
        <v/>
      </c>
      <c r="Q317" s="35" t="str">
        <f t="shared" si="87"/>
        <v/>
      </c>
      <c r="R317" s="35" t="str">
        <f t="shared" si="88"/>
        <v/>
      </c>
      <c r="S317" s="33" t="str">
        <f t="shared" si="89"/>
        <v/>
      </c>
    </row>
    <row r="318" spans="1:19" x14ac:dyDescent="0.3">
      <c r="A318" s="33">
        <f>314</f>
        <v>314</v>
      </c>
      <c r="B318" s="34" t="str">
        <f t="shared" si="72"/>
        <v/>
      </c>
      <c r="C318" s="33" t="str">
        <f t="shared" si="73"/>
        <v/>
      </c>
      <c r="D318" s="33" t="str">
        <f t="shared" si="74"/>
        <v/>
      </c>
      <c r="E318" s="35" t="str">
        <f t="shared" si="75"/>
        <v/>
      </c>
      <c r="F318" s="35" t="str">
        <f t="shared" si="76"/>
        <v/>
      </c>
      <c r="G318" s="33" t="str">
        <f t="shared" si="77"/>
        <v/>
      </c>
      <c r="H318" s="35" t="str">
        <f t="shared" si="78"/>
        <v/>
      </c>
      <c r="I318" s="35" t="str">
        <f t="shared" si="79"/>
        <v/>
      </c>
      <c r="J318" s="35" t="str">
        <f t="shared" si="80"/>
        <v/>
      </c>
      <c r="K318" s="35" t="str">
        <f t="shared" si="81"/>
        <v/>
      </c>
      <c r="L318" s="35" t="str">
        <f t="shared" si="82"/>
        <v/>
      </c>
      <c r="M318" s="35" t="str">
        <f t="shared" si="83"/>
        <v/>
      </c>
      <c r="N318" s="36" t="str">
        <f t="shared" si="84"/>
        <v/>
      </c>
      <c r="O318" s="35" t="str">
        <f t="shared" si="85"/>
        <v/>
      </c>
      <c r="P318" s="35" t="str">
        <f t="shared" si="86"/>
        <v/>
      </c>
      <c r="Q318" s="35" t="str">
        <f t="shared" si="87"/>
        <v/>
      </c>
      <c r="R318" s="35" t="str">
        <f t="shared" si="88"/>
        <v/>
      </c>
      <c r="S318" s="33" t="str">
        <f t="shared" si="89"/>
        <v/>
      </c>
    </row>
    <row r="319" spans="1:19" x14ac:dyDescent="0.3">
      <c r="A319" s="33">
        <f>315</f>
        <v>315</v>
      </c>
      <c r="B319" s="34" t="str">
        <f t="shared" si="72"/>
        <v/>
      </c>
      <c r="C319" s="33" t="str">
        <f t="shared" si="73"/>
        <v/>
      </c>
      <c r="D319" s="33" t="str">
        <f t="shared" si="74"/>
        <v/>
      </c>
      <c r="E319" s="35" t="str">
        <f t="shared" si="75"/>
        <v/>
      </c>
      <c r="F319" s="35" t="str">
        <f t="shared" si="76"/>
        <v/>
      </c>
      <c r="G319" s="33" t="str">
        <f t="shared" si="77"/>
        <v/>
      </c>
      <c r="H319" s="35" t="str">
        <f t="shared" si="78"/>
        <v/>
      </c>
      <c r="I319" s="35" t="str">
        <f t="shared" si="79"/>
        <v/>
      </c>
      <c r="J319" s="35" t="str">
        <f t="shared" si="80"/>
        <v/>
      </c>
      <c r="K319" s="35" t="str">
        <f t="shared" si="81"/>
        <v/>
      </c>
      <c r="L319" s="35" t="str">
        <f t="shared" si="82"/>
        <v/>
      </c>
      <c r="M319" s="35" t="str">
        <f t="shared" si="83"/>
        <v/>
      </c>
      <c r="N319" s="36" t="str">
        <f t="shared" si="84"/>
        <v/>
      </c>
      <c r="O319" s="35" t="str">
        <f t="shared" si="85"/>
        <v/>
      </c>
      <c r="P319" s="35" t="str">
        <f t="shared" si="86"/>
        <v/>
      </c>
      <c r="Q319" s="35" t="str">
        <f t="shared" si="87"/>
        <v/>
      </c>
      <c r="R319" s="35" t="str">
        <f t="shared" si="88"/>
        <v/>
      </c>
      <c r="S319" s="33" t="str">
        <f t="shared" si="89"/>
        <v/>
      </c>
    </row>
    <row r="320" spans="1:19" x14ac:dyDescent="0.3">
      <c r="A320" s="33">
        <f>316</f>
        <v>316</v>
      </c>
      <c r="B320" s="34" t="str">
        <f t="shared" si="72"/>
        <v/>
      </c>
      <c r="C320" s="33" t="str">
        <f t="shared" si="73"/>
        <v/>
      </c>
      <c r="D320" s="33" t="str">
        <f t="shared" si="74"/>
        <v/>
      </c>
      <c r="E320" s="35" t="str">
        <f t="shared" si="75"/>
        <v/>
      </c>
      <c r="F320" s="35" t="str">
        <f t="shared" si="76"/>
        <v/>
      </c>
      <c r="G320" s="33" t="str">
        <f t="shared" si="77"/>
        <v/>
      </c>
      <c r="H320" s="35" t="str">
        <f t="shared" si="78"/>
        <v/>
      </c>
      <c r="I320" s="35" t="str">
        <f t="shared" si="79"/>
        <v/>
      </c>
      <c r="J320" s="35" t="str">
        <f t="shared" si="80"/>
        <v/>
      </c>
      <c r="K320" s="35" t="str">
        <f t="shared" si="81"/>
        <v/>
      </c>
      <c r="L320" s="35" t="str">
        <f t="shared" si="82"/>
        <v/>
      </c>
      <c r="M320" s="35" t="str">
        <f t="shared" si="83"/>
        <v/>
      </c>
      <c r="N320" s="36" t="str">
        <f t="shared" si="84"/>
        <v/>
      </c>
      <c r="O320" s="35" t="str">
        <f t="shared" si="85"/>
        <v/>
      </c>
      <c r="P320" s="35" t="str">
        <f t="shared" si="86"/>
        <v/>
      </c>
      <c r="Q320" s="35" t="str">
        <f t="shared" si="87"/>
        <v/>
      </c>
      <c r="R320" s="35" t="str">
        <f t="shared" si="88"/>
        <v/>
      </c>
      <c r="S320" s="33" t="str">
        <f t="shared" si="89"/>
        <v/>
      </c>
    </row>
    <row r="321" spans="1:19" x14ac:dyDescent="0.3">
      <c r="A321" s="33">
        <f>317</f>
        <v>317</v>
      </c>
      <c r="B321" s="34" t="str">
        <f t="shared" si="72"/>
        <v/>
      </c>
      <c r="C321" s="33" t="str">
        <f t="shared" si="73"/>
        <v/>
      </c>
      <c r="D321" s="33" t="str">
        <f t="shared" si="74"/>
        <v/>
      </c>
      <c r="E321" s="35" t="str">
        <f t="shared" si="75"/>
        <v/>
      </c>
      <c r="F321" s="35" t="str">
        <f t="shared" si="76"/>
        <v/>
      </c>
      <c r="G321" s="33" t="str">
        <f t="shared" si="77"/>
        <v/>
      </c>
      <c r="H321" s="35" t="str">
        <f t="shared" si="78"/>
        <v/>
      </c>
      <c r="I321" s="35" t="str">
        <f t="shared" si="79"/>
        <v/>
      </c>
      <c r="J321" s="35" t="str">
        <f t="shared" si="80"/>
        <v/>
      </c>
      <c r="K321" s="35" t="str">
        <f t="shared" si="81"/>
        <v/>
      </c>
      <c r="L321" s="35" t="str">
        <f t="shared" si="82"/>
        <v/>
      </c>
      <c r="M321" s="35" t="str">
        <f t="shared" si="83"/>
        <v/>
      </c>
      <c r="N321" s="36" t="str">
        <f t="shared" si="84"/>
        <v/>
      </c>
      <c r="O321" s="35" t="str">
        <f t="shared" si="85"/>
        <v/>
      </c>
      <c r="P321" s="35" t="str">
        <f t="shared" si="86"/>
        <v/>
      </c>
      <c r="Q321" s="35" t="str">
        <f t="shared" si="87"/>
        <v/>
      </c>
      <c r="R321" s="35" t="str">
        <f t="shared" si="88"/>
        <v/>
      </c>
      <c r="S321" s="33" t="str">
        <f t="shared" si="89"/>
        <v/>
      </c>
    </row>
    <row r="322" spans="1:19" x14ac:dyDescent="0.3">
      <c r="A322" s="33">
        <f>318</f>
        <v>318</v>
      </c>
      <c r="B322" s="34" t="str">
        <f t="shared" si="72"/>
        <v/>
      </c>
      <c r="C322" s="33" t="str">
        <f t="shared" si="73"/>
        <v/>
      </c>
      <c r="D322" s="33" t="str">
        <f t="shared" si="74"/>
        <v/>
      </c>
      <c r="E322" s="35" t="str">
        <f t="shared" si="75"/>
        <v/>
      </c>
      <c r="F322" s="35" t="str">
        <f t="shared" si="76"/>
        <v/>
      </c>
      <c r="G322" s="33" t="str">
        <f t="shared" si="77"/>
        <v/>
      </c>
      <c r="H322" s="35" t="str">
        <f t="shared" si="78"/>
        <v/>
      </c>
      <c r="I322" s="35" t="str">
        <f t="shared" si="79"/>
        <v/>
      </c>
      <c r="J322" s="35" t="str">
        <f t="shared" si="80"/>
        <v/>
      </c>
      <c r="K322" s="35" t="str">
        <f t="shared" si="81"/>
        <v/>
      </c>
      <c r="L322" s="35" t="str">
        <f t="shared" si="82"/>
        <v/>
      </c>
      <c r="M322" s="35" t="str">
        <f t="shared" si="83"/>
        <v/>
      </c>
      <c r="N322" s="36" t="str">
        <f t="shared" si="84"/>
        <v/>
      </c>
      <c r="O322" s="35" t="str">
        <f t="shared" si="85"/>
        <v/>
      </c>
      <c r="P322" s="35" t="str">
        <f t="shared" si="86"/>
        <v/>
      </c>
      <c r="Q322" s="35" t="str">
        <f t="shared" si="87"/>
        <v/>
      </c>
      <c r="R322" s="35" t="str">
        <f t="shared" si="88"/>
        <v/>
      </c>
      <c r="S322" s="33" t="str">
        <f t="shared" si="89"/>
        <v/>
      </c>
    </row>
    <row r="323" spans="1:19" x14ac:dyDescent="0.3">
      <c r="A323" s="33">
        <f>319</f>
        <v>319</v>
      </c>
      <c r="B323" s="34" t="str">
        <f t="shared" si="72"/>
        <v/>
      </c>
      <c r="C323" s="33" t="str">
        <f t="shared" si="73"/>
        <v/>
      </c>
      <c r="D323" s="33" t="str">
        <f t="shared" si="74"/>
        <v/>
      </c>
      <c r="E323" s="35" t="str">
        <f t="shared" si="75"/>
        <v/>
      </c>
      <c r="F323" s="35" t="str">
        <f t="shared" si="76"/>
        <v/>
      </c>
      <c r="G323" s="33" t="str">
        <f t="shared" si="77"/>
        <v/>
      </c>
      <c r="H323" s="35" t="str">
        <f t="shared" si="78"/>
        <v/>
      </c>
      <c r="I323" s="35" t="str">
        <f t="shared" si="79"/>
        <v/>
      </c>
      <c r="J323" s="35" t="str">
        <f t="shared" si="80"/>
        <v/>
      </c>
      <c r="K323" s="35" t="str">
        <f t="shared" si="81"/>
        <v/>
      </c>
      <c r="L323" s="35" t="str">
        <f t="shared" si="82"/>
        <v/>
      </c>
      <c r="M323" s="35" t="str">
        <f t="shared" si="83"/>
        <v/>
      </c>
      <c r="N323" s="36" t="str">
        <f t="shared" si="84"/>
        <v/>
      </c>
      <c r="O323" s="35" t="str">
        <f t="shared" si="85"/>
        <v/>
      </c>
      <c r="P323" s="35" t="str">
        <f t="shared" si="86"/>
        <v/>
      </c>
      <c r="Q323" s="35" t="str">
        <f t="shared" si="87"/>
        <v/>
      </c>
      <c r="R323" s="35" t="str">
        <f t="shared" si="88"/>
        <v/>
      </c>
      <c r="S323" s="33" t="str">
        <f t="shared" si="89"/>
        <v/>
      </c>
    </row>
    <row r="324" spans="1:19" x14ac:dyDescent="0.3">
      <c r="A324" s="33">
        <f>320</f>
        <v>320</v>
      </c>
      <c r="B324" s="34" t="str">
        <f t="shared" si="72"/>
        <v/>
      </c>
      <c r="C324" s="33" t="str">
        <f t="shared" si="73"/>
        <v/>
      </c>
      <c r="D324" s="33" t="str">
        <f t="shared" si="74"/>
        <v/>
      </c>
      <c r="E324" s="35" t="str">
        <f t="shared" si="75"/>
        <v/>
      </c>
      <c r="F324" s="35" t="str">
        <f t="shared" si="76"/>
        <v/>
      </c>
      <c r="G324" s="33" t="str">
        <f t="shared" si="77"/>
        <v/>
      </c>
      <c r="H324" s="35" t="str">
        <f t="shared" si="78"/>
        <v/>
      </c>
      <c r="I324" s="35" t="str">
        <f t="shared" si="79"/>
        <v/>
      </c>
      <c r="J324" s="35" t="str">
        <f t="shared" si="80"/>
        <v/>
      </c>
      <c r="K324" s="35" t="str">
        <f t="shared" si="81"/>
        <v/>
      </c>
      <c r="L324" s="35" t="str">
        <f t="shared" si="82"/>
        <v/>
      </c>
      <c r="M324" s="35" t="str">
        <f t="shared" si="83"/>
        <v/>
      </c>
      <c r="N324" s="36" t="str">
        <f t="shared" si="84"/>
        <v/>
      </c>
      <c r="O324" s="35" t="str">
        <f t="shared" si="85"/>
        <v/>
      </c>
      <c r="P324" s="35" t="str">
        <f t="shared" si="86"/>
        <v/>
      </c>
      <c r="Q324" s="35" t="str">
        <f t="shared" si="87"/>
        <v/>
      </c>
      <c r="R324" s="35" t="str">
        <f t="shared" si="88"/>
        <v/>
      </c>
      <c r="S324" s="33" t="str">
        <f t="shared" si="89"/>
        <v/>
      </c>
    </row>
    <row r="325" spans="1:19" x14ac:dyDescent="0.3">
      <c r="A325" s="33">
        <f>321</f>
        <v>321</v>
      </c>
      <c r="B325" s="34" t="str">
        <f t="shared" ref="B325:B364" si="90">IF($A325&gt;NYears*12,"",EDATE(StartMonth,$A325-1))</f>
        <v/>
      </c>
      <c r="C325" s="33" t="str">
        <f t="shared" ref="C325:C364" si="91">IF($A325&gt;NYears*12,"",INT(($A325-1)/12)+1)</f>
        <v/>
      </c>
      <c r="D325" s="33" t="str">
        <f t="shared" ref="D325:D364" si="92">IF($A325&gt;NYears*12,"",MOD($A325-1,12)+1)</f>
        <v/>
      </c>
      <c r="E325" s="35" t="str">
        <f t="shared" ref="E325:E364" si="93">IF($A325&gt;NYears*12,"",LotValue0*(1+LotGrowth)^($C325-1))</f>
        <v/>
      </c>
      <c r="F325" s="35" t="str">
        <f t="shared" ref="F325:F364" si="94">IF($A325&gt;NYears*12,"",IF($A325=1,InitInvest,$R324))</f>
        <v/>
      </c>
      <c r="G325" s="33" t="str">
        <f t="shared" ref="G325:G364" si="95">IF($A325&gt;NYears*12,"",INT($F325/$E325))</f>
        <v/>
      </c>
      <c r="H325" s="35" t="str">
        <f t="shared" ref="H325:H364" si="96">IF($A325&gt;NYears*12,"",$G325*$E325)</f>
        <v/>
      </c>
      <c r="I325" s="35" t="str">
        <f t="shared" ref="I325:I364" si="97">IF($A325&gt;NYears*12,"",$F325-$H325)</f>
        <v/>
      </c>
      <c r="J325" s="35" t="str">
        <f t="shared" ref="J325:J364" si="98">IF($A325&gt;NYears*12,"",$H325*RateB)</f>
        <v/>
      </c>
      <c r="K325" s="35" t="str">
        <f t="shared" ref="K325:K364" si="99">IF($A325&gt;NYears*12,"",IF($D325=1,$J325,$K324+$J325))</f>
        <v/>
      </c>
      <c r="L325" s="35" t="str">
        <f t="shared" ref="L325:L364" si="100">IF($A325&gt;NYears*12,"",IF(MOD($D325,3)=0,SUM($J323:$J325),0))</f>
        <v/>
      </c>
      <c r="M325" s="35" t="str">
        <f t="shared" ref="M325:M364" si="101">IF($A325&gt;NYears*12,"",IF(TaxFreq="Quarterly",$K325*12/$D325,$K325))</f>
        <v/>
      </c>
      <c r="N325" s="36" t="str">
        <f t="shared" ref="N325:N364" si="102">IF($A325&gt;NYears*12,"",LOOKUP($M325,TaxLower,TaxRate))</f>
        <v/>
      </c>
      <c r="O325" s="35" t="str">
        <f t="shared" ref="O325:O364" si="103">IF($A325&gt;NYears*12,"",IF(TaxFreq="Quarterly",IF(MOD($D325,3)=0,$L325*$N325,0),IF($D325=12,$K325*$N325,0)))</f>
        <v/>
      </c>
      <c r="P325" s="35" t="str">
        <f t="shared" ref="P325:P364" si="104">IF($A325&gt;NYears*12,"",IF($D325=1,$O325,$P324+$O325))</f>
        <v/>
      </c>
      <c r="Q325" s="35" t="str">
        <f t="shared" ref="Q325:Q364" si="105">IF($A325&gt;NYears*12,"",IF($D325=12,MIN(WdrPct*IF(WdrBase="Post-tax profit",$K325-$P325,$K325),WdrCap),0))</f>
        <v/>
      </c>
      <c r="R325" s="35" t="str">
        <f t="shared" ref="R325:R364" si="106">IF($A325&gt;NYears*12,"",$F325+$J325-$O325-$Q325)</f>
        <v/>
      </c>
      <c r="S325" s="33" t="str">
        <f t="shared" ref="S325:S364" si="107">IF($A325&gt;NYears*12,"",INT($R325/$E325))</f>
        <v/>
      </c>
    </row>
    <row r="326" spans="1:19" x14ac:dyDescent="0.3">
      <c r="A326" s="33">
        <f>322</f>
        <v>322</v>
      </c>
      <c r="B326" s="34" t="str">
        <f t="shared" si="90"/>
        <v/>
      </c>
      <c r="C326" s="33" t="str">
        <f t="shared" si="91"/>
        <v/>
      </c>
      <c r="D326" s="33" t="str">
        <f t="shared" si="92"/>
        <v/>
      </c>
      <c r="E326" s="35" t="str">
        <f t="shared" si="93"/>
        <v/>
      </c>
      <c r="F326" s="35" t="str">
        <f t="shared" si="94"/>
        <v/>
      </c>
      <c r="G326" s="33" t="str">
        <f t="shared" si="95"/>
        <v/>
      </c>
      <c r="H326" s="35" t="str">
        <f t="shared" si="96"/>
        <v/>
      </c>
      <c r="I326" s="35" t="str">
        <f t="shared" si="97"/>
        <v/>
      </c>
      <c r="J326" s="35" t="str">
        <f t="shared" si="98"/>
        <v/>
      </c>
      <c r="K326" s="35" t="str">
        <f t="shared" si="99"/>
        <v/>
      </c>
      <c r="L326" s="35" t="str">
        <f t="shared" si="100"/>
        <v/>
      </c>
      <c r="M326" s="35" t="str">
        <f t="shared" si="101"/>
        <v/>
      </c>
      <c r="N326" s="36" t="str">
        <f t="shared" si="102"/>
        <v/>
      </c>
      <c r="O326" s="35" t="str">
        <f t="shared" si="103"/>
        <v/>
      </c>
      <c r="P326" s="35" t="str">
        <f t="shared" si="104"/>
        <v/>
      </c>
      <c r="Q326" s="35" t="str">
        <f t="shared" si="105"/>
        <v/>
      </c>
      <c r="R326" s="35" t="str">
        <f t="shared" si="106"/>
        <v/>
      </c>
      <c r="S326" s="33" t="str">
        <f t="shared" si="107"/>
        <v/>
      </c>
    </row>
    <row r="327" spans="1:19" x14ac:dyDescent="0.3">
      <c r="A327" s="33">
        <f>323</f>
        <v>323</v>
      </c>
      <c r="B327" s="34" t="str">
        <f t="shared" si="90"/>
        <v/>
      </c>
      <c r="C327" s="33" t="str">
        <f t="shared" si="91"/>
        <v/>
      </c>
      <c r="D327" s="33" t="str">
        <f t="shared" si="92"/>
        <v/>
      </c>
      <c r="E327" s="35" t="str">
        <f t="shared" si="93"/>
        <v/>
      </c>
      <c r="F327" s="35" t="str">
        <f t="shared" si="94"/>
        <v/>
      </c>
      <c r="G327" s="33" t="str">
        <f t="shared" si="95"/>
        <v/>
      </c>
      <c r="H327" s="35" t="str">
        <f t="shared" si="96"/>
        <v/>
      </c>
      <c r="I327" s="35" t="str">
        <f t="shared" si="97"/>
        <v/>
      </c>
      <c r="J327" s="35" t="str">
        <f t="shared" si="98"/>
        <v/>
      </c>
      <c r="K327" s="35" t="str">
        <f t="shared" si="99"/>
        <v/>
      </c>
      <c r="L327" s="35" t="str">
        <f t="shared" si="100"/>
        <v/>
      </c>
      <c r="M327" s="35" t="str">
        <f t="shared" si="101"/>
        <v/>
      </c>
      <c r="N327" s="36" t="str">
        <f t="shared" si="102"/>
        <v/>
      </c>
      <c r="O327" s="35" t="str">
        <f t="shared" si="103"/>
        <v/>
      </c>
      <c r="P327" s="35" t="str">
        <f t="shared" si="104"/>
        <v/>
      </c>
      <c r="Q327" s="35" t="str">
        <f t="shared" si="105"/>
        <v/>
      </c>
      <c r="R327" s="35" t="str">
        <f t="shared" si="106"/>
        <v/>
      </c>
      <c r="S327" s="33" t="str">
        <f t="shared" si="107"/>
        <v/>
      </c>
    </row>
    <row r="328" spans="1:19" x14ac:dyDescent="0.3">
      <c r="A328" s="37">
        <f>324</f>
        <v>324</v>
      </c>
      <c r="B328" s="38" t="str">
        <f t="shared" si="90"/>
        <v/>
      </c>
      <c r="C328" s="37" t="str">
        <f t="shared" si="91"/>
        <v/>
      </c>
      <c r="D328" s="37" t="str">
        <f t="shared" si="92"/>
        <v/>
      </c>
      <c r="E328" s="39" t="str">
        <f t="shared" si="93"/>
        <v/>
      </c>
      <c r="F328" s="39" t="str">
        <f t="shared" si="94"/>
        <v/>
      </c>
      <c r="G328" s="37" t="str">
        <f t="shared" si="95"/>
        <v/>
      </c>
      <c r="H328" s="39" t="str">
        <f t="shared" si="96"/>
        <v/>
      </c>
      <c r="I328" s="39" t="str">
        <f t="shared" si="97"/>
        <v/>
      </c>
      <c r="J328" s="39" t="str">
        <f t="shared" si="98"/>
        <v/>
      </c>
      <c r="K328" s="39" t="str">
        <f t="shared" si="99"/>
        <v/>
      </c>
      <c r="L328" s="39" t="str">
        <f t="shared" si="100"/>
        <v/>
      </c>
      <c r="M328" s="39" t="str">
        <f t="shared" si="101"/>
        <v/>
      </c>
      <c r="N328" s="40" t="str">
        <f t="shared" si="102"/>
        <v/>
      </c>
      <c r="O328" s="39" t="str">
        <f t="shared" si="103"/>
        <v/>
      </c>
      <c r="P328" s="39" t="str">
        <f t="shared" si="104"/>
        <v/>
      </c>
      <c r="Q328" s="39" t="str">
        <f t="shared" si="105"/>
        <v/>
      </c>
      <c r="R328" s="39" t="str">
        <f t="shared" si="106"/>
        <v/>
      </c>
      <c r="S328" s="37" t="str">
        <f t="shared" si="107"/>
        <v/>
      </c>
    </row>
    <row r="329" spans="1:19" x14ac:dyDescent="0.3">
      <c r="A329" s="33">
        <f>325</f>
        <v>325</v>
      </c>
      <c r="B329" s="34" t="str">
        <f t="shared" si="90"/>
        <v/>
      </c>
      <c r="C329" s="33" t="str">
        <f t="shared" si="91"/>
        <v/>
      </c>
      <c r="D329" s="33" t="str">
        <f t="shared" si="92"/>
        <v/>
      </c>
      <c r="E329" s="35" t="str">
        <f t="shared" si="93"/>
        <v/>
      </c>
      <c r="F329" s="35" t="str">
        <f t="shared" si="94"/>
        <v/>
      </c>
      <c r="G329" s="33" t="str">
        <f t="shared" si="95"/>
        <v/>
      </c>
      <c r="H329" s="35" t="str">
        <f t="shared" si="96"/>
        <v/>
      </c>
      <c r="I329" s="35" t="str">
        <f t="shared" si="97"/>
        <v/>
      </c>
      <c r="J329" s="35" t="str">
        <f t="shared" si="98"/>
        <v/>
      </c>
      <c r="K329" s="35" t="str">
        <f t="shared" si="99"/>
        <v/>
      </c>
      <c r="L329" s="35" t="str">
        <f t="shared" si="100"/>
        <v/>
      </c>
      <c r="M329" s="35" t="str">
        <f t="shared" si="101"/>
        <v/>
      </c>
      <c r="N329" s="36" t="str">
        <f t="shared" si="102"/>
        <v/>
      </c>
      <c r="O329" s="35" t="str">
        <f t="shared" si="103"/>
        <v/>
      </c>
      <c r="P329" s="35" t="str">
        <f t="shared" si="104"/>
        <v/>
      </c>
      <c r="Q329" s="35" t="str">
        <f t="shared" si="105"/>
        <v/>
      </c>
      <c r="R329" s="35" t="str">
        <f t="shared" si="106"/>
        <v/>
      </c>
      <c r="S329" s="33" t="str">
        <f t="shared" si="107"/>
        <v/>
      </c>
    </row>
    <row r="330" spans="1:19" x14ac:dyDescent="0.3">
      <c r="A330" s="33">
        <f>326</f>
        <v>326</v>
      </c>
      <c r="B330" s="34" t="str">
        <f t="shared" si="90"/>
        <v/>
      </c>
      <c r="C330" s="33" t="str">
        <f t="shared" si="91"/>
        <v/>
      </c>
      <c r="D330" s="33" t="str">
        <f t="shared" si="92"/>
        <v/>
      </c>
      <c r="E330" s="35" t="str">
        <f t="shared" si="93"/>
        <v/>
      </c>
      <c r="F330" s="35" t="str">
        <f t="shared" si="94"/>
        <v/>
      </c>
      <c r="G330" s="33" t="str">
        <f t="shared" si="95"/>
        <v/>
      </c>
      <c r="H330" s="35" t="str">
        <f t="shared" si="96"/>
        <v/>
      </c>
      <c r="I330" s="35" t="str">
        <f t="shared" si="97"/>
        <v/>
      </c>
      <c r="J330" s="35" t="str">
        <f t="shared" si="98"/>
        <v/>
      </c>
      <c r="K330" s="35" t="str">
        <f t="shared" si="99"/>
        <v/>
      </c>
      <c r="L330" s="35" t="str">
        <f t="shared" si="100"/>
        <v/>
      </c>
      <c r="M330" s="35" t="str">
        <f t="shared" si="101"/>
        <v/>
      </c>
      <c r="N330" s="36" t="str">
        <f t="shared" si="102"/>
        <v/>
      </c>
      <c r="O330" s="35" t="str">
        <f t="shared" si="103"/>
        <v/>
      </c>
      <c r="P330" s="35" t="str">
        <f t="shared" si="104"/>
        <v/>
      </c>
      <c r="Q330" s="35" t="str">
        <f t="shared" si="105"/>
        <v/>
      </c>
      <c r="R330" s="35" t="str">
        <f t="shared" si="106"/>
        <v/>
      </c>
      <c r="S330" s="33" t="str">
        <f t="shared" si="107"/>
        <v/>
      </c>
    </row>
    <row r="331" spans="1:19" x14ac:dyDescent="0.3">
      <c r="A331" s="33">
        <f>327</f>
        <v>327</v>
      </c>
      <c r="B331" s="34" t="str">
        <f t="shared" si="90"/>
        <v/>
      </c>
      <c r="C331" s="33" t="str">
        <f t="shared" si="91"/>
        <v/>
      </c>
      <c r="D331" s="33" t="str">
        <f t="shared" si="92"/>
        <v/>
      </c>
      <c r="E331" s="35" t="str">
        <f t="shared" si="93"/>
        <v/>
      </c>
      <c r="F331" s="35" t="str">
        <f t="shared" si="94"/>
        <v/>
      </c>
      <c r="G331" s="33" t="str">
        <f t="shared" si="95"/>
        <v/>
      </c>
      <c r="H331" s="35" t="str">
        <f t="shared" si="96"/>
        <v/>
      </c>
      <c r="I331" s="35" t="str">
        <f t="shared" si="97"/>
        <v/>
      </c>
      <c r="J331" s="35" t="str">
        <f t="shared" si="98"/>
        <v/>
      </c>
      <c r="K331" s="35" t="str">
        <f t="shared" si="99"/>
        <v/>
      </c>
      <c r="L331" s="35" t="str">
        <f t="shared" si="100"/>
        <v/>
      </c>
      <c r="M331" s="35" t="str">
        <f t="shared" si="101"/>
        <v/>
      </c>
      <c r="N331" s="36" t="str">
        <f t="shared" si="102"/>
        <v/>
      </c>
      <c r="O331" s="35" t="str">
        <f t="shared" si="103"/>
        <v/>
      </c>
      <c r="P331" s="35" t="str">
        <f t="shared" si="104"/>
        <v/>
      </c>
      <c r="Q331" s="35" t="str">
        <f t="shared" si="105"/>
        <v/>
      </c>
      <c r="R331" s="35" t="str">
        <f t="shared" si="106"/>
        <v/>
      </c>
      <c r="S331" s="33" t="str">
        <f t="shared" si="107"/>
        <v/>
      </c>
    </row>
    <row r="332" spans="1:19" x14ac:dyDescent="0.3">
      <c r="A332" s="33">
        <f>328</f>
        <v>328</v>
      </c>
      <c r="B332" s="34" t="str">
        <f t="shared" si="90"/>
        <v/>
      </c>
      <c r="C332" s="33" t="str">
        <f t="shared" si="91"/>
        <v/>
      </c>
      <c r="D332" s="33" t="str">
        <f t="shared" si="92"/>
        <v/>
      </c>
      <c r="E332" s="35" t="str">
        <f t="shared" si="93"/>
        <v/>
      </c>
      <c r="F332" s="35" t="str">
        <f t="shared" si="94"/>
        <v/>
      </c>
      <c r="G332" s="33" t="str">
        <f t="shared" si="95"/>
        <v/>
      </c>
      <c r="H332" s="35" t="str">
        <f t="shared" si="96"/>
        <v/>
      </c>
      <c r="I332" s="35" t="str">
        <f t="shared" si="97"/>
        <v/>
      </c>
      <c r="J332" s="35" t="str">
        <f t="shared" si="98"/>
        <v/>
      </c>
      <c r="K332" s="35" t="str">
        <f t="shared" si="99"/>
        <v/>
      </c>
      <c r="L332" s="35" t="str">
        <f t="shared" si="100"/>
        <v/>
      </c>
      <c r="M332" s="35" t="str">
        <f t="shared" si="101"/>
        <v/>
      </c>
      <c r="N332" s="36" t="str">
        <f t="shared" si="102"/>
        <v/>
      </c>
      <c r="O332" s="35" t="str">
        <f t="shared" si="103"/>
        <v/>
      </c>
      <c r="P332" s="35" t="str">
        <f t="shared" si="104"/>
        <v/>
      </c>
      <c r="Q332" s="35" t="str">
        <f t="shared" si="105"/>
        <v/>
      </c>
      <c r="R332" s="35" t="str">
        <f t="shared" si="106"/>
        <v/>
      </c>
      <c r="S332" s="33" t="str">
        <f t="shared" si="107"/>
        <v/>
      </c>
    </row>
    <row r="333" spans="1:19" x14ac:dyDescent="0.3">
      <c r="A333" s="33">
        <f>329</f>
        <v>329</v>
      </c>
      <c r="B333" s="34" t="str">
        <f t="shared" si="90"/>
        <v/>
      </c>
      <c r="C333" s="33" t="str">
        <f t="shared" si="91"/>
        <v/>
      </c>
      <c r="D333" s="33" t="str">
        <f t="shared" si="92"/>
        <v/>
      </c>
      <c r="E333" s="35" t="str">
        <f t="shared" si="93"/>
        <v/>
      </c>
      <c r="F333" s="35" t="str">
        <f t="shared" si="94"/>
        <v/>
      </c>
      <c r="G333" s="33" t="str">
        <f t="shared" si="95"/>
        <v/>
      </c>
      <c r="H333" s="35" t="str">
        <f t="shared" si="96"/>
        <v/>
      </c>
      <c r="I333" s="35" t="str">
        <f t="shared" si="97"/>
        <v/>
      </c>
      <c r="J333" s="35" t="str">
        <f t="shared" si="98"/>
        <v/>
      </c>
      <c r="K333" s="35" t="str">
        <f t="shared" si="99"/>
        <v/>
      </c>
      <c r="L333" s="35" t="str">
        <f t="shared" si="100"/>
        <v/>
      </c>
      <c r="M333" s="35" t="str">
        <f t="shared" si="101"/>
        <v/>
      </c>
      <c r="N333" s="36" t="str">
        <f t="shared" si="102"/>
        <v/>
      </c>
      <c r="O333" s="35" t="str">
        <f t="shared" si="103"/>
        <v/>
      </c>
      <c r="P333" s="35" t="str">
        <f t="shared" si="104"/>
        <v/>
      </c>
      <c r="Q333" s="35" t="str">
        <f t="shared" si="105"/>
        <v/>
      </c>
      <c r="R333" s="35" t="str">
        <f t="shared" si="106"/>
        <v/>
      </c>
      <c r="S333" s="33" t="str">
        <f t="shared" si="107"/>
        <v/>
      </c>
    </row>
    <row r="334" spans="1:19" x14ac:dyDescent="0.3">
      <c r="A334" s="33">
        <f>330</f>
        <v>330</v>
      </c>
      <c r="B334" s="34" t="str">
        <f t="shared" si="90"/>
        <v/>
      </c>
      <c r="C334" s="33" t="str">
        <f t="shared" si="91"/>
        <v/>
      </c>
      <c r="D334" s="33" t="str">
        <f t="shared" si="92"/>
        <v/>
      </c>
      <c r="E334" s="35" t="str">
        <f t="shared" si="93"/>
        <v/>
      </c>
      <c r="F334" s="35" t="str">
        <f t="shared" si="94"/>
        <v/>
      </c>
      <c r="G334" s="33" t="str">
        <f t="shared" si="95"/>
        <v/>
      </c>
      <c r="H334" s="35" t="str">
        <f t="shared" si="96"/>
        <v/>
      </c>
      <c r="I334" s="35" t="str">
        <f t="shared" si="97"/>
        <v/>
      </c>
      <c r="J334" s="35" t="str">
        <f t="shared" si="98"/>
        <v/>
      </c>
      <c r="K334" s="35" t="str">
        <f t="shared" si="99"/>
        <v/>
      </c>
      <c r="L334" s="35" t="str">
        <f t="shared" si="100"/>
        <v/>
      </c>
      <c r="M334" s="35" t="str">
        <f t="shared" si="101"/>
        <v/>
      </c>
      <c r="N334" s="36" t="str">
        <f t="shared" si="102"/>
        <v/>
      </c>
      <c r="O334" s="35" t="str">
        <f t="shared" si="103"/>
        <v/>
      </c>
      <c r="P334" s="35" t="str">
        <f t="shared" si="104"/>
        <v/>
      </c>
      <c r="Q334" s="35" t="str">
        <f t="shared" si="105"/>
        <v/>
      </c>
      <c r="R334" s="35" t="str">
        <f t="shared" si="106"/>
        <v/>
      </c>
      <c r="S334" s="33" t="str">
        <f t="shared" si="107"/>
        <v/>
      </c>
    </row>
    <row r="335" spans="1:19" x14ac:dyDescent="0.3">
      <c r="A335" s="33">
        <f>331</f>
        <v>331</v>
      </c>
      <c r="B335" s="34" t="str">
        <f t="shared" si="90"/>
        <v/>
      </c>
      <c r="C335" s="33" t="str">
        <f t="shared" si="91"/>
        <v/>
      </c>
      <c r="D335" s="33" t="str">
        <f t="shared" si="92"/>
        <v/>
      </c>
      <c r="E335" s="35" t="str">
        <f t="shared" si="93"/>
        <v/>
      </c>
      <c r="F335" s="35" t="str">
        <f t="shared" si="94"/>
        <v/>
      </c>
      <c r="G335" s="33" t="str">
        <f t="shared" si="95"/>
        <v/>
      </c>
      <c r="H335" s="35" t="str">
        <f t="shared" si="96"/>
        <v/>
      </c>
      <c r="I335" s="35" t="str">
        <f t="shared" si="97"/>
        <v/>
      </c>
      <c r="J335" s="35" t="str">
        <f t="shared" si="98"/>
        <v/>
      </c>
      <c r="K335" s="35" t="str">
        <f t="shared" si="99"/>
        <v/>
      </c>
      <c r="L335" s="35" t="str">
        <f t="shared" si="100"/>
        <v/>
      </c>
      <c r="M335" s="35" t="str">
        <f t="shared" si="101"/>
        <v/>
      </c>
      <c r="N335" s="36" t="str">
        <f t="shared" si="102"/>
        <v/>
      </c>
      <c r="O335" s="35" t="str">
        <f t="shared" si="103"/>
        <v/>
      </c>
      <c r="P335" s="35" t="str">
        <f t="shared" si="104"/>
        <v/>
      </c>
      <c r="Q335" s="35" t="str">
        <f t="shared" si="105"/>
        <v/>
      </c>
      <c r="R335" s="35" t="str">
        <f t="shared" si="106"/>
        <v/>
      </c>
      <c r="S335" s="33" t="str">
        <f t="shared" si="107"/>
        <v/>
      </c>
    </row>
    <row r="336" spans="1:19" x14ac:dyDescent="0.3">
      <c r="A336" s="33">
        <f>332</f>
        <v>332</v>
      </c>
      <c r="B336" s="34" t="str">
        <f t="shared" si="90"/>
        <v/>
      </c>
      <c r="C336" s="33" t="str">
        <f t="shared" si="91"/>
        <v/>
      </c>
      <c r="D336" s="33" t="str">
        <f t="shared" si="92"/>
        <v/>
      </c>
      <c r="E336" s="35" t="str">
        <f t="shared" si="93"/>
        <v/>
      </c>
      <c r="F336" s="35" t="str">
        <f t="shared" si="94"/>
        <v/>
      </c>
      <c r="G336" s="33" t="str">
        <f t="shared" si="95"/>
        <v/>
      </c>
      <c r="H336" s="35" t="str">
        <f t="shared" si="96"/>
        <v/>
      </c>
      <c r="I336" s="35" t="str">
        <f t="shared" si="97"/>
        <v/>
      </c>
      <c r="J336" s="35" t="str">
        <f t="shared" si="98"/>
        <v/>
      </c>
      <c r="K336" s="35" t="str">
        <f t="shared" si="99"/>
        <v/>
      </c>
      <c r="L336" s="35" t="str">
        <f t="shared" si="100"/>
        <v/>
      </c>
      <c r="M336" s="35" t="str">
        <f t="shared" si="101"/>
        <v/>
      </c>
      <c r="N336" s="36" t="str">
        <f t="shared" si="102"/>
        <v/>
      </c>
      <c r="O336" s="35" t="str">
        <f t="shared" si="103"/>
        <v/>
      </c>
      <c r="P336" s="35" t="str">
        <f t="shared" si="104"/>
        <v/>
      </c>
      <c r="Q336" s="35" t="str">
        <f t="shared" si="105"/>
        <v/>
      </c>
      <c r="R336" s="35" t="str">
        <f t="shared" si="106"/>
        <v/>
      </c>
      <c r="S336" s="33" t="str">
        <f t="shared" si="107"/>
        <v/>
      </c>
    </row>
    <row r="337" spans="1:19" x14ac:dyDescent="0.3">
      <c r="A337" s="33">
        <f>333</f>
        <v>333</v>
      </c>
      <c r="B337" s="34" t="str">
        <f t="shared" si="90"/>
        <v/>
      </c>
      <c r="C337" s="33" t="str">
        <f t="shared" si="91"/>
        <v/>
      </c>
      <c r="D337" s="33" t="str">
        <f t="shared" si="92"/>
        <v/>
      </c>
      <c r="E337" s="35" t="str">
        <f t="shared" si="93"/>
        <v/>
      </c>
      <c r="F337" s="35" t="str">
        <f t="shared" si="94"/>
        <v/>
      </c>
      <c r="G337" s="33" t="str">
        <f t="shared" si="95"/>
        <v/>
      </c>
      <c r="H337" s="35" t="str">
        <f t="shared" si="96"/>
        <v/>
      </c>
      <c r="I337" s="35" t="str">
        <f t="shared" si="97"/>
        <v/>
      </c>
      <c r="J337" s="35" t="str">
        <f t="shared" si="98"/>
        <v/>
      </c>
      <c r="K337" s="35" t="str">
        <f t="shared" si="99"/>
        <v/>
      </c>
      <c r="L337" s="35" t="str">
        <f t="shared" si="100"/>
        <v/>
      </c>
      <c r="M337" s="35" t="str">
        <f t="shared" si="101"/>
        <v/>
      </c>
      <c r="N337" s="36" t="str">
        <f t="shared" si="102"/>
        <v/>
      </c>
      <c r="O337" s="35" t="str">
        <f t="shared" si="103"/>
        <v/>
      </c>
      <c r="P337" s="35" t="str">
        <f t="shared" si="104"/>
        <v/>
      </c>
      <c r="Q337" s="35" t="str">
        <f t="shared" si="105"/>
        <v/>
      </c>
      <c r="R337" s="35" t="str">
        <f t="shared" si="106"/>
        <v/>
      </c>
      <c r="S337" s="33" t="str">
        <f t="shared" si="107"/>
        <v/>
      </c>
    </row>
    <row r="338" spans="1:19" x14ac:dyDescent="0.3">
      <c r="A338" s="33">
        <f>334</f>
        <v>334</v>
      </c>
      <c r="B338" s="34" t="str">
        <f t="shared" si="90"/>
        <v/>
      </c>
      <c r="C338" s="33" t="str">
        <f t="shared" si="91"/>
        <v/>
      </c>
      <c r="D338" s="33" t="str">
        <f t="shared" si="92"/>
        <v/>
      </c>
      <c r="E338" s="35" t="str">
        <f t="shared" si="93"/>
        <v/>
      </c>
      <c r="F338" s="35" t="str">
        <f t="shared" si="94"/>
        <v/>
      </c>
      <c r="G338" s="33" t="str">
        <f t="shared" si="95"/>
        <v/>
      </c>
      <c r="H338" s="35" t="str">
        <f t="shared" si="96"/>
        <v/>
      </c>
      <c r="I338" s="35" t="str">
        <f t="shared" si="97"/>
        <v/>
      </c>
      <c r="J338" s="35" t="str">
        <f t="shared" si="98"/>
        <v/>
      </c>
      <c r="K338" s="35" t="str">
        <f t="shared" si="99"/>
        <v/>
      </c>
      <c r="L338" s="35" t="str">
        <f t="shared" si="100"/>
        <v/>
      </c>
      <c r="M338" s="35" t="str">
        <f t="shared" si="101"/>
        <v/>
      </c>
      <c r="N338" s="36" t="str">
        <f t="shared" si="102"/>
        <v/>
      </c>
      <c r="O338" s="35" t="str">
        <f t="shared" si="103"/>
        <v/>
      </c>
      <c r="P338" s="35" t="str">
        <f t="shared" si="104"/>
        <v/>
      </c>
      <c r="Q338" s="35" t="str">
        <f t="shared" si="105"/>
        <v/>
      </c>
      <c r="R338" s="35" t="str">
        <f t="shared" si="106"/>
        <v/>
      </c>
      <c r="S338" s="33" t="str">
        <f t="shared" si="107"/>
        <v/>
      </c>
    </row>
    <row r="339" spans="1:19" x14ac:dyDescent="0.3">
      <c r="A339" s="33">
        <f>335</f>
        <v>335</v>
      </c>
      <c r="B339" s="34" t="str">
        <f t="shared" si="90"/>
        <v/>
      </c>
      <c r="C339" s="33" t="str">
        <f t="shared" si="91"/>
        <v/>
      </c>
      <c r="D339" s="33" t="str">
        <f t="shared" si="92"/>
        <v/>
      </c>
      <c r="E339" s="35" t="str">
        <f t="shared" si="93"/>
        <v/>
      </c>
      <c r="F339" s="35" t="str">
        <f t="shared" si="94"/>
        <v/>
      </c>
      <c r="G339" s="33" t="str">
        <f t="shared" si="95"/>
        <v/>
      </c>
      <c r="H339" s="35" t="str">
        <f t="shared" si="96"/>
        <v/>
      </c>
      <c r="I339" s="35" t="str">
        <f t="shared" si="97"/>
        <v/>
      </c>
      <c r="J339" s="35" t="str">
        <f t="shared" si="98"/>
        <v/>
      </c>
      <c r="K339" s="35" t="str">
        <f t="shared" si="99"/>
        <v/>
      </c>
      <c r="L339" s="35" t="str">
        <f t="shared" si="100"/>
        <v/>
      </c>
      <c r="M339" s="35" t="str">
        <f t="shared" si="101"/>
        <v/>
      </c>
      <c r="N339" s="36" t="str">
        <f t="shared" si="102"/>
        <v/>
      </c>
      <c r="O339" s="35" t="str">
        <f t="shared" si="103"/>
        <v/>
      </c>
      <c r="P339" s="35" t="str">
        <f t="shared" si="104"/>
        <v/>
      </c>
      <c r="Q339" s="35" t="str">
        <f t="shared" si="105"/>
        <v/>
      </c>
      <c r="R339" s="35" t="str">
        <f t="shared" si="106"/>
        <v/>
      </c>
      <c r="S339" s="33" t="str">
        <f t="shared" si="107"/>
        <v/>
      </c>
    </row>
    <row r="340" spans="1:19" x14ac:dyDescent="0.3">
      <c r="A340" s="37">
        <f>336</f>
        <v>336</v>
      </c>
      <c r="B340" s="38" t="str">
        <f t="shared" si="90"/>
        <v/>
      </c>
      <c r="C340" s="37" t="str">
        <f t="shared" si="91"/>
        <v/>
      </c>
      <c r="D340" s="37" t="str">
        <f t="shared" si="92"/>
        <v/>
      </c>
      <c r="E340" s="39" t="str">
        <f t="shared" si="93"/>
        <v/>
      </c>
      <c r="F340" s="39" t="str">
        <f t="shared" si="94"/>
        <v/>
      </c>
      <c r="G340" s="37" t="str">
        <f t="shared" si="95"/>
        <v/>
      </c>
      <c r="H340" s="39" t="str">
        <f t="shared" si="96"/>
        <v/>
      </c>
      <c r="I340" s="39" t="str">
        <f t="shared" si="97"/>
        <v/>
      </c>
      <c r="J340" s="39" t="str">
        <f t="shared" si="98"/>
        <v/>
      </c>
      <c r="K340" s="39" t="str">
        <f t="shared" si="99"/>
        <v/>
      </c>
      <c r="L340" s="39" t="str">
        <f t="shared" si="100"/>
        <v/>
      </c>
      <c r="M340" s="39" t="str">
        <f t="shared" si="101"/>
        <v/>
      </c>
      <c r="N340" s="40" t="str">
        <f t="shared" si="102"/>
        <v/>
      </c>
      <c r="O340" s="39" t="str">
        <f t="shared" si="103"/>
        <v/>
      </c>
      <c r="P340" s="39" t="str">
        <f t="shared" si="104"/>
        <v/>
      </c>
      <c r="Q340" s="39" t="str">
        <f t="shared" si="105"/>
        <v/>
      </c>
      <c r="R340" s="39" t="str">
        <f t="shared" si="106"/>
        <v/>
      </c>
      <c r="S340" s="37" t="str">
        <f t="shared" si="107"/>
        <v/>
      </c>
    </row>
    <row r="341" spans="1:19" x14ac:dyDescent="0.3">
      <c r="A341" s="33">
        <f>337</f>
        <v>337</v>
      </c>
      <c r="B341" s="34" t="str">
        <f t="shared" si="90"/>
        <v/>
      </c>
      <c r="C341" s="33" t="str">
        <f t="shared" si="91"/>
        <v/>
      </c>
      <c r="D341" s="33" t="str">
        <f t="shared" si="92"/>
        <v/>
      </c>
      <c r="E341" s="35" t="str">
        <f t="shared" si="93"/>
        <v/>
      </c>
      <c r="F341" s="35" t="str">
        <f t="shared" si="94"/>
        <v/>
      </c>
      <c r="G341" s="33" t="str">
        <f t="shared" si="95"/>
        <v/>
      </c>
      <c r="H341" s="35" t="str">
        <f t="shared" si="96"/>
        <v/>
      </c>
      <c r="I341" s="35" t="str">
        <f t="shared" si="97"/>
        <v/>
      </c>
      <c r="J341" s="35" t="str">
        <f t="shared" si="98"/>
        <v/>
      </c>
      <c r="K341" s="35" t="str">
        <f t="shared" si="99"/>
        <v/>
      </c>
      <c r="L341" s="35" t="str">
        <f t="shared" si="100"/>
        <v/>
      </c>
      <c r="M341" s="35" t="str">
        <f t="shared" si="101"/>
        <v/>
      </c>
      <c r="N341" s="36" t="str">
        <f t="shared" si="102"/>
        <v/>
      </c>
      <c r="O341" s="35" t="str">
        <f t="shared" si="103"/>
        <v/>
      </c>
      <c r="P341" s="35" t="str">
        <f t="shared" si="104"/>
        <v/>
      </c>
      <c r="Q341" s="35" t="str">
        <f t="shared" si="105"/>
        <v/>
      </c>
      <c r="R341" s="35" t="str">
        <f t="shared" si="106"/>
        <v/>
      </c>
      <c r="S341" s="33" t="str">
        <f t="shared" si="107"/>
        <v/>
      </c>
    </row>
    <row r="342" spans="1:19" x14ac:dyDescent="0.3">
      <c r="A342" s="33">
        <f>338</f>
        <v>338</v>
      </c>
      <c r="B342" s="34" t="str">
        <f t="shared" si="90"/>
        <v/>
      </c>
      <c r="C342" s="33" t="str">
        <f t="shared" si="91"/>
        <v/>
      </c>
      <c r="D342" s="33" t="str">
        <f t="shared" si="92"/>
        <v/>
      </c>
      <c r="E342" s="35" t="str">
        <f t="shared" si="93"/>
        <v/>
      </c>
      <c r="F342" s="35" t="str">
        <f t="shared" si="94"/>
        <v/>
      </c>
      <c r="G342" s="33" t="str">
        <f t="shared" si="95"/>
        <v/>
      </c>
      <c r="H342" s="35" t="str">
        <f t="shared" si="96"/>
        <v/>
      </c>
      <c r="I342" s="35" t="str">
        <f t="shared" si="97"/>
        <v/>
      </c>
      <c r="J342" s="35" t="str">
        <f t="shared" si="98"/>
        <v/>
      </c>
      <c r="K342" s="35" t="str">
        <f t="shared" si="99"/>
        <v/>
      </c>
      <c r="L342" s="35" t="str">
        <f t="shared" si="100"/>
        <v/>
      </c>
      <c r="M342" s="35" t="str">
        <f t="shared" si="101"/>
        <v/>
      </c>
      <c r="N342" s="36" t="str">
        <f t="shared" si="102"/>
        <v/>
      </c>
      <c r="O342" s="35" t="str">
        <f t="shared" si="103"/>
        <v/>
      </c>
      <c r="P342" s="35" t="str">
        <f t="shared" si="104"/>
        <v/>
      </c>
      <c r="Q342" s="35" t="str">
        <f t="shared" si="105"/>
        <v/>
      </c>
      <c r="R342" s="35" t="str">
        <f t="shared" si="106"/>
        <v/>
      </c>
      <c r="S342" s="33" t="str">
        <f t="shared" si="107"/>
        <v/>
      </c>
    </row>
    <row r="343" spans="1:19" x14ac:dyDescent="0.3">
      <c r="A343" s="33">
        <f>339</f>
        <v>339</v>
      </c>
      <c r="B343" s="34" t="str">
        <f t="shared" si="90"/>
        <v/>
      </c>
      <c r="C343" s="33" t="str">
        <f t="shared" si="91"/>
        <v/>
      </c>
      <c r="D343" s="33" t="str">
        <f t="shared" si="92"/>
        <v/>
      </c>
      <c r="E343" s="35" t="str">
        <f t="shared" si="93"/>
        <v/>
      </c>
      <c r="F343" s="35" t="str">
        <f t="shared" si="94"/>
        <v/>
      </c>
      <c r="G343" s="33" t="str">
        <f t="shared" si="95"/>
        <v/>
      </c>
      <c r="H343" s="35" t="str">
        <f t="shared" si="96"/>
        <v/>
      </c>
      <c r="I343" s="35" t="str">
        <f t="shared" si="97"/>
        <v/>
      </c>
      <c r="J343" s="35" t="str">
        <f t="shared" si="98"/>
        <v/>
      </c>
      <c r="K343" s="35" t="str">
        <f t="shared" si="99"/>
        <v/>
      </c>
      <c r="L343" s="35" t="str">
        <f t="shared" si="100"/>
        <v/>
      </c>
      <c r="M343" s="35" t="str">
        <f t="shared" si="101"/>
        <v/>
      </c>
      <c r="N343" s="36" t="str">
        <f t="shared" si="102"/>
        <v/>
      </c>
      <c r="O343" s="35" t="str">
        <f t="shared" si="103"/>
        <v/>
      </c>
      <c r="P343" s="35" t="str">
        <f t="shared" si="104"/>
        <v/>
      </c>
      <c r="Q343" s="35" t="str">
        <f t="shared" si="105"/>
        <v/>
      </c>
      <c r="R343" s="35" t="str">
        <f t="shared" si="106"/>
        <v/>
      </c>
      <c r="S343" s="33" t="str">
        <f t="shared" si="107"/>
        <v/>
      </c>
    </row>
    <row r="344" spans="1:19" x14ac:dyDescent="0.3">
      <c r="A344" s="33">
        <f>340</f>
        <v>340</v>
      </c>
      <c r="B344" s="34" t="str">
        <f t="shared" si="90"/>
        <v/>
      </c>
      <c r="C344" s="33" t="str">
        <f t="shared" si="91"/>
        <v/>
      </c>
      <c r="D344" s="33" t="str">
        <f t="shared" si="92"/>
        <v/>
      </c>
      <c r="E344" s="35" t="str">
        <f t="shared" si="93"/>
        <v/>
      </c>
      <c r="F344" s="35" t="str">
        <f t="shared" si="94"/>
        <v/>
      </c>
      <c r="G344" s="33" t="str">
        <f t="shared" si="95"/>
        <v/>
      </c>
      <c r="H344" s="35" t="str">
        <f t="shared" si="96"/>
        <v/>
      </c>
      <c r="I344" s="35" t="str">
        <f t="shared" si="97"/>
        <v/>
      </c>
      <c r="J344" s="35" t="str">
        <f t="shared" si="98"/>
        <v/>
      </c>
      <c r="K344" s="35" t="str">
        <f t="shared" si="99"/>
        <v/>
      </c>
      <c r="L344" s="35" t="str">
        <f t="shared" si="100"/>
        <v/>
      </c>
      <c r="M344" s="35" t="str">
        <f t="shared" si="101"/>
        <v/>
      </c>
      <c r="N344" s="36" t="str">
        <f t="shared" si="102"/>
        <v/>
      </c>
      <c r="O344" s="35" t="str">
        <f t="shared" si="103"/>
        <v/>
      </c>
      <c r="P344" s="35" t="str">
        <f t="shared" si="104"/>
        <v/>
      </c>
      <c r="Q344" s="35" t="str">
        <f t="shared" si="105"/>
        <v/>
      </c>
      <c r="R344" s="35" t="str">
        <f t="shared" si="106"/>
        <v/>
      </c>
      <c r="S344" s="33" t="str">
        <f t="shared" si="107"/>
        <v/>
      </c>
    </row>
    <row r="345" spans="1:19" x14ac:dyDescent="0.3">
      <c r="A345" s="33">
        <f>341</f>
        <v>341</v>
      </c>
      <c r="B345" s="34" t="str">
        <f t="shared" si="90"/>
        <v/>
      </c>
      <c r="C345" s="33" t="str">
        <f t="shared" si="91"/>
        <v/>
      </c>
      <c r="D345" s="33" t="str">
        <f t="shared" si="92"/>
        <v/>
      </c>
      <c r="E345" s="35" t="str">
        <f t="shared" si="93"/>
        <v/>
      </c>
      <c r="F345" s="35" t="str">
        <f t="shared" si="94"/>
        <v/>
      </c>
      <c r="G345" s="33" t="str">
        <f t="shared" si="95"/>
        <v/>
      </c>
      <c r="H345" s="35" t="str">
        <f t="shared" si="96"/>
        <v/>
      </c>
      <c r="I345" s="35" t="str">
        <f t="shared" si="97"/>
        <v/>
      </c>
      <c r="J345" s="35" t="str">
        <f t="shared" si="98"/>
        <v/>
      </c>
      <c r="K345" s="35" t="str">
        <f t="shared" si="99"/>
        <v/>
      </c>
      <c r="L345" s="35" t="str">
        <f t="shared" si="100"/>
        <v/>
      </c>
      <c r="M345" s="35" t="str">
        <f t="shared" si="101"/>
        <v/>
      </c>
      <c r="N345" s="36" t="str">
        <f t="shared" si="102"/>
        <v/>
      </c>
      <c r="O345" s="35" t="str">
        <f t="shared" si="103"/>
        <v/>
      </c>
      <c r="P345" s="35" t="str">
        <f t="shared" si="104"/>
        <v/>
      </c>
      <c r="Q345" s="35" t="str">
        <f t="shared" si="105"/>
        <v/>
      </c>
      <c r="R345" s="35" t="str">
        <f t="shared" si="106"/>
        <v/>
      </c>
      <c r="S345" s="33" t="str">
        <f t="shared" si="107"/>
        <v/>
      </c>
    </row>
    <row r="346" spans="1:19" x14ac:dyDescent="0.3">
      <c r="A346" s="33">
        <f>342</f>
        <v>342</v>
      </c>
      <c r="B346" s="34" t="str">
        <f t="shared" si="90"/>
        <v/>
      </c>
      <c r="C346" s="33" t="str">
        <f t="shared" si="91"/>
        <v/>
      </c>
      <c r="D346" s="33" t="str">
        <f t="shared" si="92"/>
        <v/>
      </c>
      <c r="E346" s="35" t="str">
        <f t="shared" si="93"/>
        <v/>
      </c>
      <c r="F346" s="35" t="str">
        <f t="shared" si="94"/>
        <v/>
      </c>
      <c r="G346" s="33" t="str">
        <f t="shared" si="95"/>
        <v/>
      </c>
      <c r="H346" s="35" t="str">
        <f t="shared" si="96"/>
        <v/>
      </c>
      <c r="I346" s="35" t="str">
        <f t="shared" si="97"/>
        <v/>
      </c>
      <c r="J346" s="35" t="str">
        <f t="shared" si="98"/>
        <v/>
      </c>
      <c r="K346" s="35" t="str">
        <f t="shared" si="99"/>
        <v/>
      </c>
      <c r="L346" s="35" t="str">
        <f t="shared" si="100"/>
        <v/>
      </c>
      <c r="M346" s="35" t="str">
        <f t="shared" si="101"/>
        <v/>
      </c>
      <c r="N346" s="36" t="str">
        <f t="shared" si="102"/>
        <v/>
      </c>
      <c r="O346" s="35" t="str">
        <f t="shared" si="103"/>
        <v/>
      </c>
      <c r="P346" s="35" t="str">
        <f t="shared" si="104"/>
        <v/>
      </c>
      <c r="Q346" s="35" t="str">
        <f t="shared" si="105"/>
        <v/>
      </c>
      <c r="R346" s="35" t="str">
        <f t="shared" si="106"/>
        <v/>
      </c>
      <c r="S346" s="33" t="str">
        <f t="shared" si="107"/>
        <v/>
      </c>
    </row>
    <row r="347" spans="1:19" x14ac:dyDescent="0.3">
      <c r="A347" s="33">
        <f>343</f>
        <v>343</v>
      </c>
      <c r="B347" s="34" t="str">
        <f t="shared" si="90"/>
        <v/>
      </c>
      <c r="C347" s="33" t="str">
        <f t="shared" si="91"/>
        <v/>
      </c>
      <c r="D347" s="33" t="str">
        <f t="shared" si="92"/>
        <v/>
      </c>
      <c r="E347" s="35" t="str">
        <f t="shared" si="93"/>
        <v/>
      </c>
      <c r="F347" s="35" t="str">
        <f t="shared" si="94"/>
        <v/>
      </c>
      <c r="G347" s="33" t="str">
        <f t="shared" si="95"/>
        <v/>
      </c>
      <c r="H347" s="35" t="str">
        <f t="shared" si="96"/>
        <v/>
      </c>
      <c r="I347" s="35" t="str">
        <f t="shared" si="97"/>
        <v/>
      </c>
      <c r="J347" s="35" t="str">
        <f t="shared" si="98"/>
        <v/>
      </c>
      <c r="K347" s="35" t="str">
        <f t="shared" si="99"/>
        <v/>
      </c>
      <c r="L347" s="35" t="str">
        <f t="shared" si="100"/>
        <v/>
      </c>
      <c r="M347" s="35" t="str">
        <f t="shared" si="101"/>
        <v/>
      </c>
      <c r="N347" s="36" t="str">
        <f t="shared" si="102"/>
        <v/>
      </c>
      <c r="O347" s="35" t="str">
        <f t="shared" si="103"/>
        <v/>
      </c>
      <c r="P347" s="35" t="str">
        <f t="shared" si="104"/>
        <v/>
      </c>
      <c r="Q347" s="35" t="str">
        <f t="shared" si="105"/>
        <v/>
      </c>
      <c r="R347" s="35" t="str">
        <f t="shared" si="106"/>
        <v/>
      </c>
      <c r="S347" s="33" t="str">
        <f t="shared" si="107"/>
        <v/>
      </c>
    </row>
    <row r="348" spans="1:19" x14ac:dyDescent="0.3">
      <c r="A348" s="33">
        <f>344</f>
        <v>344</v>
      </c>
      <c r="B348" s="34" t="str">
        <f t="shared" si="90"/>
        <v/>
      </c>
      <c r="C348" s="33" t="str">
        <f t="shared" si="91"/>
        <v/>
      </c>
      <c r="D348" s="33" t="str">
        <f t="shared" si="92"/>
        <v/>
      </c>
      <c r="E348" s="35" t="str">
        <f t="shared" si="93"/>
        <v/>
      </c>
      <c r="F348" s="35" t="str">
        <f t="shared" si="94"/>
        <v/>
      </c>
      <c r="G348" s="33" t="str">
        <f t="shared" si="95"/>
        <v/>
      </c>
      <c r="H348" s="35" t="str">
        <f t="shared" si="96"/>
        <v/>
      </c>
      <c r="I348" s="35" t="str">
        <f t="shared" si="97"/>
        <v/>
      </c>
      <c r="J348" s="35" t="str">
        <f t="shared" si="98"/>
        <v/>
      </c>
      <c r="K348" s="35" t="str">
        <f t="shared" si="99"/>
        <v/>
      </c>
      <c r="L348" s="35" t="str">
        <f t="shared" si="100"/>
        <v/>
      </c>
      <c r="M348" s="35" t="str">
        <f t="shared" si="101"/>
        <v/>
      </c>
      <c r="N348" s="36" t="str">
        <f t="shared" si="102"/>
        <v/>
      </c>
      <c r="O348" s="35" t="str">
        <f t="shared" si="103"/>
        <v/>
      </c>
      <c r="P348" s="35" t="str">
        <f t="shared" si="104"/>
        <v/>
      </c>
      <c r="Q348" s="35" t="str">
        <f t="shared" si="105"/>
        <v/>
      </c>
      <c r="R348" s="35" t="str">
        <f t="shared" si="106"/>
        <v/>
      </c>
      <c r="S348" s="33" t="str">
        <f t="shared" si="107"/>
        <v/>
      </c>
    </row>
    <row r="349" spans="1:19" x14ac:dyDescent="0.3">
      <c r="A349" s="33">
        <f>345</f>
        <v>345</v>
      </c>
      <c r="B349" s="34" t="str">
        <f t="shared" si="90"/>
        <v/>
      </c>
      <c r="C349" s="33" t="str">
        <f t="shared" si="91"/>
        <v/>
      </c>
      <c r="D349" s="33" t="str">
        <f t="shared" si="92"/>
        <v/>
      </c>
      <c r="E349" s="35" t="str">
        <f t="shared" si="93"/>
        <v/>
      </c>
      <c r="F349" s="35" t="str">
        <f t="shared" si="94"/>
        <v/>
      </c>
      <c r="G349" s="33" t="str">
        <f t="shared" si="95"/>
        <v/>
      </c>
      <c r="H349" s="35" t="str">
        <f t="shared" si="96"/>
        <v/>
      </c>
      <c r="I349" s="35" t="str">
        <f t="shared" si="97"/>
        <v/>
      </c>
      <c r="J349" s="35" t="str">
        <f t="shared" si="98"/>
        <v/>
      </c>
      <c r="K349" s="35" t="str">
        <f t="shared" si="99"/>
        <v/>
      </c>
      <c r="L349" s="35" t="str">
        <f t="shared" si="100"/>
        <v/>
      </c>
      <c r="M349" s="35" t="str">
        <f t="shared" si="101"/>
        <v/>
      </c>
      <c r="N349" s="36" t="str">
        <f t="shared" si="102"/>
        <v/>
      </c>
      <c r="O349" s="35" t="str">
        <f t="shared" si="103"/>
        <v/>
      </c>
      <c r="P349" s="35" t="str">
        <f t="shared" si="104"/>
        <v/>
      </c>
      <c r="Q349" s="35" t="str">
        <f t="shared" si="105"/>
        <v/>
      </c>
      <c r="R349" s="35" t="str">
        <f t="shared" si="106"/>
        <v/>
      </c>
      <c r="S349" s="33" t="str">
        <f t="shared" si="107"/>
        <v/>
      </c>
    </row>
    <row r="350" spans="1:19" x14ac:dyDescent="0.3">
      <c r="A350" s="33">
        <f>346</f>
        <v>346</v>
      </c>
      <c r="B350" s="34" t="str">
        <f t="shared" si="90"/>
        <v/>
      </c>
      <c r="C350" s="33" t="str">
        <f t="shared" si="91"/>
        <v/>
      </c>
      <c r="D350" s="33" t="str">
        <f t="shared" si="92"/>
        <v/>
      </c>
      <c r="E350" s="35" t="str">
        <f t="shared" si="93"/>
        <v/>
      </c>
      <c r="F350" s="35" t="str">
        <f t="shared" si="94"/>
        <v/>
      </c>
      <c r="G350" s="33" t="str">
        <f t="shared" si="95"/>
        <v/>
      </c>
      <c r="H350" s="35" t="str">
        <f t="shared" si="96"/>
        <v/>
      </c>
      <c r="I350" s="35" t="str">
        <f t="shared" si="97"/>
        <v/>
      </c>
      <c r="J350" s="35" t="str">
        <f t="shared" si="98"/>
        <v/>
      </c>
      <c r="K350" s="35" t="str">
        <f t="shared" si="99"/>
        <v/>
      </c>
      <c r="L350" s="35" t="str">
        <f t="shared" si="100"/>
        <v/>
      </c>
      <c r="M350" s="35" t="str">
        <f t="shared" si="101"/>
        <v/>
      </c>
      <c r="N350" s="36" t="str">
        <f t="shared" si="102"/>
        <v/>
      </c>
      <c r="O350" s="35" t="str">
        <f t="shared" si="103"/>
        <v/>
      </c>
      <c r="P350" s="35" t="str">
        <f t="shared" si="104"/>
        <v/>
      </c>
      <c r="Q350" s="35" t="str">
        <f t="shared" si="105"/>
        <v/>
      </c>
      <c r="R350" s="35" t="str">
        <f t="shared" si="106"/>
        <v/>
      </c>
      <c r="S350" s="33" t="str">
        <f t="shared" si="107"/>
        <v/>
      </c>
    </row>
    <row r="351" spans="1:19" x14ac:dyDescent="0.3">
      <c r="A351" s="33">
        <f>347</f>
        <v>347</v>
      </c>
      <c r="B351" s="34" t="str">
        <f t="shared" si="90"/>
        <v/>
      </c>
      <c r="C351" s="33" t="str">
        <f t="shared" si="91"/>
        <v/>
      </c>
      <c r="D351" s="33" t="str">
        <f t="shared" si="92"/>
        <v/>
      </c>
      <c r="E351" s="35" t="str">
        <f t="shared" si="93"/>
        <v/>
      </c>
      <c r="F351" s="35" t="str">
        <f t="shared" si="94"/>
        <v/>
      </c>
      <c r="G351" s="33" t="str">
        <f t="shared" si="95"/>
        <v/>
      </c>
      <c r="H351" s="35" t="str">
        <f t="shared" si="96"/>
        <v/>
      </c>
      <c r="I351" s="35" t="str">
        <f t="shared" si="97"/>
        <v/>
      </c>
      <c r="J351" s="35" t="str">
        <f t="shared" si="98"/>
        <v/>
      </c>
      <c r="K351" s="35" t="str">
        <f t="shared" si="99"/>
        <v/>
      </c>
      <c r="L351" s="35" t="str">
        <f t="shared" si="100"/>
        <v/>
      </c>
      <c r="M351" s="35" t="str">
        <f t="shared" si="101"/>
        <v/>
      </c>
      <c r="N351" s="36" t="str">
        <f t="shared" si="102"/>
        <v/>
      </c>
      <c r="O351" s="35" t="str">
        <f t="shared" si="103"/>
        <v/>
      </c>
      <c r="P351" s="35" t="str">
        <f t="shared" si="104"/>
        <v/>
      </c>
      <c r="Q351" s="35" t="str">
        <f t="shared" si="105"/>
        <v/>
      </c>
      <c r="R351" s="35" t="str">
        <f t="shared" si="106"/>
        <v/>
      </c>
      <c r="S351" s="33" t="str">
        <f t="shared" si="107"/>
        <v/>
      </c>
    </row>
    <row r="352" spans="1:19" x14ac:dyDescent="0.3">
      <c r="A352" s="37">
        <f>348</f>
        <v>348</v>
      </c>
      <c r="B352" s="38" t="str">
        <f t="shared" si="90"/>
        <v/>
      </c>
      <c r="C352" s="37" t="str">
        <f t="shared" si="91"/>
        <v/>
      </c>
      <c r="D352" s="37" t="str">
        <f t="shared" si="92"/>
        <v/>
      </c>
      <c r="E352" s="39" t="str">
        <f t="shared" si="93"/>
        <v/>
      </c>
      <c r="F352" s="39" t="str">
        <f t="shared" si="94"/>
        <v/>
      </c>
      <c r="G352" s="37" t="str">
        <f t="shared" si="95"/>
        <v/>
      </c>
      <c r="H352" s="39" t="str">
        <f t="shared" si="96"/>
        <v/>
      </c>
      <c r="I352" s="39" t="str">
        <f t="shared" si="97"/>
        <v/>
      </c>
      <c r="J352" s="39" t="str">
        <f t="shared" si="98"/>
        <v/>
      </c>
      <c r="K352" s="39" t="str">
        <f t="shared" si="99"/>
        <v/>
      </c>
      <c r="L352" s="39" t="str">
        <f t="shared" si="100"/>
        <v/>
      </c>
      <c r="M352" s="39" t="str">
        <f t="shared" si="101"/>
        <v/>
      </c>
      <c r="N352" s="40" t="str">
        <f t="shared" si="102"/>
        <v/>
      </c>
      <c r="O352" s="39" t="str">
        <f t="shared" si="103"/>
        <v/>
      </c>
      <c r="P352" s="39" t="str">
        <f t="shared" si="104"/>
        <v/>
      </c>
      <c r="Q352" s="39" t="str">
        <f t="shared" si="105"/>
        <v/>
      </c>
      <c r="R352" s="39" t="str">
        <f t="shared" si="106"/>
        <v/>
      </c>
      <c r="S352" s="37" t="str">
        <f t="shared" si="107"/>
        <v/>
      </c>
    </row>
    <row r="353" spans="1:19" x14ac:dyDescent="0.3">
      <c r="A353" s="33">
        <f>349</f>
        <v>349</v>
      </c>
      <c r="B353" s="34" t="str">
        <f t="shared" si="90"/>
        <v/>
      </c>
      <c r="C353" s="33" t="str">
        <f t="shared" si="91"/>
        <v/>
      </c>
      <c r="D353" s="33" t="str">
        <f t="shared" si="92"/>
        <v/>
      </c>
      <c r="E353" s="35" t="str">
        <f t="shared" si="93"/>
        <v/>
      </c>
      <c r="F353" s="35" t="str">
        <f t="shared" si="94"/>
        <v/>
      </c>
      <c r="G353" s="33" t="str">
        <f t="shared" si="95"/>
        <v/>
      </c>
      <c r="H353" s="35" t="str">
        <f t="shared" si="96"/>
        <v/>
      </c>
      <c r="I353" s="35" t="str">
        <f t="shared" si="97"/>
        <v/>
      </c>
      <c r="J353" s="35" t="str">
        <f t="shared" si="98"/>
        <v/>
      </c>
      <c r="K353" s="35" t="str">
        <f t="shared" si="99"/>
        <v/>
      </c>
      <c r="L353" s="35" t="str">
        <f t="shared" si="100"/>
        <v/>
      </c>
      <c r="M353" s="35" t="str">
        <f t="shared" si="101"/>
        <v/>
      </c>
      <c r="N353" s="36" t="str">
        <f t="shared" si="102"/>
        <v/>
      </c>
      <c r="O353" s="35" t="str">
        <f t="shared" si="103"/>
        <v/>
      </c>
      <c r="P353" s="35" t="str">
        <f t="shared" si="104"/>
        <v/>
      </c>
      <c r="Q353" s="35" t="str">
        <f t="shared" si="105"/>
        <v/>
      </c>
      <c r="R353" s="35" t="str">
        <f t="shared" si="106"/>
        <v/>
      </c>
      <c r="S353" s="33" t="str">
        <f t="shared" si="107"/>
        <v/>
      </c>
    </row>
    <row r="354" spans="1:19" x14ac:dyDescent="0.3">
      <c r="A354" s="33">
        <f>350</f>
        <v>350</v>
      </c>
      <c r="B354" s="34" t="str">
        <f t="shared" si="90"/>
        <v/>
      </c>
      <c r="C354" s="33" t="str">
        <f t="shared" si="91"/>
        <v/>
      </c>
      <c r="D354" s="33" t="str">
        <f t="shared" si="92"/>
        <v/>
      </c>
      <c r="E354" s="35" t="str">
        <f t="shared" si="93"/>
        <v/>
      </c>
      <c r="F354" s="35" t="str">
        <f t="shared" si="94"/>
        <v/>
      </c>
      <c r="G354" s="33" t="str">
        <f t="shared" si="95"/>
        <v/>
      </c>
      <c r="H354" s="35" t="str">
        <f t="shared" si="96"/>
        <v/>
      </c>
      <c r="I354" s="35" t="str">
        <f t="shared" si="97"/>
        <v/>
      </c>
      <c r="J354" s="35" t="str">
        <f t="shared" si="98"/>
        <v/>
      </c>
      <c r="K354" s="35" t="str">
        <f t="shared" si="99"/>
        <v/>
      </c>
      <c r="L354" s="35" t="str">
        <f t="shared" si="100"/>
        <v/>
      </c>
      <c r="M354" s="35" t="str">
        <f t="shared" si="101"/>
        <v/>
      </c>
      <c r="N354" s="36" t="str">
        <f t="shared" si="102"/>
        <v/>
      </c>
      <c r="O354" s="35" t="str">
        <f t="shared" si="103"/>
        <v/>
      </c>
      <c r="P354" s="35" t="str">
        <f t="shared" si="104"/>
        <v/>
      </c>
      <c r="Q354" s="35" t="str">
        <f t="shared" si="105"/>
        <v/>
      </c>
      <c r="R354" s="35" t="str">
        <f t="shared" si="106"/>
        <v/>
      </c>
      <c r="S354" s="33" t="str">
        <f t="shared" si="107"/>
        <v/>
      </c>
    </row>
    <row r="355" spans="1:19" x14ac:dyDescent="0.3">
      <c r="A355" s="33">
        <f>351</f>
        <v>351</v>
      </c>
      <c r="B355" s="34" t="str">
        <f t="shared" si="90"/>
        <v/>
      </c>
      <c r="C355" s="33" t="str">
        <f t="shared" si="91"/>
        <v/>
      </c>
      <c r="D355" s="33" t="str">
        <f t="shared" si="92"/>
        <v/>
      </c>
      <c r="E355" s="35" t="str">
        <f t="shared" si="93"/>
        <v/>
      </c>
      <c r="F355" s="35" t="str">
        <f t="shared" si="94"/>
        <v/>
      </c>
      <c r="G355" s="33" t="str">
        <f t="shared" si="95"/>
        <v/>
      </c>
      <c r="H355" s="35" t="str">
        <f t="shared" si="96"/>
        <v/>
      </c>
      <c r="I355" s="35" t="str">
        <f t="shared" si="97"/>
        <v/>
      </c>
      <c r="J355" s="35" t="str">
        <f t="shared" si="98"/>
        <v/>
      </c>
      <c r="K355" s="35" t="str">
        <f t="shared" si="99"/>
        <v/>
      </c>
      <c r="L355" s="35" t="str">
        <f t="shared" si="100"/>
        <v/>
      </c>
      <c r="M355" s="35" t="str">
        <f t="shared" si="101"/>
        <v/>
      </c>
      <c r="N355" s="36" t="str">
        <f t="shared" si="102"/>
        <v/>
      </c>
      <c r="O355" s="35" t="str">
        <f t="shared" si="103"/>
        <v/>
      </c>
      <c r="P355" s="35" t="str">
        <f t="shared" si="104"/>
        <v/>
      </c>
      <c r="Q355" s="35" t="str">
        <f t="shared" si="105"/>
        <v/>
      </c>
      <c r="R355" s="35" t="str">
        <f t="shared" si="106"/>
        <v/>
      </c>
      <c r="S355" s="33" t="str">
        <f t="shared" si="107"/>
        <v/>
      </c>
    </row>
    <row r="356" spans="1:19" x14ac:dyDescent="0.3">
      <c r="A356" s="33">
        <f>352</f>
        <v>352</v>
      </c>
      <c r="B356" s="34" t="str">
        <f t="shared" si="90"/>
        <v/>
      </c>
      <c r="C356" s="33" t="str">
        <f t="shared" si="91"/>
        <v/>
      </c>
      <c r="D356" s="33" t="str">
        <f t="shared" si="92"/>
        <v/>
      </c>
      <c r="E356" s="35" t="str">
        <f t="shared" si="93"/>
        <v/>
      </c>
      <c r="F356" s="35" t="str">
        <f t="shared" si="94"/>
        <v/>
      </c>
      <c r="G356" s="33" t="str">
        <f t="shared" si="95"/>
        <v/>
      </c>
      <c r="H356" s="35" t="str">
        <f t="shared" si="96"/>
        <v/>
      </c>
      <c r="I356" s="35" t="str">
        <f t="shared" si="97"/>
        <v/>
      </c>
      <c r="J356" s="35" t="str">
        <f t="shared" si="98"/>
        <v/>
      </c>
      <c r="K356" s="35" t="str">
        <f t="shared" si="99"/>
        <v/>
      </c>
      <c r="L356" s="35" t="str">
        <f t="shared" si="100"/>
        <v/>
      </c>
      <c r="M356" s="35" t="str">
        <f t="shared" si="101"/>
        <v/>
      </c>
      <c r="N356" s="36" t="str">
        <f t="shared" si="102"/>
        <v/>
      </c>
      <c r="O356" s="35" t="str">
        <f t="shared" si="103"/>
        <v/>
      </c>
      <c r="P356" s="35" t="str">
        <f t="shared" si="104"/>
        <v/>
      </c>
      <c r="Q356" s="35" t="str">
        <f t="shared" si="105"/>
        <v/>
      </c>
      <c r="R356" s="35" t="str">
        <f t="shared" si="106"/>
        <v/>
      </c>
      <c r="S356" s="33" t="str">
        <f t="shared" si="107"/>
        <v/>
      </c>
    </row>
    <row r="357" spans="1:19" x14ac:dyDescent="0.3">
      <c r="A357" s="33">
        <f>353</f>
        <v>353</v>
      </c>
      <c r="B357" s="34" t="str">
        <f t="shared" si="90"/>
        <v/>
      </c>
      <c r="C357" s="33" t="str">
        <f t="shared" si="91"/>
        <v/>
      </c>
      <c r="D357" s="33" t="str">
        <f t="shared" si="92"/>
        <v/>
      </c>
      <c r="E357" s="35" t="str">
        <f t="shared" si="93"/>
        <v/>
      </c>
      <c r="F357" s="35" t="str">
        <f t="shared" si="94"/>
        <v/>
      </c>
      <c r="G357" s="33" t="str">
        <f t="shared" si="95"/>
        <v/>
      </c>
      <c r="H357" s="35" t="str">
        <f t="shared" si="96"/>
        <v/>
      </c>
      <c r="I357" s="35" t="str">
        <f t="shared" si="97"/>
        <v/>
      </c>
      <c r="J357" s="35" t="str">
        <f t="shared" si="98"/>
        <v/>
      </c>
      <c r="K357" s="35" t="str">
        <f t="shared" si="99"/>
        <v/>
      </c>
      <c r="L357" s="35" t="str">
        <f t="shared" si="100"/>
        <v/>
      </c>
      <c r="M357" s="35" t="str">
        <f t="shared" si="101"/>
        <v/>
      </c>
      <c r="N357" s="36" t="str">
        <f t="shared" si="102"/>
        <v/>
      </c>
      <c r="O357" s="35" t="str">
        <f t="shared" si="103"/>
        <v/>
      </c>
      <c r="P357" s="35" t="str">
        <f t="shared" si="104"/>
        <v/>
      </c>
      <c r="Q357" s="35" t="str">
        <f t="shared" si="105"/>
        <v/>
      </c>
      <c r="R357" s="35" t="str">
        <f t="shared" si="106"/>
        <v/>
      </c>
      <c r="S357" s="33" t="str">
        <f t="shared" si="107"/>
        <v/>
      </c>
    </row>
    <row r="358" spans="1:19" x14ac:dyDescent="0.3">
      <c r="A358" s="33">
        <f>354</f>
        <v>354</v>
      </c>
      <c r="B358" s="34" t="str">
        <f t="shared" si="90"/>
        <v/>
      </c>
      <c r="C358" s="33" t="str">
        <f t="shared" si="91"/>
        <v/>
      </c>
      <c r="D358" s="33" t="str">
        <f t="shared" si="92"/>
        <v/>
      </c>
      <c r="E358" s="35" t="str">
        <f t="shared" si="93"/>
        <v/>
      </c>
      <c r="F358" s="35" t="str">
        <f t="shared" si="94"/>
        <v/>
      </c>
      <c r="G358" s="33" t="str">
        <f t="shared" si="95"/>
        <v/>
      </c>
      <c r="H358" s="35" t="str">
        <f t="shared" si="96"/>
        <v/>
      </c>
      <c r="I358" s="35" t="str">
        <f t="shared" si="97"/>
        <v/>
      </c>
      <c r="J358" s="35" t="str">
        <f t="shared" si="98"/>
        <v/>
      </c>
      <c r="K358" s="35" t="str">
        <f t="shared" si="99"/>
        <v/>
      </c>
      <c r="L358" s="35" t="str">
        <f t="shared" si="100"/>
        <v/>
      </c>
      <c r="M358" s="35" t="str">
        <f t="shared" si="101"/>
        <v/>
      </c>
      <c r="N358" s="36" t="str">
        <f t="shared" si="102"/>
        <v/>
      </c>
      <c r="O358" s="35" t="str">
        <f t="shared" si="103"/>
        <v/>
      </c>
      <c r="P358" s="35" t="str">
        <f t="shared" si="104"/>
        <v/>
      </c>
      <c r="Q358" s="35" t="str">
        <f t="shared" si="105"/>
        <v/>
      </c>
      <c r="R358" s="35" t="str">
        <f t="shared" si="106"/>
        <v/>
      </c>
      <c r="S358" s="33" t="str">
        <f t="shared" si="107"/>
        <v/>
      </c>
    </row>
    <row r="359" spans="1:19" x14ac:dyDescent="0.3">
      <c r="A359" s="33">
        <f>355</f>
        <v>355</v>
      </c>
      <c r="B359" s="34" t="str">
        <f t="shared" si="90"/>
        <v/>
      </c>
      <c r="C359" s="33" t="str">
        <f t="shared" si="91"/>
        <v/>
      </c>
      <c r="D359" s="33" t="str">
        <f t="shared" si="92"/>
        <v/>
      </c>
      <c r="E359" s="35" t="str">
        <f t="shared" si="93"/>
        <v/>
      </c>
      <c r="F359" s="35" t="str">
        <f t="shared" si="94"/>
        <v/>
      </c>
      <c r="G359" s="33" t="str">
        <f t="shared" si="95"/>
        <v/>
      </c>
      <c r="H359" s="35" t="str">
        <f t="shared" si="96"/>
        <v/>
      </c>
      <c r="I359" s="35" t="str">
        <f t="shared" si="97"/>
        <v/>
      </c>
      <c r="J359" s="35" t="str">
        <f t="shared" si="98"/>
        <v/>
      </c>
      <c r="K359" s="35" t="str">
        <f t="shared" si="99"/>
        <v/>
      </c>
      <c r="L359" s="35" t="str">
        <f t="shared" si="100"/>
        <v/>
      </c>
      <c r="M359" s="35" t="str">
        <f t="shared" si="101"/>
        <v/>
      </c>
      <c r="N359" s="36" t="str">
        <f t="shared" si="102"/>
        <v/>
      </c>
      <c r="O359" s="35" t="str">
        <f t="shared" si="103"/>
        <v/>
      </c>
      <c r="P359" s="35" t="str">
        <f t="shared" si="104"/>
        <v/>
      </c>
      <c r="Q359" s="35" t="str">
        <f t="shared" si="105"/>
        <v/>
      </c>
      <c r="R359" s="35" t="str">
        <f t="shared" si="106"/>
        <v/>
      </c>
      <c r="S359" s="33" t="str">
        <f t="shared" si="107"/>
        <v/>
      </c>
    </row>
    <row r="360" spans="1:19" x14ac:dyDescent="0.3">
      <c r="A360" s="33">
        <f>356</f>
        <v>356</v>
      </c>
      <c r="B360" s="34" t="str">
        <f t="shared" si="90"/>
        <v/>
      </c>
      <c r="C360" s="33" t="str">
        <f t="shared" si="91"/>
        <v/>
      </c>
      <c r="D360" s="33" t="str">
        <f t="shared" si="92"/>
        <v/>
      </c>
      <c r="E360" s="35" t="str">
        <f t="shared" si="93"/>
        <v/>
      </c>
      <c r="F360" s="35" t="str">
        <f t="shared" si="94"/>
        <v/>
      </c>
      <c r="G360" s="33" t="str">
        <f t="shared" si="95"/>
        <v/>
      </c>
      <c r="H360" s="35" t="str">
        <f t="shared" si="96"/>
        <v/>
      </c>
      <c r="I360" s="35" t="str">
        <f t="shared" si="97"/>
        <v/>
      </c>
      <c r="J360" s="35" t="str">
        <f t="shared" si="98"/>
        <v/>
      </c>
      <c r="K360" s="35" t="str">
        <f t="shared" si="99"/>
        <v/>
      </c>
      <c r="L360" s="35" t="str">
        <f t="shared" si="100"/>
        <v/>
      </c>
      <c r="M360" s="35" t="str">
        <f t="shared" si="101"/>
        <v/>
      </c>
      <c r="N360" s="36" t="str">
        <f t="shared" si="102"/>
        <v/>
      </c>
      <c r="O360" s="35" t="str">
        <f t="shared" si="103"/>
        <v/>
      </c>
      <c r="P360" s="35" t="str">
        <f t="shared" si="104"/>
        <v/>
      </c>
      <c r="Q360" s="35" t="str">
        <f t="shared" si="105"/>
        <v/>
      </c>
      <c r="R360" s="35" t="str">
        <f t="shared" si="106"/>
        <v/>
      </c>
      <c r="S360" s="33" t="str">
        <f t="shared" si="107"/>
        <v/>
      </c>
    </row>
    <row r="361" spans="1:19" x14ac:dyDescent="0.3">
      <c r="A361" s="33">
        <f>357</f>
        <v>357</v>
      </c>
      <c r="B361" s="34" t="str">
        <f t="shared" si="90"/>
        <v/>
      </c>
      <c r="C361" s="33" t="str">
        <f t="shared" si="91"/>
        <v/>
      </c>
      <c r="D361" s="33" t="str">
        <f t="shared" si="92"/>
        <v/>
      </c>
      <c r="E361" s="35" t="str">
        <f t="shared" si="93"/>
        <v/>
      </c>
      <c r="F361" s="35" t="str">
        <f t="shared" si="94"/>
        <v/>
      </c>
      <c r="G361" s="33" t="str">
        <f t="shared" si="95"/>
        <v/>
      </c>
      <c r="H361" s="35" t="str">
        <f t="shared" si="96"/>
        <v/>
      </c>
      <c r="I361" s="35" t="str">
        <f t="shared" si="97"/>
        <v/>
      </c>
      <c r="J361" s="35" t="str">
        <f t="shared" si="98"/>
        <v/>
      </c>
      <c r="K361" s="35" t="str">
        <f t="shared" si="99"/>
        <v/>
      </c>
      <c r="L361" s="35" t="str">
        <f t="shared" si="100"/>
        <v/>
      </c>
      <c r="M361" s="35" t="str">
        <f t="shared" si="101"/>
        <v/>
      </c>
      <c r="N361" s="36" t="str">
        <f t="shared" si="102"/>
        <v/>
      </c>
      <c r="O361" s="35" t="str">
        <f t="shared" si="103"/>
        <v/>
      </c>
      <c r="P361" s="35" t="str">
        <f t="shared" si="104"/>
        <v/>
      </c>
      <c r="Q361" s="35" t="str">
        <f t="shared" si="105"/>
        <v/>
      </c>
      <c r="R361" s="35" t="str">
        <f t="shared" si="106"/>
        <v/>
      </c>
      <c r="S361" s="33" t="str">
        <f t="shared" si="107"/>
        <v/>
      </c>
    </row>
    <row r="362" spans="1:19" x14ac:dyDescent="0.3">
      <c r="A362" s="33">
        <f>358</f>
        <v>358</v>
      </c>
      <c r="B362" s="34" t="str">
        <f t="shared" si="90"/>
        <v/>
      </c>
      <c r="C362" s="33" t="str">
        <f t="shared" si="91"/>
        <v/>
      </c>
      <c r="D362" s="33" t="str">
        <f t="shared" si="92"/>
        <v/>
      </c>
      <c r="E362" s="35" t="str">
        <f t="shared" si="93"/>
        <v/>
      </c>
      <c r="F362" s="35" t="str">
        <f t="shared" si="94"/>
        <v/>
      </c>
      <c r="G362" s="33" t="str">
        <f t="shared" si="95"/>
        <v/>
      </c>
      <c r="H362" s="35" t="str">
        <f t="shared" si="96"/>
        <v/>
      </c>
      <c r="I362" s="35" t="str">
        <f t="shared" si="97"/>
        <v/>
      </c>
      <c r="J362" s="35" t="str">
        <f t="shared" si="98"/>
        <v/>
      </c>
      <c r="K362" s="35" t="str">
        <f t="shared" si="99"/>
        <v/>
      </c>
      <c r="L362" s="35" t="str">
        <f t="shared" si="100"/>
        <v/>
      </c>
      <c r="M362" s="35" t="str">
        <f t="shared" si="101"/>
        <v/>
      </c>
      <c r="N362" s="36" t="str">
        <f t="shared" si="102"/>
        <v/>
      </c>
      <c r="O362" s="35" t="str">
        <f t="shared" si="103"/>
        <v/>
      </c>
      <c r="P362" s="35" t="str">
        <f t="shared" si="104"/>
        <v/>
      </c>
      <c r="Q362" s="35" t="str">
        <f t="shared" si="105"/>
        <v/>
      </c>
      <c r="R362" s="35" t="str">
        <f t="shared" si="106"/>
        <v/>
      </c>
      <c r="S362" s="33" t="str">
        <f t="shared" si="107"/>
        <v/>
      </c>
    </row>
    <row r="363" spans="1:19" x14ac:dyDescent="0.3">
      <c r="A363" s="33">
        <f>359</f>
        <v>359</v>
      </c>
      <c r="B363" s="34" t="str">
        <f t="shared" si="90"/>
        <v/>
      </c>
      <c r="C363" s="33" t="str">
        <f t="shared" si="91"/>
        <v/>
      </c>
      <c r="D363" s="33" t="str">
        <f t="shared" si="92"/>
        <v/>
      </c>
      <c r="E363" s="35" t="str">
        <f t="shared" si="93"/>
        <v/>
      </c>
      <c r="F363" s="35" t="str">
        <f t="shared" si="94"/>
        <v/>
      </c>
      <c r="G363" s="33" t="str">
        <f t="shared" si="95"/>
        <v/>
      </c>
      <c r="H363" s="35" t="str">
        <f t="shared" si="96"/>
        <v/>
      </c>
      <c r="I363" s="35" t="str">
        <f t="shared" si="97"/>
        <v/>
      </c>
      <c r="J363" s="35" t="str">
        <f t="shared" si="98"/>
        <v/>
      </c>
      <c r="K363" s="35" t="str">
        <f t="shared" si="99"/>
        <v/>
      </c>
      <c r="L363" s="35" t="str">
        <f t="shared" si="100"/>
        <v/>
      </c>
      <c r="M363" s="35" t="str">
        <f t="shared" si="101"/>
        <v/>
      </c>
      <c r="N363" s="36" t="str">
        <f t="shared" si="102"/>
        <v/>
      </c>
      <c r="O363" s="35" t="str">
        <f t="shared" si="103"/>
        <v/>
      </c>
      <c r="P363" s="35" t="str">
        <f t="shared" si="104"/>
        <v/>
      </c>
      <c r="Q363" s="35" t="str">
        <f t="shared" si="105"/>
        <v/>
      </c>
      <c r="R363" s="35" t="str">
        <f t="shared" si="106"/>
        <v/>
      </c>
      <c r="S363" s="33" t="str">
        <f t="shared" si="107"/>
        <v/>
      </c>
    </row>
    <row r="364" spans="1:19" x14ac:dyDescent="0.3">
      <c r="A364" s="37">
        <f>360</f>
        <v>360</v>
      </c>
      <c r="B364" s="38" t="str">
        <f t="shared" si="90"/>
        <v/>
      </c>
      <c r="C364" s="37" t="str">
        <f t="shared" si="91"/>
        <v/>
      </c>
      <c r="D364" s="37" t="str">
        <f t="shared" si="92"/>
        <v/>
      </c>
      <c r="E364" s="39" t="str">
        <f t="shared" si="93"/>
        <v/>
      </c>
      <c r="F364" s="39" t="str">
        <f t="shared" si="94"/>
        <v/>
      </c>
      <c r="G364" s="37" t="str">
        <f t="shared" si="95"/>
        <v/>
      </c>
      <c r="H364" s="39" t="str">
        <f t="shared" si="96"/>
        <v/>
      </c>
      <c r="I364" s="39" t="str">
        <f t="shared" si="97"/>
        <v/>
      </c>
      <c r="J364" s="39" t="str">
        <f t="shared" si="98"/>
        <v/>
      </c>
      <c r="K364" s="39" t="str">
        <f t="shared" si="99"/>
        <v/>
      </c>
      <c r="L364" s="39" t="str">
        <f t="shared" si="100"/>
        <v/>
      </c>
      <c r="M364" s="39" t="str">
        <f t="shared" si="101"/>
        <v/>
      </c>
      <c r="N364" s="40" t="str">
        <f t="shared" si="102"/>
        <v/>
      </c>
      <c r="O364" s="39" t="str">
        <f t="shared" si="103"/>
        <v/>
      </c>
      <c r="P364" s="39" t="str">
        <f t="shared" si="104"/>
        <v/>
      </c>
      <c r="Q364" s="39" t="str">
        <f t="shared" si="105"/>
        <v/>
      </c>
      <c r="R364" s="39" t="str">
        <f t="shared" si="106"/>
        <v/>
      </c>
      <c r="S364" s="37" t="str">
        <f t="shared" si="107"/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364"/>
  <sheetViews>
    <sheetView showGridLines="0" workbookViewId="0">
      <pane ySplit="4" topLeftCell="A5" activePane="bottomLeft" state="frozen"/>
      <selection pane="bottomLeft"/>
    </sheetView>
  </sheetViews>
  <sheetFormatPr defaultRowHeight="14.4" x14ac:dyDescent="0.3"/>
  <cols>
    <col min="1" max="1" width="8" customWidth="1"/>
    <col min="2" max="2" width="11" customWidth="1"/>
    <col min="3" max="3" width="5" customWidth="1"/>
    <col min="4" max="4" width="8" customWidth="1"/>
    <col min="5" max="5" width="14" customWidth="1"/>
    <col min="6" max="6" width="16" customWidth="1"/>
    <col min="7" max="7" width="7" customWidth="1"/>
    <col min="8" max="8" width="16" customWidth="1"/>
    <col min="9" max="9" width="13" customWidth="1"/>
    <col min="10" max="13" width="15" customWidth="1"/>
    <col min="14" max="14" width="10" customWidth="1"/>
    <col min="15" max="17" width="14" customWidth="1"/>
    <col min="18" max="18" width="17" customWidth="1"/>
    <col min="19" max="19" width="12" customWidth="1"/>
  </cols>
  <sheetData>
    <row r="1" spans="1:19" ht="18" x14ac:dyDescent="0.35">
      <c r="A1" s="1" t="s">
        <v>94</v>
      </c>
    </row>
    <row r="2" spans="1:19" x14ac:dyDescent="0.3">
      <c r="A2" s="5" t="s">
        <v>78</v>
      </c>
      <c r="B2" s="32">
        <f>RateC</f>
        <v>0.1</v>
      </c>
      <c r="D2" s="2" t="s">
        <v>79</v>
      </c>
    </row>
    <row r="4" spans="1:19" ht="28.8" x14ac:dyDescent="0.3">
      <c r="A4" s="18" t="s">
        <v>80</v>
      </c>
      <c r="B4" s="18" t="s">
        <v>81</v>
      </c>
      <c r="C4" s="18" t="s">
        <v>82</v>
      </c>
      <c r="D4" s="18" t="s">
        <v>83</v>
      </c>
      <c r="E4" s="18" t="s">
        <v>63</v>
      </c>
      <c r="F4" s="18" t="s">
        <v>64</v>
      </c>
      <c r="G4" s="18" t="s">
        <v>84</v>
      </c>
      <c r="H4" s="18" t="s">
        <v>68</v>
      </c>
      <c r="I4" s="18" t="s">
        <v>85</v>
      </c>
      <c r="J4" s="18" t="s">
        <v>86</v>
      </c>
      <c r="K4" s="18" t="s">
        <v>87</v>
      </c>
      <c r="L4" s="18" t="s">
        <v>88</v>
      </c>
      <c r="M4" s="18" t="s">
        <v>89</v>
      </c>
      <c r="N4" s="18" t="s">
        <v>90</v>
      </c>
      <c r="O4" s="18" t="s">
        <v>30</v>
      </c>
      <c r="P4" s="18" t="s">
        <v>91</v>
      </c>
      <c r="Q4" s="18" t="s">
        <v>71</v>
      </c>
      <c r="R4" s="18" t="s">
        <v>73</v>
      </c>
      <c r="S4" s="18" t="s">
        <v>92</v>
      </c>
    </row>
    <row r="5" spans="1:19" x14ac:dyDescent="0.3">
      <c r="A5" s="33">
        <f>1</f>
        <v>1</v>
      </c>
      <c r="B5" s="34">
        <f t="shared" ref="B5:B68" si="0">IF($A5&gt;NYears*12,"",EDATE(StartMonth,$A5-1))</f>
        <v>46388</v>
      </c>
      <c r="C5" s="33">
        <f t="shared" ref="C5:C68" si="1">IF($A5&gt;NYears*12,"",INT(($A5-1)/12)+1)</f>
        <v>1</v>
      </c>
      <c r="D5" s="33">
        <f t="shared" ref="D5:D68" si="2">IF($A5&gt;NYears*12,"",MOD($A5-1,12)+1)</f>
        <v>1</v>
      </c>
      <c r="E5" s="35">
        <f t="shared" ref="E5:E68" si="3">IF($A5&gt;NYears*12,"",LotValue0*(1+LotGrowth)^($C5-1))</f>
        <v>83333</v>
      </c>
      <c r="F5" s="35">
        <f t="shared" ref="F5:F68" si="4">IF($A5&gt;NYears*12,"",IF($A5=1,InitInvest,$R4))</f>
        <v>5000000</v>
      </c>
      <c r="G5" s="33">
        <f t="shared" ref="G5:G68" si="5">IF($A5&gt;NYears*12,"",INT($F5/$E5))</f>
        <v>60</v>
      </c>
      <c r="H5" s="35">
        <f t="shared" ref="H5:H68" si="6">IF($A5&gt;NYears*12,"",$G5*$E5)</f>
        <v>4999980</v>
      </c>
      <c r="I5" s="35">
        <f t="shared" ref="I5:I68" si="7">IF($A5&gt;NYears*12,"",$F5-$H5)</f>
        <v>20</v>
      </c>
      <c r="J5" s="35">
        <f t="shared" ref="J5:J68" si="8">IF($A5&gt;NYears*12,"",$H5*RateC)</f>
        <v>499998</v>
      </c>
      <c r="K5" s="35">
        <f t="shared" ref="K5:K68" si="9">IF($A5&gt;NYears*12,"",IF($D5=1,$J5,$K4+$J5))</f>
        <v>499998</v>
      </c>
      <c r="L5" s="35">
        <f t="shared" ref="L5:L68" si="10">IF($A5&gt;NYears*12,"",IF(MOD($D5,3)=0,SUM($J3:$J5),0))</f>
        <v>0</v>
      </c>
      <c r="M5" s="35">
        <f t="shared" ref="M5:M68" si="11">IF($A5&gt;NYears*12,"",IF(TaxFreq="Quarterly",$K5*12/$D5,$K5))</f>
        <v>5999976</v>
      </c>
      <c r="N5" s="36">
        <f t="shared" ref="N5:N68" si="12">IF($A5&gt;NYears*12,"",LOOKUP($M5,TaxLower,TaxRate))</f>
        <v>0.34320000000000001</v>
      </c>
      <c r="O5" s="35">
        <f t="shared" ref="O5:O68" si="13">IF($A5&gt;NYears*12,"",IF(TaxFreq="Quarterly",IF(MOD($D5,3)=0,$L5*$N5,0),IF($D5=12,$K5*$N5,0)))</f>
        <v>0</v>
      </c>
      <c r="P5" s="35">
        <f t="shared" ref="P5:P68" si="14">IF($A5&gt;NYears*12,"",IF($D5=1,$O5,$P4+$O5))</f>
        <v>0</v>
      </c>
      <c r="Q5" s="35">
        <f t="shared" ref="Q5:Q68" si="15">IF($A5&gt;NYears*12,"",IF($D5=12,MIN(WdrPct*IF(WdrBase="Post-tax profit",$K5-$P5,$K5),WdrCap),0))</f>
        <v>0</v>
      </c>
      <c r="R5" s="35">
        <f t="shared" ref="R5:R68" si="16">IF($A5&gt;NYears*12,"",$F5+$J5-$O5-$Q5)</f>
        <v>5499998</v>
      </c>
      <c r="S5" s="33">
        <f t="shared" ref="S5:S68" si="17">IF($A5&gt;NYears*12,"",INT($R5/$E5))</f>
        <v>66</v>
      </c>
    </row>
    <row r="6" spans="1:19" x14ac:dyDescent="0.3">
      <c r="A6" s="33">
        <f>2</f>
        <v>2</v>
      </c>
      <c r="B6" s="34">
        <f t="shared" si="0"/>
        <v>46419</v>
      </c>
      <c r="C6" s="33">
        <f t="shared" si="1"/>
        <v>1</v>
      </c>
      <c r="D6" s="33">
        <f t="shared" si="2"/>
        <v>2</v>
      </c>
      <c r="E6" s="35">
        <f t="shared" si="3"/>
        <v>83333</v>
      </c>
      <c r="F6" s="35">
        <f t="shared" si="4"/>
        <v>5499998</v>
      </c>
      <c r="G6" s="33">
        <f t="shared" si="5"/>
        <v>66</v>
      </c>
      <c r="H6" s="35">
        <f t="shared" si="6"/>
        <v>5499978</v>
      </c>
      <c r="I6" s="35">
        <f t="shared" si="7"/>
        <v>20</v>
      </c>
      <c r="J6" s="35">
        <f t="shared" si="8"/>
        <v>549997.80000000005</v>
      </c>
      <c r="K6" s="35">
        <f t="shared" si="9"/>
        <v>1049995.8</v>
      </c>
      <c r="L6" s="35">
        <f t="shared" si="10"/>
        <v>0</v>
      </c>
      <c r="M6" s="35">
        <f t="shared" si="11"/>
        <v>6299974.8000000007</v>
      </c>
      <c r="N6" s="36">
        <f t="shared" si="12"/>
        <v>0.34320000000000001</v>
      </c>
      <c r="O6" s="35">
        <f t="shared" si="13"/>
        <v>0</v>
      </c>
      <c r="P6" s="35">
        <f t="shared" si="14"/>
        <v>0</v>
      </c>
      <c r="Q6" s="35">
        <f t="shared" si="15"/>
        <v>0</v>
      </c>
      <c r="R6" s="35">
        <f t="shared" si="16"/>
        <v>6049995.7999999998</v>
      </c>
      <c r="S6" s="33">
        <f t="shared" si="17"/>
        <v>72</v>
      </c>
    </row>
    <row r="7" spans="1:19" x14ac:dyDescent="0.3">
      <c r="A7" s="33">
        <f>3</f>
        <v>3</v>
      </c>
      <c r="B7" s="34">
        <f t="shared" si="0"/>
        <v>46447</v>
      </c>
      <c r="C7" s="33">
        <f t="shared" si="1"/>
        <v>1</v>
      </c>
      <c r="D7" s="33">
        <f t="shared" si="2"/>
        <v>3</v>
      </c>
      <c r="E7" s="35">
        <f t="shared" si="3"/>
        <v>83333</v>
      </c>
      <c r="F7" s="35">
        <f t="shared" si="4"/>
        <v>6049995.7999999998</v>
      </c>
      <c r="G7" s="33">
        <f t="shared" si="5"/>
        <v>72</v>
      </c>
      <c r="H7" s="35">
        <f t="shared" si="6"/>
        <v>5999976</v>
      </c>
      <c r="I7" s="35">
        <f t="shared" si="7"/>
        <v>50019.799999999814</v>
      </c>
      <c r="J7" s="35">
        <f t="shared" si="8"/>
        <v>599997.6</v>
      </c>
      <c r="K7" s="35">
        <f t="shared" si="9"/>
        <v>1649993.4</v>
      </c>
      <c r="L7" s="35">
        <f t="shared" si="10"/>
        <v>1649993.4</v>
      </c>
      <c r="M7" s="35">
        <f t="shared" si="11"/>
        <v>6599973.5999999987</v>
      </c>
      <c r="N7" s="36">
        <f t="shared" si="12"/>
        <v>0.34320000000000001</v>
      </c>
      <c r="O7" s="35">
        <f t="shared" si="13"/>
        <v>566277.73488</v>
      </c>
      <c r="P7" s="35">
        <f t="shared" si="14"/>
        <v>566277.73488</v>
      </c>
      <c r="Q7" s="35">
        <f t="shared" si="15"/>
        <v>0</v>
      </c>
      <c r="R7" s="35">
        <f t="shared" si="16"/>
        <v>6083715.6651199991</v>
      </c>
      <c r="S7" s="33">
        <f t="shared" si="17"/>
        <v>73</v>
      </c>
    </row>
    <row r="8" spans="1:19" x14ac:dyDescent="0.3">
      <c r="A8" s="33">
        <f>4</f>
        <v>4</v>
      </c>
      <c r="B8" s="34">
        <f t="shared" si="0"/>
        <v>46478</v>
      </c>
      <c r="C8" s="33">
        <f t="shared" si="1"/>
        <v>1</v>
      </c>
      <c r="D8" s="33">
        <f t="shared" si="2"/>
        <v>4</v>
      </c>
      <c r="E8" s="35">
        <f t="shared" si="3"/>
        <v>83333</v>
      </c>
      <c r="F8" s="35">
        <f t="shared" si="4"/>
        <v>6083715.6651199991</v>
      </c>
      <c r="G8" s="33">
        <f t="shared" si="5"/>
        <v>73</v>
      </c>
      <c r="H8" s="35">
        <f t="shared" si="6"/>
        <v>6083309</v>
      </c>
      <c r="I8" s="35">
        <f t="shared" si="7"/>
        <v>406.66511999908835</v>
      </c>
      <c r="J8" s="35">
        <f t="shared" si="8"/>
        <v>608330.9</v>
      </c>
      <c r="K8" s="35">
        <f t="shared" si="9"/>
        <v>2258324.2999999998</v>
      </c>
      <c r="L8" s="35">
        <f t="shared" si="10"/>
        <v>0</v>
      </c>
      <c r="M8" s="35">
        <f t="shared" si="11"/>
        <v>6774972.8999999994</v>
      </c>
      <c r="N8" s="36">
        <f t="shared" si="12"/>
        <v>0.34320000000000001</v>
      </c>
      <c r="O8" s="35">
        <f t="shared" si="13"/>
        <v>0</v>
      </c>
      <c r="P8" s="35">
        <f t="shared" si="14"/>
        <v>566277.73488</v>
      </c>
      <c r="Q8" s="35">
        <f t="shared" si="15"/>
        <v>0</v>
      </c>
      <c r="R8" s="35">
        <f t="shared" si="16"/>
        <v>6692046.5651199995</v>
      </c>
      <c r="S8" s="33">
        <f t="shared" si="17"/>
        <v>80</v>
      </c>
    </row>
    <row r="9" spans="1:19" x14ac:dyDescent="0.3">
      <c r="A9" s="33">
        <f>5</f>
        <v>5</v>
      </c>
      <c r="B9" s="34">
        <f t="shared" si="0"/>
        <v>46508</v>
      </c>
      <c r="C9" s="33">
        <f t="shared" si="1"/>
        <v>1</v>
      </c>
      <c r="D9" s="33">
        <f t="shared" si="2"/>
        <v>5</v>
      </c>
      <c r="E9" s="35">
        <f t="shared" si="3"/>
        <v>83333</v>
      </c>
      <c r="F9" s="35">
        <f t="shared" si="4"/>
        <v>6692046.5651199995</v>
      </c>
      <c r="G9" s="33">
        <f t="shared" si="5"/>
        <v>80</v>
      </c>
      <c r="H9" s="35">
        <f t="shared" si="6"/>
        <v>6666640</v>
      </c>
      <c r="I9" s="35">
        <f t="shared" si="7"/>
        <v>25406.565119999461</v>
      </c>
      <c r="J9" s="35">
        <f t="shared" si="8"/>
        <v>666664</v>
      </c>
      <c r="K9" s="35">
        <f t="shared" si="9"/>
        <v>2924988.3</v>
      </c>
      <c r="L9" s="35">
        <f t="shared" si="10"/>
        <v>0</v>
      </c>
      <c r="M9" s="35">
        <f t="shared" si="11"/>
        <v>7019971.919999999</v>
      </c>
      <c r="N9" s="36">
        <f t="shared" si="12"/>
        <v>0.34320000000000001</v>
      </c>
      <c r="O9" s="35">
        <f t="shared" si="13"/>
        <v>0</v>
      </c>
      <c r="P9" s="35">
        <f t="shared" si="14"/>
        <v>566277.73488</v>
      </c>
      <c r="Q9" s="35">
        <f t="shared" si="15"/>
        <v>0</v>
      </c>
      <c r="R9" s="35">
        <f t="shared" si="16"/>
        <v>7358710.5651199995</v>
      </c>
      <c r="S9" s="33">
        <f t="shared" si="17"/>
        <v>88</v>
      </c>
    </row>
    <row r="10" spans="1:19" x14ac:dyDescent="0.3">
      <c r="A10" s="33">
        <f>6</f>
        <v>6</v>
      </c>
      <c r="B10" s="34">
        <f t="shared" si="0"/>
        <v>46539</v>
      </c>
      <c r="C10" s="33">
        <f t="shared" si="1"/>
        <v>1</v>
      </c>
      <c r="D10" s="33">
        <f t="shared" si="2"/>
        <v>6</v>
      </c>
      <c r="E10" s="35">
        <f t="shared" si="3"/>
        <v>83333</v>
      </c>
      <c r="F10" s="35">
        <f t="shared" si="4"/>
        <v>7358710.5651199995</v>
      </c>
      <c r="G10" s="33">
        <f t="shared" si="5"/>
        <v>88</v>
      </c>
      <c r="H10" s="35">
        <f t="shared" si="6"/>
        <v>7333304</v>
      </c>
      <c r="I10" s="35">
        <f t="shared" si="7"/>
        <v>25406.565119999461</v>
      </c>
      <c r="J10" s="35">
        <f t="shared" si="8"/>
        <v>733330.4</v>
      </c>
      <c r="K10" s="35">
        <f t="shared" si="9"/>
        <v>3658318.6999999997</v>
      </c>
      <c r="L10" s="35">
        <f t="shared" si="10"/>
        <v>2008325.2999999998</v>
      </c>
      <c r="M10" s="35">
        <f t="shared" si="11"/>
        <v>7316637.3999999994</v>
      </c>
      <c r="N10" s="36">
        <f t="shared" si="12"/>
        <v>0.34320000000000001</v>
      </c>
      <c r="O10" s="35">
        <f t="shared" si="13"/>
        <v>689257.24295999995</v>
      </c>
      <c r="P10" s="35">
        <f t="shared" si="14"/>
        <v>1255534.9778399998</v>
      </c>
      <c r="Q10" s="35">
        <f t="shared" si="15"/>
        <v>0</v>
      </c>
      <c r="R10" s="35">
        <f t="shared" si="16"/>
        <v>7402783.7221600004</v>
      </c>
      <c r="S10" s="33">
        <f t="shared" si="17"/>
        <v>88</v>
      </c>
    </row>
    <row r="11" spans="1:19" x14ac:dyDescent="0.3">
      <c r="A11" s="33">
        <f>7</f>
        <v>7</v>
      </c>
      <c r="B11" s="34">
        <f t="shared" si="0"/>
        <v>46569</v>
      </c>
      <c r="C11" s="33">
        <f t="shared" si="1"/>
        <v>1</v>
      </c>
      <c r="D11" s="33">
        <f t="shared" si="2"/>
        <v>7</v>
      </c>
      <c r="E11" s="35">
        <f t="shared" si="3"/>
        <v>83333</v>
      </c>
      <c r="F11" s="35">
        <f t="shared" si="4"/>
        <v>7402783.7221600004</v>
      </c>
      <c r="G11" s="33">
        <f t="shared" si="5"/>
        <v>88</v>
      </c>
      <c r="H11" s="35">
        <f t="shared" si="6"/>
        <v>7333304</v>
      </c>
      <c r="I11" s="35">
        <f t="shared" si="7"/>
        <v>69479.722160000354</v>
      </c>
      <c r="J11" s="35">
        <f t="shared" si="8"/>
        <v>733330.4</v>
      </c>
      <c r="K11" s="35">
        <f t="shared" si="9"/>
        <v>4391649.0999999996</v>
      </c>
      <c r="L11" s="35">
        <f t="shared" si="10"/>
        <v>0</v>
      </c>
      <c r="M11" s="35">
        <f t="shared" si="11"/>
        <v>7528541.3142857132</v>
      </c>
      <c r="N11" s="36">
        <f t="shared" si="12"/>
        <v>0.34320000000000001</v>
      </c>
      <c r="O11" s="35">
        <f t="shared" si="13"/>
        <v>0</v>
      </c>
      <c r="P11" s="35">
        <f t="shared" si="14"/>
        <v>1255534.9778399998</v>
      </c>
      <c r="Q11" s="35">
        <f t="shared" si="15"/>
        <v>0</v>
      </c>
      <c r="R11" s="35">
        <f t="shared" si="16"/>
        <v>8136114.1221600007</v>
      </c>
      <c r="S11" s="33">
        <f t="shared" si="17"/>
        <v>97</v>
      </c>
    </row>
    <row r="12" spans="1:19" x14ac:dyDescent="0.3">
      <c r="A12" s="33">
        <f>8</f>
        <v>8</v>
      </c>
      <c r="B12" s="34">
        <f t="shared" si="0"/>
        <v>46600</v>
      </c>
      <c r="C12" s="33">
        <f t="shared" si="1"/>
        <v>1</v>
      </c>
      <c r="D12" s="33">
        <f t="shared" si="2"/>
        <v>8</v>
      </c>
      <c r="E12" s="35">
        <f t="shared" si="3"/>
        <v>83333</v>
      </c>
      <c r="F12" s="35">
        <f t="shared" si="4"/>
        <v>8136114.1221600007</v>
      </c>
      <c r="G12" s="33">
        <f t="shared" si="5"/>
        <v>97</v>
      </c>
      <c r="H12" s="35">
        <f t="shared" si="6"/>
        <v>8083301</v>
      </c>
      <c r="I12" s="35">
        <f t="shared" si="7"/>
        <v>52813.122160000727</v>
      </c>
      <c r="J12" s="35">
        <f t="shared" si="8"/>
        <v>808330.10000000009</v>
      </c>
      <c r="K12" s="35">
        <f t="shared" si="9"/>
        <v>5199979.1999999993</v>
      </c>
      <c r="L12" s="35">
        <f t="shared" si="10"/>
        <v>0</v>
      </c>
      <c r="M12" s="35">
        <f t="shared" si="11"/>
        <v>7799968.7999999989</v>
      </c>
      <c r="N12" s="36">
        <f t="shared" si="12"/>
        <v>0.34320000000000001</v>
      </c>
      <c r="O12" s="35">
        <f t="shared" si="13"/>
        <v>0</v>
      </c>
      <c r="P12" s="35">
        <f t="shared" si="14"/>
        <v>1255534.9778399998</v>
      </c>
      <c r="Q12" s="35">
        <f t="shared" si="15"/>
        <v>0</v>
      </c>
      <c r="R12" s="35">
        <f t="shared" si="16"/>
        <v>8944444.2221600004</v>
      </c>
      <c r="S12" s="33">
        <f t="shared" si="17"/>
        <v>107</v>
      </c>
    </row>
    <row r="13" spans="1:19" x14ac:dyDescent="0.3">
      <c r="A13" s="33">
        <f>9</f>
        <v>9</v>
      </c>
      <c r="B13" s="34">
        <f t="shared" si="0"/>
        <v>46631</v>
      </c>
      <c r="C13" s="33">
        <f t="shared" si="1"/>
        <v>1</v>
      </c>
      <c r="D13" s="33">
        <f t="shared" si="2"/>
        <v>9</v>
      </c>
      <c r="E13" s="35">
        <f t="shared" si="3"/>
        <v>83333</v>
      </c>
      <c r="F13" s="35">
        <f t="shared" si="4"/>
        <v>8944444.2221600004</v>
      </c>
      <c r="G13" s="33">
        <f t="shared" si="5"/>
        <v>107</v>
      </c>
      <c r="H13" s="35">
        <f t="shared" si="6"/>
        <v>8916631</v>
      </c>
      <c r="I13" s="35">
        <f t="shared" si="7"/>
        <v>27813.222160000354</v>
      </c>
      <c r="J13" s="35">
        <f t="shared" si="8"/>
        <v>891663.10000000009</v>
      </c>
      <c r="K13" s="35">
        <f t="shared" si="9"/>
        <v>6091642.2999999989</v>
      </c>
      <c r="L13" s="35">
        <f t="shared" si="10"/>
        <v>2433323.6</v>
      </c>
      <c r="M13" s="35">
        <f t="shared" si="11"/>
        <v>8122189.7333333325</v>
      </c>
      <c r="N13" s="36">
        <f t="shared" si="12"/>
        <v>0.34320000000000001</v>
      </c>
      <c r="O13" s="35">
        <f t="shared" si="13"/>
        <v>835116.65951999999</v>
      </c>
      <c r="P13" s="35">
        <f t="shared" si="14"/>
        <v>2090651.6373599998</v>
      </c>
      <c r="Q13" s="35">
        <f t="shared" si="15"/>
        <v>0</v>
      </c>
      <c r="R13" s="35">
        <f t="shared" si="16"/>
        <v>9000990.6626399998</v>
      </c>
      <c r="S13" s="33">
        <f t="shared" si="17"/>
        <v>108</v>
      </c>
    </row>
    <row r="14" spans="1:19" x14ac:dyDescent="0.3">
      <c r="A14" s="33">
        <f>10</f>
        <v>10</v>
      </c>
      <c r="B14" s="34">
        <f t="shared" si="0"/>
        <v>46661</v>
      </c>
      <c r="C14" s="33">
        <f t="shared" si="1"/>
        <v>1</v>
      </c>
      <c r="D14" s="33">
        <f t="shared" si="2"/>
        <v>10</v>
      </c>
      <c r="E14" s="35">
        <f t="shared" si="3"/>
        <v>83333</v>
      </c>
      <c r="F14" s="35">
        <f t="shared" si="4"/>
        <v>9000990.6626399998</v>
      </c>
      <c r="G14" s="33">
        <f t="shared" si="5"/>
        <v>108</v>
      </c>
      <c r="H14" s="35">
        <f t="shared" si="6"/>
        <v>8999964</v>
      </c>
      <c r="I14" s="35">
        <f t="shared" si="7"/>
        <v>1026.6626399997622</v>
      </c>
      <c r="J14" s="35">
        <f t="shared" si="8"/>
        <v>899996.4</v>
      </c>
      <c r="K14" s="35">
        <f t="shared" si="9"/>
        <v>6991638.6999999993</v>
      </c>
      <c r="L14" s="35">
        <f t="shared" si="10"/>
        <v>0</v>
      </c>
      <c r="M14" s="35">
        <f t="shared" si="11"/>
        <v>8389966.4399999995</v>
      </c>
      <c r="N14" s="36">
        <f t="shared" si="12"/>
        <v>0.34320000000000001</v>
      </c>
      <c r="O14" s="35">
        <f t="shared" si="13"/>
        <v>0</v>
      </c>
      <c r="P14" s="35">
        <f t="shared" si="14"/>
        <v>2090651.6373599998</v>
      </c>
      <c r="Q14" s="35">
        <f t="shared" si="15"/>
        <v>0</v>
      </c>
      <c r="R14" s="35">
        <f t="shared" si="16"/>
        <v>9900987.0626400001</v>
      </c>
      <c r="S14" s="33">
        <f t="shared" si="17"/>
        <v>118</v>
      </c>
    </row>
    <row r="15" spans="1:19" x14ac:dyDescent="0.3">
      <c r="A15" s="33">
        <f>11</f>
        <v>11</v>
      </c>
      <c r="B15" s="34">
        <f t="shared" si="0"/>
        <v>46692</v>
      </c>
      <c r="C15" s="33">
        <f t="shared" si="1"/>
        <v>1</v>
      </c>
      <c r="D15" s="33">
        <f t="shared" si="2"/>
        <v>11</v>
      </c>
      <c r="E15" s="35">
        <f t="shared" si="3"/>
        <v>83333</v>
      </c>
      <c r="F15" s="35">
        <f t="shared" si="4"/>
        <v>9900987.0626400001</v>
      </c>
      <c r="G15" s="33">
        <f t="shared" si="5"/>
        <v>118</v>
      </c>
      <c r="H15" s="35">
        <f t="shared" si="6"/>
        <v>9833294</v>
      </c>
      <c r="I15" s="35">
        <f t="shared" si="7"/>
        <v>67693.062640000135</v>
      </c>
      <c r="J15" s="35">
        <f t="shared" si="8"/>
        <v>983329.4</v>
      </c>
      <c r="K15" s="35">
        <f t="shared" si="9"/>
        <v>7974968.0999999996</v>
      </c>
      <c r="L15" s="35">
        <f t="shared" si="10"/>
        <v>0</v>
      </c>
      <c r="M15" s="35">
        <f t="shared" si="11"/>
        <v>8699965.1999999993</v>
      </c>
      <c r="N15" s="36">
        <f t="shared" si="12"/>
        <v>0.34320000000000001</v>
      </c>
      <c r="O15" s="35">
        <f t="shared" si="13"/>
        <v>0</v>
      </c>
      <c r="P15" s="35">
        <f t="shared" si="14"/>
        <v>2090651.6373599998</v>
      </c>
      <c r="Q15" s="35">
        <f t="shared" si="15"/>
        <v>0</v>
      </c>
      <c r="R15" s="35">
        <f t="shared" si="16"/>
        <v>10884316.462640001</v>
      </c>
      <c r="S15" s="33">
        <f t="shared" si="17"/>
        <v>130</v>
      </c>
    </row>
    <row r="16" spans="1:19" x14ac:dyDescent="0.3">
      <c r="A16" s="37">
        <f>12</f>
        <v>12</v>
      </c>
      <c r="B16" s="38">
        <f t="shared" si="0"/>
        <v>46722</v>
      </c>
      <c r="C16" s="37">
        <f t="shared" si="1"/>
        <v>1</v>
      </c>
      <c r="D16" s="37">
        <f t="shared" si="2"/>
        <v>12</v>
      </c>
      <c r="E16" s="39">
        <f t="shared" si="3"/>
        <v>83333</v>
      </c>
      <c r="F16" s="39">
        <f t="shared" si="4"/>
        <v>10884316.462640001</v>
      </c>
      <c r="G16" s="37">
        <f t="shared" si="5"/>
        <v>130</v>
      </c>
      <c r="H16" s="39">
        <f t="shared" si="6"/>
        <v>10833290</v>
      </c>
      <c r="I16" s="39">
        <f t="shared" si="7"/>
        <v>51026.462640000507</v>
      </c>
      <c r="J16" s="39">
        <f t="shared" si="8"/>
        <v>1083329</v>
      </c>
      <c r="K16" s="39">
        <f t="shared" si="9"/>
        <v>9058297.0999999996</v>
      </c>
      <c r="L16" s="39">
        <f t="shared" si="10"/>
        <v>2966654.8</v>
      </c>
      <c r="M16" s="39">
        <f t="shared" si="11"/>
        <v>9058297.0999999996</v>
      </c>
      <c r="N16" s="40">
        <f t="shared" si="12"/>
        <v>0.34320000000000001</v>
      </c>
      <c r="O16" s="39">
        <f t="shared" si="13"/>
        <v>1018155.92736</v>
      </c>
      <c r="P16" s="39">
        <f t="shared" si="14"/>
        <v>3108807.5647199997</v>
      </c>
      <c r="Q16" s="39">
        <f t="shared" si="15"/>
        <v>594948.95352800004</v>
      </c>
      <c r="R16" s="39">
        <f t="shared" si="16"/>
        <v>10354540.581752</v>
      </c>
      <c r="S16" s="37">
        <f t="shared" si="17"/>
        <v>124</v>
      </c>
    </row>
    <row r="17" spans="1:19" x14ac:dyDescent="0.3">
      <c r="A17" s="33">
        <f>13</f>
        <v>13</v>
      </c>
      <c r="B17" s="34">
        <f t="shared" si="0"/>
        <v>46753</v>
      </c>
      <c r="C17" s="33">
        <f t="shared" si="1"/>
        <v>2</v>
      </c>
      <c r="D17" s="33">
        <f t="shared" si="2"/>
        <v>1</v>
      </c>
      <c r="E17" s="35">
        <f t="shared" si="3"/>
        <v>87499.650000000009</v>
      </c>
      <c r="F17" s="35">
        <f t="shared" si="4"/>
        <v>10354540.581752</v>
      </c>
      <c r="G17" s="33">
        <f t="shared" si="5"/>
        <v>118</v>
      </c>
      <c r="H17" s="35">
        <f t="shared" si="6"/>
        <v>10324958.700000001</v>
      </c>
      <c r="I17" s="35">
        <f t="shared" si="7"/>
        <v>29581.881751999259</v>
      </c>
      <c r="J17" s="35">
        <f t="shared" si="8"/>
        <v>1032495.8700000001</v>
      </c>
      <c r="K17" s="35">
        <f t="shared" si="9"/>
        <v>1032495.8700000001</v>
      </c>
      <c r="L17" s="35">
        <f t="shared" si="10"/>
        <v>0</v>
      </c>
      <c r="M17" s="35">
        <f t="shared" si="11"/>
        <v>12389950.440000001</v>
      </c>
      <c r="N17" s="36">
        <f t="shared" si="12"/>
        <v>0.35880000000000001</v>
      </c>
      <c r="O17" s="35">
        <f t="shared" si="13"/>
        <v>0</v>
      </c>
      <c r="P17" s="35">
        <f t="shared" si="14"/>
        <v>0</v>
      </c>
      <c r="Q17" s="35">
        <f t="shared" si="15"/>
        <v>0</v>
      </c>
      <c r="R17" s="35">
        <f t="shared" si="16"/>
        <v>11387036.451752</v>
      </c>
      <c r="S17" s="33">
        <f t="shared" si="17"/>
        <v>130</v>
      </c>
    </row>
    <row r="18" spans="1:19" x14ac:dyDescent="0.3">
      <c r="A18" s="33">
        <f>14</f>
        <v>14</v>
      </c>
      <c r="B18" s="34">
        <f t="shared" si="0"/>
        <v>46784</v>
      </c>
      <c r="C18" s="33">
        <f t="shared" si="1"/>
        <v>2</v>
      </c>
      <c r="D18" s="33">
        <f t="shared" si="2"/>
        <v>2</v>
      </c>
      <c r="E18" s="35">
        <f t="shared" si="3"/>
        <v>87499.650000000009</v>
      </c>
      <c r="F18" s="35">
        <f t="shared" si="4"/>
        <v>11387036.451752</v>
      </c>
      <c r="G18" s="33">
        <f t="shared" si="5"/>
        <v>130</v>
      </c>
      <c r="H18" s="35">
        <f t="shared" si="6"/>
        <v>11374954.500000002</v>
      </c>
      <c r="I18" s="35">
        <f t="shared" si="7"/>
        <v>12081.951751997694</v>
      </c>
      <c r="J18" s="35">
        <f t="shared" si="8"/>
        <v>1137495.4500000002</v>
      </c>
      <c r="K18" s="35">
        <f t="shared" si="9"/>
        <v>2169991.3200000003</v>
      </c>
      <c r="L18" s="35">
        <f t="shared" si="10"/>
        <v>0</v>
      </c>
      <c r="M18" s="35">
        <f t="shared" si="11"/>
        <v>13019947.920000002</v>
      </c>
      <c r="N18" s="36">
        <f t="shared" si="12"/>
        <v>0.35880000000000001</v>
      </c>
      <c r="O18" s="35">
        <f t="shared" si="13"/>
        <v>0</v>
      </c>
      <c r="P18" s="35">
        <f t="shared" si="14"/>
        <v>0</v>
      </c>
      <c r="Q18" s="35">
        <f t="shared" si="15"/>
        <v>0</v>
      </c>
      <c r="R18" s="35">
        <f t="shared" si="16"/>
        <v>12524531.901751999</v>
      </c>
      <c r="S18" s="33">
        <f t="shared" si="17"/>
        <v>143</v>
      </c>
    </row>
    <row r="19" spans="1:19" x14ac:dyDescent="0.3">
      <c r="A19" s="33">
        <f>15</f>
        <v>15</v>
      </c>
      <c r="B19" s="34">
        <f t="shared" si="0"/>
        <v>46813</v>
      </c>
      <c r="C19" s="33">
        <f t="shared" si="1"/>
        <v>2</v>
      </c>
      <c r="D19" s="33">
        <f t="shared" si="2"/>
        <v>3</v>
      </c>
      <c r="E19" s="35">
        <f t="shared" si="3"/>
        <v>87499.650000000009</v>
      </c>
      <c r="F19" s="35">
        <f t="shared" si="4"/>
        <v>12524531.901751999</v>
      </c>
      <c r="G19" s="33">
        <f t="shared" si="5"/>
        <v>143</v>
      </c>
      <c r="H19" s="35">
        <f t="shared" si="6"/>
        <v>12512449.950000001</v>
      </c>
      <c r="I19" s="35">
        <f t="shared" si="7"/>
        <v>12081.951751997694</v>
      </c>
      <c r="J19" s="35">
        <f t="shared" si="8"/>
        <v>1251244.9950000001</v>
      </c>
      <c r="K19" s="35">
        <f t="shared" si="9"/>
        <v>3421236.3150000004</v>
      </c>
      <c r="L19" s="35">
        <f t="shared" si="10"/>
        <v>3421236.3150000004</v>
      </c>
      <c r="M19" s="35">
        <f t="shared" si="11"/>
        <v>13684945.26</v>
      </c>
      <c r="N19" s="36">
        <f t="shared" si="12"/>
        <v>0.35880000000000001</v>
      </c>
      <c r="O19" s="35">
        <f t="shared" si="13"/>
        <v>1227539.5898220001</v>
      </c>
      <c r="P19" s="35">
        <f t="shared" si="14"/>
        <v>1227539.5898220001</v>
      </c>
      <c r="Q19" s="35">
        <f t="shared" si="15"/>
        <v>0</v>
      </c>
      <c r="R19" s="35">
        <f t="shared" si="16"/>
        <v>12548237.30693</v>
      </c>
      <c r="S19" s="33">
        <f t="shared" si="17"/>
        <v>143</v>
      </c>
    </row>
    <row r="20" spans="1:19" x14ac:dyDescent="0.3">
      <c r="A20" s="33">
        <f>16</f>
        <v>16</v>
      </c>
      <c r="B20" s="34">
        <f t="shared" si="0"/>
        <v>46844</v>
      </c>
      <c r="C20" s="33">
        <f t="shared" si="1"/>
        <v>2</v>
      </c>
      <c r="D20" s="33">
        <f t="shared" si="2"/>
        <v>4</v>
      </c>
      <c r="E20" s="35">
        <f t="shared" si="3"/>
        <v>87499.650000000009</v>
      </c>
      <c r="F20" s="35">
        <f t="shared" si="4"/>
        <v>12548237.30693</v>
      </c>
      <c r="G20" s="33">
        <f t="shared" si="5"/>
        <v>143</v>
      </c>
      <c r="H20" s="35">
        <f t="shared" si="6"/>
        <v>12512449.950000001</v>
      </c>
      <c r="I20" s="35">
        <f t="shared" si="7"/>
        <v>35787.356929998845</v>
      </c>
      <c r="J20" s="35">
        <f t="shared" si="8"/>
        <v>1251244.9950000001</v>
      </c>
      <c r="K20" s="35">
        <f t="shared" si="9"/>
        <v>4672481.3100000005</v>
      </c>
      <c r="L20" s="35">
        <f t="shared" si="10"/>
        <v>0</v>
      </c>
      <c r="M20" s="35">
        <f t="shared" si="11"/>
        <v>14017443.930000002</v>
      </c>
      <c r="N20" s="36">
        <f t="shared" si="12"/>
        <v>0.35880000000000001</v>
      </c>
      <c r="O20" s="35">
        <f t="shared" si="13"/>
        <v>0</v>
      </c>
      <c r="P20" s="35">
        <f t="shared" si="14"/>
        <v>1227539.5898220001</v>
      </c>
      <c r="Q20" s="35">
        <f t="shared" si="15"/>
        <v>0</v>
      </c>
      <c r="R20" s="35">
        <f t="shared" si="16"/>
        <v>13799482.301929999</v>
      </c>
      <c r="S20" s="33">
        <f t="shared" si="17"/>
        <v>157</v>
      </c>
    </row>
    <row r="21" spans="1:19" x14ac:dyDescent="0.3">
      <c r="A21" s="33">
        <f>17</f>
        <v>17</v>
      </c>
      <c r="B21" s="34">
        <f t="shared" si="0"/>
        <v>46874</v>
      </c>
      <c r="C21" s="33">
        <f t="shared" si="1"/>
        <v>2</v>
      </c>
      <c r="D21" s="33">
        <f t="shared" si="2"/>
        <v>5</v>
      </c>
      <c r="E21" s="35">
        <f t="shared" si="3"/>
        <v>87499.650000000009</v>
      </c>
      <c r="F21" s="35">
        <f t="shared" si="4"/>
        <v>13799482.301929999</v>
      </c>
      <c r="G21" s="33">
        <f t="shared" si="5"/>
        <v>157</v>
      </c>
      <c r="H21" s="35">
        <f t="shared" si="6"/>
        <v>13737445.050000001</v>
      </c>
      <c r="I21" s="35">
        <f t="shared" si="7"/>
        <v>62037.251929998398</v>
      </c>
      <c r="J21" s="35">
        <f t="shared" si="8"/>
        <v>1373744.5050000001</v>
      </c>
      <c r="K21" s="35">
        <f t="shared" si="9"/>
        <v>6046225.8150000004</v>
      </c>
      <c r="L21" s="35">
        <f t="shared" si="10"/>
        <v>0</v>
      </c>
      <c r="M21" s="35">
        <f t="shared" si="11"/>
        <v>14510941.956</v>
      </c>
      <c r="N21" s="36">
        <f t="shared" si="12"/>
        <v>0.35880000000000001</v>
      </c>
      <c r="O21" s="35">
        <f t="shared" si="13"/>
        <v>0</v>
      </c>
      <c r="P21" s="35">
        <f t="shared" si="14"/>
        <v>1227539.5898220001</v>
      </c>
      <c r="Q21" s="35">
        <f t="shared" si="15"/>
        <v>0</v>
      </c>
      <c r="R21" s="35">
        <f t="shared" si="16"/>
        <v>15173226.80693</v>
      </c>
      <c r="S21" s="33">
        <f t="shared" si="17"/>
        <v>173</v>
      </c>
    </row>
    <row r="22" spans="1:19" x14ac:dyDescent="0.3">
      <c r="A22" s="33">
        <f>18</f>
        <v>18</v>
      </c>
      <c r="B22" s="34">
        <f t="shared" si="0"/>
        <v>46905</v>
      </c>
      <c r="C22" s="33">
        <f t="shared" si="1"/>
        <v>2</v>
      </c>
      <c r="D22" s="33">
        <f t="shared" si="2"/>
        <v>6</v>
      </c>
      <c r="E22" s="35">
        <f t="shared" si="3"/>
        <v>87499.650000000009</v>
      </c>
      <c r="F22" s="35">
        <f t="shared" si="4"/>
        <v>15173226.80693</v>
      </c>
      <c r="G22" s="33">
        <f t="shared" si="5"/>
        <v>173</v>
      </c>
      <c r="H22" s="35">
        <f t="shared" si="6"/>
        <v>15137439.450000001</v>
      </c>
      <c r="I22" s="35">
        <f t="shared" si="7"/>
        <v>35787.356929998845</v>
      </c>
      <c r="J22" s="35">
        <f t="shared" si="8"/>
        <v>1513743.9450000003</v>
      </c>
      <c r="K22" s="35">
        <f t="shared" si="9"/>
        <v>7559969.7600000007</v>
      </c>
      <c r="L22" s="35">
        <f t="shared" si="10"/>
        <v>4138733.4450000003</v>
      </c>
      <c r="M22" s="35">
        <f t="shared" si="11"/>
        <v>15119939.520000001</v>
      </c>
      <c r="N22" s="36">
        <f t="shared" si="12"/>
        <v>0.35880000000000001</v>
      </c>
      <c r="O22" s="35">
        <f t="shared" si="13"/>
        <v>1484977.5600660001</v>
      </c>
      <c r="P22" s="35">
        <f t="shared" si="14"/>
        <v>2712517.1498880005</v>
      </c>
      <c r="Q22" s="35">
        <f t="shared" si="15"/>
        <v>0</v>
      </c>
      <c r="R22" s="35">
        <f t="shared" si="16"/>
        <v>15201993.191864001</v>
      </c>
      <c r="S22" s="33">
        <f t="shared" si="17"/>
        <v>173</v>
      </c>
    </row>
    <row r="23" spans="1:19" x14ac:dyDescent="0.3">
      <c r="A23" s="33">
        <f>19</f>
        <v>19</v>
      </c>
      <c r="B23" s="34">
        <f t="shared" si="0"/>
        <v>46935</v>
      </c>
      <c r="C23" s="33">
        <f t="shared" si="1"/>
        <v>2</v>
      </c>
      <c r="D23" s="33">
        <f t="shared" si="2"/>
        <v>7</v>
      </c>
      <c r="E23" s="35">
        <f t="shared" si="3"/>
        <v>87499.650000000009</v>
      </c>
      <c r="F23" s="35">
        <f t="shared" si="4"/>
        <v>15201993.191864001</v>
      </c>
      <c r="G23" s="33">
        <f t="shared" si="5"/>
        <v>173</v>
      </c>
      <c r="H23" s="35">
        <f t="shared" si="6"/>
        <v>15137439.450000001</v>
      </c>
      <c r="I23" s="35">
        <f t="shared" si="7"/>
        <v>64553.741863999516</v>
      </c>
      <c r="J23" s="35">
        <f t="shared" si="8"/>
        <v>1513743.9450000003</v>
      </c>
      <c r="K23" s="35">
        <f t="shared" si="9"/>
        <v>9073713.7050000019</v>
      </c>
      <c r="L23" s="35">
        <f t="shared" si="10"/>
        <v>0</v>
      </c>
      <c r="M23" s="35">
        <f t="shared" si="11"/>
        <v>15554937.780000003</v>
      </c>
      <c r="N23" s="36">
        <f t="shared" si="12"/>
        <v>0.35880000000000001</v>
      </c>
      <c r="O23" s="35">
        <f t="shared" si="13"/>
        <v>0</v>
      </c>
      <c r="P23" s="35">
        <f t="shared" si="14"/>
        <v>2712517.1498880005</v>
      </c>
      <c r="Q23" s="35">
        <f t="shared" si="15"/>
        <v>0</v>
      </c>
      <c r="R23" s="35">
        <f t="shared" si="16"/>
        <v>16715737.136864001</v>
      </c>
      <c r="S23" s="33">
        <f t="shared" si="17"/>
        <v>191</v>
      </c>
    </row>
    <row r="24" spans="1:19" x14ac:dyDescent="0.3">
      <c r="A24" s="33">
        <f>20</f>
        <v>20</v>
      </c>
      <c r="B24" s="34">
        <f t="shared" si="0"/>
        <v>46966</v>
      </c>
      <c r="C24" s="33">
        <f t="shared" si="1"/>
        <v>2</v>
      </c>
      <c r="D24" s="33">
        <f t="shared" si="2"/>
        <v>8</v>
      </c>
      <c r="E24" s="35">
        <f t="shared" si="3"/>
        <v>87499.650000000009</v>
      </c>
      <c r="F24" s="35">
        <f t="shared" si="4"/>
        <v>16715737.136864001</v>
      </c>
      <c r="G24" s="33">
        <f t="shared" si="5"/>
        <v>191</v>
      </c>
      <c r="H24" s="35">
        <f t="shared" si="6"/>
        <v>16712433.150000002</v>
      </c>
      <c r="I24" s="35">
        <f t="shared" si="7"/>
        <v>3303.9868639986962</v>
      </c>
      <c r="J24" s="35">
        <f t="shared" si="8"/>
        <v>1671243.3150000004</v>
      </c>
      <c r="K24" s="35">
        <f t="shared" si="9"/>
        <v>10744957.020000003</v>
      </c>
      <c r="L24" s="35">
        <f t="shared" si="10"/>
        <v>0</v>
      </c>
      <c r="M24" s="35">
        <f t="shared" si="11"/>
        <v>16117435.530000005</v>
      </c>
      <c r="N24" s="36">
        <f t="shared" si="12"/>
        <v>0.35880000000000001</v>
      </c>
      <c r="O24" s="35">
        <f t="shared" si="13"/>
        <v>0</v>
      </c>
      <c r="P24" s="35">
        <f t="shared" si="14"/>
        <v>2712517.1498880005</v>
      </c>
      <c r="Q24" s="35">
        <f t="shared" si="15"/>
        <v>0</v>
      </c>
      <c r="R24" s="35">
        <f t="shared" si="16"/>
        <v>18386980.451864</v>
      </c>
      <c r="S24" s="33">
        <f t="shared" si="17"/>
        <v>210</v>
      </c>
    </row>
    <row r="25" spans="1:19" x14ac:dyDescent="0.3">
      <c r="A25" s="33">
        <f>21</f>
        <v>21</v>
      </c>
      <c r="B25" s="34">
        <f t="shared" si="0"/>
        <v>46997</v>
      </c>
      <c r="C25" s="33">
        <f t="shared" si="1"/>
        <v>2</v>
      </c>
      <c r="D25" s="33">
        <f t="shared" si="2"/>
        <v>9</v>
      </c>
      <c r="E25" s="35">
        <f t="shared" si="3"/>
        <v>87499.650000000009</v>
      </c>
      <c r="F25" s="35">
        <f t="shared" si="4"/>
        <v>18386980.451864</v>
      </c>
      <c r="G25" s="33">
        <f t="shared" si="5"/>
        <v>210</v>
      </c>
      <c r="H25" s="35">
        <f t="shared" si="6"/>
        <v>18374926.5</v>
      </c>
      <c r="I25" s="35">
        <f t="shared" si="7"/>
        <v>12053.95186400041</v>
      </c>
      <c r="J25" s="35">
        <f t="shared" si="8"/>
        <v>1837492.6500000001</v>
      </c>
      <c r="K25" s="35">
        <f t="shared" si="9"/>
        <v>12582449.670000004</v>
      </c>
      <c r="L25" s="35">
        <f t="shared" si="10"/>
        <v>5022479.9100000011</v>
      </c>
      <c r="M25" s="35">
        <f t="shared" si="11"/>
        <v>16776599.560000006</v>
      </c>
      <c r="N25" s="36">
        <f t="shared" si="12"/>
        <v>0.35880000000000001</v>
      </c>
      <c r="O25" s="35">
        <f t="shared" si="13"/>
        <v>1802065.7917080005</v>
      </c>
      <c r="P25" s="35">
        <f t="shared" si="14"/>
        <v>4514582.9415960014</v>
      </c>
      <c r="Q25" s="35">
        <f t="shared" si="15"/>
        <v>0</v>
      </c>
      <c r="R25" s="35">
        <f t="shared" si="16"/>
        <v>18422407.310155999</v>
      </c>
      <c r="S25" s="33">
        <f t="shared" si="17"/>
        <v>210</v>
      </c>
    </row>
    <row r="26" spans="1:19" x14ac:dyDescent="0.3">
      <c r="A26" s="33">
        <f>22</f>
        <v>22</v>
      </c>
      <c r="B26" s="34">
        <f t="shared" si="0"/>
        <v>47027</v>
      </c>
      <c r="C26" s="33">
        <f t="shared" si="1"/>
        <v>2</v>
      </c>
      <c r="D26" s="33">
        <f t="shared" si="2"/>
        <v>10</v>
      </c>
      <c r="E26" s="35">
        <f t="shared" si="3"/>
        <v>87499.650000000009</v>
      </c>
      <c r="F26" s="35">
        <f t="shared" si="4"/>
        <v>18422407.310155999</v>
      </c>
      <c r="G26" s="33">
        <f t="shared" si="5"/>
        <v>210</v>
      </c>
      <c r="H26" s="35">
        <f t="shared" si="6"/>
        <v>18374926.5</v>
      </c>
      <c r="I26" s="35">
        <f t="shared" si="7"/>
        <v>47480.810155998915</v>
      </c>
      <c r="J26" s="35">
        <f t="shared" si="8"/>
        <v>1837492.6500000001</v>
      </c>
      <c r="K26" s="35">
        <f t="shared" si="9"/>
        <v>14419942.320000004</v>
      </c>
      <c r="L26" s="35">
        <f t="shared" si="10"/>
        <v>0</v>
      </c>
      <c r="M26" s="35">
        <f t="shared" si="11"/>
        <v>17303930.784000002</v>
      </c>
      <c r="N26" s="36">
        <f t="shared" si="12"/>
        <v>0.35880000000000001</v>
      </c>
      <c r="O26" s="35">
        <f t="shared" si="13"/>
        <v>0</v>
      </c>
      <c r="P26" s="35">
        <f t="shared" si="14"/>
        <v>4514582.9415960014</v>
      </c>
      <c r="Q26" s="35">
        <f t="shared" si="15"/>
        <v>0</v>
      </c>
      <c r="R26" s="35">
        <f t="shared" si="16"/>
        <v>20259899.960155997</v>
      </c>
      <c r="S26" s="33">
        <f t="shared" si="17"/>
        <v>231</v>
      </c>
    </row>
    <row r="27" spans="1:19" x14ac:dyDescent="0.3">
      <c r="A27" s="33">
        <f>23</f>
        <v>23</v>
      </c>
      <c r="B27" s="34">
        <f t="shared" si="0"/>
        <v>47058</v>
      </c>
      <c r="C27" s="33">
        <f t="shared" si="1"/>
        <v>2</v>
      </c>
      <c r="D27" s="33">
        <f t="shared" si="2"/>
        <v>11</v>
      </c>
      <c r="E27" s="35">
        <f t="shared" si="3"/>
        <v>87499.650000000009</v>
      </c>
      <c r="F27" s="35">
        <f t="shared" si="4"/>
        <v>20259899.960155997</v>
      </c>
      <c r="G27" s="33">
        <f t="shared" si="5"/>
        <v>231</v>
      </c>
      <c r="H27" s="35">
        <f t="shared" si="6"/>
        <v>20212419.150000002</v>
      </c>
      <c r="I27" s="35">
        <f t="shared" si="7"/>
        <v>47480.81015599519</v>
      </c>
      <c r="J27" s="35">
        <f t="shared" si="8"/>
        <v>2021241.9150000003</v>
      </c>
      <c r="K27" s="35">
        <f t="shared" si="9"/>
        <v>16441184.235000005</v>
      </c>
      <c r="L27" s="35">
        <f t="shared" si="10"/>
        <v>0</v>
      </c>
      <c r="M27" s="35">
        <f t="shared" si="11"/>
        <v>17935837.347272731</v>
      </c>
      <c r="N27" s="36">
        <f t="shared" si="12"/>
        <v>0.35880000000000001</v>
      </c>
      <c r="O27" s="35">
        <f t="shared" si="13"/>
        <v>0</v>
      </c>
      <c r="P27" s="35">
        <f t="shared" si="14"/>
        <v>4514582.9415960014</v>
      </c>
      <c r="Q27" s="35">
        <f t="shared" si="15"/>
        <v>0</v>
      </c>
      <c r="R27" s="35">
        <f t="shared" si="16"/>
        <v>22281141.875155997</v>
      </c>
      <c r="S27" s="33">
        <f t="shared" si="17"/>
        <v>254</v>
      </c>
    </row>
    <row r="28" spans="1:19" x14ac:dyDescent="0.3">
      <c r="A28" s="37">
        <f>24</f>
        <v>24</v>
      </c>
      <c r="B28" s="38">
        <f t="shared" si="0"/>
        <v>47088</v>
      </c>
      <c r="C28" s="37">
        <f t="shared" si="1"/>
        <v>2</v>
      </c>
      <c r="D28" s="37">
        <f t="shared" si="2"/>
        <v>12</v>
      </c>
      <c r="E28" s="39">
        <f t="shared" si="3"/>
        <v>87499.650000000009</v>
      </c>
      <c r="F28" s="39">
        <f t="shared" si="4"/>
        <v>22281141.875155997</v>
      </c>
      <c r="G28" s="37">
        <f t="shared" si="5"/>
        <v>254</v>
      </c>
      <c r="H28" s="39">
        <f t="shared" si="6"/>
        <v>22224911.100000001</v>
      </c>
      <c r="I28" s="39">
        <f t="shared" si="7"/>
        <v>56230.775155995041</v>
      </c>
      <c r="J28" s="39">
        <f t="shared" si="8"/>
        <v>2222491.1100000003</v>
      </c>
      <c r="K28" s="39">
        <f t="shared" si="9"/>
        <v>18663675.345000006</v>
      </c>
      <c r="L28" s="39">
        <f t="shared" si="10"/>
        <v>6081225.6750000007</v>
      </c>
      <c r="M28" s="39">
        <f t="shared" si="11"/>
        <v>18663675.345000006</v>
      </c>
      <c r="N28" s="40">
        <f t="shared" si="12"/>
        <v>0.35880000000000001</v>
      </c>
      <c r="O28" s="39">
        <f t="shared" si="13"/>
        <v>2181943.7721900004</v>
      </c>
      <c r="P28" s="39">
        <f t="shared" si="14"/>
        <v>6696526.7137860022</v>
      </c>
      <c r="Q28" s="39">
        <f t="shared" si="15"/>
        <v>1196714.8631214004</v>
      </c>
      <c r="R28" s="39">
        <f t="shared" si="16"/>
        <v>21124974.349844594</v>
      </c>
      <c r="S28" s="37">
        <f t="shared" si="17"/>
        <v>241</v>
      </c>
    </row>
    <row r="29" spans="1:19" x14ac:dyDescent="0.3">
      <c r="A29" s="33">
        <f>25</f>
        <v>25</v>
      </c>
      <c r="B29" s="34">
        <f t="shared" si="0"/>
        <v>47119</v>
      </c>
      <c r="C29" s="33">
        <f t="shared" si="1"/>
        <v>3</v>
      </c>
      <c r="D29" s="33">
        <f t="shared" si="2"/>
        <v>1</v>
      </c>
      <c r="E29" s="35">
        <f t="shared" si="3"/>
        <v>91874.632500000007</v>
      </c>
      <c r="F29" s="35">
        <f t="shared" si="4"/>
        <v>21124974.349844594</v>
      </c>
      <c r="G29" s="33">
        <f t="shared" si="5"/>
        <v>229</v>
      </c>
      <c r="H29" s="35">
        <f t="shared" si="6"/>
        <v>21039290.842500001</v>
      </c>
      <c r="I29" s="35">
        <f t="shared" si="7"/>
        <v>85683.507344592363</v>
      </c>
      <c r="J29" s="35">
        <f t="shared" si="8"/>
        <v>2103929.0842500003</v>
      </c>
      <c r="K29" s="35">
        <f t="shared" si="9"/>
        <v>2103929.0842500003</v>
      </c>
      <c r="L29" s="35">
        <f t="shared" si="10"/>
        <v>0</v>
      </c>
      <c r="M29" s="35">
        <f t="shared" si="11"/>
        <v>25247149.011000004</v>
      </c>
      <c r="N29" s="36">
        <f t="shared" si="12"/>
        <v>0.39</v>
      </c>
      <c r="O29" s="35">
        <f t="shared" si="13"/>
        <v>0</v>
      </c>
      <c r="P29" s="35">
        <f t="shared" si="14"/>
        <v>0</v>
      </c>
      <c r="Q29" s="35">
        <f t="shared" si="15"/>
        <v>0</v>
      </c>
      <c r="R29" s="35">
        <f t="shared" si="16"/>
        <v>23228903.434094593</v>
      </c>
      <c r="S29" s="33">
        <f t="shared" si="17"/>
        <v>252</v>
      </c>
    </row>
    <row r="30" spans="1:19" x14ac:dyDescent="0.3">
      <c r="A30" s="33">
        <f>26</f>
        <v>26</v>
      </c>
      <c r="B30" s="34">
        <f t="shared" si="0"/>
        <v>47150</v>
      </c>
      <c r="C30" s="33">
        <f t="shared" si="1"/>
        <v>3</v>
      </c>
      <c r="D30" s="33">
        <f t="shared" si="2"/>
        <v>2</v>
      </c>
      <c r="E30" s="35">
        <f t="shared" si="3"/>
        <v>91874.632500000007</v>
      </c>
      <c r="F30" s="35">
        <f t="shared" si="4"/>
        <v>23228903.434094593</v>
      </c>
      <c r="G30" s="33">
        <f t="shared" si="5"/>
        <v>252</v>
      </c>
      <c r="H30" s="35">
        <f t="shared" si="6"/>
        <v>23152407.390000001</v>
      </c>
      <c r="I30" s="35">
        <f t="shared" si="7"/>
        <v>76496.044094592333</v>
      </c>
      <c r="J30" s="35">
        <f t="shared" si="8"/>
        <v>2315240.7390000001</v>
      </c>
      <c r="K30" s="35">
        <f t="shared" si="9"/>
        <v>4419169.8232500004</v>
      </c>
      <c r="L30" s="35">
        <f t="shared" si="10"/>
        <v>0</v>
      </c>
      <c r="M30" s="35">
        <f t="shared" si="11"/>
        <v>26515018.939500004</v>
      </c>
      <c r="N30" s="36">
        <f t="shared" si="12"/>
        <v>0.39</v>
      </c>
      <c r="O30" s="35">
        <f t="shared" si="13"/>
        <v>0</v>
      </c>
      <c r="P30" s="35">
        <f t="shared" si="14"/>
        <v>0</v>
      </c>
      <c r="Q30" s="35">
        <f t="shared" si="15"/>
        <v>0</v>
      </c>
      <c r="R30" s="35">
        <f t="shared" si="16"/>
        <v>25544144.173094593</v>
      </c>
      <c r="S30" s="33">
        <f t="shared" si="17"/>
        <v>278</v>
      </c>
    </row>
    <row r="31" spans="1:19" x14ac:dyDescent="0.3">
      <c r="A31" s="33">
        <f>27</f>
        <v>27</v>
      </c>
      <c r="B31" s="34">
        <f t="shared" si="0"/>
        <v>47178</v>
      </c>
      <c r="C31" s="33">
        <f t="shared" si="1"/>
        <v>3</v>
      </c>
      <c r="D31" s="33">
        <f t="shared" si="2"/>
        <v>3</v>
      </c>
      <c r="E31" s="35">
        <f t="shared" si="3"/>
        <v>91874.632500000007</v>
      </c>
      <c r="F31" s="35">
        <f t="shared" si="4"/>
        <v>25544144.173094593</v>
      </c>
      <c r="G31" s="33">
        <f t="shared" si="5"/>
        <v>278</v>
      </c>
      <c r="H31" s="35">
        <f t="shared" si="6"/>
        <v>25541147.835000001</v>
      </c>
      <c r="I31" s="35">
        <f t="shared" si="7"/>
        <v>2996.3380945920944</v>
      </c>
      <c r="J31" s="35">
        <f t="shared" si="8"/>
        <v>2554114.7835000004</v>
      </c>
      <c r="K31" s="35">
        <f t="shared" si="9"/>
        <v>6973284.6067500003</v>
      </c>
      <c r="L31" s="35">
        <f t="shared" si="10"/>
        <v>6973284.6067500003</v>
      </c>
      <c r="M31" s="35">
        <f t="shared" si="11"/>
        <v>27893138.427000001</v>
      </c>
      <c r="N31" s="36">
        <f t="shared" si="12"/>
        <v>0.39</v>
      </c>
      <c r="O31" s="35">
        <f t="shared" si="13"/>
        <v>2719580.9966325001</v>
      </c>
      <c r="P31" s="35">
        <f t="shared" si="14"/>
        <v>2719580.9966325001</v>
      </c>
      <c r="Q31" s="35">
        <f t="shared" si="15"/>
        <v>0</v>
      </c>
      <c r="R31" s="35">
        <f t="shared" si="16"/>
        <v>25378677.959962092</v>
      </c>
      <c r="S31" s="33">
        <f t="shared" si="17"/>
        <v>276</v>
      </c>
    </row>
    <row r="32" spans="1:19" x14ac:dyDescent="0.3">
      <c r="A32" s="33">
        <f>28</f>
        <v>28</v>
      </c>
      <c r="B32" s="34">
        <f t="shared" si="0"/>
        <v>47209</v>
      </c>
      <c r="C32" s="33">
        <f t="shared" si="1"/>
        <v>3</v>
      </c>
      <c r="D32" s="33">
        <f t="shared" si="2"/>
        <v>4</v>
      </c>
      <c r="E32" s="35">
        <f t="shared" si="3"/>
        <v>91874.632500000007</v>
      </c>
      <c r="F32" s="35">
        <f t="shared" si="4"/>
        <v>25378677.959962092</v>
      </c>
      <c r="G32" s="33">
        <f t="shared" si="5"/>
        <v>276</v>
      </c>
      <c r="H32" s="35">
        <f t="shared" si="6"/>
        <v>25357398.57</v>
      </c>
      <c r="I32" s="35">
        <f t="shared" si="7"/>
        <v>21279.389962092042</v>
      </c>
      <c r="J32" s="35">
        <f t="shared" si="8"/>
        <v>2535739.8570000003</v>
      </c>
      <c r="K32" s="35">
        <f t="shared" si="9"/>
        <v>9509024.463750001</v>
      </c>
      <c r="L32" s="35">
        <f t="shared" si="10"/>
        <v>0</v>
      </c>
      <c r="M32" s="35">
        <f t="shared" si="11"/>
        <v>28527073.391250003</v>
      </c>
      <c r="N32" s="36">
        <f t="shared" si="12"/>
        <v>0.39</v>
      </c>
      <c r="O32" s="35">
        <f t="shared" si="13"/>
        <v>0</v>
      </c>
      <c r="P32" s="35">
        <f t="shared" si="14"/>
        <v>2719580.9966325001</v>
      </c>
      <c r="Q32" s="35">
        <f t="shared" si="15"/>
        <v>0</v>
      </c>
      <c r="R32" s="35">
        <f t="shared" si="16"/>
        <v>27914417.816962093</v>
      </c>
      <c r="S32" s="33">
        <f t="shared" si="17"/>
        <v>303</v>
      </c>
    </row>
    <row r="33" spans="1:19" x14ac:dyDescent="0.3">
      <c r="A33" s="33">
        <f>29</f>
        <v>29</v>
      </c>
      <c r="B33" s="34">
        <f t="shared" si="0"/>
        <v>47239</v>
      </c>
      <c r="C33" s="33">
        <f t="shared" si="1"/>
        <v>3</v>
      </c>
      <c r="D33" s="33">
        <f t="shared" si="2"/>
        <v>5</v>
      </c>
      <c r="E33" s="35">
        <f t="shared" si="3"/>
        <v>91874.632500000007</v>
      </c>
      <c r="F33" s="35">
        <f t="shared" si="4"/>
        <v>27914417.816962093</v>
      </c>
      <c r="G33" s="33">
        <f t="shared" si="5"/>
        <v>303</v>
      </c>
      <c r="H33" s="35">
        <f t="shared" si="6"/>
        <v>27838013.647500001</v>
      </c>
      <c r="I33" s="35">
        <f t="shared" si="7"/>
        <v>76404.169462092221</v>
      </c>
      <c r="J33" s="35">
        <f t="shared" si="8"/>
        <v>2783801.3647500002</v>
      </c>
      <c r="K33" s="35">
        <f t="shared" si="9"/>
        <v>12292825.828500001</v>
      </c>
      <c r="L33" s="35">
        <f t="shared" si="10"/>
        <v>0</v>
      </c>
      <c r="M33" s="35">
        <f t="shared" si="11"/>
        <v>29502781.988400001</v>
      </c>
      <c r="N33" s="36">
        <f t="shared" si="12"/>
        <v>0.39</v>
      </c>
      <c r="O33" s="35">
        <f t="shared" si="13"/>
        <v>0</v>
      </c>
      <c r="P33" s="35">
        <f t="shared" si="14"/>
        <v>2719580.9966325001</v>
      </c>
      <c r="Q33" s="35">
        <f t="shared" si="15"/>
        <v>0</v>
      </c>
      <c r="R33" s="35">
        <f t="shared" si="16"/>
        <v>30698219.181712095</v>
      </c>
      <c r="S33" s="33">
        <f t="shared" si="17"/>
        <v>334</v>
      </c>
    </row>
    <row r="34" spans="1:19" x14ac:dyDescent="0.3">
      <c r="A34" s="33">
        <f>30</f>
        <v>30</v>
      </c>
      <c r="B34" s="34">
        <f t="shared" si="0"/>
        <v>47270</v>
      </c>
      <c r="C34" s="33">
        <f t="shared" si="1"/>
        <v>3</v>
      </c>
      <c r="D34" s="33">
        <f t="shared" si="2"/>
        <v>6</v>
      </c>
      <c r="E34" s="35">
        <f t="shared" si="3"/>
        <v>91874.632500000007</v>
      </c>
      <c r="F34" s="35">
        <f t="shared" si="4"/>
        <v>30698219.181712095</v>
      </c>
      <c r="G34" s="33">
        <f t="shared" si="5"/>
        <v>334</v>
      </c>
      <c r="H34" s="35">
        <f t="shared" si="6"/>
        <v>30686127.255000003</v>
      </c>
      <c r="I34" s="35">
        <f t="shared" si="7"/>
        <v>12091.926712092012</v>
      </c>
      <c r="J34" s="35">
        <f t="shared" si="8"/>
        <v>3068612.7255000006</v>
      </c>
      <c r="K34" s="35">
        <f t="shared" si="9"/>
        <v>15361438.554000001</v>
      </c>
      <c r="L34" s="35">
        <f t="shared" si="10"/>
        <v>8388153.9472500011</v>
      </c>
      <c r="M34" s="35">
        <f t="shared" si="11"/>
        <v>30722877.107999999</v>
      </c>
      <c r="N34" s="36">
        <f t="shared" si="12"/>
        <v>0.39</v>
      </c>
      <c r="O34" s="35">
        <f t="shared" si="13"/>
        <v>3271380.0394275007</v>
      </c>
      <c r="P34" s="35">
        <f t="shared" si="14"/>
        <v>5990961.0360600008</v>
      </c>
      <c r="Q34" s="35">
        <f t="shared" si="15"/>
        <v>0</v>
      </c>
      <c r="R34" s="35">
        <f t="shared" si="16"/>
        <v>30495451.867784593</v>
      </c>
      <c r="S34" s="33">
        <f t="shared" si="17"/>
        <v>331</v>
      </c>
    </row>
    <row r="35" spans="1:19" x14ac:dyDescent="0.3">
      <c r="A35" s="33">
        <f>31</f>
        <v>31</v>
      </c>
      <c r="B35" s="34">
        <f t="shared" si="0"/>
        <v>47300</v>
      </c>
      <c r="C35" s="33">
        <f t="shared" si="1"/>
        <v>3</v>
      </c>
      <c r="D35" s="33">
        <f t="shared" si="2"/>
        <v>7</v>
      </c>
      <c r="E35" s="35">
        <f t="shared" si="3"/>
        <v>91874.632500000007</v>
      </c>
      <c r="F35" s="35">
        <f t="shared" si="4"/>
        <v>30495451.867784593</v>
      </c>
      <c r="G35" s="33">
        <f t="shared" si="5"/>
        <v>331</v>
      </c>
      <c r="H35" s="35">
        <f t="shared" si="6"/>
        <v>30410503.357500002</v>
      </c>
      <c r="I35" s="35">
        <f t="shared" si="7"/>
        <v>84948.510284591466</v>
      </c>
      <c r="J35" s="35">
        <f t="shared" si="8"/>
        <v>3041050.3357500006</v>
      </c>
      <c r="K35" s="35">
        <f t="shared" si="9"/>
        <v>18402488.889750004</v>
      </c>
      <c r="L35" s="35">
        <f t="shared" si="10"/>
        <v>0</v>
      </c>
      <c r="M35" s="35">
        <f t="shared" si="11"/>
        <v>31547123.811000008</v>
      </c>
      <c r="N35" s="36">
        <f t="shared" si="12"/>
        <v>0.39</v>
      </c>
      <c r="O35" s="35">
        <f t="shared" si="13"/>
        <v>0</v>
      </c>
      <c r="P35" s="35">
        <f t="shared" si="14"/>
        <v>5990961.0360600008</v>
      </c>
      <c r="Q35" s="35">
        <f t="shared" si="15"/>
        <v>0</v>
      </c>
      <c r="R35" s="35">
        <f t="shared" si="16"/>
        <v>33536502.203534596</v>
      </c>
      <c r="S35" s="33">
        <f t="shared" si="17"/>
        <v>365</v>
      </c>
    </row>
    <row r="36" spans="1:19" x14ac:dyDescent="0.3">
      <c r="A36" s="33">
        <f>32</f>
        <v>32</v>
      </c>
      <c r="B36" s="34">
        <f t="shared" si="0"/>
        <v>47331</v>
      </c>
      <c r="C36" s="33">
        <f t="shared" si="1"/>
        <v>3</v>
      </c>
      <c r="D36" s="33">
        <f t="shared" si="2"/>
        <v>8</v>
      </c>
      <c r="E36" s="35">
        <f t="shared" si="3"/>
        <v>91874.632500000007</v>
      </c>
      <c r="F36" s="35">
        <f t="shared" si="4"/>
        <v>33536502.203534596</v>
      </c>
      <c r="G36" s="33">
        <f t="shared" si="5"/>
        <v>365</v>
      </c>
      <c r="H36" s="35">
        <f t="shared" si="6"/>
        <v>33534240.862500001</v>
      </c>
      <c r="I36" s="35">
        <f t="shared" si="7"/>
        <v>2261.3410345949233</v>
      </c>
      <c r="J36" s="35">
        <f t="shared" si="8"/>
        <v>3353424.0862500002</v>
      </c>
      <c r="K36" s="35">
        <f t="shared" si="9"/>
        <v>21755912.976000004</v>
      </c>
      <c r="L36" s="35">
        <f t="shared" si="10"/>
        <v>0</v>
      </c>
      <c r="M36" s="35">
        <f t="shared" si="11"/>
        <v>32633869.464000005</v>
      </c>
      <c r="N36" s="36">
        <f t="shared" si="12"/>
        <v>0.39</v>
      </c>
      <c r="O36" s="35">
        <f t="shared" si="13"/>
        <v>0</v>
      </c>
      <c r="P36" s="35">
        <f t="shared" si="14"/>
        <v>5990961.0360600008</v>
      </c>
      <c r="Q36" s="35">
        <f t="shared" si="15"/>
        <v>0</v>
      </c>
      <c r="R36" s="35">
        <f t="shared" si="16"/>
        <v>36889926.289784595</v>
      </c>
      <c r="S36" s="33">
        <f t="shared" si="17"/>
        <v>401</v>
      </c>
    </row>
    <row r="37" spans="1:19" x14ac:dyDescent="0.3">
      <c r="A37" s="33">
        <f>33</f>
        <v>33</v>
      </c>
      <c r="B37" s="34">
        <f t="shared" si="0"/>
        <v>47362</v>
      </c>
      <c r="C37" s="33">
        <f t="shared" si="1"/>
        <v>3</v>
      </c>
      <c r="D37" s="33">
        <f t="shared" si="2"/>
        <v>9</v>
      </c>
      <c r="E37" s="35">
        <f t="shared" si="3"/>
        <v>91874.632500000007</v>
      </c>
      <c r="F37" s="35">
        <f t="shared" si="4"/>
        <v>36889926.289784595</v>
      </c>
      <c r="G37" s="33">
        <f t="shared" si="5"/>
        <v>401</v>
      </c>
      <c r="H37" s="35">
        <f t="shared" si="6"/>
        <v>36841727.6325</v>
      </c>
      <c r="I37" s="35">
        <f t="shared" si="7"/>
        <v>48198.657284595072</v>
      </c>
      <c r="J37" s="35">
        <f t="shared" si="8"/>
        <v>3684172.7632500003</v>
      </c>
      <c r="K37" s="35">
        <f t="shared" si="9"/>
        <v>25440085.739250004</v>
      </c>
      <c r="L37" s="35">
        <f t="shared" si="10"/>
        <v>10078647.185250001</v>
      </c>
      <c r="M37" s="35">
        <f t="shared" si="11"/>
        <v>33920114.319000006</v>
      </c>
      <c r="N37" s="36">
        <f t="shared" si="12"/>
        <v>0.39</v>
      </c>
      <c r="O37" s="35">
        <f t="shared" si="13"/>
        <v>3930672.4022475006</v>
      </c>
      <c r="P37" s="35">
        <f t="shared" si="14"/>
        <v>9921633.4383075014</v>
      </c>
      <c r="Q37" s="35">
        <f t="shared" si="15"/>
        <v>0</v>
      </c>
      <c r="R37" s="35">
        <f t="shared" si="16"/>
        <v>36643426.650787093</v>
      </c>
      <c r="S37" s="33">
        <f t="shared" si="17"/>
        <v>398</v>
      </c>
    </row>
    <row r="38" spans="1:19" x14ac:dyDescent="0.3">
      <c r="A38" s="33">
        <f>34</f>
        <v>34</v>
      </c>
      <c r="B38" s="34">
        <f t="shared" si="0"/>
        <v>47392</v>
      </c>
      <c r="C38" s="33">
        <f t="shared" si="1"/>
        <v>3</v>
      </c>
      <c r="D38" s="33">
        <f t="shared" si="2"/>
        <v>10</v>
      </c>
      <c r="E38" s="35">
        <f t="shared" si="3"/>
        <v>91874.632500000007</v>
      </c>
      <c r="F38" s="35">
        <f t="shared" si="4"/>
        <v>36643426.650787093</v>
      </c>
      <c r="G38" s="33">
        <f t="shared" si="5"/>
        <v>398</v>
      </c>
      <c r="H38" s="35">
        <f t="shared" si="6"/>
        <v>36566103.734999999</v>
      </c>
      <c r="I38" s="35">
        <f t="shared" si="7"/>
        <v>77322.915787093341</v>
      </c>
      <c r="J38" s="35">
        <f t="shared" si="8"/>
        <v>3656610.3735000002</v>
      </c>
      <c r="K38" s="35">
        <f t="shared" si="9"/>
        <v>29096696.112750005</v>
      </c>
      <c r="L38" s="35">
        <f t="shared" si="10"/>
        <v>0</v>
      </c>
      <c r="M38" s="35">
        <f t="shared" si="11"/>
        <v>34916035.335300006</v>
      </c>
      <c r="N38" s="36">
        <f t="shared" si="12"/>
        <v>0.39</v>
      </c>
      <c r="O38" s="35">
        <f t="shared" si="13"/>
        <v>0</v>
      </c>
      <c r="P38" s="35">
        <f t="shared" si="14"/>
        <v>9921633.4383075014</v>
      </c>
      <c r="Q38" s="35">
        <f t="shared" si="15"/>
        <v>0</v>
      </c>
      <c r="R38" s="35">
        <f t="shared" si="16"/>
        <v>40300037.02428709</v>
      </c>
      <c r="S38" s="33">
        <f t="shared" si="17"/>
        <v>438</v>
      </c>
    </row>
    <row r="39" spans="1:19" x14ac:dyDescent="0.3">
      <c r="A39" s="33">
        <f>35</f>
        <v>35</v>
      </c>
      <c r="B39" s="34">
        <f t="shared" si="0"/>
        <v>47423</v>
      </c>
      <c r="C39" s="33">
        <f t="shared" si="1"/>
        <v>3</v>
      </c>
      <c r="D39" s="33">
        <f t="shared" si="2"/>
        <v>11</v>
      </c>
      <c r="E39" s="35">
        <f t="shared" si="3"/>
        <v>91874.632500000007</v>
      </c>
      <c r="F39" s="35">
        <f t="shared" si="4"/>
        <v>40300037.02428709</v>
      </c>
      <c r="G39" s="33">
        <f t="shared" si="5"/>
        <v>438</v>
      </c>
      <c r="H39" s="35">
        <f t="shared" si="6"/>
        <v>40241089.035000004</v>
      </c>
      <c r="I39" s="35">
        <f t="shared" si="7"/>
        <v>58947.989287085831</v>
      </c>
      <c r="J39" s="35">
        <f t="shared" si="8"/>
        <v>4024108.9035000005</v>
      </c>
      <c r="K39" s="35">
        <f t="shared" si="9"/>
        <v>33120805.016250007</v>
      </c>
      <c r="L39" s="35">
        <f t="shared" si="10"/>
        <v>0</v>
      </c>
      <c r="M39" s="35">
        <f t="shared" si="11"/>
        <v>36131787.290454552</v>
      </c>
      <c r="N39" s="36">
        <f t="shared" si="12"/>
        <v>0.39</v>
      </c>
      <c r="O39" s="35">
        <f t="shared" si="13"/>
        <v>0</v>
      </c>
      <c r="P39" s="35">
        <f t="shared" si="14"/>
        <v>9921633.4383075014</v>
      </c>
      <c r="Q39" s="35">
        <f t="shared" si="15"/>
        <v>0</v>
      </c>
      <c r="R39" s="35">
        <f t="shared" si="16"/>
        <v>44324145.927787088</v>
      </c>
      <c r="S39" s="33">
        <f t="shared" si="17"/>
        <v>482</v>
      </c>
    </row>
    <row r="40" spans="1:19" x14ac:dyDescent="0.3">
      <c r="A40" s="37">
        <f>36</f>
        <v>36</v>
      </c>
      <c r="B40" s="38">
        <f t="shared" si="0"/>
        <v>47453</v>
      </c>
      <c r="C40" s="37">
        <f t="shared" si="1"/>
        <v>3</v>
      </c>
      <c r="D40" s="37">
        <f t="shared" si="2"/>
        <v>12</v>
      </c>
      <c r="E40" s="39">
        <f t="shared" si="3"/>
        <v>91874.632500000007</v>
      </c>
      <c r="F40" s="39">
        <f t="shared" si="4"/>
        <v>44324145.927787088</v>
      </c>
      <c r="G40" s="37">
        <f t="shared" si="5"/>
        <v>482</v>
      </c>
      <c r="H40" s="39">
        <f t="shared" si="6"/>
        <v>44283572.865000002</v>
      </c>
      <c r="I40" s="39">
        <f t="shared" si="7"/>
        <v>40573.062787085772</v>
      </c>
      <c r="J40" s="39">
        <f t="shared" si="8"/>
        <v>4428357.2865000004</v>
      </c>
      <c r="K40" s="39">
        <f t="shared" si="9"/>
        <v>37549162.302750006</v>
      </c>
      <c r="L40" s="39">
        <f t="shared" si="10"/>
        <v>12109076.563500002</v>
      </c>
      <c r="M40" s="39">
        <f t="shared" si="11"/>
        <v>37549162.302750006</v>
      </c>
      <c r="N40" s="40">
        <f t="shared" si="12"/>
        <v>0.39</v>
      </c>
      <c r="O40" s="39">
        <f t="shared" si="13"/>
        <v>4722539.8597650006</v>
      </c>
      <c r="P40" s="39">
        <f t="shared" si="14"/>
        <v>14644173.298072502</v>
      </c>
      <c r="Q40" s="39">
        <f t="shared" si="15"/>
        <v>2290498.9004677506</v>
      </c>
      <c r="R40" s="39">
        <f t="shared" si="16"/>
        <v>41739464.454054333</v>
      </c>
      <c r="S40" s="37">
        <f t="shared" si="17"/>
        <v>454</v>
      </c>
    </row>
    <row r="41" spans="1:19" x14ac:dyDescent="0.3">
      <c r="A41" s="33">
        <f>37</f>
        <v>37</v>
      </c>
      <c r="B41" s="34">
        <f t="shared" si="0"/>
        <v>47484</v>
      </c>
      <c r="C41" s="33">
        <f t="shared" si="1"/>
        <v>4</v>
      </c>
      <c r="D41" s="33">
        <f t="shared" si="2"/>
        <v>1</v>
      </c>
      <c r="E41" s="35">
        <f t="shared" si="3"/>
        <v>96468.364125000007</v>
      </c>
      <c r="F41" s="35">
        <f t="shared" si="4"/>
        <v>41739464.454054333</v>
      </c>
      <c r="G41" s="33">
        <f t="shared" si="5"/>
        <v>432</v>
      </c>
      <c r="H41" s="35">
        <f t="shared" si="6"/>
        <v>41674333.302000001</v>
      </c>
      <c r="I41" s="35">
        <f t="shared" si="7"/>
        <v>65131.152054332197</v>
      </c>
      <c r="J41" s="35">
        <f t="shared" si="8"/>
        <v>4167433.3302000002</v>
      </c>
      <c r="K41" s="35">
        <f t="shared" si="9"/>
        <v>4167433.3302000002</v>
      </c>
      <c r="L41" s="35">
        <f t="shared" si="10"/>
        <v>0</v>
      </c>
      <c r="M41" s="35">
        <f t="shared" si="11"/>
        <v>50009199.962400004</v>
      </c>
      <c r="N41" s="36">
        <f t="shared" si="12"/>
        <v>0.39</v>
      </c>
      <c r="O41" s="35">
        <f t="shared" si="13"/>
        <v>0</v>
      </c>
      <c r="P41" s="35">
        <f t="shared" si="14"/>
        <v>0</v>
      </c>
      <c r="Q41" s="35">
        <f t="shared" si="15"/>
        <v>0</v>
      </c>
      <c r="R41" s="35">
        <f t="shared" si="16"/>
        <v>45906897.784254335</v>
      </c>
      <c r="S41" s="33">
        <f t="shared" si="17"/>
        <v>475</v>
      </c>
    </row>
    <row r="42" spans="1:19" x14ac:dyDescent="0.3">
      <c r="A42" s="33">
        <f>38</f>
        <v>38</v>
      </c>
      <c r="B42" s="34">
        <f t="shared" si="0"/>
        <v>47515</v>
      </c>
      <c r="C42" s="33">
        <f t="shared" si="1"/>
        <v>4</v>
      </c>
      <c r="D42" s="33">
        <f t="shared" si="2"/>
        <v>2</v>
      </c>
      <c r="E42" s="35">
        <f t="shared" si="3"/>
        <v>96468.364125000007</v>
      </c>
      <c r="F42" s="35">
        <f t="shared" si="4"/>
        <v>45906897.784254335</v>
      </c>
      <c r="G42" s="33">
        <f t="shared" si="5"/>
        <v>475</v>
      </c>
      <c r="H42" s="35">
        <f t="shared" si="6"/>
        <v>45822472.959375001</v>
      </c>
      <c r="I42" s="35">
        <f t="shared" si="7"/>
        <v>84424.824879333377</v>
      </c>
      <c r="J42" s="35">
        <f t="shared" si="8"/>
        <v>4582247.2959375</v>
      </c>
      <c r="K42" s="35">
        <f t="shared" si="9"/>
        <v>8749680.6261375006</v>
      </c>
      <c r="L42" s="35">
        <f t="shared" si="10"/>
        <v>0</v>
      </c>
      <c r="M42" s="35">
        <f t="shared" si="11"/>
        <v>52498083.756825</v>
      </c>
      <c r="N42" s="36">
        <f t="shared" si="12"/>
        <v>0.39</v>
      </c>
      <c r="O42" s="35">
        <f t="shared" si="13"/>
        <v>0</v>
      </c>
      <c r="P42" s="35">
        <f t="shared" si="14"/>
        <v>0</v>
      </c>
      <c r="Q42" s="35">
        <f t="shared" si="15"/>
        <v>0</v>
      </c>
      <c r="R42" s="35">
        <f t="shared" si="16"/>
        <v>50489145.080191836</v>
      </c>
      <c r="S42" s="33">
        <f t="shared" si="17"/>
        <v>523</v>
      </c>
    </row>
    <row r="43" spans="1:19" x14ac:dyDescent="0.3">
      <c r="A43" s="33">
        <f>39</f>
        <v>39</v>
      </c>
      <c r="B43" s="34">
        <f t="shared" si="0"/>
        <v>47543</v>
      </c>
      <c r="C43" s="33">
        <f t="shared" si="1"/>
        <v>4</v>
      </c>
      <c r="D43" s="33">
        <f t="shared" si="2"/>
        <v>3</v>
      </c>
      <c r="E43" s="35">
        <f t="shared" si="3"/>
        <v>96468.364125000007</v>
      </c>
      <c r="F43" s="35">
        <f t="shared" si="4"/>
        <v>50489145.080191836</v>
      </c>
      <c r="G43" s="33">
        <f t="shared" si="5"/>
        <v>523</v>
      </c>
      <c r="H43" s="35">
        <f t="shared" si="6"/>
        <v>50452954.437375002</v>
      </c>
      <c r="I43" s="35">
        <f t="shared" si="7"/>
        <v>36190.642816834152</v>
      </c>
      <c r="J43" s="35">
        <f t="shared" si="8"/>
        <v>5045295.4437375003</v>
      </c>
      <c r="K43" s="35">
        <f t="shared" si="9"/>
        <v>13794976.069875002</v>
      </c>
      <c r="L43" s="35">
        <f t="shared" si="10"/>
        <v>13794976.069875002</v>
      </c>
      <c r="M43" s="35">
        <f t="shared" si="11"/>
        <v>55179904.279500008</v>
      </c>
      <c r="N43" s="36">
        <f t="shared" si="12"/>
        <v>0.39</v>
      </c>
      <c r="O43" s="35">
        <f t="shared" si="13"/>
        <v>5380040.6672512507</v>
      </c>
      <c r="P43" s="35">
        <f t="shared" si="14"/>
        <v>5380040.6672512507</v>
      </c>
      <c r="Q43" s="35">
        <f t="shared" si="15"/>
        <v>0</v>
      </c>
      <c r="R43" s="35">
        <f t="shared" si="16"/>
        <v>50154399.856678084</v>
      </c>
      <c r="S43" s="33">
        <f t="shared" si="17"/>
        <v>519</v>
      </c>
    </row>
    <row r="44" spans="1:19" x14ac:dyDescent="0.3">
      <c r="A44" s="33">
        <f>40</f>
        <v>40</v>
      </c>
      <c r="B44" s="34">
        <f t="shared" si="0"/>
        <v>47574</v>
      </c>
      <c r="C44" s="33">
        <f t="shared" si="1"/>
        <v>4</v>
      </c>
      <c r="D44" s="33">
        <f t="shared" si="2"/>
        <v>4</v>
      </c>
      <c r="E44" s="35">
        <f t="shared" si="3"/>
        <v>96468.364125000007</v>
      </c>
      <c r="F44" s="35">
        <f t="shared" si="4"/>
        <v>50154399.856678084</v>
      </c>
      <c r="G44" s="33">
        <f t="shared" si="5"/>
        <v>519</v>
      </c>
      <c r="H44" s="35">
        <f t="shared" si="6"/>
        <v>50067080.980875</v>
      </c>
      <c r="I44" s="35">
        <f t="shared" si="7"/>
        <v>87318.875803083181</v>
      </c>
      <c r="J44" s="35">
        <f t="shared" si="8"/>
        <v>5006708.0980874998</v>
      </c>
      <c r="K44" s="35">
        <f t="shared" si="9"/>
        <v>18801684.167962503</v>
      </c>
      <c r="L44" s="35">
        <f t="shared" si="10"/>
        <v>0</v>
      </c>
      <c r="M44" s="35">
        <f t="shared" si="11"/>
        <v>56405052.503887504</v>
      </c>
      <c r="N44" s="36">
        <f t="shared" si="12"/>
        <v>0.39</v>
      </c>
      <c r="O44" s="35">
        <f t="shared" si="13"/>
        <v>0</v>
      </c>
      <c r="P44" s="35">
        <f t="shared" si="14"/>
        <v>5380040.6672512507</v>
      </c>
      <c r="Q44" s="35">
        <f t="shared" si="15"/>
        <v>0</v>
      </c>
      <c r="R44" s="35">
        <f t="shared" si="16"/>
        <v>55161107.954765581</v>
      </c>
      <c r="S44" s="33">
        <f t="shared" si="17"/>
        <v>571</v>
      </c>
    </row>
    <row r="45" spans="1:19" x14ac:dyDescent="0.3">
      <c r="A45" s="33">
        <f>41</f>
        <v>41</v>
      </c>
      <c r="B45" s="34">
        <f t="shared" si="0"/>
        <v>47604</v>
      </c>
      <c r="C45" s="33">
        <f t="shared" si="1"/>
        <v>4</v>
      </c>
      <c r="D45" s="33">
        <f t="shared" si="2"/>
        <v>5</v>
      </c>
      <c r="E45" s="35">
        <f t="shared" si="3"/>
        <v>96468.364125000007</v>
      </c>
      <c r="F45" s="35">
        <f t="shared" si="4"/>
        <v>55161107.954765581</v>
      </c>
      <c r="G45" s="33">
        <f t="shared" si="5"/>
        <v>571</v>
      </c>
      <c r="H45" s="35">
        <f t="shared" si="6"/>
        <v>55083435.915375002</v>
      </c>
      <c r="I45" s="35">
        <f t="shared" si="7"/>
        <v>77672.039390578866</v>
      </c>
      <c r="J45" s="35">
        <f t="shared" si="8"/>
        <v>5508343.5915375007</v>
      </c>
      <c r="K45" s="35">
        <f t="shared" si="9"/>
        <v>24310027.759500004</v>
      </c>
      <c r="L45" s="35">
        <f t="shared" si="10"/>
        <v>0</v>
      </c>
      <c r="M45" s="35">
        <f t="shared" si="11"/>
        <v>58344066.622800015</v>
      </c>
      <c r="N45" s="36">
        <f t="shared" si="12"/>
        <v>0.39</v>
      </c>
      <c r="O45" s="35">
        <f t="shared" si="13"/>
        <v>0</v>
      </c>
      <c r="P45" s="35">
        <f t="shared" si="14"/>
        <v>5380040.6672512507</v>
      </c>
      <c r="Q45" s="35">
        <f t="shared" si="15"/>
        <v>0</v>
      </c>
      <c r="R45" s="35">
        <f t="shared" si="16"/>
        <v>60669451.546303079</v>
      </c>
      <c r="S45" s="33">
        <f t="shared" si="17"/>
        <v>628</v>
      </c>
    </row>
    <row r="46" spans="1:19" x14ac:dyDescent="0.3">
      <c r="A46" s="33">
        <f>42</f>
        <v>42</v>
      </c>
      <c r="B46" s="34">
        <f t="shared" si="0"/>
        <v>47635</v>
      </c>
      <c r="C46" s="33">
        <f t="shared" si="1"/>
        <v>4</v>
      </c>
      <c r="D46" s="33">
        <f t="shared" si="2"/>
        <v>6</v>
      </c>
      <c r="E46" s="35">
        <f t="shared" si="3"/>
        <v>96468.364125000007</v>
      </c>
      <c r="F46" s="35">
        <f t="shared" si="4"/>
        <v>60669451.546303079</v>
      </c>
      <c r="G46" s="33">
        <f t="shared" si="5"/>
        <v>628</v>
      </c>
      <c r="H46" s="35">
        <f t="shared" si="6"/>
        <v>60582132.670500003</v>
      </c>
      <c r="I46" s="35">
        <f t="shared" si="7"/>
        <v>87318.875803075731</v>
      </c>
      <c r="J46" s="35">
        <f t="shared" si="8"/>
        <v>6058213.2670500008</v>
      </c>
      <c r="K46" s="35">
        <f t="shared" si="9"/>
        <v>30368241.026550006</v>
      </c>
      <c r="L46" s="35">
        <f t="shared" si="10"/>
        <v>16573264.956675</v>
      </c>
      <c r="M46" s="35">
        <f t="shared" si="11"/>
        <v>60736482.053100012</v>
      </c>
      <c r="N46" s="36">
        <f t="shared" si="12"/>
        <v>0.39</v>
      </c>
      <c r="O46" s="35">
        <f t="shared" si="13"/>
        <v>6463573.3331032507</v>
      </c>
      <c r="P46" s="35">
        <f t="shared" si="14"/>
        <v>11843614.000354502</v>
      </c>
      <c r="Q46" s="35">
        <f t="shared" si="15"/>
        <v>0</v>
      </c>
      <c r="R46" s="35">
        <f t="shared" si="16"/>
        <v>60264091.480249822</v>
      </c>
      <c r="S46" s="33">
        <f t="shared" si="17"/>
        <v>624</v>
      </c>
    </row>
    <row r="47" spans="1:19" x14ac:dyDescent="0.3">
      <c r="A47" s="33">
        <f>43</f>
        <v>43</v>
      </c>
      <c r="B47" s="34">
        <f t="shared" si="0"/>
        <v>47665</v>
      </c>
      <c r="C47" s="33">
        <f t="shared" si="1"/>
        <v>4</v>
      </c>
      <c r="D47" s="33">
        <f t="shared" si="2"/>
        <v>7</v>
      </c>
      <c r="E47" s="35">
        <f t="shared" si="3"/>
        <v>96468.364125000007</v>
      </c>
      <c r="F47" s="35">
        <f t="shared" si="4"/>
        <v>60264091.480249822</v>
      </c>
      <c r="G47" s="33">
        <f t="shared" si="5"/>
        <v>624</v>
      </c>
      <c r="H47" s="35">
        <f t="shared" si="6"/>
        <v>60196259.214000002</v>
      </c>
      <c r="I47" s="35">
        <f t="shared" si="7"/>
        <v>67832.26624982059</v>
      </c>
      <c r="J47" s="35">
        <f t="shared" si="8"/>
        <v>6019625.9214000003</v>
      </c>
      <c r="K47" s="35">
        <f t="shared" si="9"/>
        <v>36387866.947950006</v>
      </c>
      <c r="L47" s="35">
        <f t="shared" si="10"/>
        <v>0</v>
      </c>
      <c r="M47" s="35">
        <f t="shared" si="11"/>
        <v>62379200.482200012</v>
      </c>
      <c r="N47" s="36">
        <f t="shared" si="12"/>
        <v>0.39</v>
      </c>
      <c r="O47" s="35">
        <f t="shared" si="13"/>
        <v>0</v>
      </c>
      <c r="P47" s="35">
        <f t="shared" si="14"/>
        <v>11843614.000354502</v>
      </c>
      <c r="Q47" s="35">
        <f t="shared" si="15"/>
        <v>0</v>
      </c>
      <c r="R47" s="35">
        <f t="shared" si="16"/>
        <v>66283717.401649825</v>
      </c>
      <c r="S47" s="33">
        <f t="shared" si="17"/>
        <v>687</v>
      </c>
    </row>
    <row r="48" spans="1:19" x14ac:dyDescent="0.3">
      <c r="A48" s="33">
        <f>44</f>
        <v>44</v>
      </c>
      <c r="B48" s="34">
        <f t="shared" si="0"/>
        <v>47696</v>
      </c>
      <c r="C48" s="33">
        <f t="shared" si="1"/>
        <v>4</v>
      </c>
      <c r="D48" s="33">
        <f t="shared" si="2"/>
        <v>8</v>
      </c>
      <c r="E48" s="35">
        <f t="shared" si="3"/>
        <v>96468.364125000007</v>
      </c>
      <c r="F48" s="35">
        <f t="shared" si="4"/>
        <v>66283717.401649825</v>
      </c>
      <c r="G48" s="33">
        <f t="shared" si="5"/>
        <v>687</v>
      </c>
      <c r="H48" s="35">
        <f t="shared" si="6"/>
        <v>66273766.153875008</v>
      </c>
      <c r="I48" s="35">
        <f t="shared" si="7"/>
        <v>9951.2477748170495</v>
      </c>
      <c r="J48" s="35">
        <f t="shared" si="8"/>
        <v>6627376.6153875012</v>
      </c>
      <c r="K48" s="35">
        <f t="shared" si="9"/>
        <v>43015243.563337505</v>
      </c>
      <c r="L48" s="35">
        <f t="shared" si="10"/>
        <v>0</v>
      </c>
      <c r="M48" s="35">
        <f t="shared" si="11"/>
        <v>64522865.345006257</v>
      </c>
      <c r="N48" s="36">
        <f t="shared" si="12"/>
        <v>0.39</v>
      </c>
      <c r="O48" s="35">
        <f t="shared" si="13"/>
        <v>0</v>
      </c>
      <c r="P48" s="35">
        <f t="shared" si="14"/>
        <v>11843614.000354502</v>
      </c>
      <c r="Q48" s="35">
        <f t="shared" si="15"/>
        <v>0</v>
      </c>
      <c r="R48" s="35">
        <f t="shared" si="16"/>
        <v>72911094.017037332</v>
      </c>
      <c r="S48" s="33">
        <f t="shared" si="17"/>
        <v>755</v>
      </c>
    </row>
    <row r="49" spans="1:19" x14ac:dyDescent="0.3">
      <c r="A49" s="33">
        <f>45</f>
        <v>45</v>
      </c>
      <c r="B49" s="34">
        <f t="shared" si="0"/>
        <v>47727</v>
      </c>
      <c r="C49" s="33">
        <f t="shared" si="1"/>
        <v>4</v>
      </c>
      <c r="D49" s="33">
        <f t="shared" si="2"/>
        <v>9</v>
      </c>
      <c r="E49" s="35">
        <f t="shared" si="3"/>
        <v>96468.364125000007</v>
      </c>
      <c r="F49" s="35">
        <f t="shared" si="4"/>
        <v>72911094.017037332</v>
      </c>
      <c r="G49" s="33">
        <f t="shared" si="5"/>
        <v>755</v>
      </c>
      <c r="H49" s="35">
        <f t="shared" si="6"/>
        <v>72833614.914375007</v>
      </c>
      <c r="I49" s="35">
        <f t="shared" si="7"/>
        <v>77479.102662324905</v>
      </c>
      <c r="J49" s="35">
        <f t="shared" si="8"/>
        <v>7283361.4914375013</v>
      </c>
      <c r="K49" s="35">
        <f t="shared" si="9"/>
        <v>50298605.054775007</v>
      </c>
      <c r="L49" s="35">
        <f t="shared" si="10"/>
        <v>19930364.028225005</v>
      </c>
      <c r="M49" s="35">
        <f t="shared" si="11"/>
        <v>67064806.739700012</v>
      </c>
      <c r="N49" s="36">
        <f t="shared" si="12"/>
        <v>0.39</v>
      </c>
      <c r="O49" s="35">
        <f t="shared" si="13"/>
        <v>7772841.9710077522</v>
      </c>
      <c r="P49" s="35">
        <f t="shared" si="14"/>
        <v>19616455.971362256</v>
      </c>
      <c r="Q49" s="35">
        <f t="shared" si="15"/>
        <v>0</v>
      </c>
      <c r="R49" s="35">
        <f t="shared" si="16"/>
        <v>72421613.537467077</v>
      </c>
      <c r="S49" s="33">
        <f t="shared" si="17"/>
        <v>750</v>
      </c>
    </row>
    <row r="50" spans="1:19" x14ac:dyDescent="0.3">
      <c r="A50" s="33">
        <f>46</f>
        <v>46</v>
      </c>
      <c r="B50" s="34">
        <f t="shared" si="0"/>
        <v>47757</v>
      </c>
      <c r="C50" s="33">
        <f t="shared" si="1"/>
        <v>4</v>
      </c>
      <c r="D50" s="33">
        <f t="shared" si="2"/>
        <v>10</v>
      </c>
      <c r="E50" s="35">
        <f t="shared" si="3"/>
        <v>96468.364125000007</v>
      </c>
      <c r="F50" s="35">
        <f t="shared" si="4"/>
        <v>72421613.537467077</v>
      </c>
      <c r="G50" s="33">
        <f t="shared" si="5"/>
        <v>750</v>
      </c>
      <c r="H50" s="35">
        <f t="shared" si="6"/>
        <v>72351273.09375</v>
      </c>
      <c r="I50" s="35">
        <f t="shared" si="7"/>
        <v>70340.443717077374</v>
      </c>
      <c r="J50" s="35">
        <f t="shared" si="8"/>
        <v>7235127.3093750002</v>
      </c>
      <c r="K50" s="35">
        <f t="shared" si="9"/>
        <v>57533732.36415001</v>
      </c>
      <c r="L50" s="35">
        <f t="shared" si="10"/>
        <v>0</v>
      </c>
      <c r="M50" s="35">
        <f t="shared" si="11"/>
        <v>69040478.836980015</v>
      </c>
      <c r="N50" s="36">
        <f t="shared" si="12"/>
        <v>0.39</v>
      </c>
      <c r="O50" s="35">
        <f t="shared" si="13"/>
        <v>0</v>
      </c>
      <c r="P50" s="35">
        <f t="shared" si="14"/>
        <v>19616455.971362256</v>
      </c>
      <c r="Q50" s="35">
        <f t="shared" si="15"/>
        <v>0</v>
      </c>
      <c r="R50" s="35">
        <f t="shared" si="16"/>
        <v>79656740.84684208</v>
      </c>
      <c r="S50" s="33">
        <f t="shared" si="17"/>
        <v>825</v>
      </c>
    </row>
    <row r="51" spans="1:19" x14ac:dyDescent="0.3">
      <c r="A51" s="33">
        <f>47</f>
        <v>47</v>
      </c>
      <c r="B51" s="34">
        <f t="shared" si="0"/>
        <v>47788</v>
      </c>
      <c r="C51" s="33">
        <f t="shared" si="1"/>
        <v>4</v>
      </c>
      <c r="D51" s="33">
        <f t="shared" si="2"/>
        <v>11</v>
      </c>
      <c r="E51" s="35">
        <f t="shared" si="3"/>
        <v>96468.364125000007</v>
      </c>
      <c r="F51" s="35">
        <f t="shared" si="4"/>
        <v>79656740.84684208</v>
      </c>
      <c r="G51" s="33">
        <f t="shared" si="5"/>
        <v>825</v>
      </c>
      <c r="H51" s="35">
        <f t="shared" si="6"/>
        <v>79586400.403125003</v>
      </c>
      <c r="I51" s="35">
        <f t="shared" si="7"/>
        <v>70340.443717077374</v>
      </c>
      <c r="J51" s="35">
        <f t="shared" si="8"/>
        <v>7958640.0403125007</v>
      </c>
      <c r="K51" s="35">
        <f t="shared" si="9"/>
        <v>65492372.404462509</v>
      </c>
      <c r="L51" s="35">
        <f t="shared" si="10"/>
        <v>0</v>
      </c>
      <c r="M51" s="35">
        <f t="shared" si="11"/>
        <v>71446224.441231832</v>
      </c>
      <c r="N51" s="36">
        <f t="shared" si="12"/>
        <v>0.39</v>
      </c>
      <c r="O51" s="35">
        <f t="shared" si="13"/>
        <v>0</v>
      </c>
      <c r="P51" s="35">
        <f t="shared" si="14"/>
        <v>19616455.971362256</v>
      </c>
      <c r="Q51" s="35">
        <f t="shared" si="15"/>
        <v>0</v>
      </c>
      <c r="R51" s="35">
        <f t="shared" si="16"/>
        <v>87615380.887154579</v>
      </c>
      <c r="S51" s="33">
        <f t="shared" si="17"/>
        <v>908</v>
      </c>
    </row>
    <row r="52" spans="1:19" x14ac:dyDescent="0.3">
      <c r="A52" s="37">
        <f>48</f>
        <v>48</v>
      </c>
      <c r="B52" s="38">
        <f t="shared" si="0"/>
        <v>47818</v>
      </c>
      <c r="C52" s="37">
        <f t="shared" si="1"/>
        <v>4</v>
      </c>
      <c r="D52" s="37">
        <f t="shared" si="2"/>
        <v>12</v>
      </c>
      <c r="E52" s="39">
        <f t="shared" si="3"/>
        <v>96468.364125000007</v>
      </c>
      <c r="F52" s="39">
        <f t="shared" si="4"/>
        <v>87615380.887154579</v>
      </c>
      <c r="G52" s="37">
        <f t="shared" si="5"/>
        <v>908</v>
      </c>
      <c r="H52" s="39">
        <f t="shared" si="6"/>
        <v>87593274.625500008</v>
      </c>
      <c r="I52" s="39">
        <f t="shared" si="7"/>
        <v>22106.261654570699</v>
      </c>
      <c r="J52" s="39">
        <f t="shared" si="8"/>
        <v>8759327.4625500012</v>
      </c>
      <c r="K52" s="39">
        <f t="shared" si="9"/>
        <v>74251699.867012516</v>
      </c>
      <c r="L52" s="39">
        <f t="shared" si="10"/>
        <v>23953094.812237501</v>
      </c>
      <c r="M52" s="39">
        <f t="shared" si="11"/>
        <v>74251699.867012516</v>
      </c>
      <c r="N52" s="40">
        <f t="shared" si="12"/>
        <v>0.39</v>
      </c>
      <c r="O52" s="39">
        <f t="shared" si="13"/>
        <v>9341706.976772625</v>
      </c>
      <c r="P52" s="39">
        <f t="shared" si="14"/>
        <v>28958162.948134881</v>
      </c>
      <c r="Q52" s="39">
        <f t="shared" si="15"/>
        <v>4529353.6918877633</v>
      </c>
      <c r="R52" s="39">
        <f t="shared" si="16"/>
        <v>82503647.681044191</v>
      </c>
      <c r="S52" s="37">
        <f t="shared" si="17"/>
        <v>855</v>
      </c>
    </row>
    <row r="53" spans="1:19" x14ac:dyDescent="0.3">
      <c r="A53" s="33">
        <f>49</f>
        <v>49</v>
      </c>
      <c r="B53" s="34">
        <f t="shared" si="0"/>
        <v>47849</v>
      </c>
      <c r="C53" s="33">
        <f t="shared" si="1"/>
        <v>5</v>
      </c>
      <c r="D53" s="33">
        <f t="shared" si="2"/>
        <v>1</v>
      </c>
      <c r="E53" s="35">
        <f t="shared" si="3"/>
        <v>101291.78233125</v>
      </c>
      <c r="F53" s="35">
        <f t="shared" si="4"/>
        <v>82503647.681044191</v>
      </c>
      <c r="G53" s="33">
        <f t="shared" si="5"/>
        <v>814</v>
      </c>
      <c r="H53" s="35">
        <f t="shared" si="6"/>
        <v>82451510.817637503</v>
      </c>
      <c r="I53" s="35">
        <f t="shared" si="7"/>
        <v>52136.863406687975</v>
      </c>
      <c r="J53" s="35">
        <f t="shared" si="8"/>
        <v>8245151.0817637509</v>
      </c>
      <c r="K53" s="35">
        <f t="shared" si="9"/>
        <v>8245151.0817637509</v>
      </c>
      <c r="L53" s="35">
        <f t="shared" si="10"/>
        <v>0</v>
      </c>
      <c r="M53" s="35">
        <f t="shared" si="11"/>
        <v>98941812.981165007</v>
      </c>
      <c r="N53" s="36">
        <f t="shared" si="12"/>
        <v>0.39</v>
      </c>
      <c r="O53" s="35">
        <f t="shared" si="13"/>
        <v>0</v>
      </c>
      <c r="P53" s="35">
        <f t="shared" si="14"/>
        <v>0</v>
      </c>
      <c r="Q53" s="35">
        <f t="shared" si="15"/>
        <v>0</v>
      </c>
      <c r="R53" s="35">
        <f t="shared" si="16"/>
        <v>90748798.762807935</v>
      </c>
      <c r="S53" s="33">
        <f t="shared" si="17"/>
        <v>895</v>
      </c>
    </row>
    <row r="54" spans="1:19" x14ac:dyDescent="0.3">
      <c r="A54" s="33">
        <f>50</f>
        <v>50</v>
      </c>
      <c r="B54" s="34">
        <f t="shared" si="0"/>
        <v>47880</v>
      </c>
      <c r="C54" s="33">
        <f t="shared" si="1"/>
        <v>5</v>
      </c>
      <c r="D54" s="33">
        <f t="shared" si="2"/>
        <v>2</v>
      </c>
      <c r="E54" s="35">
        <f t="shared" si="3"/>
        <v>101291.78233125</v>
      </c>
      <c r="F54" s="35">
        <f t="shared" si="4"/>
        <v>90748798.762807935</v>
      </c>
      <c r="G54" s="33">
        <f t="shared" si="5"/>
        <v>895</v>
      </c>
      <c r="H54" s="35">
        <f t="shared" si="6"/>
        <v>90656145.18646875</v>
      </c>
      <c r="I54" s="35">
        <f t="shared" si="7"/>
        <v>92653.576339185238</v>
      </c>
      <c r="J54" s="35">
        <f t="shared" si="8"/>
        <v>9065614.5186468754</v>
      </c>
      <c r="K54" s="35">
        <f t="shared" si="9"/>
        <v>17310765.600410625</v>
      </c>
      <c r="L54" s="35">
        <f t="shared" si="10"/>
        <v>0</v>
      </c>
      <c r="M54" s="35">
        <f t="shared" si="11"/>
        <v>103864593.60246375</v>
      </c>
      <c r="N54" s="36">
        <f t="shared" si="12"/>
        <v>0.39</v>
      </c>
      <c r="O54" s="35">
        <f t="shared" si="13"/>
        <v>0</v>
      </c>
      <c r="P54" s="35">
        <f t="shared" si="14"/>
        <v>0</v>
      </c>
      <c r="Q54" s="35">
        <f t="shared" si="15"/>
        <v>0</v>
      </c>
      <c r="R54" s="35">
        <f t="shared" si="16"/>
        <v>99814413.281454816</v>
      </c>
      <c r="S54" s="33">
        <f t="shared" si="17"/>
        <v>985</v>
      </c>
    </row>
    <row r="55" spans="1:19" x14ac:dyDescent="0.3">
      <c r="A55" s="33">
        <f>51</f>
        <v>51</v>
      </c>
      <c r="B55" s="34">
        <f t="shared" si="0"/>
        <v>47908</v>
      </c>
      <c r="C55" s="33">
        <f t="shared" si="1"/>
        <v>5</v>
      </c>
      <c r="D55" s="33">
        <f t="shared" si="2"/>
        <v>3</v>
      </c>
      <c r="E55" s="35">
        <f t="shared" si="3"/>
        <v>101291.78233125</v>
      </c>
      <c r="F55" s="35">
        <f t="shared" si="4"/>
        <v>99814413.281454816</v>
      </c>
      <c r="G55" s="33">
        <f t="shared" si="5"/>
        <v>985</v>
      </c>
      <c r="H55" s="35">
        <f t="shared" si="6"/>
        <v>99772405.596281245</v>
      </c>
      <c r="I55" s="35">
        <f t="shared" si="7"/>
        <v>42007.68517357111</v>
      </c>
      <c r="J55" s="35">
        <f t="shared" si="8"/>
        <v>9977240.5596281253</v>
      </c>
      <c r="K55" s="35">
        <f t="shared" si="9"/>
        <v>27288006.160038751</v>
      </c>
      <c r="L55" s="35">
        <f t="shared" si="10"/>
        <v>27288006.160038751</v>
      </c>
      <c r="M55" s="35">
        <f t="shared" si="11"/>
        <v>109152024.640155</v>
      </c>
      <c r="N55" s="36">
        <f t="shared" si="12"/>
        <v>0.39</v>
      </c>
      <c r="O55" s="35">
        <f t="shared" si="13"/>
        <v>10642322.402415114</v>
      </c>
      <c r="P55" s="35">
        <f t="shared" si="14"/>
        <v>10642322.402415114</v>
      </c>
      <c r="Q55" s="35">
        <f t="shared" si="15"/>
        <v>0</v>
      </c>
      <c r="R55" s="35">
        <f t="shared" si="16"/>
        <v>99149331.438667834</v>
      </c>
      <c r="S55" s="33">
        <f t="shared" si="17"/>
        <v>978</v>
      </c>
    </row>
    <row r="56" spans="1:19" x14ac:dyDescent="0.3">
      <c r="A56" s="33">
        <f>52</f>
        <v>52</v>
      </c>
      <c r="B56" s="34">
        <f t="shared" si="0"/>
        <v>47939</v>
      </c>
      <c r="C56" s="33">
        <f t="shared" si="1"/>
        <v>5</v>
      </c>
      <c r="D56" s="33">
        <f t="shared" si="2"/>
        <v>4</v>
      </c>
      <c r="E56" s="35">
        <f t="shared" si="3"/>
        <v>101291.78233125</v>
      </c>
      <c r="F56" s="35">
        <f t="shared" si="4"/>
        <v>99149331.438667834</v>
      </c>
      <c r="G56" s="33">
        <f t="shared" si="5"/>
        <v>978</v>
      </c>
      <c r="H56" s="35">
        <f t="shared" si="6"/>
        <v>99063363.119962499</v>
      </c>
      <c r="I56" s="35">
        <f t="shared" si="7"/>
        <v>85968.318705335259</v>
      </c>
      <c r="J56" s="35">
        <f t="shared" si="8"/>
        <v>9906336.3119962495</v>
      </c>
      <c r="K56" s="35">
        <f t="shared" si="9"/>
        <v>37194342.472034998</v>
      </c>
      <c r="L56" s="35">
        <f t="shared" si="10"/>
        <v>0</v>
      </c>
      <c r="M56" s="35">
        <f t="shared" si="11"/>
        <v>111583027.416105</v>
      </c>
      <c r="N56" s="36">
        <f t="shared" si="12"/>
        <v>0.39</v>
      </c>
      <c r="O56" s="35">
        <f t="shared" si="13"/>
        <v>0</v>
      </c>
      <c r="P56" s="35">
        <f t="shared" si="14"/>
        <v>10642322.402415114</v>
      </c>
      <c r="Q56" s="35">
        <f t="shared" si="15"/>
        <v>0</v>
      </c>
      <c r="R56" s="35">
        <f t="shared" si="16"/>
        <v>109055667.75066409</v>
      </c>
      <c r="S56" s="33">
        <f t="shared" si="17"/>
        <v>1076</v>
      </c>
    </row>
    <row r="57" spans="1:19" x14ac:dyDescent="0.3">
      <c r="A57" s="33">
        <f>53</f>
        <v>53</v>
      </c>
      <c r="B57" s="34">
        <f t="shared" si="0"/>
        <v>47969</v>
      </c>
      <c r="C57" s="33">
        <f t="shared" si="1"/>
        <v>5</v>
      </c>
      <c r="D57" s="33">
        <f t="shared" si="2"/>
        <v>5</v>
      </c>
      <c r="E57" s="35">
        <f t="shared" si="3"/>
        <v>101291.78233125</v>
      </c>
      <c r="F57" s="35">
        <f t="shared" si="4"/>
        <v>109055667.75066409</v>
      </c>
      <c r="G57" s="33">
        <f t="shared" si="5"/>
        <v>1076</v>
      </c>
      <c r="H57" s="35">
        <f t="shared" si="6"/>
        <v>108989957.788425</v>
      </c>
      <c r="I57" s="35">
        <f t="shared" si="7"/>
        <v>65709.962239086628</v>
      </c>
      <c r="J57" s="35">
        <f t="shared" si="8"/>
        <v>10898995.778842501</v>
      </c>
      <c r="K57" s="35">
        <f t="shared" si="9"/>
        <v>48093338.2508775</v>
      </c>
      <c r="L57" s="35">
        <f t="shared" si="10"/>
        <v>0</v>
      </c>
      <c r="M57" s="35">
        <f t="shared" si="11"/>
        <v>115424011.80210599</v>
      </c>
      <c r="N57" s="36">
        <f t="shared" si="12"/>
        <v>0.39</v>
      </c>
      <c r="O57" s="35">
        <f t="shared" si="13"/>
        <v>0</v>
      </c>
      <c r="P57" s="35">
        <f t="shared" si="14"/>
        <v>10642322.402415114</v>
      </c>
      <c r="Q57" s="35">
        <f t="shared" si="15"/>
        <v>0</v>
      </c>
      <c r="R57" s="35">
        <f t="shared" si="16"/>
        <v>119954663.52950659</v>
      </c>
      <c r="S57" s="33">
        <f t="shared" si="17"/>
        <v>1184</v>
      </c>
    </row>
    <row r="58" spans="1:19" x14ac:dyDescent="0.3">
      <c r="A58" s="33">
        <f>54</f>
        <v>54</v>
      </c>
      <c r="B58" s="34">
        <f t="shared" si="0"/>
        <v>48000</v>
      </c>
      <c r="C58" s="33">
        <f t="shared" si="1"/>
        <v>5</v>
      </c>
      <c r="D58" s="33">
        <f t="shared" si="2"/>
        <v>6</v>
      </c>
      <c r="E58" s="35">
        <f t="shared" si="3"/>
        <v>101291.78233125</v>
      </c>
      <c r="F58" s="35">
        <f t="shared" si="4"/>
        <v>119954663.52950659</v>
      </c>
      <c r="G58" s="33">
        <f t="shared" si="5"/>
        <v>1184</v>
      </c>
      <c r="H58" s="35">
        <f t="shared" si="6"/>
        <v>119929470.28019999</v>
      </c>
      <c r="I58" s="35">
        <f t="shared" si="7"/>
        <v>25193.249306604266</v>
      </c>
      <c r="J58" s="35">
        <f t="shared" si="8"/>
        <v>11992947.02802</v>
      </c>
      <c r="K58" s="35">
        <f t="shared" si="9"/>
        <v>60086285.278897502</v>
      </c>
      <c r="L58" s="35">
        <f t="shared" si="10"/>
        <v>32798279.118858755</v>
      </c>
      <c r="M58" s="35">
        <f t="shared" si="11"/>
        <v>120172570.557795</v>
      </c>
      <c r="N58" s="36">
        <f t="shared" si="12"/>
        <v>0.39</v>
      </c>
      <c r="O58" s="35">
        <f t="shared" si="13"/>
        <v>12791328.856354915</v>
      </c>
      <c r="P58" s="35">
        <f t="shared" si="14"/>
        <v>23433651.258770026</v>
      </c>
      <c r="Q58" s="35">
        <f t="shared" si="15"/>
        <v>0</v>
      </c>
      <c r="R58" s="35">
        <f t="shared" si="16"/>
        <v>119156281.70117167</v>
      </c>
      <c r="S58" s="33">
        <f t="shared" si="17"/>
        <v>1176</v>
      </c>
    </row>
    <row r="59" spans="1:19" x14ac:dyDescent="0.3">
      <c r="A59" s="33">
        <f>55</f>
        <v>55</v>
      </c>
      <c r="B59" s="34">
        <f t="shared" si="0"/>
        <v>48030</v>
      </c>
      <c r="C59" s="33">
        <f t="shared" si="1"/>
        <v>5</v>
      </c>
      <c r="D59" s="33">
        <f t="shared" si="2"/>
        <v>7</v>
      </c>
      <c r="E59" s="35">
        <f t="shared" si="3"/>
        <v>101291.78233125</v>
      </c>
      <c r="F59" s="35">
        <f t="shared" si="4"/>
        <v>119156281.70117167</v>
      </c>
      <c r="G59" s="33">
        <f t="shared" si="5"/>
        <v>1176</v>
      </c>
      <c r="H59" s="35">
        <f t="shared" si="6"/>
        <v>119119136.02155</v>
      </c>
      <c r="I59" s="35">
        <f t="shared" si="7"/>
        <v>37145.67962166667</v>
      </c>
      <c r="J59" s="35">
        <f t="shared" si="8"/>
        <v>11911913.602155</v>
      </c>
      <c r="K59" s="35">
        <f t="shared" si="9"/>
        <v>71998198.881052494</v>
      </c>
      <c r="L59" s="35">
        <f t="shared" si="10"/>
        <v>0</v>
      </c>
      <c r="M59" s="35">
        <f t="shared" si="11"/>
        <v>123425483.79608999</v>
      </c>
      <c r="N59" s="36">
        <f t="shared" si="12"/>
        <v>0.39</v>
      </c>
      <c r="O59" s="35">
        <f t="shared" si="13"/>
        <v>0</v>
      </c>
      <c r="P59" s="35">
        <f t="shared" si="14"/>
        <v>23433651.258770026</v>
      </c>
      <c r="Q59" s="35">
        <f t="shared" si="15"/>
        <v>0</v>
      </c>
      <c r="R59" s="35">
        <f t="shared" si="16"/>
        <v>131068195.30332667</v>
      </c>
      <c r="S59" s="33">
        <f t="shared" si="17"/>
        <v>1293</v>
      </c>
    </row>
    <row r="60" spans="1:19" x14ac:dyDescent="0.3">
      <c r="A60" s="33">
        <f>56</f>
        <v>56</v>
      </c>
      <c r="B60" s="34">
        <f t="shared" si="0"/>
        <v>48061</v>
      </c>
      <c r="C60" s="33">
        <f t="shared" si="1"/>
        <v>5</v>
      </c>
      <c r="D60" s="33">
        <f t="shared" si="2"/>
        <v>8</v>
      </c>
      <c r="E60" s="35">
        <f t="shared" si="3"/>
        <v>101291.78233125</v>
      </c>
      <c r="F60" s="35">
        <f t="shared" si="4"/>
        <v>131068195.30332667</v>
      </c>
      <c r="G60" s="33">
        <f t="shared" si="5"/>
        <v>1293</v>
      </c>
      <c r="H60" s="35">
        <f t="shared" si="6"/>
        <v>130970274.55430624</v>
      </c>
      <c r="I60" s="35">
        <f t="shared" si="7"/>
        <v>97920.749020427465</v>
      </c>
      <c r="J60" s="35">
        <f t="shared" si="8"/>
        <v>13097027.455430625</v>
      </c>
      <c r="K60" s="35">
        <f t="shared" si="9"/>
        <v>85095226.336483121</v>
      </c>
      <c r="L60" s="35">
        <f t="shared" si="10"/>
        <v>0</v>
      </c>
      <c r="M60" s="35">
        <f t="shared" si="11"/>
        <v>127642839.50472468</v>
      </c>
      <c r="N60" s="36">
        <f t="shared" si="12"/>
        <v>0.39</v>
      </c>
      <c r="O60" s="35">
        <f t="shared" si="13"/>
        <v>0</v>
      </c>
      <c r="P60" s="35">
        <f t="shared" si="14"/>
        <v>23433651.258770026</v>
      </c>
      <c r="Q60" s="35">
        <f t="shared" si="15"/>
        <v>0</v>
      </c>
      <c r="R60" s="35">
        <f t="shared" si="16"/>
        <v>144165222.75875729</v>
      </c>
      <c r="S60" s="33">
        <f t="shared" si="17"/>
        <v>1423</v>
      </c>
    </row>
    <row r="61" spans="1:19" x14ac:dyDescent="0.3">
      <c r="A61" s="33">
        <f>57</f>
        <v>57</v>
      </c>
      <c r="B61" s="34">
        <f t="shared" si="0"/>
        <v>48092</v>
      </c>
      <c r="C61" s="33">
        <f t="shared" si="1"/>
        <v>5</v>
      </c>
      <c r="D61" s="33">
        <f t="shared" si="2"/>
        <v>9</v>
      </c>
      <c r="E61" s="35">
        <f t="shared" si="3"/>
        <v>101291.78233125</v>
      </c>
      <c r="F61" s="35">
        <f t="shared" si="4"/>
        <v>144165222.75875729</v>
      </c>
      <c r="G61" s="33">
        <f t="shared" si="5"/>
        <v>1423</v>
      </c>
      <c r="H61" s="35">
        <f t="shared" si="6"/>
        <v>144138206.25736874</v>
      </c>
      <c r="I61" s="35">
        <f t="shared" si="7"/>
        <v>27016.501388549805</v>
      </c>
      <c r="J61" s="35">
        <f t="shared" si="8"/>
        <v>14413820.625736875</v>
      </c>
      <c r="K61" s="35">
        <f t="shared" si="9"/>
        <v>99509046.962219998</v>
      </c>
      <c r="L61" s="35">
        <f t="shared" si="10"/>
        <v>39422761.683322504</v>
      </c>
      <c r="M61" s="35">
        <f t="shared" si="11"/>
        <v>132678729.28296</v>
      </c>
      <c r="N61" s="36">
        <f t="shared" si="12"/>
        <v>0.39</v>
      </c>
      <c r="O61" s="35">
        <f t="shared" si="13"/>
        <v>15374877.056495776</v>
      </c>
      <c r="P61" s="35">
        <f t="shared" si="14"/>
        <v>38808528.315265805</v>
      </c>
      <c r="Q61" s="35">
        <f t="shared" si="15"/>
        <v>0</v>
      </c>
      <c r="R61" s="35">
        <f t="shared" si="16"/>
        <v>143204166.32799837</v>
      </c>
      <c r="S61" s="33">
        <f t="shared" si="17"/>
        <v>1413</v>
      </c>
    </row>
    <row r="62" spans="1:19" x14ac:dyDescent="0.3">
      <c r="A62" s="33">
        <f>58</f>
        <v>58</v>
      </c>
      <c r="B62" s="34">
        <f t="shared" si="0"/>
        <v>48122</v>
      </c>
      <c r="C62" s="33">
        <f t="shared" si="1"/>
        <v>5</v>
      </c>
      <c r="D62" s="33">
        <f t="shared" si="2"/>
        <v>10</v>
      </c>
      <c r="E62" s="35">
        <f t="shared" si="3"/>
        <v>101291.78233125</v>
      </c>
      <c r="F62" s="35">
        <f t="shared" si="4"/>
        <v>143204166.32799837</v>
      </c>
      <c r="G62" s="33">
        <f t="shared" si="5"/>
        <v>1413</v>
      </c>
      <c r="H62" s="35">
        <f t="shared" si="6"/>
        <v>143125288.43405625</v>
      </c>
      <c r="I62" s="35">
        <f t="shared" si="7"/>
        <v>78877.893942117691</v>
      </c>
      <c r="J62" s="35">
        <f t="shared" si="8"/>
        <v>14312528.843405627</v>
      </c>
      <c r="K62" s="35">
        <f t="shared" si="9"/>
        <v>113821575.80562562</v>
      </c>
      <c r="L62" s="35">
        <f t="shared" si="10"/>
        <v>0</v>
      </c>
      <c r="M62" s="35">
        <f t="shared" si="11"/>
        <v>136585890.96675074</v>
      </c>
      <c r="N62" s="36">
        <f t="shared" si="12"/>
        <v>0.39</v>
      </c>
      <c r="O62" s="35">
        <f t="shared" si="13"/>
        <v>0</v>
      </c>
      <c r="P62" s="35">
        <f t="shared" si="14"/>
        <v>38808528.315265805</v>
      </c>
      <c r="Q62" s="35">
        <f t="shared" si="15"/>
        <v>0</v>
      </c>
      <c r="R62" s="35">
        <f t="shared" si="16"/>
        <v>157516695.171404</v>
      </c>
      <c r="S62" s="33">
        <f t="shared" si="17"/>
        <v>1555</v>
      </c>
    </row>
    <row r="63" spans="1:19" x14ac:dyDescent="0.3">
      <c r="A63" s="33">
        <f>59</f>
        <v>59</v>
      </c>
      <c r="B63" s="34">
        <f t="shared" si="0"/>
        <v>48153</v>
      </c>
      <c r="C63" s="33">
        <f t="shared" si="1"/>
        <v>5</v>
      </c>
      <c r="D63" s="33">
        <f t="shared" si="2"/>
        <v>11</v>
      </c>
      <c r="E63" s="35">
        <f t="shared" si="3"/>
        <v>101291.78233125</v>
      </c>
      <c r="F63" s="35">
        <f t="shared" si="4"/>
        <v>157516695.171404</v>
      </c>
      <c r="G63" s="33">
        <f t="shared" si="5"/>
        <v>1555</v>
      </c>
      <c r="H63" s="35">
        <f t="shared" si="6"/>
        <v>157508721.52509373</v>
      </c>
      <c r="I63" s="35">
        <f t="shared" si="7"/>
        <v>7973.6463102698326</v>
      </c>
      <c r="J63" s="35">
        <f t="shared" si="8"/>
        <v>15750872.152509375</v>
      </c>
      <c r="K63" s="35">
        <f t="shared" si="9"/>
        <v>129572447.95813499</v>
      </c>
      <c r="L63" s="35">
        <f t="shared" si="10"/>
        <v>0</v>
      </c>
      <c r="M63" s="35">
        <f t="shared" si="11"/>
        <v>141351761.40887454</v>
      </c>
      <c r="N63" s="36">
        <f t="shared" si="12"/>
        <v>0.39</v>
      </c>
      <c r="O63" s="35">
        <f t="shared" si="13"/>
        <v>0</v>
      </c>
      <c r="P63" s="35">
        <f t="shared" si="14"/>
        <v>38808528.315265805</v>
      </c>
      <c r="Q63" s="35">
        <f t="shared" si="15"/>
        <v>0</v>
      </c>
      <c r="R63" s="35">
        <f t="shared" si="16"/>
        <v>173267567.32391337</v>
      </c>
      <c r="S63" s="33">
        <f t="shared" si="17"/>
        <v>1710</v>
      </c>
    </row>
    <row r="64" spans="1:19" x14ac:dyDescent="0.3">
      <c r="A64" s="37">
        <f>60</f>
        <v>60</v>
      </c>
      <c r="B64" s="38">
        <f t="shared" si="0"/>
        <v>48183</v>
      </c>
      <c r="C64" s="37">
        <f t="shared" si="1"/>
        <v>5</v>
      </c>
      <c r="D64" s="37">
        <f t="shared" si="2"/>
        <v>12</v>
      </c>
      <c r="E64" s="39">
        <f t="shared" si="3"/>
        <v>101291.78233125</v>
      </c>
      <c r="F64" s="39">
        <f t="shared" si="4"/>
        <v>173267567.32391337</v>
      </c>
      <c r="G64" s="37">
        <f t="shared" si="5"/>
        <v>1710</v>
      </c>
      <c r="H64" s="39">
        <f t="shared" si="6"/>
        <v>173208947.78643748</v>
      </c>
      <c r="I64" s="39">
        <f t="shared" si="7"/>
        <v>58619.537475883961</v>
      </c>
      <c r="J64" s="39">
        <f t="shared" si="8"/>
        <v>17320894.77864375</v>
      </c>
      <c r="K64" s="39">
        <f t="shared" si="9"/>
        <v>146893342.73677874</v>
      </c>
      <c r="L64" s="39">
        <f t="shared" si="10"/>
        <v>47384295.774558753</v>
      </c>
      <c r="M64" s="39">
        <f t="shared" si="11"/>
        <v>146893342.73677874</v>
      </c>
      <c r="N64" s="40">
        <f t="shared" si="12"/>
        <v>0.39</v>
      </c>
      <c r="O64" s="39">
        <f t="shared" si="13"/>
        <v>18479875.352077913</v>
      </c>
      <c r="P64" s="39">
        <f t="shared" si="14"/>
        <v>57288403.667343721</v>
      </c>
      <c r="Q64" s="39">
        <f t="shared" si="15"/>
        <v>8960493.9069435019</v>
      </c>
      <c r="R64" s="39">
        <f t="shared" si="16"/>
        <v>163148092.84353572</v>
      </c>
      <c r="S64" s="37">
        <f t="shared" si="17"/>
        <v>1610</v>
      </c>
    </row>
    <row r="65" spans="1:19" x14ac:dyDescent="0.3">
      <c r="A65" s="33">
        <f>61</f>
        <v>61</v>
      </c>
      <c r="B65" s="34">
        <f t="shared" si="0"/>
        <v>48214</v>
      </c>
      <c r="C65" s="33">
        <f t="shared" si="1"/>
        <v>6</v>
      </c>
      <c r="D65" s="33">
        <f t="shared" si="2"/>
        <v>1</v>
      </c>
      <c r="E65" s="35">
        <f t="shared" si="3"/>
        <v>106356.3714478125</v>
      </c>
      <c r="F65" s="35">
        <f t="shared" si="4"/>
        <v>163148092.84353572</v>
      </c>
      <c r="G65" s="33">
        <f t="shared" si="5"/>
        <v>1533</v>
      </c>
      <c r="H65" s="35">
        <f t="shared" si="6"/>
        <v>163044317.42949656</v>
      </c>
      <c r="I65" s="35">
        <f t="shared" si="7"/>
        <v>103775.41403916478</v>
      </c>
      <c r="J65" s="35">
        <f t="shared" si="8"/>
        <v>16304431.742949657</v>
      </c>
      <c r="K65" s="35">
        <f t="shared" si="9"/>
        <v>16304431.742949657</v>
      </c>
      <c r="L65" s="35">
        <f t="shared" si="10"/>
        <v>0</v>
      </c>
      <c r="M65" s="35">
        <f t="shared" si="11"/>
        <v>195653180.91539589</v>
      </c>
      <c r="N65" s="36">
        <f t="shared" si="12"/>
        <v>0.39</v>
      </c>
      <c r="O65" s="35">
        <f t="shared" si="13"/>
        <v>0</v>
      </c>
      <c r="P65" s="35">
        <f t="shared" si="14"/>
        <v>0</v>
      </c>
      <c r="Q65" s="35">
        <f t="shared" si="15"/>
        <v>0</v>
      </c>
      <c r="R65" s="35">
        <f t="shared" si="16"/>
        <v>179452524.58648539</v>
      </c>
      <c r="S65" s="33">
        <f t="shared" si="17"/>
        <v>1687</v>
      </c>
    </row>
    <row r="66" spans="1:19" x14ac:dyDescent="0.3">
      <c r="A66" s="33">
        <f>62</f>
        <v>62</v>
      </c>
      <c r="B66" s="34">
        <f t="shared" si="0"/>
        <v>48245</v>
      </c>
      <c r="C66" s="33">
        <f t="shared" si="1"/>
        <v>6</v>
      </c>
      <c r="D66" s="33">
        <f t="shared" si="2"/>
        <v>2</v>
      </c>
      <c r="E66" s="35">
        <f t="shared" si="3"/>
        <v>106356.3714478125</v>
      </c>
      <c r="F66" s="35">
        <f t="shared" si="4"/>
        <v>179452524.58648539</v>
      </c>
      <c r="G66" s="33">
        <f t="shared" si="5"/>
        <v>1687</v>
      </c>
      <c r="H66" s="35">
        <f t="shared" si="6"/>
        <v>179423198.6324597</v>
      </c>
      <c r="I66" s="35">
        <f t="shared" si="7"/>
        <v>29325.954025685787</v>
      </c>
      <c r="J66" s="35">
        <f t="shared" si="8"/>
        <v>17942319.863245972</v>
      </c>
      <c r="K66" s="35">
        <f t="shared" si="9"/>
        <v>34246751.606195629</v>
      </c>
      <c r="L66" s="35">
        <f t="shared" si="10"/>
        <v>0</v>
      </c>
      <c r="M66" s="35">
        <f t="shared" si="11"/>
        <v>205480509.63717377</v>
      </c>
      <c r="N66" s="36">
        <f t="shared" si="12"/>
        <v>0.39</v>
      </c>
      <c r="O66" s="35">
        <f t="shared" si="13"/>
        <v>0</v>
      </c>
      <c r="P66" s="35">
        <f t="shared" si="14"/>
        <v>0</v>
      </c>
      <c r="Q66" s="35">
        <f t="shared" si="15"/>
        <v>0</v>
      </c>
      <c r="R66" s="35">
        <f t="shared" si="16"/>
        <v>197394844.44973135</v>
      </c>
      <c r="S66" s="33">
        <f t="shared" si="17"/>
        <v>1855</v>
      </c>
    </row>
    <row r="67" spans="1:19" x14ac:dyDescent="0.3">
      <c r="A67" s="33">
        <f>63</f>
        <v>63</v>
      </c>
      <c r="B67" s="34">
        <f t="shared" si="0"/>
        <v>48274</v>
      </c>
      <c r="C67" s="33">
        <f t="shared" si="1"/>
        <v>6</v>
      </c>
      <c r="D67" s="33">
        <f t="shared" si="2"/>
        <v>3</v>
      </c>
      <c r="E67" s="35">
        <f t="shared" si="3"/>
        <v>106356.3714478125</v>
      </c>
      <c r="F67" s="35">
        <f t="shared" si="4"/>
        <v>197394844.44973135</v>
      </c>
      <c r="G67" s="33">
        <f t="shared" si="5"/>
        <v>1855</v>
      </c>
      <c r="H67" s="35">
        <f t="shared" si="6"/>
        <v>197291069.03569219</v>
      </c>
      <c r="I67" s="35">
        <f t="shared" si="7"/>
        <v>103775.41403916478</v>
      </c>
      <c r="J67" s="35">
        <f t="shared" si="8"/>
        <v>19729106.903569218</v>
      </c>
      <c r="K67" s="35">
        <f t="shared" si="9"/>
        <v>53975858.50976485</v>
      </c>
      <c r="L67" s="35">
        <f t="shared" si="10"/>
        <v>53975858.50976485</v>
      </c>
      <c r="M67" s="35">
        <f t="shared" si="11"/>
        <v>215903434.0390594</v>
      </c>
      <c r="N67" s="36">
        <f t="shared" si="12"/>
        <v>0.39</v>
      </c>
      <c r="O67" s="35">
        <f t="shared" si="13"/>
        <v>21050584.818808291</v>
      </c>
      <c r="P67" s="35">
        <f t="shared" si="14"/>
        <v>21050584.818808291</v>
      </c>
      <c r="Q67" s="35">
        <f t="shared" si="15"/>
        <v>0</v>
      </c>
      <c r="R67" s="35">
        <f t="shared" si="16"/>
        <v>196073366.53449228</v>
      </c>
      <c r="S67" s="33">
        <f t="shared" si="17"/>
        <v>1843</v>
      </c>
    </row>
    <row r="68" spans="1:19" x14ac:dyDescent="0.3">
      <c r="A68" s="33">
        <f>64</f>
        <v>64</v>
      </c>
      <c r="B68" s="34">
        <f t="shared" si="0"/>
        <v>48305</v>
      </c>
      <c r="C68" s="33">
        <f t="shared" si="1"/>
        <v>6</v>
      </c>
      <c r="D68" s="33">
        <f t="shared" si="2"/>
        <v>4</v>
      </c>
      <c r="E68" s="35">
        <f t="shared" si="3"/>
        <v>106356.3714478125</v>
      </c>
      <c r="F68" s="35">
        <f t="shared" si="4"/>
        <v>196073366.53449228</v>
      </c>
      <c r="G68" s="33">
        <f t="shared" si="5"/>
        <v>1843</v>
      </c>
      <c r="H68" s="35">
        <f t="shared" si="6"/>
        <v>196014792.57831845</v>
      </c>
      <c r="I68" s="35">
        <f t="shared" si="7"/>
        <v>58573.956173837185</v>
      </c>
      <c r="J68" s="35">
        <f t="shared" si="8"/>
        <v>19601479.257831845</v>
      </c>
      <c r="K68" s="35">
        <f t="shared" si="9"/>
        <v>73577337.767596692</v>
      </c>
      <c r="L68" s="35">
        <f t="shared" si="10"/>
        <v>0</v>
      </c>
      <c r="M68" s="35">
        <f t="shared" si="11"/>
        <v>220732013.30279008</v>
      </c>
      <c r="N68" s="36">
        <f t="shared" si="12"/>
        <v>0.39</v>
      </c>
      <c r="O68" s="35">
        <f t="shared" si="13"/>
        <v>0</v>
      </c>
      <c r="P68" s="35">
        <f t="shared" si="14"/>
        <v>21050584.818808291</v>
      </c>
      <c r="Q68" s="35">
        <f t="shared" si="15"/>
        <v>0</v>
      </c>
      <c r="R68" s="35">
        <f t="shared" si="16"/>
        <v>215674845.79232413</v>
      </c>
      <c r="S68" s="33">
        <f t="shared" si="17"/>
        <v>2027</v>
      </c>
    </row>
    <row r="69" spans="1:19" x14ac:dyDescent="0.3">
      <c r="A69" s="33">
        <f>65</f>
        <v>65</v>
      </c>
      <c r="B69" s="34">
        <f t="shared" ref="B69:B132" si="18">IF($A69&gt;NYears*12,"",EDATE(StartMonth,$A69-1))</f>
        <v>48335</v>
      </c>
      <c r="C69" s="33">
        <f t="shared" ref="C69:C132" si="19">IF($A69&gt;NYears*12,"",INT(($A69-1)/12)+1)</f>
        <v>6</v>
      </c>
      <c r="D69" s="33">
        <f t="shared" ref="D69:D132" si="20">IF($A69&gt;NYears*12,"",MOD($A69-1,12)+1)</f>
        <v>5</v>
      </c>
      <c r="E69" s="35">
        <f t="shared" ref="E69:E132" si="21">IF($A69&gt;NYears*12,"",LotValue0*(1+LotGrowth)^($C69-1))</f>
        <v>106356.3714478125</v>
      </c>
      <c r="F69" s="35">
        <f t="shared" ref="F69:F132" si="22">IF($A69&gt;NYears*12,"",IF($A69=1,InitInvest,$R68))</f>
        <v>215674845.79232413</v>
      </c>
      <c r="G69" s="33">
        <f t="shared" ref="G69:G132" si="23">IF($A69&gt;NYears*12,"",INT($F69/$E69))</f>
        <v>2027</v>
      </c>
      <c r="H69" s="35">
        <f t="shared" ref="H69:H132" si="24">IF($A69&gt;NYears*12,"",$G69*$E69)</f>
        <v>215584364.92471594</v>
      </c>
      <c r="I69" s="35">
        <f t="shared" ref="I69:I132" si="25">IF($A69&gt;NYears*12,"",$F69-$H69)</f>
        <v>90480.867608189583</v>
      </c>
      <c r="J69" s="35">
        <f t="shared" ref="J69:J132" si="26">IF($A69&gt;NYears*12,"",$H69*RateC)</f>
        <v>21558436.492471594</v>
      </c>
      <c r="K69" s="35">
        <f t="shared" ref="K69:K132" si="27">IF($A69&gt;NYears*12,"",IF($D69=1,$J69,$K68+$J69))</f>
        <v>95135774.260068282</v>
      </c>
      <c r="L69" s="35">
        <f t="shared" ref="L69:L132" si="28">IF($A69&gt;NYears*12,"",IF(MOD($D69,3)=0,SUM($J67:$J69),0))</f>
        <v>0</v>
      </c>
      <c r="M69" s="35">
        <f t="shared" ref="M69:M132" si="29">IF($A69&gt;NYears*12,"",IF(TaxFreq="Quarterly",$K69*12/$D69,$K69))</f>
        <v>228325858.22416386</v>
      </c>
      <c r="N69" s="36">
        <f t="shared" ref="N69:N132" si="30">IF($A69&gt;NYears*12,"",LOOKUP($M69,TaxLower,TaxRate))</f>
        <v>0.39</v>
      </c>
      <c r="O69" s="35">
        <f t="shared" ref="O69:O132" si="31">IF($A69&gt;NYears*12,"",IF(TaxFreq="Quarterly",IF(MOD($D69,3)=0,$L69*$N69,0),IF($D69=12,$K69*$N69,0)))</f>
        <v>0</v>
      </c>
      <c r="P69" s="35">
        <f t="shared" ref="P69:P132" si="32">IF($A69&gt;NYears*12,"",IF($D69=1,$O69,$P68+$O69))</f>
        <v>21050584.818808291</v>
      </c>
      <c r="Q69" s="35">
        <f t="shared" ref="Q69:Q132" si="33">IF($A69&gt;NYears*12,"",IF($D69=12,MIN(WdrPct*IF(WdrBase="Post-tax profit",$K69-$P69,$K69),WdrCap),0))</f>
        <v>0</v>
      </c>
      <c r="R69" s="35">
        <f t="shared" ref="R69:R132" si="34">IF($A69&gt;NYears*12,"",$F69+$J69-$O69-$Q69)</f>
        <v>237233282.28479573</v>
      </c>
      <c r="S69" s="33">
        <f t="shared" ref="S69:S132" si="35">IF($A69&gt;NYears*12,"",INT($R69/$E69))</f>
        <v>2230</v>
      </c>
    </row>
    <row r="70" spans="1:19" x14ac:dyDescent="0.3">
      <c r="A70" s="33">
        <f>66</f>
        <v>66</v>
      </c>
      <c r="B70" s="34">
        <f t="shared" si="18"/>
        <v>48366</v>
      </c>
      <c r="C70" s="33">
        <f t="shared" si="19"/>
        <v>6</v>
      </c>
      <c r="D70" s="33">
        <f t="shared" si="20"/>
        <v>6</v>
      </c>
      <c r="E70" s="35">
        <f t="shared" si="21"/>
        <v>106356.3714478125</v>
      </c>
      <c r="F70" s="35">
        <f t="shared" si="22"/>
        <v>237233282.28479573</v>
      </c>
      <c r="G70" s="33">
        <f t="shared" si="23"/>
        <v>2230</v>
      </c>
      <c r="H70" s="35">
        <f t="shared" si="24"/>
        <v>237174708.32862189</v>
      </c>
      <c r="I70" s="35">
        <f t="shared" si="25"/>
        <v>58573.956173837185</v>
      </c>
      <c r="J70" s="35">
        <f t="shared" si="26"/>
        <v>23717470.832862191</v>
      </c>
      <c r="K70" s="35">
        <f t="shared" si="27"/>
        <v>118853245.09293047</v>
      </c>
      <c r="L70" s="35">
        <f t="shared" si="28"/>
        <v>64877386.583165631</v>
      </c>
      <c r="M70" s="35">
        <f t="shared" si="29"/>
        <v>237706490.18586096</v>
      </c>
      <c r="N70" s="36">
        <f t="shared" si="30"/>
        <v>0.39</v>
      </c>
      <c r="O70" s="35">
        <f t="shared" si="31"/>
        <v>25302180.767434597</v>
      </c>
      <c r="P70" s="35">
        <f t="shared" si="32"/>
        <v>46352765.586242884</v>
      </c>
      <c r="Q70" s="35">
        <f t="shared" si="33"/>
        <v>0</v>
      </c>
      <c r="R70" s="35">
        <f t="shared" si="34"/>
        <v>235648572.35022333</v>
      </c>
      <c r="S70" s="33">
        <f t="shared" si="35"/>
        <v>2215</v>
      </c>
    </row>
    <row r="71" spans="1:19" x14ac:dyDescent="0.3">
      <c r="A71" s="33">
        <f>67</f>
        <v>67</v>
      </c>
      <c r="B71" s="34">
        <f t="shared" si="18"/>
        <v>48396</v>
      </c>
      <c r="C71" s="33">
        <f t="shared" si="19"/>
        <v>6</v>
      </c>
      <c r="D71" s="33">
        <f t="shared" si="20"/>
        <v>7</v>
      </c>
      <c r="E71" s="35">
        <f t="shared" si="21"/>
        <v>106356.3714478125</v>
      </c>
      <c r="F71" s="35">
        <f t="shared" si="22"/>
        <v>235648572.35022333</v>
      </c>
      <c r="G71" s="33">
        <f t="shared" si="23"/>
        <v>2215</v>
      </c>
      <c r="H71" s="35">
        <f t="shared" si="24"/>
        <v>235579362.75690469</v>
      </c>
      <c r="I71" s="35">
        <f t="shared" si="25"/>
        <v>69209.593318641186</v>
      </c>
      <c r="J71" s="35">
        <f t="shared" si="26"/>
        <v>23557936.27569047</v>
      </c>
      <c r="K71" s="35">
        <f t="shared" si="27"/>
        <v>142411181.36862093</v>
      </c>
      <c r="L71" s="35">
        <f t="shared" si="28"/>
        <v>0</v>
      </c>
      <c r="M71" s="35">
        <f t="shared" si="29"/>
        <v>244133453.77477875</v>
      </c>
      <c r="N71" s="36">
        <f t="shared" si="30"/>
        <v>0.39</v>
      </c>
      <c r="O71" s="35">
        <f t="shared" si="31"/>
        <v>0</v>
      </c>
      <c r="P71" s="35">
        <f t="shared" si="32"/>
        <v>46352765.586242884</v>
      </c>
      <c r="Q71" s="35">
        <f t="shared" si="33"/>
        <v>0</v>
      </c>
      <c r="R71" s="35">
        <f t="shared" si="34"/>
        <v>259206508.6259138</v>
      </c>
      <c r="S71" s="33">
        <f t="shared" si="35"/>
        <v>2437</v>
      </c>
    </row>
    <row r="72" spans="1:19" x14ac:dyDescent="0.3">
      <c r="A72" s="33">
        <f>68</f>
        <v>68</v>
      </c>
      <c r="B72" s="34">
        <f t="shared" si="18"/>
        <v>48427</v>
      </c>
      <c r="C72" s="33">
        <f t="shared" si="19"/>
        <v>6</v>
      </c>
      <c r="D72" s="33">
        <f t="shared" si="20"/>
        <v>8</v>
      </c>
      <c r="E72" s="35">
        <f t="shared" si="21"/>
        <v>106356.3714478125</v>
      </c>
      <c r="F72" s="35">
        <f t="shared" si="22"/>
        <v>259206508.6259138</v>
      </c>
      <c r="G72" s="33">
        <f t="shared" si="23"/>
        <v>2437</v>
      </c>
      <c r="H72" s="35">
        <f t="shared" si="24"/>
        <v>259190477.21831906</v>
      </c>
      <c r="I72" s="35">
        <f t="shared" si="25"/>
        <v>16031.407594740391</v>
      </c>
      <c r="J72" s="35">
        <f t="shared" si="26"/>
        <v>25919047.721831907</v>
      </c>
      <c r="K72" s="35">
        <f t="shared" si="27"/>
        <v>168330229.09045285</v>
      </c>
      <c r="L72" s="35">
        <f t="shared" si="28"/>
        <v>0</v>
      </c>
      <c r="M72" s="35">
        <f t="shared" si="29"/>
        <v>252495343.63567927</v>
      </c>
      <c r="N72" s="36">
        <f t="shared" si="30"/>
        <v>0.39</v>
      </c>
      <c r="O72" s="35">
        <f t="shared" si="31"/>
        <v>0</v>
      </c>
      <c r="P72" s="35">
        <f t="shared" si="32"/>
        <v>46352765.586242884</v>
      </c>
      <c r="Q72" s="35">
        <f t="shared" si="33"/>
        <v>0</v>
      </c>
      <c r="R72" s="35">
        <f t="shared" si="34"/>
        <v>285125556.34774572</v>
      </c>
      <c r="S72" s="33">
        <f t="shared" si="35"/>
        <v>2680</v>
      </c>
    </row>
    <row r="73" spans="1:19" x14ac:dyDescent="0.3">
      <c r="A73" s="33">
        <f>69</f>
        <v>69</v>
      </c>
      <c r="B73" s="34">
        <f t="shared" si="18"/>
        <v>48458</v>
      </c>
      <c r="C73" s="33">
        <f t="shared" si="19"/>
        <v>6</v>
      </c>
      <c r="D73" s="33">
        <f t="shared" si="20"/>
        <v>9</v>
      </c>
      <c r="E73" s="35">
        <f t="shared" si="21"/>
        <v>106356.3714478125</v>
      </c>
      <c r="F73" s="35">
        <f t="shared" si="22"/>
        <v>285125556.34774572</v>
      </c>
      <c r="G73" s="33">
        <f t="shared" si="23"/>
        <v>2680</v>
      </c>
      <c r="H73" s="35">
        <f t="shared" si="24"/>
        <v>285035075.48013753</v>
      </c>
      <c r="I73" s="35">
        <f t="shared" si="25"/>
        <v>90480.867608189583</v>
      </c>
      <c r="J73" s="35">
        <f t="shared" si="26"/>
        <v>28503507.548013754</v>
      </c>
      <c r="K73" s="35">
        <f t="shared" si="27"/>
        <v>196833736.6384666</v>
      </c>
      <c r="L73" s="35">
        <f t="shared" si="28"/>
        <v>77980491.545536131</v>
      </c>
      <c r="M73" s="35">
        <f t="shared" si="29"/>
        <v>262444982.18462214</v>
      </c>
      <c r="N73" s="36">
        <f t="shared" si="30"/>
        <v>0.39</v>
      </c>
      <c r="O73" s="35">
        <f t="shared" si="31"/>
        <v>30412391.702759091</v>
      </c>
      <c r="P73" s="35">
        <f t="shared" si="32"/>
        <v>76765157.289001971</v>
      </c>
      <c r="Q73" s="35">
        <f t="shared" si="33"/>
        <v>0</v>
      </c>
      <c r="R73" s="35">
        <f t="shared" si="34"/>
        <v>283216672.19300038</v>
      </c>
      <c r="S73" s="33">
        <f t="shared" si="35"/>
        <v>2662</v>
      </c>
    </row>
    <row r="74" spans="1:19" x14ac:dyDescent="0.3">
      <c r="A74" s="33">
        <f>70</f>
        <v>70</v>
      </c>
      <c r="B74" s="34">
        <f t="shared" si="18"/>
        <v>48488</v>
      </c>
      <c r="C74" s="33">
        <f t="shared" si="19"/>
        <v>6</v>
      </c>
      <c r="D74" s="33">
        <f t="shared" si="20"/>
        <v>10</v>
      </c>
      <c r="E74" s="35">
        <f t="shared" si="21"/>
        <v>106356.3714478125</v>
      </c>
      <c r="F74" s="35">
        <f t="shared" si="22"/>
        <v>283216672.19300038</v>
      </c>
      <c r="G74" s="33">
        <f t="shared" si="23"/>
        <v>2662</v>
      </c>
      <c r="H74" s="35">
        <f t="shared" si="24"/>
        <v>283120660.79407686</v>
      </c>
      <c r="I74" s="35">
        <f t="shared" si="25"/>
        <v>96011.398923516273</v>
      </c>
      <c r="J74" s="35">
        <f t="shared" si="26"/>
        <v>28312066.079407688</v>
      </c>
      <c r="K74" s="35">
        <f t="shared" si="27"/>
        <v>225145802.71787429</v>
      </c>
      <c r="L74" s="35">
        <f t="shared" si="28"/>
        <v>0</v>
      </c>
      <c r="M74" s="35">
        <f t="shared" si="29"/>
        <v>270174963.26144916</v>
      </c>
      <c r="N74" s="36">
        <f t="shared" si="30"/>
        <v>0.39</v>
      </c>
      <c r="O74" s="35">
        <f t="shared" si="31"/>
        <v>0</v>
      </c>
      <c r="P74" s="35">
        <f t="shared" si="32"/>
        <v>76765157.289001971</v>
      </c>
      <c r="Q74" s="35">
        <f t="shared" si="33"/>
        <v>0</v>
      </c>
      <c r="R74" s="35">
        <f t="shared" si="34"/>
        <v>311528738.27240807</v>
      </c>
      <c r="S74" s="33">
        <f t="shared" si="35"/>
        <v>2929</v>
      </c>
    </row>
    <row r="75" spans="1:19" x14ac:dyDescent="0.3">
      <c r="A75" s="33">
        <f>71</f>
        <v>71</v>
      </c>
      <c r="B75" s="34">
        <f t="shared" si="18"/>
        <v>48519</v>
      </c>
      <c r="C75" s="33">
        <f t="shared" si="19"/>
        <v>6</v>
      </c>
      <c r="D75" s="33">
        <f t="shared" si="20"/>
        <v>11</v>
      </c>
      <c r="E75" s="35">
        <f t="shared" si="21"/>
        <v>106356.3714478125</v>
      </c>
      <c r="F75" s="35">
        <f t="shared" si="22"/>
        <v>311528738.27240807</v>
      </c>
      <c r="G75" s="33">
        <f t="shared" si="23"/>
        <v>2929</v>
      </c>
      <c r="H75" s="35">
        <f t="shared" si="24"/>
        <v>311517811.97064281</v>
      </c>
      <c r="I75" s="35">
        <f t="shared" si="25"/>
        <v>10926.301765263081</v>
      </c>
      <c r="J75" s="35">
        <f t="shared" si="26"/>
        <v>31151781.197064281</v>
      </c>
      <c r="K75" s="35">
        <f t="shared" si="27"/>
        <v>256297583.91493857</v>
      </c>
      <c r="L75" s="35">
        <f t="shared" si="28"/>
        <v>0</v>
      </c>
      <c r="M75" s="35">
        <f t="shared" si="29"/>
        <v>279597364.27084208</v>
      </c>
      <c r="N75" s="36">
        <f t="shared" si="30"/>
        <v>0.39</v>
      </c>
      <c r="O75" s="35">
        <f t="shared" si="31"/>
        <v>0</v>
      </c>
      <c r="P75" s="35">
        <f t="shared" si="32"/>
        <v>76765157.289001971</v>
      </c>
      <c r="Q75" s="35">
        <f t="shared" si="33"/>
        <v>0</v>
      </c>
      <c r="R75" s="35">
        <f t="shared" si="34"/>
        <v>342680519.46947235</v>
      </c>
      <c r="S75" s="33">
        <f t="shared" si="35"/>
        <v>3222</v>
      </c>
    </row>
    <row r="76" spans="1:19" x14ac:dyDescent="0.3">
      <c r="A76" s="37">
        <f>72</f>
        <v>72</v>
      </c>
      <c r="B76" s="38">
        <f t="shared" si="18"/>
        <v>48549</v>
      </c>
      <c r="C76" s="37">
        <f t="shared" si="19"/>
        <v>6</v>
      </c>
      <c r="D76" s="37">
        <f t="shared" si="20"/>
        <v>12</v>
      </c>
      <c r="E76" s="39">
        <f t="shared" si="21"/>
        <v>106356.3714478125</v>
      </c>
      <c r="F76" s="39">
        <f t="shared" si="22"/>
        <v>342680519.46947235</v>
      </c>
      <c r="G76" s="37">
        <f t="shared" si="23"/>
        <v>3222</v>
      </c>
      <c r="H76" s="39">
        <f t="shared" si="24"/>
        <v>342680228.80485189</v>
      </c>
      <c r="I76" s="39">
        <f t="shared" si="25"/>
        <v>290.66462045907974</v>
      </c>
      <c r="J76" s="39">
        <f t="shared" si="26"/>
        <v>34268022.880485192</v>
      </c>
      <c r="K76" s="39">
        <f t="shared" si="27"/>
        <v>290565606.79542375</v>
      </c>
      <c r="L76" s="39">
        <f t="shared" si="28"/>
        <v>93731870.156957164</v>
      </c>
      <c r="M76" s="39">
        <f t="shared" si="29"/>
        <v>290565606.79542375</v>
      </c>
      <c r="N76" s="40">
        <f t="shared" si="30"/>
        <v>0.39</v>
      </c>
      <c r="O76" s="39">
        <f t="shared" si="31"/>
        <v>36555429.361213297</v>
      </c>
      <c r="P76" s="39">
        <f t="shared" si="32"/>
        <v>113320586.65021527</v>
      </c>
      <c r="Q76" s="39">
        <f t="shared" si="33"/>
        <v>10000000</v>
      </c>
      <c r="R76" s="39">
        <f t="shared" si="34"/>
        <v>330393112.98874426</v>
      </c>
      <c r="S76" s="37">
        <f t="shared" si="35"/>
        <v>3106</v>
      </c>
    </row>
    <row r="77" spans="1:19" x14ac:dyDescent="0.3">
      <c r="A77" s="33">
        <f>73</f>
        <v>73</v>
      </c>
      <c r="B77" s="34">
        <f t="shared" si="18"/>
        <v>48580</v>
      </c>
      <c r="C77" s="33">
        <f t="shared" si="19"/>
        <v>7</v>
      </c>
      <c r="D77" s="33">
        <f t="shared" si="20"/>
        <v>1</v>
      </c>
      <c r="E77" s="35">
        <f t="shared" si="21"/>
        <v>111674.19002020312</v>
      </c>
      <c r="F77" s="35">
        <f t="shared" si="22"/>
        <v>330393112.98874426</v>
      </c>
      <c r="G77" s="33">
        <f t="shared" si="23"/>
        <v>2958</v>
      </c>
      <c r="H77" s="35">
        <f t="shared" si="24"/>
        <v>330332254.07976085</v>
      </c>
      <c r="I77" s="35">
        <f t="shared" si="25"/>
        <v>60858.908983409405</v>
      </c>
      <c r="J77" s="35">
        <f t="shared" si="26"/>
        <v>33033225.407976087</v>
      </c>
      <c r="K77" s="35">
        <f t="shared" si="27"/>
        <v>33033225.407976087</v>
      </c>
      <c r="L77" s="35">
        <f t="shared" si="28"/>
        <v>0</v>
      </c>
      <c r="M77" s="35">
        <f t="shared" si="29"/>
        <v>396398704.89571303</v>
      </c>
      <c r="N77" s="36">
        <f t="shared" si="30"/>
        <v>0.39</v>
      </c>
      <c r="O77" s="35">
        <f t="shared" si="31"/>
        <v>0</v>
      </c>
      <c r="P77" s="35">
        <f t="shared" si="32"/>
        <v>0</v>
      </c>
      <c r="Q77" s="35">
        <f t="shared" si="33"/>
        <v>0</v>
      </c>
      <c r="R77" s="35">
        <f t="shared" si="34"/>
        <v>363426338.39672035</v>
      </c>
      <c r="S77" s="33">
        <f t="shared" si="35"/>
        <v>3254</v>
      </c>
    </row>
    <row r="78" spans="1:19" x14ac:dyDescent="0.3">
      <c r="A78" s="33">
        <f>74</f>
        <v>74</v>
      </c>
      <c r="B78" s="34">
        <f t="shared" si="18"/>
        <v>48611</v>
      </c>
      <c r="C78" s="33">
        <f t="shared" si="19"/>
        <v>7</v>
      </c>
      <c r="D78" s="33">
        <f t="shared" si="20"/>
        <v>2</v>
      </c>
      <c r="E78" s="35">
        <f t="shared" si="21"/>
        <v>111674.19002020312</v>
      </c>
      <c r="F78" s="35">
        <f t="shared" si="22"/>
        <v>363426338.39672035</v>
      </c>
      <c r="G78" s="33">
        <f t="shared" si="23"/>
        <v>3254</v>
      </c>
      <c r="H78" s="35">
        <f t="shared" si="24"/>
        <v>363387814.32574099</v>
      </c>
      <c r="I78" s="35">
        <f t="shared" si="25"/>
        <v>38524.070979356766</v>
      </c>
      <c r="J78" s="35">
        <f t="shared" si="26"/>
        <v>36338781.432574101</v>
      </c>
      <c r="K78" s="35">
        <f t="shared" si="27"/>
        <v>69372006.840550184</v>
      </c>
      <c r="L78" s="35">
        <f t="shared" si="28"/>
        <v>0</v>
      </c>
      <c r="M78" s="35">
        <f t="shared" si="29"/>
        <v>416232041.04330111</v>
      </c>
      <c r="N78" s="36">
        <f t="shared" si="30"/>
        <v>0.39</v>
      </c>
      <c r="O78" s="35">
        <f t="shared" si="31"/>
        <v>0</v>
      </c>
      <c r="P78" s="35">
        <f t="shared" si="32"/>
        <v>0</v>
      </c>
      <c r="Q78" s="35">
        <f t="shared" si="33"/>
        <v>0</v>
      </c>
      <c r="R78" s="35">
        <f t="shared" si="34"/>
        <v>399765119.82929444</v>
      </c>
      <c r="S78" s="33">
        <f t="shared" si="35"/>
        <v>3579</v>
      </c>
    </row>
    <row r="79" spans="1:19" x14ac:dyDescent="0.3">
      <c r="A79" s="33">
        <f>75</f>
        <v>75</v>
      </c>
      <c r="B79" s="34">
        <f t="shared" si="18"/>
        <v>48639</v>
      </c>
      <c r="C79" s="33">
        <f t="shared" si="19"/>
        <v>7</v>
      </c>
      <c r="D79" s="33">
        <f t="shared" si="20"/>
        <v>3</v>
      </c>
      <c r="E79" s="35">
        <f t="shared" si="21"/>
        <v>111674.19002020312</v>
      </c>
      <c r="F79" s="35">
        <f t="shared" si="22"/>
        <v>399765119.82929444</v>
      </c>
      <c r="G79" s="33">
        <f t="shared" si="23"/>
        <v>3579</v>
      </c>
      <c r="H79" s="35">
        <f t="shared" si="24"/>
        <v>399681926.08230698</v>
      </c>
      <c r="I79" s="35">
        <f t="shared" si="25"/>
        <v>83193.746987462044</v>
      </c>
      <c r="J79" s="35">
        <f t="shared" si="26"/>
        <v>39968192.608230703</v>
      </c>
      <c r="K79" s="35">
        <f t="shared" si="27"/>
        <v>109340199.44878089</v>
      </c>
      <c r="L79" s="35">
        <f t="shared" si="28"/>
        <v>109340199.44878089</v>
      </c>
      <c r="M79" s="35">
        <f t="shared" si="29"/>
        <v>437360797.79512358</v>
      </c>
      <c r="N79" s="36">
        <f t="shared" si="30"/>
        <v>0.39</v>
      </c>
      <c r="O79" s="35">
        <f t="shared" si="31"/>
        <v>42642677.785024554</v>
      </c>
      <c r="P79" s="35">
        <f t="shared" si="32"/>
        <v>42642677.785024554</v>
      </c>
      <c r="Q79" s="35">
        <f t="shared" si="33"/>
        <v>0</v>
      </c>
      <c r="R79" s="35">
        <f t="shared" si="34"/>
        <v>397090634.65250063</v>
      </c>
      <c r="S79" s="33">
        <f t="shared" si="35"/>
        <v>3555</v>
      </c>
    </row>
    <row r="80" spans="1:19" x14ac:dyDescent="0.3">
      <c r="A80" s="33">
        <f>76</f>
        <v>76</v>
      </c>
      <c r="B80" s="34">
        <f t="shared" si="18"/>
        <v>48670</v>
      </c>
      <c r="C80" s="33">
        <f t="shared" si="19"/>
        <v>7</v>
      </c>
      <c r="D80" s="33">
        <f t="shared" si="20"/>
        <v>4</v>
      </c>
      <c r="E80" s="35">
        <f t="shared" si="21"/>
        <v>111674.19002020312</v>
      </c>
      <c r="F80" s="35">
        <f t="shared" si="22"/>
        <v>397090634.65250063</v>
      </c>
      <c r="G80" s="33">
        <f t="shared" si="23"/>
        <v>3555</v>
      </c>
      <c r="H80" s="35">
        <f t="shared" si="24"/>
        <v>397001745.52182209</v>
      </c>
      <c r="I80" s="35">
        <f t="shared" si="25"/>
        <v>88889.130678534508</v>
      </c>
      <c r="J80" s="35">
        <f t="shared" si="26"/>
        <v>39700174.552182212</v>
      </c>
      <c r="K80" s="35">
        <f t="shared" si="27"/>
        <v>149040374.00096309</v>
      </c>
      <c r="L80" s="35">
        <f t="shared" si="28"/>
        <v>0</v>
      </c>
      <c r="M80" s="35">
        <f t="shared" si="29"/>
        <v>447121122.00288928</v>
      </c>
      <c r="N80" s="36">
        <f t="shared" si="30"/>
        <v>0.39</v>
      </c>
      <c r="O80" s="35">
        <f t="shared" si="31"/>
        <v>0</v>
      </c>
      <c r="P80" s="35">
        <f t="shared" si="32"/>
        <v>42642677.785024554</v>
      </c>
      <c r="Q80" s="35">
        <f t="shared" si="33"/>
        <v>0</v>
      </c>
      <c r="R80" s="35">
        <f t="shared" si="34"/>
        <v>436790809.20468283</v>
      </c>
      <c r="S80" s="33">
        <f t="shared" si="35"/>
        <v>3911</v>
      </c>
    </row>
    <row r="81" spans="1:19" x14ac:dyDescent="0.3">
      <c r="A81" s="33">
        <f>77</f>
        <v>77</v>
      </c>
      <c r="B81" s="34">
        <f t="shared" si="18"/>
        <v>48700</v>
      </c>
      <c r="C81" s="33">
        <f t="shared" si="19"/>
        <v>7</v>
      </c>
      <c r="D81" s="33">
        <f t="shared" si="20"/>
        <v>5</v>
      </c>
      <c r="E81" s="35">
        <f t="shared" si="21"/>
        <v>111674.19002020312</v>
      </c>
      <c r="F81" s="35">
        <f t="shared" si="22"/>
        <v>436790809.20468283</v>
      </c>
      <c r="G81" s="33">
        <f t="shared" si="23"/>
        <v>3911</v>
      </c>
      <c r="H81" s="35">
        <f t="shared" si="24"/>
        <v>436757757.16901439</v>
      </c>
      <c r="I81" s="35">
        <f t="shared" si="25"/>
        <v>33052.035668432713</v>
      </c>
      <c r="J81" s="35">
        <f t="shared" si="26"/>
        <v>43675775.716901444</v>
      </c>
      <c r="K81" s="35">
        <f t="shared" si="27"/>
        <v>192716149.71786454</v>
      </c>
      <c r="L81" s="35">
        <f t="shared" si="28"/>
        <v>0</v>
      </c>
      <c r="M81" s="35">
        <f t="shared" si="29"/>
        <v>462518759.3228749</v>
      </c>
      <c r="N81" s="36">
        <f t="shared" si="30"/>
        <v>0.39</v>
      </c>
      <c r="O81" s="35">
        <f t="shared" si="31"/>
        <v>0</v>
      </c>
      <c r="P81" s="35">
        <f t="shared" si="32"/>
        <v>42642677.785024554</v>
      </c>
      <c r="Q81" s="35">
        <f t="shared" si="33"/>
        <v>0</v>
      </c>
      <c r="R81" s="35">
        <f t="shared" si="34"/>
        <v>480466584.92158425</v>
      </c>
      <c r="S81" s="33">
        <f t="shared" si="35"/>
        <v>4302</v>
      </c>
    </row>
    <row r="82" spans="1:19" x14ac:dyDescent="0.3">
      <c r="A82" s="33">
        <f>78</f>
        <v>78</v>
      </c>
      <c r="B82" s="34">
        <f t="shared" si="18"/>
        <v>48731</v>
      </c>
      <c r="C82" s="33">
        <f t="shared" si="19"/>
        <v>7</v>
      </c>
      <c r="D82" s="33">
        <f t="shared" si="20"/>
        <v>6</v>
      </c>
      <c r="E82" s="35">
        <f t="shared" si="21"/>
        <v>111674.19002020312</v>
      </c>
      <c r="F82" s="35">
        <f t="shared" si="22"/>
        <v>480466584.92158425</v>
      </c>
      <c r="G82" s="33">
        <f t="shared" si="23"/>
        <v>4302</v>
      </c>
      <c r="H82" s="35">
        <f t="shared" si="24"/>
        <v>480422365.46691382</v>
      </c>
      <c r="I82" s="35">
        <f t="shared" si="25"/>
        <v>44219.45467042923</v>
      </c>
      <c r="J82" s="35">
        <f t="shared" si="26"/>
        <v>48042236.546691388</v>
      </c>
      <c r="K82" s="35">
        <f t="shared" si="27"/>
        <v>240758386.26455593</v>
      </c>
      <c r="L82" s="35">
        <f t="shared" si="28"/>
        <v>131418186.81577504</v>
      </c>
      <c r="M82" s="35">
        <f t="shared" si="29"/>
        <v>481516772.52911186</v>
      </c>
      <c r="N82" s="36">
        <f t="shared" si="30"/>
        <v>0.39</v>
      </c>
      <c r="O82" s="35">
        <f t="shared" si="31"/>
        <v>51253092.858152263</v>
      </c>
      <c r="P82" s="35">
        <f t="shared" si="32"/>
        <v>93895770.643176824</v>
      </c>
      <c r="Q82" s="35">
        <f t="shared" si="33"/>
        <v>0</v>
      </c>
      <c r="R82" s="35">
        <f t="shared" si="34"/>
        <v>477255728.6101234</v>
      </c>
      <c r="S82" s="33">
        <f t="shared" si="35"/>
        <v>4273</v>
      </c>
    </row>
    <row r="83" spans="1:19" x14ac:dyDescent="0.3">
      <c r="A83" s="33">
        <f>79</f>
        <v>79</v>
      </c>
      <c r="B83" s="34">
        <f t="shared" si="18"/>
        <v>48761</v>
      </c>
      <c r="C83" s="33">
        <f t="shared" si="19"/>
        <v>7</v>
      </c>
      <c r="D83" s="33">
        <f t="shared" si="20"/>
        <v>7</v>
      </c>
      <c r="E83" s="35">
        <f t="shared" si="21"/>
        <v>111674.19002020312</v>
      </c>
      <c r="F83" s="35">
        <f t="shared" si="22"/>
        <v>477255728.6101234</v>
      </c>
      <c r="G83" s="33">
        <f t="shared" si="23"/>
        <v>4273</v>
      </c>
      <c r="H83" s="35">
        <f t="shared" si="24"/>
        <v>477183813.95632797</v>
      </c>
      <c r="I83" s="35">
        <f t="shared" si="25"/>
        <v>71914.653795421124</v>
      </c>
      <c r="J83" s="35">
        <f t="shared" si="26"/>
        <v>47718381.395632803</v>
      </c>
      <c r="K83" s="35">
        <f t="shared" si="27"/>
        <v>288476767.66018873</v>
      </c>
      <c r="L83" s="35">
        <f t="shared" si="28"/>
        <v>0</v>
      </c>
      <c r="M83" s="35">
        <f t="shared" si="29"/>
        <v>494531601.70318073</v>
      </c>
      <c r="N83" s="36">
        <f t="shared" si="30"/>
        <v>0.39</v>
      </c>
      <c r="O83" s="35">
        <f t="shared" si="31"/>
        <v>0</v>
      </c>
      <c r="P83" s="35">
        <f t="shared" si="32"/>
        <v>93895770.643176824</v>
      </c>
      <c r="Q83" s="35">
        <f t="shared" si="33"/>
        <v>0</v>
      </c>
      <c r="R83" s="35">
        <f t="shared" si="34"/>
        <v>524974110.0057562</v>
      </c>
      <c r="S83" s="33">
        <f t="shared" si="35"/>
        <v>4700</v>
      </c>
    </row>
    <row r="84" spans="1:19" x14ac:dyDescent="0.3">
      <c r="A84" s="33">
        <f>80</f>
        <v>80</v>
      </c>
      <c r="B84" s="34">
        <f t="shared" si="18"/>
        <v>48792</v>
      </c>
      <c r="C84" s="33">
        <f t="shared" si="19"/>
        <v>7</v>
      </c>
      <c r="D84" s="33">
        <f t="shared" si="20"/>
        <v>8</v>
      </c>
      <c r="E84" s="35">
        <f t="shared" si="21"/>
        <v>111674.19002020312</v>
      </c>
      <c r="F84" s="35">
        <f t="shared" si="22"/>
        <v>524974110.0057562</v>
      </c>
      <c r="G84" s="33">
        <f t="shared" si="23"/>
        <v>4700</v>
      </c>
      <c r="H84" s="35">
        <f t="shared" si="24"/>
        <v>524868693.09495467</v>
      </c>
      <c r="I84" s="35">
        <f t="shared" si="25"/>
        <v>105416.91080152988</v>
      </c>
      <c r="J84" s="35">
        <f t="shared" si="26"/>
        <v>52486869.309495471</v>
      </c>
      <c r="K84" s="35">
        <f t="shared" si="27"/>
        <v>340963636.96968418</v>
      </c>
      <c r="L84" s="35">
        <f t="shared" si="28"/>
        <v>0</v>
      </c>
      <c r="M84" s="35">
        <f t="shared" si="29"/>
        <v>511445455.45452631</v>
      </c>
      <c r="N84" s="36">
        <f t="shared" si="30"/>
        <v>0.39</v>
      </c>
      <c r="O84" s="35">
        <f t="shared" si="31"/>
        <v>0</v>
      </c>
      <c r="P84" s="35">
        <f t="shared" si="32"/>
        <v>93895770.643176824</v>
      </c>
      <c r="Q84" s="35">
        <f t="shared" si="33"/>
        <v>0</v>
      </c>
      <c r="R84" s="35">
        <f t="shared" si="34"/>
        <v>577460979.31525171</v>
      </c>
      <c r="S84" s="33">
        <f t="shared" si="35"/>
        <v>5170</v>
      </c>
    </row>
    <row r="85" spans="1:19" x14ac:dyDescent="0.3">
      <c r="A85" s="33">
        <f>81</f>
        <v>81</v>
      </c>
      <c r="B85" s="34">
        <f t="shared" si="18"/>
        <v>48823</v>
      </c>
      <c r="C85" s="33">
        <f t="shared" si="19"/>
        <v>7</v>
      </c>
      <c r="D85" s="33">
        <f t="shared" si="20"/>
        <v>9</v>
      </c>
      <c r="E85" s="35">
        <f t="shared" si="21"/>
        <v>111674.19002020312</v>
      </c>
      <c r="F85" s="35">
        <f t="shared" si="22"/>
        <v>577460979.31525171</v>
      </c>
      <c r="G85" s="33">
        <f t="shared" si="23"/>
        <v>5170</v>
      </c>
      <c r="H85" s="35">
        <f t="shared" si="24"/>
        <v>577355562.40445018</v>
      </c>
      <c r="I85" s="35">
        <f t="shared" si="25"/>
        <v>105416.91080152988</v>
      </c>
      <c r="J85" s="35">
        <f t="shared" si="26"/>
        <v>57735556.240445018</v>
      </c>
      <c r="K85" s="35">
        <f t="shared" si="27"/>
        <v>398699193.2101292</v>
      </c>
      <c r="L85" s="35">
        <f t="shared" si="28"/>
        <v>157940806.9455733</v>
      </c>
      <c r="M85" s="35">
        <f t="shared" si="29"/>
        <v>531598924.28017223</v>
      </c>
      <c r="N85" s="36">
        <f t="shared" si="30"/>
        <v>0.39</v>
      </c>
      <c r="O85" s="35">
        <f t="shared" si="31"/>
        <v>61596914.708773591</v>
      </c>
      <c r="P85" s="35">
        <f t="shared" si="32"/>
        <v>155492685.35195041</v>
      </c>
      <c r="Q85" s="35">
        <f t="shared" si="33"/>
        <v>0</v>
      </c>
      <c r="R85" s="35">
        <f t="shared" si="34"/>
        <v>573599620.84692311</v>
      </c>
      <c r="S85" s="33">
        <f t="shared" si="35"/>
        <v>5136</v>
      </c>
    </row>
    <row r="86" spans="1:19" x14ac:dyDescent="0.3">
      <c r="A86" s="33">
        <f>82</f>
        <v>82</v>
      </c>
      <c r="B86" s="34">
        <f t="shared" si="18"/>
        <v>48853</v>
      </c>
      <c r="C86" s="33">
        <f t="shared" si="19"/>
        <v>7</v>
      </c>
      <c r="D86" s="33">
        <f t="shared" si="20"/>
        <v>10</v>
      </c>
      <c r="E86" s="35">
        <f t="shared" si="21"/>
        <v>111674.19002020312</v>
      </c>
      <c r="F86" s="35">
        <f t="shared" si="22"/>
        <v>573599620.84692311</v>
      </c>
      <c r="G86" s="33">
        <f t="shared" si="23"/>
        <v>5136</v>
      </c>
      <c r="H86" s="35">
        <f t="shared" si="24"/>
        <v>573558639.94376326</v>
      </c>
      <c r="I86" s="35">
        <f t="shared" si="25"/>
        <v>40980.903159856796</v>
      </c>
      <c r="J86" s="35">
        <f t="shared" si="26"/>
        <v>57355863.994376332</v>
      </c>
      <c r="K86" s="35">
        <f t="shared" si="27"/>
        <v>456055057.20450556</v>
      </c>
      <c r="L86" s="35">
        <f t="shared" si="28"/>
        <v>0</v>
      </c>
      <c r="M86" s="35">
        <f t="shared" si="29"/>
        <v>547266068.64540672</v>
      </c>
      <c r="N86" s="36">
        <f t="shared" si="30"/>
        <v>0.39</v>
      </c>
      <c r="O86" s="35">
        <f t="shared" si="31"/>
        <v>0</v>
      </c>
      <c r="P86" s="35">
        <f t="shared" si="32"/>
        <v>155492685.35195041</v>
      </c>
      <c r="Q86" s="35">
        <f t="shared" si="33"/>
        <v>0</v>
      </c>
      <c r="R86" s="35">
        <f t="shared" si="34"/>
        <v>630955484.84129941</v>
      </c>
      <c r="S86" s="33">
        <f t="shared" si="35"/>
        <v>5649</v>
      </c>
    </row>
    <row r="87" spans="1:19" x14ac:dyDescent="0.3">
      <c r="A87" s="33">
        <f>83</f>
        <v>83</v>
      </c>
      <c r="B87" s="34">
        <f t="shared" si="18"/>
        <v>48884</v>
      </c>
      <c r="C87" s="33">
        <f t="shared" si="19"/>
        <v>7</v>
      </c>
      <c r="D87" s="33">
        <f t="shared" si="20"/>
        <v>11</v>
      </c>
      <c r="E87" s="35">
        <f t="shared" si="21"/>
        <v>111674.19002020312</v>
      </c>
      <c r="F87" s="35">
        <f t="shared" si="22"/>
        <v>630955484.84129941</v>
      </c>
      <c r="G87" s="33">
        <f t="shared" si="23"/>
        <v>5649</v>
      </c>
      <c r="H87" s="35">
        <f t="shared" si="24"/>
        <v>630847499.42412746</v>
      </c>
      <c r="I87" s="35">
        <f t="shared" si="25"/>
        <v>107985.41717195511</v>
      </c>
      <c r="J87" s="35">
        <f t="shared" si="26"/>
        <v>63084749.942412749</v>
      </c>
      <c r="K87" s="35">
        <f t="shared" si="27"/>
        <v>519139807.1469183</v>
      </c>
      <c r="L87" s="35">
        <f t="shared" si="28"/>
        <v>0</v>
      </c>
      <c r="M87" s="35">
        <f t="shared" si="29"/>
        <v>566334335.06936538</v>
      </c>
      <c r="N87" s="36">
        <f t="shared" si="30"/>
        <v>0.39</v>
      </c>
      <c r="O87" s="35">
        <f t="shared" si="31"/>
        <v>0</v>
      </c>
      <c r="P87" s="35">
        <f t="shared" si="32"/>
        <v>155492685.35195041</v>
      </c>
      <c r="Q87" s="35">
        <f t="shared" si="33"/>
        <v>0</v>
      </c>
      <c r="R87" s="35">
        <f t="shared" si="34"/>
        <v>694040234.78371215</v>
      </c>
      <c r="S87" s="33">
        <f t="shared" si="35"/>
        <v>6214</v>
      </c>
    </row>
    <row r="88" spans="1:19" x14ac:dyDescent="0.3">
      <c r="A88" s="37">
        <f>84</f>
        <v>84</v>
      </c>
      <c r="B88" s="38">
        <f t="shared" si="18"/>
        <v>48914</v>
      </c>
      <c r="C88" s="37">
        <f t="shared" si="19"/>
        <v>7</v>
      </c>
      <c r="D88" s="37">
        <f t="shared" si="20"/>
        <v>12</v>
      </c>
      <c r="E88" s="39">
        <f t="shared" si="21"/>
        <v>111674.19002020312</v>
      </c>
      <c r="F88" s="39">
        <f t="shared" si="22"/>
        <v>694040234.78371215</v>
      </c>
      <c r="G88" s="37">
        <f t="shared" si="23"/>
        <v>6214</v>
      </c>
      <c r="H88" s="39">
        <f t="shared" si="24"/>
        <v>693943416.78554225</v>
      </c>
      <c r="I88" s="39">
        <f t="shared" si="25"/>
        <v>96817.998169898987</v>
      </c>
      <c r="J88" s="39">
        <f t="shared" si="26"/>
        <v>69394341.678554222</v>
      </c>
      <c r="K88" s="39">
        <f t="shared" si="27"/>
        <v>588534148.82547247</v>
      </c>
      <c r="L88" s="39">
        <f t="shared" si="28"/>
        <v>189834955.6153433</v>
      </c>
      <c r="M88" s="39">
        <f t="shared" si="29"/>
        <v>588534148.82547247</v>
      </c>
      <c r="N88" s="40">
        <f t="shared" si="30"/>
        <v>0.39</v>
      </c>
      <c r="O88" s="39">
        <f t="shared" si="31"/>
        <v>74035632.689983889</v>
      </c>
      <c r="P88" s="39">
        <f t="shared" si="32"/>
        <v>229528318.04193431</v>
      </c>
      <c r="Q88" s="39">
        <f t="shared" si="33"/>
        <v>10000000</v>
      </c>
      <c r="R88" s="39">
        <f t="shared" si="34"/>
        <v>679398943.77228248</v>
      </c>
      <c r="S88" s="37">
        <f t="shared" si="35"/>
        <v>6083</v>
      </c>
    </row>
    <row r="89" spans="1:19" x14ac:dyDescent="0.3">
      <c r="A89" s="33">
        <f>85</f>
        <v>85</v>
      </c>
      <c r="B89" s="34">
        <f t="shared" si="18"/>
        <v>48945</v>
      </c>
      <c r="C89" s="33">
        <f t="shared" si="19"/>
        <v>8</v>
      </c>
      <c r="D89" s="33">
        <f t="shared" si="20"/>
        <v>1</v>
      </c>
      <c r="E89" s="35">
        <f t="shared" si="21"/>
        <v>117257.8995212133</v>
      </c>
      <c r="F89" s="35">
        <f t="shared" si="22"/>
        <v>679398943.77228248</v>
      </c>
      <c r="G89" s="33">
        <f t="shared" si="23"/>
        <v>5794</v>
      </c>
      <c r="H89" s="35">
        <f t="shared" si="24"/>
        <v>679392269.82590985</v>
      </c>
      <c r="I89" s="35">
        <f t="shared" si="25"/>
        <v>6673.946372628212</v>
      </c>
      <c r="J89" s="35">
        <f t="shared" si="26"/>
        <v>67939226.982590988</v>
      </c>
      <c r="K89" s="35">
        <f t="shared" si="27"/>
        <v>67939226.982590988</v>
      </c>
      <c r="L89" s="35">
        <f t="shared" si="28"/>
        <v>0</v>
      </c>
      <c r="M89" s="35">
        <f t="shared" si="29"/>
        <v>815270723.79109192</v>
      </c>
      <c r="N89" s="36">
        <f t="shared" si="30"/>
        <v>0.39</v>
      </c>
      <c r="O89" s="35">
        <f t="shared" si="31"/>
        <v>0</v>
      </c>
      <c r="P89" s="35">
        <f t="shared" si="32"/>
        <v>0</v>
      </c>
      <c r="Q89" s="35">
        <f t="shared" si="33"/>
        <v>0</v>
      </c>
      <c r="R89" s="35">
        <f t="shared" si="34"/>
        <v>747338170.75487351</v>
      </c>
      <c r="S89" s="33">
        <f t="shared" si="35"/>
        <v>6373</v>
      </c>
    </row>
    <row r="90" spans="1:19" x14ac:dyDescent="0.3">
      <c r="A90" s="33">
        <f>86</f>
        <v>86</v>
      </c>
      <c r="B90" s="34">
        <f t="shared" si="18"/>
        <v>48976</v>
      </c>
      <c r="C90" s="33">
        <f t="shared" si="19"/>
        <v>8</v>
      </c>
      <c r="D90" s="33">
        <f t="shared" si="20"/>
        <v>2</v>
      </c>
      <c r="E90" s="35">
        <f t="shared" si="21"/>
        <v>117257.8995212133</v>
      </c>
      <c r="F90" s="35">
        <f t="shared" si="22"/>
        <v>747338170.75487351</v>
      </c>
      <c r="G90" s="33">
        <f t="shared" si="23"/>
        <v>6373</v>
      </c>
      <c r="H90" s="35">
        <f t="shared" si="24"/>
        <v>747284593.64869237</v>
      </c>
      <c r="I90" s="35">
        <f t="shared" si="25"/>
        <v>53577.106181144714</v>
      </c>
      <c r="J90" s="35">
        <f t="shared" si="26"/>
        <v>74728459.364869237</v>
      </c>
      <c r="K90" s="35">
        <f t="shared" si="27"/>
        <v>142667686.34746021</v>
      </c>
      <c r="L90" s="35">
        <f t="shared" si="28"/>
        <v>0</v>
      </c>
      <c r="M90" s="35">
        <f t="shared" si="29"/>
        <v>856006118.08476126</v>
      </c>
      <c r="N90" s="36">
        <f t="shared" si="30"/>
        <v>0.39</v>
      </c>
      <c r="O90" s="35">
        <f t="shared" si="31"/>
        <v>0</v>
      </c>
      <c r="P90" s="35">
        <f t="shared" si="32"/>
        <v>0</v>
      </c>
      <c r="Q90" s="35">
        <f t="shared" si="33"/>
        <v>0</v>
      </c>
      <c r="R90" s="35">
        <f t="shared" si="34"/>
        <v>822066630.11974275</v>
      </c>
      <c r="S90" s="33">
        <f t="shared" si="35"/>
        <v>7010</v>
      </c>
    </row>
    <row r="91" spans="1:19" x14ac:dyDescent="0.3">
      <c r="A91" s="33">
        <f>87</f>
        <v>87</v>
      </c>
      <c r="B91" s="34">
        <f t="shared" si="18"/>
        <v>49004</v>
      </c>
      <c r="C91" s="33">
        <f t="shared" si="19"/>
        <v>8</v>
      </c>
      <c r="D91" s="33">
        <f t="shared" si="20"/>
        <v>3</v>
      </c>
      <c r="E91" s="35">
        <f t="shared" si="21"/>
        <v>117257.8995212133</v>
      </c>
      <c r="F91" s="35">
        <f t="shared" si="22"/>
        <v>822066630.11974275</v>
      </c>
      <c r="G91" s="33">
        <f t="shared" si="23"/>
        <v>7010</v>
      </c>
      <c r="H91" s="35">
        <f t="shared" si="24"/>
        <v>821977875.64370525</v>
      </c>
      <c r="I91" s="35">
        <f t="shared" si="25"/>
        <v>88754.476037502289</v>
      </c>
      <c r="J91" s="35">
        <f t="shared" si="26"/>
        <v>82197787.564370528</v>
      </c>
      <c r="K91" s="35">
        <f t="shared" si="27"/>
        <v>224865473.91183072</v>
      </c>
      <c r="L91" s="35">
        <f t="shared" si="28"/>
        <v>224865473.91183072</v>
      </c>
      <c r="M91" s="35">
        <f t="shared" si="29"/>
        <v>899461895.64732301</v>
      </c>
      <c r="N91" s="36">
        <f t="shared" si="30"/>
        <v>0.39</v>
      </c>
      <c r="O91" s="35">
        <f t="shared" si="31"/>
        <v>87697534.82561399</v>
      </c>
      <c r="P91" s="35">
        <f t="shared" si="32"/>
        <v>87697534.82561399</v>
      </c>
      <c r="Q91" s="35">
        <f t="shared" si="33"/>
        <v>0</v>
      </c>
      <c r="R91" s="35">
        <f t="shared" si="34"/>
        <v>816566882.85849929</v>
      </c>
      <c r="S91" s="33">
        <f t="shared" si="35"/>
        <v>6963</v>
      </c>
    </row>
    <row r="92" spans="1:19" x14ac:dyDescent="0.3">
      <c r="A92" s="33">
        <f>88</f>
        <v>88</v>
      </c>
      <c r="B92" s="34">
        <f t="shared" si="18"/>
        <v>49035</v>
      </c>
      <c r="C92" s="33">
        <f t="shared" si="19"/>
        <v>8</v>
      </c>
      <c r="D92" s="33">
        <f t="shared" si="20"/>
        <v>4</v>
      </c>
      <c r="E92" s="35">
        <f t="shared" si="21"/>
        <v>117257.8995212133</v>
      </c>
      <c r="F92" s="35">
        <f t="shared" si="22"/>
        <v>816566882.85849929</v>
      </c>
      <c r="G92" s="33">
        <f t="shared" si="23"/>
        <v>6963</v>
      </c>
      <c r="H92" s="35">
        <f t="shared" si="24"/>
        <v>816466754.3662082</v>
      </c>
      <c r="I92" s="35">
        <f t="shared" si="25"/>
        <v>100128.49229109287</v>
      </c>
      <c r="J92" s="35">
        <f t="shared" si="26"/>
        <v>81646675.436620831</v>
      </c>
      <c r="K92" s="35">
        <f t="shared" si="27"/>
        <v>306512149.34845155</v>
      </c>
      <c r="L92" s="35">
        <f t="shared" si="28"/>
        <v>0</v>
      </c>
      <c r="M92" s="35">
        <f t="shared" si="29"/>
        <v>919536448.0453546</v>
      </c>
      <c r="N92" s="36">
        <f t="shared" si="30"/>
        <v>0.39</v>
      </c>
      <c r="O92" s="35">
        <f t="shared" si="31"/>
        <v>0</v>
      </c>
      <c r="P92" s="35">
        <f t="shared" si="32"/>
        <v>87697534.82561399</v>
      </c>
      <c r="Q92" s="35">
        <f t="shared" si="33"/>
        <v>0</v>
      </c>
      <c r="R92" s="35">
        <f t="shared" si="34"/>
        <v>898213558.29512012</v>
      </c>
      <c r="S92" s="33">
        <f t="shared" si="35"/>
        <v>7660</v>
      </c>
    </row>
    <row r="93" spans="1:19" x14ac:dyDescent="0.3">
      <c r="A93" s="33">
        <f>89</f>
        <v>89</v>
      </c>
      <c r="B93" s="34">
        <f t="shared" si="18"/>
        <v>49065</v>
      </c>
      <c r="C93" s="33">
        <f t="shared" si="19"/>
        <v>8</v>
      </c>
      <c r="D93" s="33">
        <f t="shared" si="20"/>
        <v>5</v>
      </c>
      <c r="E93" s="35">
        <f t="shared" si="21"/>
        <v>117257.8995212133</v>
      </c>
      <c r="F93" s="35">
        <f t="shared" si="22"/>
        <v>898213558.29512012</v>
      </c>
      <c r="G93" s="33">
        <f t="shared" si="23"/>
        <v>7660</v>
      </c>
      <c r="H93" s="35">
        <f t="shared" si="24"/>
        <v>898195510.3324939</v>
      </c>
      <c r="I93" s="35">
        <f t="shared" si="25"/>
        <v>18047.962626218796</v>
      </c>
      <c r="J93" s="35">
        <f t="shared" si="26"/>
        <v>89819551.033249393</v>
      </c>
      <c r="K93" s="35">
        <f t="shared" si="27"/>
        <v>396331700.38170093</v>
      </c>
      <c r="L93" s="35">
        <f t="shared" si="28"/>
        <v>0</v>
      </c>
      <c r="M93" s="35">
        <f t="shared" si="29"/>
        <v>951196080.91608214</v>
      </c>
      <c r="N93" s="36">
        <f t="shared" si="30"/>
        <v>0.39</v>
      </c>
      <c r="O93" s="35">
        <f t="shared" si="31"/>
        <v>0</v>
      </c>
      <c r="P93" s="35">
        <f t="shared" si="32"/>
        <v>87697534.82561399</v>
      </c>
      <c r="Q93" s="35">
        <f t="shared" si="33"/>
        <v>0</v>
      </c>
      <c r="R93" s="35">
        <f t="shared" si="34"/>
        <v>988033109.3283695</v>
      </c>
      <c r="S93" s="33">
        <f t="shared" si="35"/>
        <v>8426</v>
      </c>
    </row>
    <row r="94" spans="1:19" x14ac:dyDescent="0.3">
      <c r="A94" s="33">
        <f>90</f>
        <v>90</v>
      </c>
      <c r="B94" s="34">
        <f t="shared" si="18"/>
        <v>49096</v>
      </c>
      <c r="C94" s="33">
        <f t="shared" si="19"/>
        <v>8</v>
      </c>
      <c r="D94" s="33">
        <f t="shared" si="20"/>
        <v>6</v>
      </c>
      <c r="E94" s="35">
        <f t="shared" si="21"/>
        <v>117257.8995212133</v>
      </c>
      <c r="F94" s="35">
        <f t="shared" si="22"/>
        <v>988033109.3283695</v>
      </c>
      <c r="G94" s="33">
        <f t="shared" si="23"/>
        <v>8426</v>
      </c>
      <c r="H94" s="35">
        <f t="shared" si="24"/>
        <v>988015061.36574328</v>
      </c>
      <c r="I94" s="35">
        <f t="shared" si="25"/>
        <v>18047.962626218796</v>
      </c>
      <c r="J94" s="35">
        <f t="shared" si="26"/>
        <v>98801506.136574328</v>
      </c>
      <c r="K94" s="35">
        <f t="shared" si="27"/>
        <v>495133206.51827526</v>
      </c>
      <c r="L94" s="35">
        <f t="shared" si="28"/>
        <v>270267732.60644454</v>
      </c>
      <c r="M94" s="35">
        <f t="shared" si="29"/>
        <v>990266413.03655052</v>
      </c>
      <c r="N94" s="36">
        <f t="shared" si="30"/>
        <v>0.39</v>
      </c>
      <c r="O94" s="35">
        <f t="shared" si="31"/>
        <v>105404415.71651338</v>
      </c>
      <c r="P94" s="35">
        <f t="shared" si="32"/>
        <v>193101950.54212737</v>
      </c>
      <c r="Q94" s="35">
        <f t="shared" si="33"/>
        <v>0</v>
      </c>
      <c r="R94" s="35">
        <f t="shared" si="34"/>
        <v>981430199.74843049</v>
      </c>
      <c r="S94" s="33">
        <f t="shared" si="35"/>
        <v>8369</v>
      </c>
    </row>
    <row r="95" spans="1:19" x14ac:dyDescent="0.3">
      <c r="A95" s="33">
        <f>91</f>
        <v>91</v>
      </c>
      <c r="B95" s="34">
        <f t="shared" si="18"/>
        <v>49126</v>
      </c>
      <c r="C95" s="33">
        <f t="shared" si="19"/>
        <v>8</v>
      </c>
      <c r="D95" s="33">
        <f t="shared" si="20"/>
        <v>7</v>
      </c>
      <c r="E95" s="35">
        <f t="shared" si="21"/>
        <v>117257.8995212133</v>
      </c>
      <c r="F95" s="35">
        <f t="shared" si="22"/>
        <v>981430199.74843049</v>
      </c>
      <c r="G95" s="33">
        <f t="shared" si="23"/>
        <v>8369</v>
      </c>
      <c r="H95" s="35">
        <f t="shared" si="24"/>
        <v>981331361.09303415</v>
      </c>
      <c r="I95" s="35">
        <f t="shared" si="25"/>
        <v>98838.655396342278</v>
      </c>
      <c r="J95" s="35">
        <f t="shared" si="26"/>
        <v>98133136.109303415</v>
      </c>
      <c r="K95" s="35">
        <f t="shared" si="27"/>
        <v>593266342.62757874</v>
      </c>
      <c r="L95" s="35">
        <f t="shared" si="28"/>
        <v>0</v>
      </c>
      <c r="M95" s="35">
        <f t="shared" si="29"/>
        <v>1017028015.9329921</v>
      </c>
      <c r="N95" s="36">
        <f t="shared" si="30"/>
        <v>0.39</v>
      </c>
      <c r="O95" s="35">
        <f t="shared" si="31"/>
        <v>0</v>
      </c>
      <c r="P95" s="35">
        <f t="shared" si="32"/>
        <v>193101950.54212737</v>
      </c>
      <c r="Q95" s="35">
        <f t="shared" si="33"/>
        <v>0</v>
      </c>
      <c r="R95" s="35">
        <f t="shared" si="34"/>
        <v>1079563335.857734</v>
      </c>
      <c r="S95" s="33">
        <f t="shared" si="35"/>
        <v>9206</v>
      </c>
    </row>
    <row r="96" spans="1:19" x14ac:dyDescent="0.3">
      <c r="A96" s="33">
        <f>92</f>
        <v>92</v>
      </c>
      <c r="B96" s="34">
        <f t="shared" si="18"/>
        <v>49157</v>
      </c>
      <c r="C96" s="33">
        <f t="shared" si="19"/>
        <v>8</v>
      </c>
      <c r="D96" s="33">
        <f t="shared" si="20"/>
        <v>8</v>
      </c>
      <c r="E96" s="35">
        <f t="shared" si="21"/>
        <v>117257.8995212133</v>
      </c>
      <c r="F96" s="35">
        <f t="shared" si="22"/>
        <v>1079563335.857734</v>
      </c>
      <c r="G96" s="33">
        <f t="shared" si="23"/>
        <v>9206</v>
      </c>
      <c r="H96" s="35">
        <f t="shared" si="24"/>
        <v>1079476222.9922895</v>
      </c>
      <c r="I96" s="35">
        <f t="shared" si="25"/>
        <v>87112.865444421768</v>
      </c>
      <c r="J96" s="35">
        <f t="shared" si="26"/>
        <v>107947622.29922897</v>
      </c>
      <c r="K96" s="35">
        <f t="shared" si="27"/>
        <v>701213964.92680764</v>
      </c>
      <c r="L96" s="35">
        <f t="shared" si="28"/>
        <v>0</v>
      </c>
      <c r="M96" s="35">
        <f t="shared" si="29"/>
        <v>1051820947.3902115</v>
      </c>
      <c r="N96" s="36">
        <f t="shared" si="30"/>
        <v>0.39</v>
      </c>
      <c r="O96" s="35">
        <f t="shared" si="31"/>
        <v>0</v>
      </c>
      <c r="P96" s="35">
        <f t="shared" si="32"/>
        <v>193101950.54212737</v>
      </c>
      <c r="Q96" s="35">
        <f t="shared" si="33"/>
        <v>0</v>
      </c>
      <c r="R96" s="35">
        <f t="shared" si="34"/>
        <v>1187510958.1569629</v>
      </c>
      <c r="S96" s="33">
        <f t="shared" si="35"/>
        <v>10127</v>
      </c>
    </row>
    <row r="97" spans="1:19" x14ac:dyDescent="0.3">
      <c r="A97" s="33">
        <f>93</f>
        <v>93</v>
      </c>
      <c r="B97" s="34">
        <f t="shared" si="18"/>
        <v>49188</v>
      </c>
      <c r="C97" s="33">
        <f t="shared" si="19"/>
        <v>8</v>
      </c>
      <c r="D97" s="33">
        <f t="shared" si="20"/>
        <v>9</v>
      </c>
      <c r="E97" s="35">
        <f t="shared" si="21"/>
        <v>117257.8995212133</v>
      </c>
      <c r="F97" s="35">
        <f t="shared" si="22"/>
        <v>1187510958.1569629</v>
      </c>
      <c r="G97" s="33">
        <f t="shared" si="23"/>
        <v>10127</v>
      </c>
      <c r="H97" s="35">
        <f t="shared" si="24"/>
        <v>1187470748.4513271</v>
      </c>
      <c r="I97" s="35">
        <f t="shared" si="25"/>
        <v>40209.705635786057</v>
      </c>
      <c r="J97" s="35">
        <f t="shared" si="26"/>
        <v>118747074.84513271</v>
      </c>
      <c r="K97" s="35">
        <f t="shared" si="27"/>
        <v>819961039.77194035</v>
      </c>
      <c r="L97" s="35">
        <f t="shared" si="28"/>
        <v>324827833.25366509</v>
      </c>
      <c r="M97" s="35">
        <f t="shared" si="29"/>
        <v>1093281386.3625872</v>
      </c>
      <c r="N97" s="36">
        <f t="shared" si="30"/>
        <v>0.39</v>
      </c>
      <c r="O97" s="35">
        <f t="shared" si="31"/>
        <v>126682854.9689294</v>
      </c>
      <c r="P97" s="35">
        <f t="shared" si="32"/>
        <v>319784805.51105678</v>
      </c>
      <c r="Q97" s="35">
        <f t="shared" si="33"/>
        <v>0</v>
      </c>
      <c r="R97" s="35">
        <f t="shared" si="34"/>
        <v>1179575178.0331664</v>
      </c>
      <c r="S97" s="33">
        <f t="shared" si="35"/>
        <v>10059</v>
      </c>
    </row>
    <row r="98" spans="1:19" x14ac:dyDescent="0.3">
      <c r="A98" s="33">
        <f>94</f>
        <v>94</v>
      </c>
      <c r="B98" s="34">
        <f t="shared" si="18"/>
        <v>49218</v>
      </c>
      <c r="C98" s="33">
        <f t="shared" si="19"/>
        <v>8</v>
      </c>
      <c r="D98" s="33">
        <f t="shared" si="20"/>
        <v>10</v>
      </c>
      <c r="E98" s="35">
        <f t="shared" si="21"/>
        <v>117257.8995212133</v>
      </c>
      <c r="F98" s="35">
        <f t="shared" si="22"/>
        <v>1179575178.0331664</v>
      </c>
      <c r="G98" s="33">
        <f t="shared" si="23"/>
        <v>10059</v>
      </c>
      <c r="H98" s="35">
        <f t="shared" si="24"/>
        <v>1179497211.2838845</v>
      </c>
      <c r="I98" s="35">
        <f t="shared" si="25"/>
        <v>77966.74928188324</v>
      </c>
      <c r="J98" s="35">
        <f t="shared" si="26"/>
        <v>117949721.12838846</v>
      </c>
      <c r="K98" s="35">
        <f t="shared" si="27"/>
        <v>937910760.90032887</v>
      </c>
      <c r="L98" s="35">
        <f t="shared" si="28"/>
        <v>0</v>
      </c>
      <c r="M98" s="35">
        <f t="shared" si="29"/>
        <v>1125492913.0803947</v>
      </c>
      <c r="N98" s="36">
        <f t="shared" si="30"/>
        <v>0.39</v>
      </c>
      <c r="O98" s="35">
        <f t="shared" si="31"/>
        <v>0</v>
      </c>
      <c r="P98" s="35">
        <f t="shared" si="32"/>
        <v>319784805.51105678</v>
      </c>
      <c r="Q98" s="35">
        <f t="shared" si="33"/>
        <v>0</v>
      </c>
      <c r="R98" s="35">
        <f t="shared" si="34"/>
        <v>1297524899.1615548</v>
      </c>
      <c r="S98" s="33">
        <f t="shared" si="35"/>
        <v>11065</v>
      </c>
    </row>
    <row r="99" spans="1:19" x14ac:dyDescent="0.3">
      <c r="A99" s="33">
        <f>95</f>
        <v>95</v>
      </c>
      <c r="B99" s="34">
        <f t="shared" si="18"/>
        <v>49249</v>
      </c>
      <c r="C99" s="33">
        <f t="shared" si="19"/>
        <v>8</v>
      </c>
      <c r="D99" s="33">
        <f t="shared" si="20"/>
        <v>11</v>
      </c>
      <c r="E99" s="35">
        <f t="shared" si="21"/>
        <v>117257.8995212133</v>
      </c>
      <c r="F99" s="35">
        <f t="shared" si="22"/>
        <v>1297524899.1615548</v>
      </c>
      <c r="G99" s="33">
        <f t="shared" si="23"/>
        <v>11065</v>
      </c>
      <c r="H99" s="35">
        <f t="shared" si="24"/>
        <v>1297458658.2022252</v>
      </c>
      <c r="I99" s="35">
        <f t="shared" si="25"/>
        <v>66240.959329605103</v>
      </c>
      <c r="J99" s="35">
        <f t="shared" si="26"/>
        <v>129745865.82022253</v>
      </c>
      <c r="K99" s="35">
        <f t="shared" si="27"/>
        <v>1067656626.7205514</v>
      </c>
      <c r="L99" s="35">
        <f t="shared" si="28"/>
        <v>0</v>
      </c>
      <c r="M99" s="35">
        <f t="shared" si="29"/>
        <v>1164716320.0587833</v>
      </c>
      <c r="N99" s="36">
        <f t="shared" si="30"/>
        <v>0.39</v>
      </c>
      <c r="O99" s="35">
        <f t="shared" si="31"/>
        <v>0</v>
      </c>
      <c r="P99" s="35">
        <f t="shared" si="32"/>
        <v>319784805.51105678</v>
      </c>
      <c r="Q99" s="35">
        <f t="shared" si="33"/>
        <v>0</v>
      </c>
      <c r="R99" s="35">
        <f t="shared" si="34"/>
        <v>1427270764.9817774</v>
      </c>
      <c r="S99" s="33">
        <f t="shared" si="35"/>
        <v>12172</v>
      </c>
    </row>
    <row r="100" spans="1:19" x14ac:dyDescent="0.3">
      <c r="A100" s="37">
        <f>96</f>
        <v>96</v>
      </c>
      <c r="B100" s="38">
        <f t="shared" si="18"/>
        <v>49279</v>
      </c>
      <c r="C100" s="37">
        <f t="shared" si="19"/>
        <v>8</v>
      </c>
      <c r="D100" s="37">
        <f t="shared" si="20"/>
        <v>12</v>
      </c>
      <c r="E100" s="39">
        <f t="shared" si="21"/>
        <v>117257.8995212133</v>
      </c>
      <c r="F100" s="39">
        <f t="shared" si="22"/>
        <v>1427270764.9817774</v>
      </c>
      <c r="G100" s="37">
        <f t="shared" si="23"/>
        <v>12172</v>
      </c>
      <c r="H100" s="39">
        <f t="shared" si="24"/>
        <v>1427263152.9722083</v>
      </c>
      <c r="I100" s="39">
        <f t="shared" si="25"/>
        <v>7612.0095691680908</v>
      </c>
      <c r="J100" s="39">
        <f t="shared" si="26"/>
        <v>142726315.29722083</v>
      </c>
      <c r="K100" s="39">
        <f t="shared" si="27"/>
        <v>1210382942.0177722</v>
      </c>
      <c r="L100" s="39">
        <f t="shared" si="28"/>
        <v>390421902.24583185</v>
      </c>
      <c r="M100" s="39">
        <f t="shared" si="29"/>
        <v>1210382942.0177722</v>
      </c>
      <c r="N100" s="40">
        <f t="shared" si="30"/>
        <v>0.39</v>
      </c>
      <c r="O100" s="39">
        <f t="shared" si="31"/>
        <v>152264541.87587443</v>
      </c>
      <c r="P100" s="39">
        <f t="shared" si="32"/>
        <v>472049347.38693118</v>
      </c>
      <c r="Q100" s="39">
        <f t="shared" si="33"/>
        <v>10000000</v>
      </c>
      <c r="R100" s="39">
        <f t="shared" si="34"/>
        <v>1407732538.4031239</v>
      </c>
      <c r="S100" s="37">
        <f t="shared" si="35"/>
        <v>12005</v>
      </c>
    </row>
    <row r="101" spans="1:19" x14ac:dyDescent="0.3">
      <c r="A101" s="33">
        <f>97</f>
        <v>97</v>
      </c>
      <c r="B101" s="34">
        <f t="shared" si="18"/>
        <v>49310</v>
      </c>
      <c r="C101" s="33">
        <f t="shared" si="19"/>
        <v>9</v>
      </c>
      <c r="D101" s="33">
        <f t="shared" si="20"/>
        <v>1</v>
      </c>
      <c r="E101" s="35">
        <f t="shared" si="21"/>
        <v>123120.79449727395</v>
      </c>
      <c r="F101" s="35">
        <f t="shared" si="22"/>
        <v>1407732538.4031239</v>
      </c>
      <c r="G101" s="33">
        <f t="shared" si="23"/>
        <v>11433</v>
      </c>
      <c r="H101" s="35">
        <f t="shared" si="24"/>
        <v>1407640043.4873331</v>
      </c>
      <c r="I101" s="35">
        <f t="shared" si="25"/>
        <v>92494.91579079628</v>
      </c>
      <c r="J101" s="35">
        <f t="shared" si="26"/>
        <v>140764004.34873331</v>
      </c>
      <c r="K101" s="35">
        <f t="shared" si="27"/>
        <v>140764004.34873331</v>
      </c>
      <c r="L101" s="35">
        <f t="shared" si="28"/>
        <v>0</v>
      </c>
      <c r="M101" s="35">
        <f t="shared" si="29"/>
        <v>1689168052.1847997</v>
      </c>
      <c r="N101" s="36">
        <f t="shared" si="30"/>
        <v>0.39</v>
      </c>
      <c r="O101" s="35">
        <f t="shared" si="31"/>
        <v>0</v>
      </c>
      <c r="P101" s="35">
        <f t="shared" si="32"/>
        <v>0</v>
      </c>
      <c r="Q101" s="35">
        <f t="shared" si="33"/>
        <v>0</v>
      </c>
      <c r="R101" s="35">
        <f t="shared" si="34"/>
        <v>1548496542.7518573</v>
      </c>
      <c r="S101" s="33">
        <f t="shared" si="35"/>
        <v>12577</v>
      </c>
    </row>
    <row r="102" spans="1:19" x14ac:dyDescent="0.3">
      <c r="A102" s="33">
        <f>98</f>
        <v>98</v>
      </c>
      <c r="B102" s="34">
        <f t="shared" si="18"/>
        <v>49341</v>
      </c>
      <c r="C102" s="33">
        <f t="shared" si="19"/>
        <v>9</v>
      </c>
      <c r="D102" s="33">
        <f t="shared" si="20"/>
        <v>2</v>
      </c>
      <c r="E102" s="35">
        <f t="shared" si="21"/>
        <v>123120.79449727395</v>
      </c>
      <c r="F102" s="35">
        <f t="shared" si="22"/>
        <v>1548496542.7518573</v>
      </c>
      <c r="G102" s="33">
        <f t="shared" si="23"/>
        <v>12577</v>
      </c>
      <c r="H102" s="35">
        <f t="shared" si="24"/>
        <v>1548490232.3922145</v>
      </c>
      <c r="I102" s="35">
        <f t="shared" si="25"/>
        <v>6310.3596427440643</v>
      </c>
      <c r="J102" s="35">
        <f t="shared" si="26"/>
        <v>154849023.23922145</v>
      </c>
      <c r="K102" s="35">
        <f t="shared" si="27"/>
        <v>295613027.58795476</v>
      </c>
      <c r="L102" s="35">
        <f t="shared" si="28"/>
        <v>0</v>
      </c>
      <c r="M102" s="35">
        <f t="shared" si="29"/>
        <v>1773678165.5277286</v>
      </c>
      <c r="N102" s="36">
        <f t="shared" si="30"/>
        <v>0.39</v>
      </c>
      <c r="O102" s="35">
        <f t="shared" si="31"/>
        <v>0</v>
      </c>
      <c r="P102" s="35">
        <f t="shared" si="32"/>
        <v>0</v>
      </c>
      <c r="Q102" s="35">
        <f t="shared" si="33"/>
        <v>0</v>
      </c>
      <c r="R102" s="35">
        <f t="shared" si="34"/>
        <v>1703345565.9910789</v>
      </c>
      <c r="S102" s="33">
        <f t="shared" si="35"/>
        <v>13834</v>
      </c>
    </row>
    <row r="103" spans="1:19" x14ac:dyDescent="0.3">
      <c r="A103" s="33">
        <f>99</f>
        <v>99</v>
      </c>
      <c r="B103" s="34">
        <f t="shared" si="18"/>
        <v>49369</v>
      </c>
      <c r="C103" s="33">
        <f t="shared" si="19"/>
        <v>9</v>
      </c>
      <c r="D103" s="33">
        <f t="shared" si="20"/>
        <v>3</v>
      </c>
      <c r="E103" s="35">
        <f t="shared" si="21"/>
        <v>123120.79449727395</v>
      </c>
      <c r="F103" s="35">
        <f t="shared" si="22"/>
        <v>1703345565.9910789</v>
      </c>
      <c r="G103" s="33">
        <f t="shared" si="23"/>
        <v>13834</v>
      </c>
      <c r="H103" s="35">
        <f t="shared" si="24"/>
        <v>1703253071.0752878</v>
      </c>
      <c r="I103" s="35">
        <f t="shared" si="25"/>
        <v>92494.915791034698</v>
      </c>
      <c r="J103" s="35">
        <f t="shared" si="26"/>
        <v>170325307.10752881</v>
      </c>
      <c r="K103" s="35">
        <f t="shared" si="27"/>
        <v>465938334.69548357</v>
      </c>
      <c r="L103" s="35">
        <f t="shared" si="28"/>
        <v>465938334.69548357</v>
      </c>
      <c r="M103" s="35">
        <f t="shared" si="29"/>
        <v>1863753338.781934</v>
      </c>
      <c r="N103" s="36">
        <f t="shared" si="30"/>
        <v>0.39</v>
      </c>
      <c r="O103" s="35">
        <f t="shared" si="31"/>
        <v>181715950.53123859</v>
      </c>
      <c r="P103" s="35">
        <f t="shared" si="32"/>
        <v>181715950.53123859</v>
      </c>
      <c r="Q103" s="35">
        <f t="shared" si="33"/>
        <v>0</v>
      </c>
      <c r="R103" s="35">
        <f t="shared" si="34"/>
        <v>1691954922.567369</v>
      </c>
      <c r="S103" s="33">
        <f t="shared" si="35"/>
        <v>13742</v>
      </c>
    </row>
    <row r="104" spans="1:19" x14ac:dyDescent="0.3">
      <c r="A104" s="33">
        <f>100</f>
        <v>100</v>
      </c>
      <c r="B104" s="34">
        <f t="shared" si="18"/>
        <v>49400</v>
      </c>
      <c r="C104" s="33">
        <f t="shared" si="19"/>
        <v>9</v>
      </c>
      <c r="D104" s="33">
        <f t="shared" si="20"/>
        <v>4</v>
      </c>
      <c r="E104" s="35">
        <f t="shared" si="21"/>
        <v>123120.79449727395</v>
      </c>
      <c r="F104" s="35">
        <f t="shared" si="22"/>
        <v>1691954922.567369</v>
      </c>
      <c r="G104" s="33">
        <f t="shared" si="23"/>
        <v>13742</v>
      </c>
      <c r="H104" s="35">
        <f t="shared" si="24"/>
        <v>1691925957.9815385</v>
      </c>
      <c r="I104" s="35">
        <f t="shared" si="25"/>
        <v>28964.585830450058</v>
      </c>
      <c r="J104" s="35">
        <f t="shared" si="26"/>
        <v>169192595.79815388</v>
      </c>
      <c r="K104" s="35">
        <f t="shared" si="27"/>
        <v>635130930.49363744</v>
      </c>
      <c r="L104" s="35">
        <f t="shared" si="28"/>
        <v>0</v>
      </c>
      <c r="M104" s="35">
        <f t="shared" si="29"/>
        <v>1905392791.4809122</v>
      </c>
      <c r="N104" s="36">
        <f t="shared" si="30"/>
        <v>0.39</v>
      </c>
      <c r="O104" s="35">
        <f t="shared" si="31"/>
        <v>0</v>
      </c>
      <c r="P104" s="35">
        <f t="shared" si="32"/>
        <v>181715950.53123859</v>
      </c>
      <c r="Q104" s="35">
        <f t="shared" si="33"/>
        <v>0</v>
      </c>
      <c r="R104" s="35">
        <f t="shared" si="34"/>
        <v>1861147518.3655229</v>
      </c>
      <c r="S104" s="33">
        <f t="shared" si="35"/>
        <v>15116</v>
      </c>
    </row>
    <row r="105" spans="1:19" x14ac:dyDescent="0.3">
      <c r="A105" s="33">
        <f>101</f>
        <v>101</v>
      </c>
      <c r="B105" s="34">
        <f t="shared" si="18"/>
        <v>49430</v>
      </c>
      <c r="C105" s="33">
        <f t="shared" si="19"/>
        <v>9</v>
      </c>
      <c r="D105" s="33">
        <f t="shared" si="20"/>
        <v>5</v>
      </c>
      <c r="E105" s="35">
        <f t="shared" si="21"/>
        <v>123120.79449727395</v>
      </c>
      <c r="F105" s="35">
        <f t="shared" si="22"/>
        <v>1861147518.3655229</v>
      </c>
      <c r="G105" s="33">
        <f t="shared" si="23"/>
        <v>15116</v>
      </c>
      <c r="H105" s="35">
        <f t="shared" si="24"/>
        <v>1861093929.6207931</v>
      </c>
      <c r="I105" s="35">
        <f t="shared" si="25"/>
        <v>53588.744729757309</v>
      </c>
      <c r="J105" s="35">
        <f t="shared" si="26"/>
        <v>186109392.96207932</v>
      </c>
      <c r="K105" s="35">
        <f t="shared" si="27"/>
        <v>821240323.45571673</v>
      </c>
      <c r="L105" s="35">
        <f t="shared" si="28"/>
        <v>0</v>
      </c>
      <c r="M105" s="35">
        <f t="shared" si="29"/>
        <v>1970976776.2937202</v>
      </c>
      <c r="N105" s="36">
        <f t="shared" si="30"/>
        <v>0.39</v>
      </c>
      <c r="O105" s="35">
        <f t="shared" si="31"/>
        <v>0</v>
      </c>
      <c r="P105" s="35">
        <f t="shared" si="32"/>
        <v>181715950.53123859</v>
      </c>
      <c r="Q105" s="35">
        <f t="shared" si="33"/>
        <v>0</v>
      </c>
      <c r="R105" s="35">
        <f t="shared" si="34"/>
        <v>2047256911.3276021</v>
      </c>
      <c r="S105" s="33">
        <f t="shared" si="35"/>
        <v>16628</v>
      </c>
    </row>
    <row r="106" spans="1:19" x14ac:dyDescent="0.3">
      <c r="A106" s="33">
        <f>102</f>
        <v>102</v>
      </c>
      <c r="B106" s="34">
        <f t="shared" si="18"/>
        <v>49461</v>
      </c>
      <c r="C106" s="33">
        <f t="shared" si="19"/>
        <v>9</v>
      </c>
      <c r="D106" s="33">
        <f t="shared" si="20"/>
        <v>6</v>
      </c>
      <c r="E106" s="35">
        <f t="shared" si="21"/>
        <v>123120.79449727395</v>
      </c>
      <c r="F106" s="35">
        <f t="shared" si="22"/>
        <v>2047256911.3276021</v>
      </c>
      <c r="G106" s="33">
        <f t="shared" si="23"/>
        <v>16628</v>
      </c>
      <c r="H106" s="35">
        <f t="shared" si="24"/>
        <v>2047252570.9006712</v>
      </c>
      <c r="I106" s="35">
        <f t="shared" si="25"/>
        <v>4340.4269309043884</v>
      </c>
      <c r="J106" s="35">
        <f t="shared" si="26"/>
        <v>204725257.09006715</v>
      </c>
      <c r="K106" s="35">
        <f t="shared" si="27"/>
        <v>1025965580.5457839</v>
      </c>
      <c r="L106" s="35">
        <f t="shared" si="28"/>
        <v>560027245.85030031</v>
      </c>
      <c r="M106" s="35">
        <f t="shared" si="29"/>
        <v>2051931161.0915678</v>
      </c>
      <c r="N106" s="36">
        <f t="shared" si="30"/>
        <v>0.39</v>
      </c>
      <c r="O106" s="35">
        <f t="shared" si="31"/>
        <v>218410625.88161713</v>
      </c>
      <c r="P106" s="35">
        <f t="shared" si="32"/>
        <v>400126576.41285574</v>
      </c>
      <c r="Q106" s="35">
        <f t="shared" si="33"/>
        <v>0</v>
      </c>
      <c r="R106" s="35">
        <f t="shared" si="34"/>
        <v>2033571542.5360522</v>
      </c>
      <c r="S106" s="33">
        <f t="shared" si="35"/>
        <v>16516</v>
      </c>
    </row>
    <row r="107" spans="1:19" x14ac:dyDescent="0.3">
      <c r="A107" s="33">
        <f>103</f>
        <v>103</v>
      </c>
      <c r="B107" s="34">
        <f t="shared" si="18"/>
        <v>49491</v>
      </c>
      <c r="C107" s="33">
        <f t="shared" si="19"/>
        <v>9</v>
      </c>
      <c r="D107" s="33">
        <f t="shared" si="20"/>
        <v>7</v>
      </c>
      <c r="E107" s="35">
        <f t="shared" si="21"/>
        <v>123120.79449727395</v>
      </c>
      <c r="F107" s="35">
        <f t="shared" si="22"/>
        <v>2033571542.5360522</v>
      </c>
      <c r="G107" s="33">
        <f t="shared" si="23"/>
        <v>16516</v>
      </c>
      <c r="H107" s="35">
        <f t="shared" si="24"/>
        <v>2033463041.9169765</v>
      </c>
      <c r="I107" s="35">
        <f t="shared" si="25"/>
        <v>108500.61907577515</v>
      </c>
      <c r="J107" s="35">
        <f t="shared" si="26"/>
        <v>203346304.19169766</v>
      </c>
      <c r="K107" s="35">
        <f t="shared" si="27"/>
        <v>1229311884.7374816</v>
      </c>
      <c r="L107" s="35">
        <f t="shared" si="28"/>
        <v>0</v>
      </c>
      <c r="M107" s="35">
        <f t="shared" si="29"/>
        <v>2107391802.4071114</v>
      </c>
      <c r="N107" s="36">
        <f t="shared" si="30"/>
        <v>0.39</v>
      </c>
      <c r="O107" s="35">
        <f t="shared" si="31"/>
        <v>0</v>
      </c>
      <c r="P107" s="35">
        <f t="shared" si="32"/>
        <v>400126576.41285574</v>
      </c>
      <c r="Q107" s="35">
        <f t="shared" si="33"/>
        <v>0</v>
      </c>
      <c r="R107" s="35">
        <f t="shared" si="34"/>
        <v>2236917846.7277498</v>
      </c>
      <c r="S107" s="33">
        <f t="shared" si="35"/>
        <v>18168</v>
      </c>
    </row>
    <row r="108" spans="1:19" x14ac:dyDescent="0.3">
      <c r="A108" s="33">
        <f>104</f>
        <v>104</v>
      </c>
      <c r="B108" s="34">
        <f t="shared" si="18"/>
        <v>49522</v>
      </c>
      <c r="C108" s="33">
        <f t="shared" si="19"/>
        <v>9</v>
      </c>
      <c r="D108" s="33">
        <f t="shared" si="20"/>
        <v>8</v>
      </c>
      <c r="E108" s="35">
        <f t="shared" si="21"/>
        <v>123120.79449727395</v>
      </c>
      <c r="F108" s="35">
        <f t="shared" si="22"/>
        <v>2236917846.7277498</v>
      </c>
      <c r="G108" s="33">
        <f t="shared" si="23"/>
        <v>18168</v>
      </c>
      <c r="H108" s="35">
        <f t="shared" si="24"/>
        <v>2236858594.4264731</v>
      </c>
      <c r="I108" s="35">
        <f t="shared" si="25"/>
        <v>59252.301276683807</v>
      </c>
      <c r="J108" s="35">
        <f t="shared" si="26"/>
        <v>223685859.44264734</v>
      </c>
      <c r="K108" s="35">
        <f t="shared" si="27"/>
        <v>1452997744.1801291</v>
      </c>
      <c r="L108" s="35">
        <f t="shared" si="28"/>
        <v>0</v>
      </c>
      <c r="M108" s="35">
        <f t="shared" si="29"/>
        <v>2179496616.2701936</v>
      </c>
      <c r="N108" s="36">
        <f t="shared" si="30"/>
        <v>0.39</v>
      </c>
      <c r="O108" s="35">
        <f t="shared" si="31"/>
        <v>0</v>
      </c>
      <c r="P108" s="35">
        <f t="shared" si="32"/>
        <v>400126576.41285574</v>
      </c>
      <c r="Q108" s="35">
        <f t="shared" si="33"/>
        <v>0</v>
      </c>
      <c r="R108" s="35">
        <f t="shared" si="34"/>
        <v>2460603706.1703973</v>
      </c>
      <c r="S108" s="33">
        <f t="shared" si="35"/>
        <v>19985</v>
      </c>
    </row>
    <row r="109" spans="1:19" x14ac:dyDescent="0.3">
      <c r="A109" s="33">
        <f>105</f>
        <v>105</v>
      </c>
      <c r="B109" s="34">
        <f t="shared" si="18"/>
        <v>49553</v>
      </c>
      <c r="C109" s="33">
        <f t="shared" si="19"/>
        <v>9</v>
      </c>
      <c r="D109" s="33">
        <f t="shared" si="20"/>
        <v>9</v>
      </c>
      <c r="E109" s="35">
        <f t="shared" si="21"/>
        <v>123120.79449727395</v>
      </c>
      <c r="F109" s="35">
        <f t="shared" si="22"/>
        <v>2460603706.1703973</v>
      </c>
      <c r="G109" s="33">
        <f t="shared" si="23"/>
        <v>19985</v>
      </c>
      <c r="H109" s="35">
        <f t="shared" si="24"/>
        <v>2460569078.0280199</v>
      </c>
      <c r="I109" s="35">
        <f t="shared" si="25"/>
        <v>34628.142377376556</v>
      </c>
      <c r="J109" s="35">
        <f t="shared" si="26"/>
        <v>246056907.802802</v>
      </c>
      <c r="K109" s="35">
        <f t="shared" si="27"/>
        <v>1699054651.9829311</v>
      </c>
      <c r="L109" s="35">
        <f t="shared" si="28"/>
        <v>673089071.43714702</v>
      </c>
      <c r="M109" s="35">
        <f t="shared" si="29"/>
        <v>2265406202.643908</v>
      </c>
      <c r="N109" s="36">
        <f t="shared" si="30"/>
        <v>0.39</v>
      </c>
      <c r="O109" s="35">
        <f t="shared" si="31"/>
        <v>262504737.86048734</v>
      </c>
      <c r="P109" s="35">
        <f t="shared" si="32"/>
        <v>662631314.27334309</v>
      </c>
      <c r="Q109" s="35">
        <f t="shared" si="33"/>
        <v>0</v>
      </c>
      <c r="R109" s="35">
        <f t="shared" si="34"/>
        <v>2444155876.1127119</v>
      </c>
      <c r="S109" s="33">
        <f t="shared" si="35"/>
        <v>19851</v>
      </c>
    </row>
    <row r="110" spans="1:19" x14ac:dyDescent="0.3">
      <c r="A110" s="33">
        <f>106</f>
        <v>106</v>
      </c>
      <c r="B110" s="34">
        <f t="shared" si="18"/>
        <v>49583</v>
      </c>
      <c r="C110" s="33">
        <f t="shared" si="19"/>
        <v>9</v>
      </c>
      <c r="D110" s="33">
        <f t="shared" si="20"/>
        <v>10</v>
      </c>
      <c r="E110" s="35">
        <f t="shared" si="21"/>
        <v>123120.79449727395</v>
      </c>
      <c r="F110" s="35">
        <f t="shared" si="22"/>
        <v>2444155876.1127119</v>
      </c>
      <c r="G110" s="33">
        <f t="shared" si="23"/>
        <v>19851</v>
      </c>
      <c r="H110" s="35">
        <f t="shared" si="24"/>
        <v>2444070891.5653853</v>
      </c>
      <c r="I110" s="35">
        <f t="shared" si="25"/>
        <v>84984.547326564789</v>
      </c>
      <c r="J110" s="35">
        <f t="shared" si="26"/>
        <v>244407089.15653855</v>
      </c>
      <c r="K110" s="35">
        <f t="shared" si="27"/>
        <v>1943461741.1394696</v>
      </c>
      <c r="L110" s="35">
        <f t="shared" si="28"/>
        <v>0</v>
      </c>
      <c r="M110" s="35">
        <f t="shared" si="29"/>
        <v>2332154089.3673639</v>
      </c>
      <c r="N110" s="36">
        <f t="shared" si="30"/>
        <v>0.39</v>
      </c>
      <c r="O110" s="35">
        <f t="shared" si="31"/>
        <v>0</v>
      </c>
      <c r="P110" s="35">
        <f t="shared" si="32"/>
        <v>662631314.27334309</v>
      </c>
      <c r="Q110" s="35">
        <f t="shared" si="33"/>
        <v>0</v>
      </c>
      <c r="R110" s="35">
        <f t="shared" si="34"/>
        <v>2688562965.2692504</v>
      </c>
      <c r="S110" s="33">
        <f t="shared" si="35"/>
        <v>21836</v>
      </c>
    </row>
    <row r="111" spans="1:19" x14ac:dyDescent="0.3">
      <c r="A111" s="33">
        <f>107</f>
        <v>107</v>
      </c>
      <c r="B111" s="34">
        <f t="shared" si="18"/>
        <v>49614</v>
      </c>
      <c r="C111" s="33">
        <f t="shared" si="19"/>
        <v>9</v>
      </c>
      <c r="D111" s="33">
        <f t="shared" si="20"/>
        <v>11</v>
      </c>
      <c r="E111" s="35">
        <f t="shared" si="21"/>
        <v>123120.79449727395</v>
      </c>
      <c r="F111" s="35">
        <f t="shared" si="22"/>
        <v>2688562965.2692504</v>
      </c>
      <c r="G111" s="33">
        <f t="shared" si="23"/>
        <v>21836</v>
      </c>
      <c r="H111" s="35">
        <f t="shared" si="24"/>
        <v>2688465668.6424742</v>
      </c>
      <c r="I111" s="35">
        <f t="shared" si="25"/>
        <v>97296.626776218414</v>
      </c>
      <c r="J111" s="35">
        <f t="shared" si="26"/>
        <v>268846566.86424744</v>
      </c>
      <c r="K111" s="35">
        <f t="shared" si="27"/>
        <v>2212308308.0037169</v>
      </c>
      <c r="L111" s="35">
        <f t="shared" si="28"/>
        <v>0</v>
      </c>
      <c r="M111" s="35">
        <f t="shared" si="29"/>
        <v>2413427245.0949636</v>
      </c>
      <c r="N111" s="36">
        <f t="shared" si="30"/>
        <v>0.39</v>
      </c>
      <c r="O111" s="35">
        <f t="shared" si="31"/>
        <v>0</v>
      </c>
      <c r="P111" s="35">
        <f t="shared" si="32"/>
        <v>662631314.27334309</v>
      </c>
      <c r="Q111" s="35">
        <f t="shared" si="33"/>
        <v>0</v>
      </c>
      <c r="R111" s="35">
        <f t="shared" si="34"/>
        <v>2957409532.1334977</v>
      </c>
      <c r="S111" s="33">
        <f t="shared" si="35"/>
        <v>24020</v>
      </c>
    </row>
    <row r="112" spans="1:19" x14ac:dyDescent="0.3">
      <c r="A112" s="37">
        <f>108</f>
        <v>108</v>
      </c>
      <c r="B112" s="38">
        <f t="shared" si="18"/>
        <v>49644</v>
      </c>
      <c r="C112" s="37">
        <f t="shared" si="19"/>
        <v>9</v>
      </c>
      <c r="D112" s="37">
        <f t="shared" si="20"/>
        <v>12</v>
      </c>
      <c r="E112" s="39">
        <f t="shared" si="21"/>
        <v>123120.79449727395</v>
      </c>
      <c r="F112" s="39">
        <f t="shared" si="22"/>
        <v>2957409532.1334977</v>
      </c>
      <c r="G112" s="37">
        <f t="shared" si="23"/>
        <v>24020</v>
      </c>
      <c r="H112" s="39">
        <f t="shared" si="24"/>
        <v>2957361483.8245201</v>
      </c>
      <c r="I112" s="39">
        <f t="shared" si="25"/>
        <v>48048.308977603912</v>
      </c>
      <c r="J112" s="39">
        <f t="shared" si="26"/>
        <v>295736148.38245201</v>
      </c>
      <c r="K112" s="39">
        <f t="shared" si="27"/>
        <v>2508044456.386169</v>
      </c>
      <c r="L112" s="39">
        <f t="shared" si="28"/>
        <v>808989804.40323806</v>
      </c>
      <c r="M112" s="39">
        <f t="shared" si="29"/>
        <v>2508044456.386169</v>
      </c>
      <c r="N112" s="40">
        <f t="shared" si="30"/>
        <v>0.39</v>
      </c>
      <c r="O112" s="39">
        <f t="shared" si="31"/>
        <v>315506023.71726286</v>
      </c>
      <c r="P112" s="39">
        <f t="shared" si="32"/>
        <v>978137337.99060595</v>
      </c>
      <c r="Q112" s="39">
        <f t="shared" si="33"/>
        <v>10000000</v>
      </c>
      <c r="R112" s="39">
        <f t="shared" si="34"/>
        <v>2927639656.798687</v>
      </c>
      <c r="S112" s="37">
        <f t="shared" si="35"/>
        <v>23778</v>
      </c>
    </row>
    <row r="113" spans="1:19" x14ac:dyDescent="0.3">
      <c r="A113" s="33">
        <f>109</f>
        <v>109</v>
      </c>
      <c r="B113" s="34">
        <f t="shared" si="18"/>
        <v>49675</v>
      </c>
      <c r="C113" s="33">
        <f t="shared" si="19"/>
        <v>10</v>
      </c>
      <c r="D113" s="33">
        <f t="shared" si="20"/>
        <v>1</v>
      </c>
      <c r="E113" s="35">
        <f t="shared" si="21"/>
        <v>129276.83422213765</v>
      </c>
      <c r="F113" s="35">
        <f t="shared" si="22"/>
        <v>2927639656.798687</v>
      </c>
      <c r="G113" s="33">
        <f t="shared" si="23"/>
        <v>22646</v>
      </c>
      <c r="H113" s="35">
        <f t="shared" si="24"/>
        <v>2927603187.7945294</v>
      </c>
      <c r="I113" s="35">
        <f t="shared" si="25"/>
        <v>36469.004157543182</v>
      </c>
      <c r="J113" s="35">
        <f t="shared" si="26"/>
        <v>292760318.77945298</v>
      </c>
      <c r="K113" s="35">
        <f t="shared" si="27"/>
        <v>292760318.77945298</v>
      </c>
      <c r="L113" s="35">
        <f t="shared" si="28"/>
        <v>0</v>
      </c>
      <c r="M113" s="35">
        <f t="shared" si="29"/>
        <v>3513123825.3534355</v>
      </c>
      <c r="N113" s="36">
        <f t="shared" si="30"/>
        <v>0.39</v>
      </c>
      <c r="O113" s="35">
        <f t="shared" si="31"/>
        <v>0</v>
      </c>
      <c r="P113" s="35">
        <f t="shared" si="32"/>
        <v>0</v>
      </c>
      <c r="Q113" s="35">
        <f t="shared" si="33"/>
        <v>0</v>
      </c>
      <c r="R113" s="35">
        <f t="shared" si="34"/>
        <v>3220399975.5781398</v>
      </c>
      <c r="S113" s="33">
        <f t="shared" si="35"/>
        <v>24910</v>
      </c>
    </row>
    <row r="114" spans="1:19" x14ac:dyDescent="0.3">
      <c r="A114" s="33">
        <f>110</f>
        <v>110</v>
      </c>
      <c r="B114" s="34">
        <f t="shared" si="18"/>
        <v>49706</v>
      </c>
      <c r="C114" s="33">
        <f t="shared" si="19"/>
        <v>10</v>
      </c>
      <c r="D114" s="33">
        <f t="shared" si="20"/>
        <v>2</v>
      </c>
      <c r="E114" s="35">
        <f t="shared" si="21"/>
        <v>129276.83422213765</v>
      </c>
      <c r="F114" s="35">
        <f t="shared" si="22"/>
        <v>3220399975.5781398</v>
      </c>
      <c r="G114" s="33">
        <f t="shared" si="23"/>
        <v>24910</v>
      </c>
      <c r="H114" s="35">
        <f t="shared" si="24"/>
        <v>3220285940.4734488</v>
      </c>
      <c r="I114" s="35">
        <f t="shared" si="25"/>
        <v>114035.10469102859</v>
      </c>
      <c r="J114" s="35">
        <f t="shared" si="26"/>
        <v>322028594.04734492</v>
      </c>
      <c r="K114" s="35">
        <f t="shared" si="27"/>
        <v>614788912.82679796</v>
      </c>
      <c r="L114" s="35">
        <f t="shared" si="28"/>
        <v>0</v>
      </c>
      <c r="M114" s="35">
        <f t="shared" si="29"/>
        <v>3688733476.9607878</v>
      </c>
      <c r="N114" s="36">
        <f t="shared" si="30"/>
        <v>0.39</v>
      </c>
      <c r="O114" s="35">
        <f t="shared" si="31"/>
        <v>0</v>
      </c>
      <c r="P114" s="35">
        <f t="shared" si="32"/>
        <v>0</v>
      </c>
      <c r="Q114" s="35">
        <f t="shared" si="33"/>
        <v>0</v>
      </c>
      <c r="R114" s="35">
        <f t="shared" si="34"/>
        <v>3542428569.6254845</v>
      </c>
      <c r="S114" s="33">
        <f t="shared" si="35"/>
        <v>27401</v>
      </c>
    </row>
    <row r="115" spans="1:19" x14ac:dyDescent="0.3">
      <c r="A115" s="33">
        <f>111</f>
        <v>111</v>
      </c>
      <c r="B115" s="34">
        <f t="shared" si="18"/>
        <v>49735</v>
      </c>
      <c r="C115" s="33">
        <f t="shared" si="19"/>
        <v>10</v>
      </c>
      <c r="D115" s="33">
        <f t="shared" si="20"/>
        <v>3</v>
      </c>
      <c r="E115" s="35">
        <f t="shared" si="21"/>
        <v>129276.83422213765</v>
      </c>
      <c r="F115" s="35">
        <f t="shared" si="22"/>
        <v>3542428569.6254845</v>
      </c>
      <c r="G115" s="33">
        <f t="shared" si="23"/>
        <v>27401</v>
      </c>
      <c r="H115" s="35">
        <f t="shared" si="24"/>
        <v>3542314534.5207939</v>
      </c>
      <c r="I115" s="35">
        <f t="shared" si="25"/>
        <v>114035.10469055176</v>
      </c>
      <c r="J115" s="35">
        <f t="shared" si="26"/>
        <v>354231453.45207942</v>
      </c>
      <c r="K115" s="35">
        <f t="shared" si="27"/>
        <v>969020366.27887738</v>
      </c>
      <c r="L115" s="35">
        <f t="shared" si="28"/>
        <v>969020366.27887738</v>
      </c>
      <c r="M115" s="35">
        <f t="shared" si="29"/>
        <v>3876081465.1155095</v>
      </c>
      <c r="N115" s="36">
        <f t="shared" si="30"/>
        <v>0.39</v>
      </c>
      <c r="O115" s="35">
        <f t="shared" si="31"/>
        <v>377917942.84876221</v>
      </c>
      <c r="P115" s="35">
        <f t="shared" si="32"/>
        <v>377917942.84876221</v>
      </c>
      <c r="Q115" s="35">
        <f t="shared" si="33"/>
        <v>0</v>
      </c>
      <c r="R115" s="35">
        <f t="shared" si="34"/>
        <v>3518742080.2288017</v>
      </c>
      <c r="S115" s="33">
        <f t="shared" si="35"/>
        <v>27218</v>
      </c>
    </row>
    <row r="116" spans="1:19" x14ac:dyDescent="0.3">
      <c r="A116" s="33">
        <f>112</f>
        <v>112</v>
      </c>
      <c r="B116" s="34">
        <f t="shared" si="18"/>
        <v>49766</v>
      </c>
      <c r="C116" s="33">
        <f t="shared" si="19"/>
        <v>10</v>
      </c>
      <c r="D116" s="33">
        <f t="shared" si="20"/>
        <v>4</v>
      </c>
      <c r="E116" s="35">
        <f t="shared" si="21"/>
        <v>129276.83422213765</v>
      </c>
      <c r="F116" s="35">
        <f t="shared" si="22"/>
        <v>3518742080.2288017</v>
      </c>
      <c r="G116" s="33">
        <f t="shared" si="23"/>
        <v>27218</v>
      </c>
      <c r="H116" s="35">
        <f t="shared" si="24"/>
        <v>3518656873.8581424</v>
      </c>
      <c r="I116" s="35">
        <f t="shared" si="25"/>
        <v>85206.370659351349</v>
      </c>
      <c r="J116" s="35">
        <f t="shared" si="26"/>
        <v>351865687.38581425</v>
      </c>
      <c r="K116" s="35">
        <f t="shared" si="27"/>
        <v>1320886053.6646917</v>
      </c>
      <c r="L116" s="35">
        <f t="shared" si="28"/>
        <v>0</v>
      </c>
      <c r="M116" s="35">
        <f t="shared" si="29"/>
        <v>3962658160.9940748</v>
      </c>
      <c r="N116" s="36">
        <f t="shared" si="30"/>
        <v>0.39</v>
      </c>
      <c r="O116" s="35">
        <f t="shared" si="31"/>
        <v>0</v>
      </c>
      <c r="P116" s="35">
        <f t="shared" si="32"/>
        <v>377917942.84876221</v>
      </c>
      <c r="Q116" s="35">
        <f t="shared" si="33"/>
        <v>0</v>
      </c>
      <c r="R116" s="35">
        <f t="shared" si="34"/>
        <v>3870607767.6146159</v>
      </c>
      <c r="S116" s="33">
        <f t="shared" si="35"/>
        <v>29940</v>
      </c>
    </row>
    <row r="117" spans="1:19" x14ac:dyDescent="0.3">
      <c r="A117" s="33">
        <f>113</f>
        <v>113</v>
      </c>
      <c r="B117" s="34">
        <f t="shared" si="18"/>
        <v>49796</v>
      </c>
      <c r="C117" s="33">
        <f t="shared" si="19"/>
        <v>10</v>
      </c>
      <c r="D117" s="33">
        <f t="shared" si="20"/>
        <v>5</v>
      </c>
      <c r="E117" s="35">
        <f t="shared" si="21"/>
        <v>129276.83422213765</v>
      </c>
      <c r="F117" s="35">
        <f t="shared" si="22"/>
        <v>3870607767.6146159</v>
      </c>
      <c r="G117" s="33">
        <f t="shared" si="23"/>
        <v>29940</v>
      </c>
      <c r="H117" s="35">
        <f t="shared" si="24"/>
        <v>3870548416.6108012</v>
      </c>
      <c r="I117" s="35">
        <f t="shared" si="25"/>
        <v>59351.003814697266</v>
      </c>
      <c r="J117" s="35">
        <f t="shared" si="26"/>
        <v>387054841.66108012</v>
      </c>
      <c r="K117" s="35">
        <f t="shared" si="27"/>
        <v>1707940895.3257718</v>
      </c>
      <c r="L117" s="35">
        <f t="shared" si="28"/>
        <v>0</v>
      </c>
      <c r="M117" s="35">
        <f t="shared" si="29"/>
        <v>4099058148.7818527</v>
      </c>
      <c r="N117" s="36">
        <f t="shared" si="30"/>
        <v>0.39</v>
      </c>
      <c r="O117" s="35">
        <f t="shared" si="31"/>
        <v>0</v>
      </c>
      <c r="P117" s="35">
        <f t="shared" si="32"/>
        <v>377917942.84876221</v>
      </c>
      <c r="Q117" s="35">
        <f t="shared" si="33"/>
        <v>0</v>
      </c>
      <c r="R117" s="35">
        <f t="shared" si="34"/>
        <v>4257662609.2756958</v>
      </c>
      <c r="S117" s="33">
        <f t="shared" si="35"/>
        <v>32934</v>
      </c>
    </row>
    <row r="118" spans="1:19" x14ac:dyDescent="0.3">
      <c r="A118" s="33">
        <f>114</f>
        <v>114</v>
      </c>
      <c r="B118" s="34">
        <f t="shared" si="18"/>
        <v>49827</v>
      </c>
      <c r="C118" s="33">
        <f t="shared" si="19"/>
        <v>10</v>
      </c>
      <c r="D118" s="33">
        <f t="shared" si="20"/>
        <v>6</v>
      </c>
      <c r="E118" s="35">
        <f t="shared" si="21"/>
        <v>129276.83422213765</v>
      </c>
      <c r="F118" s="35">
        <f t="shared" si="22"/>
        <v>4257662609.2756958</v>
      </c>
      <c r="G118" s="33">
        <f t="shared" si="23"/>
        <v>32934</v>
      </c>
      <c r="H118" s="35">
        <f t="shared" si="24"/>
        <v>4257603258.2718816</v>
      </c>
      <c r="I118" s="35">
        <f t="shared" si="25"/>
        <v>59351.003814220428</v>
      </c>
      <c r="J118" s="35">
        <f t="shared" si="26"/>
        <v>425760325.82718819</v>
      </c>
      <c r="K118" s="35">
        <f t="shared" si="27"/>
        <v>2133701221.1529601</v>
      </c>
      <c r="L118" s="35">
        <f t="shared" si="28"/>
        <v>1164680854.8740826</v>
      </c>
      <c r="M118" s="35">
        <f t="shared" si="29"/>
        <v>4267402442.3059201</v>
      </c>
      <c r="N118" s="36">
        <f t="shared" si="30"/>
        <v>0.39</v>
      </c>
      <c r="O118" s="35">
        <f t="shared" si="31"/>
        <v>454225533.4008922</v>
      </c>
      <c r="P118" s="35">
        <f t="shared" si="32"/>
        <v>832143476.24965441</v>
      </c>
      <c r="Q118" s="35">
        <f t="shared" si="33"/>
        <v>0</v>
      </c>
      <c r="R118" s="35">
        <f t="shared" si="34"/>
        <v>4229197401.701992</v>
      </c>
      <c r="S118" s="33">
        <f t="shared" si="35"/>
        <v>32714</v>
      </c>
    </row>
    <row r="119" spans="1:19" x14ac:dyDescent="0.3">
      <c r="A119" s="33">
        <f>115</f>
        <v>115</v>
      </c>
      <c r="B119" s="34">
        <f t="shared" si="18"/>
        <v>49857</v>
      </c>
      <c r="C119" s="33">
        <f t="shared" si="19"/>
        <v>10</v>
      </c>
      <c r="D119" s="33">
        <f t="shared" si="20"/>
        <v>7</v>
      </c>
      <c r="E119" s="35">
        <f t="shared" si="21"/>
        <v>129276.83422213765</v>
      </c>
      <c r="F119" s="35">
        <f t="shared" si="22"/>
        <v>4229197401.701992</v>
      </c>
      <c r="G119" s="33">
        <f t="shared" si="23"/>
        <v>32714</v>
      </c>
      <c r="H119" s="35">
        <f t="shared" si="24"/>
        <v>4229162354.743011</v>
      </c>
      <c r="I119" s="35">
        <f t="shared" si="25"/>
        <v>35046.95898103714</v>
      </c>
      <c r="J119" s="35">
        <f t="shared" si="26"/>
        <v>422916235.4743011</v>
      </c>
      <c r="K119" s="35">
        <f t="shared" si="27"/>
        <v>2556617456.6272612</v>
      </c>
      <c r="L119" s="35">
        <f t="shared" si="28"/>
        <v>0</v>
      </c>
      <c r="M119" s="35">
        <f t="shared" si="29"/>
        <v>4382772782.7895908</v>
      </c>
      <c r="N119" s="36">
        <f t="shared" si="30"/>
        <v>0.39</v>
      </c>
      <c r="O119" s="35">
        <f t="shared" si="31"/>
        <v>0</v>
      </c>
      <c r="P119" s="35">
        <f t="shared" si="32"/>
        <v>832143476.24965441</v>
      </c>
      <c r="Q119" s="35">
        <f t="shared" si="33"/>
        <v>0</v>
      </c>
      <c r="R119" s="35">
        <f t="shared" si="34"/>
        <v>4652113637.1762934</v>
      </c>
      <c r="S119" s="33">
        <f t="shared" si="35"/>
        <v>35985</v>
      </c>
    </row>
    <row r="120" spans="1:19" x14ac:dyDescent="0.3">
      <c r="A120" s="33">
        <f>116</f>
        <v>116</v>
      </c>
      <c r="B120" s="34">
        <f t="shared" si="18"/>
        <v>49888</v>
      </c>
      <c r="C120" s="33">
        <f t="shared" si="19"/>
        <v>10</v>
      </c>
      <c r="D120" s="33">
        <f t="shared" si="20"/>
        <v>8</v>
      </c>
      <c r="E120" s="35">
        <f t="shared" si="21"/>
        <v>129276.83422213765</v>
      </c>
      <c r="F120" s="35">
        <f t="shared" si="22"/>
        <v>4652113637.1762934</v>
      </c>
      <c r="G120" s="33">
        <f t="shared" si="23"/>
        <v>35985</v>
      </c>
      <c r="H120" s="35">
        <f t="shared" si="24"/>
        <v>4652026879.4836235</v>
      </c>
      <c r="I120" s="35">
        <f t="shared" si="25"/>
        <v>86757.692669868469</v>
      </c>
      <c r="J120" s="35">
        <f t="shared" si="26"/>
        <v>465202687.94836235</v>
      </c>
      <c r="K120" s="35">
        <f t="shared" si="27"/>
        <v>3021820144.5756235</v>
      </c>
      <c r="L120" s="35">
        <f t="shared" si="28"/>
        <v>0</v>
      </c>
      <c r="M120" s="35">
        <f t="shared" si="29"/>
        <v>4532730216.8634357</v>
      </c>
      <c r="N120" s="36">
        <f t="shared" si="30"/>
        <v>0.39</v>
      </c>
      <c r="O120" s="35">
        <f t="shared" si="31"/>
        <v>0</v>
      </c>
      <c r="P120" s="35">
        <f t="shared" si="32"/>
        <v>832143476.24965441</v>
      </c>
      <c r="Q120" s="35">
        <f t="shared" si="33"/>
        <v>0</v>
      </c>
      <c r="R120" s="35">
        <f t="shared" si="34"/>
        <v>5117316325.1246557</v>
      </c>
      <c r="S120" s="33">
        <f t="shared" si="35"/>
        <v>39584</v>
      </c>
    </row>
    <row r="121" spans="1:19" x14ac:dyDescent="0.3">
      <c r="A121" s="33">
        <f>117</f>
        <v>117</v>
      </c>
      <c r="B121" s="34">
        <f t="shared" si="18"/>
        <v>49919</v>
      </c>
      <c r="C121" s="33">
        <f t="shared" si="19"/>
        <v>10</v>
      </c>
      <c r="D121" s="33">
        <f t="shared" si="20"/>
        <v>9</v>
      </c>
      <c r="E121" s="35">
        <f t="shared" si="21"/>
        <v>129276.83422213765</v>
      </c>
      <c r="F121" s="35">
        <f t="shared" si="22"/>
        <v>5117316325.1246557</v>
      </c>
      <c r="G121" s="33">
        <f t="shared" si="23"/>
        <v>39584</v>
      </c>
      <c r="H121" s="35">
        <f t="shared" si="24"/>
        <v>5117294205.8490973</v>
      </c>
      <c r="I121" s="35">
        <f t="shared" si="25"/>
        <v>22119.27555847168</v>
      </c>
      <c r="J121" s="35">
        <f t="shared" si="26"/>
        <v>511729420.58490974</v>
      </c>
      <c r="K121" s="35">
        <f t="shared" si="27"/>
        <v>3533549565.1605334</v>
      </c>
      <c r="L121" s="35">
        <f t="shared" si="28"/>
        <v>1399848344.0075731</v>
      </c>
      <c r="M121" s="35">
        <f t="shared" si="29"/>
        <v>4711399420.2140446</v>
      </c>
      <c r="N121" s="36">
        <f t="shared" si="30"/>
        <v>0.39</v>
      </c>
      <c r="O121" s="35">
        <f t="shared" si="31"/>
        <v>545940854.1629535</v>
      </c>
      <c r="P121" s="35">
        <f t="shared" si="32"/>
        <v>1378084330.4126079</v>
      </c>
      <c r="Q121" s="35">
        <f t="shared" si="33"/>
        <v>0</v>
      </c>
      <c r="R121" s="35">
        <f t="shared" si="34"/>
        <v>5083104891.5466118</v>
      </c>
      <c r="S121" s="33">
        <f t="shared" si="35"/>
        <v>39319</v>
      </c>
    </row>
    <row r="122" spans="1:19" x14ac:dyDescent="0.3">
      <c r="A122" s="33">
        <f>118</f>
        <v>118</v>
      </c>
      <c r="B122" s="34">
        <f t="shared" si="18"/>
        <v>49949</v>
      </c>
      <c r="C122" s="33">
        <f t="shared" si="19"/>
        <v>10</v>
      </c>
      <c r="D122" s="33">
        <f t="shared" si="20"/>
        <v>10</v>
      </c>
      <c r="E122" s="35">
        <f t="shared" si="21"/>
        <v>129276.83422213765</v>
      </c>
      <c r="F122" s="35">
        <f t="shared" si="22"/>
        <v>5083104891.5466118</v>
      </c>
      <c r="G122" s="33">
        <f t="shared" si="23"/>
        <v>39319</v>
      </c>
      <c r="H122" s="35">
        <f t="shared" si="24"/>
        <v>5083035844.7802305</v>
      </c>
      <c r="I122" s="35">
        <f t="shared" si="25"/>
        <v>69046.766381263733</v>
      </c>
      <c r="J122" s="35">
        <f t="shared" si="26"/>
        <v>508303584.47802305</v>
      </c>
      <c r="K122" s="35">
        <f t="shared" si="27"/>
        <v>4041853149.6385565</v>
      </c>
      <c r="L122" s="35">
        <f t="shared" si="28"/>
        <v>0</v>
      </c>
      <c r="M122" s="35">
        <f t="shared" si="29"/>
        <v>4850223779.566267</v>
      </c>
      <c r="N122" s="36">
        <f t="shared" si="30"/>
        <v>0.39</v>
      </c>
      <c r="O122" s="35">
        <f t="shared" si="31"/>
        <v>0</v>
      </c>
      <c r="P122" s="35">
        <f t="shared" si="32"/>
        <v>1378084330.4126079</v>
      </c>
      <c r="Q122" s="35">
        <f t="shared" si="33"/>
        <v>0</v>
      </c>
      <c r="R122" s="35">
        <f t="shared" si="34"/>
        <v>5591408476.0246353</v>
      </c>
      <c r="S122" s="33">
        <f t="shared" si="35"/>
        <v>43251</v>
      </c>
    </row>
    <row r="123" spans="1:19" x14ac:dyDescent="0.3">
      <c r="A123" s="33">
        <f>119</f>
        <v>119</v>
      </c>
      <c r="B123" s="34">
        <f t="shared" si="18"/>
        <v>49980</v>
      </c>
      <c r="C123" s="33">
        <f t="shared" si="19"/>
        <v>10</v>
      </c>
      <c r="D123" s="33">
        <f t="shared" si="20"/>
        <v>11</v>
      </c>
      <c r="E123" s="35">
        <f t="shared" si="21"/>
        <v>129276.83422213765</v>
      </c>
      <c r="F123" s="35">
        <f t="shared" si="22"/>
        <v>5591408476.0246353</v>
      </c>
      <c r="G123" s="33">
        <f t="shared" si="23"/>
        <v>43251</v>
      </c>
      <c r="H123" s="35">
        <f t="shared" si="24"/>
        <v>5591352356.9416752</v>
      </c>
      <c r="I123" s="35">
        <f t="shared" si="25"/>
        <v>56119.082960128784</v>
      </c>
      <c r="J123" s="35">
        <f t="shared" si="26"/>
        <v>559135235.69416749</v>
      </c>
      <c r="K123" s="35">
        <f t="shared" si="27"/>
        <v>4600988385.3327236</v>
      </c>
      <c r="L123" s="35">
        <f t="shared" si="28"/>
        <v>0</v>
      </c>
      <c r="M123" s="35">
        <f t="shared" si="29"/>
        <v>5019260056.7266073</v>
      </c>
      <c r="N123" s="36">
        <f t="shared" si="30"/>
        <v>0.39</v>
      </c>
      <c r="O123" s="35">
        <f t="shared" si="31"/>
        <v>0</v>
      </c>
      <c r="P123" s="35">
        <f t="shared" si="32"/>
        <v>1378084330.4126079</v>
      </c>
      <c r="Q123" s="35">
        <f t="shared" si="33"/>
        <v>0</v>
      </c>
      <c r="R123" s="35">
        <f t="shared" si="34"/>
        <v>6150543711.7188025</v>
      </c>
      <c r="S123" s="33">
        <f t="shared" si="35"/>
        <v>47576</v>
      </c>
    </row>
    <row r="124" spans="1:19" x14ac:dyDescent="0.3">
      <c r="A124" s="37">
        <f>120</f>
        <v>120</v>
      </c>
      <c r="B124" s="38">
        <f t="shared" si="18"/>
        <v>50010</v>
      </c>
      <c r="C124" s="37">
        <f t="shared" si="19"/>
        <v>10</v>
      </c>
      <c r="D124" s="37">
        <f t="shared" si="20"/>
        <v>12</v>
      </c>
      <c r="E124" s="39">
        <f t="shared" si="21"/>
        <v>129276.83422213765</v>
      </c>
      <c r="F124" s="39">
        <f t="shared" si="22"/>
        <v>6150543711.7188025</v>
      </c>
      <c r="G124" s="37">
        <f t="shared" si="23"/>
        <v>47576</v>
      </c>
      <c r="H124" s="39">
        <f t="shared" si="24"/>
        <v>6150474664.9524212</v>
      </c>
      <c r="I124" s="39">
        <f t="shared" si="25"/>
        <v>69046.766381263733</v>
      </c>
      <c r="J124" s="39">
        <f t="shared" si="26"/>
        <v>615047466.49524212</v>
      </c>
      <c r="K124" s="39">
        <f t="shared" si="27"/>
        <v>5216035851.8279657</v>
      </c>
      <c r="L124" s="39">
        <f t="shared" si="28"/>
        <v>1682486286.6674328</v>
      </c>
      <c r="M124" s="39">
        <f t="shared" si="29"/>
        <v>5216035851.8279657</v>
      </c>
      <c r="N124" s="40">
        <f t="shared" si="30"/>
        <v>0.39</v>
      </c>
      <c r="O124" s="39">
        <f t="shared" si="31"/>
        <v>656169651.80029881</v>
      </c>
      <c r="P124" s="39">
        <f t="shared" si="32"/>
        <v>2034253982.2129068</v>
      </c>
      <c r="Q124" s="39">
        <f t="shared" si="33"/>
        <v>10000000</v>
      </c>
      <c r="R124" s="39">
        <f t="shared" si="34"/>
        <v>6099421526.4137459</v>
      </c>
      <c r="S124" s="37">
        <f t="shared" si="35"/>
        <v>47181</v>
      </c>
    </row>
    <row r="125" spans="1:19" x14ac:dyDescent="0.3">
      <c r="A125" s="33">
        <f>121</f>
        <v>121</v>
      </c>
      <c r="B125" s="34">
        <f t="shared" si="18"/>
        <v>50041</v>
      </c>
      <c r="C125" s="33">
        <f t="shared" si="19"/>
        <v>11</v>
      </c>
      <c r="D125" s="33">
        <f t="shared" si="20"/>
        <v>1</v>
      </c>
      <c r="E125" s="35">
        <f t="shared" si="21"/>
        <v>135740.67593324455</v>
      </c>
      <c r="F125" s="35">
        <f t="shared" si="22"/>
        <v>6099421526.4137459</v>
      </c>
      <c r="G125" s="33">
        <f t="shared" si="23"/>
        <v>44934</v>
      </c>
      <c r="H125" s="35">
        <f t="shared" si="24"/>
        <v>6099371532.3844109</v>
      </c>
      <c r="I125" s="35">
        <f t="shared" si="25"/>
        <v>49994.029335021973</v>
      </c>
      <c r="J125" s="35">
        <f t="shared" si="26"/>
        <v>609937153.23844111</v>
      </c>
      <c r="K125" s="35">
        <f t="shared" si="27"/>
        <v>609937153.23844111</v>
      </c>
      <c r="L125" s="35">
        <f t="shared" si="28"/>
        <v>0</v>
      </c>
      <c r="M125" s="35">
        <f t="shared" si="29"/>
        <v>7319245838.8612938</v>
      </c>
      <c r="N125" s="36">
        <f t="shared" si="30"/>
        <v>0.39</v>
      </c>
      <c r="O125" s="35">
        <f t="shared" si="31"/>
        <v>0</v>
      </c>
      <c r="P125" s="35">
        <f t="shared" si="32"/>
        <v>0</v>
      </c>
      <c r="Q125" s="35">
        <f t="shared" si="33"/>
        <v>0</v>
      </c>
      <c r="R125" s="35">
        <f t="shared" si="34"/>
        <v>6709358679.6521873</v>
      </c>
      <c r="S125" s="33">
        <f t="shared" si="35"/>
        <v>49427</v>
      </c>
    </row>
    <row r="126" spans="1:19" x14ac:dyDescent="0.3">
      <c r="A126" s="33">
        <f>122</f>
        <v>122</v>
      </c>
      <c r="B126" s="34">
        <f t="shared" si="18"/>
        <v>50072</v>
      </c>
      <c r="C126" s="33">
        <f t="shared" si="19"/>
        <v>11</v>
      </c>
      <c r="D126" s="33">
        <f t="shared" si="20"/>
        <v>2</v>
      </c>
      <c r="E126" s="35">
        <f t="shared" si="21"/>
        <v>135740.67593324455</v>
      </c>
      <c r="F126" s="35">
        <f t="shared" si="22"/>
        <v>6709358679.6521873</v>
      </c>
      <c r="G126" s="33">
        <f t="shared" si="23"/>
        <v>49427</v>
      </c>
      <c r="H126" s="35">
        <f t="shared" si="24"/>
        <v>6709254389.352478</v>
      </c>
      <c r="I126" s="35">
        <f t="shared" si="25"/>
        <v>104290.29970932007</v>
      </c>
      <c r="J126" s="35">
        <f t="shared" si="26"/>
        <v>670925438.9352479</v>
      </c>
      <c r="K126" s="35">
        <f t="shared" si="27"/>
        <v>1280862592.1736889</v>
      </c>
      <c r="L126" s="35">
        <f t="shared" si="28"/>
        <v>0</v>
      </c>
      <c r="M126" s="35">
        <f t="shared" si="29"/>
        <v>7685175553.0421333</v>
      </c>
      <c r="N126" s="36">
        <f t="shared" si="30"/>
        <v>0.39</v>
      </c>
      <c r="O126" s="35">
        <f t="shared" si="31"/>
        <v>0</v>
      </c>
      <c r="P126" s="35">
        <f t="shared" si="32"/>
        <v>0</v>
      </c>
      <c r="Q126" s="35">
        <f t="shared" si="33"/>
        <v>0</v>
      </c>
      <c r="R126" s="35">
        <f t="shared" si="34"/>
        <v>7380284118.5874348</v>
      </c>
      <c r="S126" s="33">
        <f t="shared" si="35"/>
        <v>54370</v>
      </c>
    </row>
    <row r="127" spans="1:19" x14ac:dyDescent="0.3">
      <c r="A127" s="33">
        <f>123</f>
        <v>123</v>
      </c>
      <c r="B127" s="34">
        <f t="shared" si="18"/>
        <v>50100</v>
      </c>
      <c r="C127" s="33">
        <f t="shared" si="19"/>
        <v>11</v>
      </c>
      <c r="D127" s="33">
        <f t="shared" si="20"/>
        <v>3</v>
      </c>
      <c r="E127" s="35">
        <f t="shared" si="21"/>
        <v>135740.67593324455</v>
      </c>
      <c r="F127" s="35">
        <f t="shared" si="22"/>
        <v>7380284118.5874348</v>
      </c>
      <c r="G127" s="33">
        <f t="shared" si="23"/>
        <v>54370</v>
      </c>
      <c r="H127" s="35">
        <f t="shared" si="24"/>
        <v>7380220550.4905062</v>
      </c>
      <c r="I127" s="35">
        <f t="shared" si="25"/>
        <v>63568.096928596497</v>
      </c>
      <c r="J127" s="35">
        <f t="shared" si="26"/>
        <v>738022055.04905069</v>
      </c>
      <c r="K127" s="35">
        <f t="shared" si="27"/>
        <v>2018884647.2227397</v>
      </c>
      <c r="L127" s="35">
        <f t="shared" si="28"/>
        <v>2018884647.2227397</v>
      </c>
      <c r="M127" s="35">
        <f t="shared" si="29"/>
        <v>8075538588.8909578</v>
      </c>
      <c r="N127" s="36">
        <f t="shared" si="30"/>
        <v>0.39</v>
      </c>
      <c r="O127" s="35">
        <f t="shared" si="31"/>
        <v>787365012.41686857</v>
      </c>
      <c r="P127" s="35">
        <f t="shared" si="32"/>
        <v>787365012.41686857</v>
      </c>
      <c r="Q127" s="35">
        <f t="shared" si="33"/>
        <v>0</v>
      </c>
      <c r="R127" s="35">
        <f t="shared" si="34"/>
        <v>7330941161.2196169</v>
      </c>
      <c r="S127" s="33">
        <f t="shared" si="35"/>
        <v>54006</v>
      </c>
    </row>
    <row r="128" spans="1:19" x14ac:dyDescent="0.3">
      <c r="A128" s="33">
        <f>124</f>
        <v>124</v>
      </c>
      <c r="B128" s="34">
        <f t="shared" si="18"/>
        <v>50131</v>
      </c>
      <c r="C128" s="33">
        <f t="shared" si="19"/>
        <v>11</v>
      </c>
      <c r="D128" s="33">
        <f t="shared" si="20"/>
        <v>4</v>
      </c>
      <c r="E128" s="35">
        <f t="shared" si="21"/>
        <v>135740.67593324455</v>
      </c>
      <c r="F128" s="35">
        <f t="shared" si="22"/>
        <v>7330941161.2196169</v>
      </c>
      <c r="G128" s="33">
        <f t="shared" si="23"/>
        <v>54006</v>
      </c>
      <c r="H128" s="35">
        <f t="shared" si="24"/>
        <v>7330810944.4508057</v>
      </c>
      <c r="I128" s="35">
        <f t="shared" si="25"/>
        <v>130216.76881122589</v>
      </c>
      <c r="J128" s="35">
        <f t="shared" si="26"/>
        <v>733081094.44508064</v>
      </c>
      <c r="K128" s="35">
        <f t="shared" si="27"/>
        <v>2751965741.6678205</v>
      </c>
      <c r="L128" s="35">
        <f t="shared" si="28"/>
        <v>0</v>
      </c>
      <c r="M128" s="35">
        <f t="shared" si="29"/>
        <v>8255897225.0034618</v>
      </c>
      <c r="N128" s="36">
        <f t="shared" si="30"/>
        <v>0.39</v>
      </c>
      <c r="O128" s="35">
        <f t="shared" si="31"/>
        <v>0</v>
      </c>
      <c r="P128" s="35">
        <f t="shared" si="32"/>
        <v>787365012.41686857</v>
      </c>
      <c r="Q128" s="35">
        <f t="shared" si="33"/>
        <v>0</v>
      </c>
      <c r="R128" s="35">
        <f t="shared" si="34"/>
        <v>8064022255.6646976</v>
      </c>
      <c r="S128" s="33">
        <f t="shared" si="35"/>
        <v>59407</v>
      </c>
    </row>
    <row r="129" spans="1:19" x14ac:dyDescent="0.3">
      <c r="A129" s="33">
        <f>125</f>
        <v>125</v>
      </c>
      <c r="B129" s="34">
        <f t="shared" si="18"/>
        <v>50161</v>
      </c>
      <c r="C129" s="33">
        <f t="shared" si="19"/>
        <v>11</v>
      </c>
      <c r="D129" s="33">
        <f t="shared" si="20"/>
        <v>5</v>
      </c>
      <c r="E129" s="35">
        <f t="shared" si="21"/>
        <v>135740.67593324455</v>
      </c>
      <c r="F129" s="35">
        <f t="shared" si="22"/>
        <v>8064022255.6646976</v>
      </c>
      <c r="G129" s="33">
        <f t="shared" si="23"/>
        <v>59407</v>
      </c>
      <c r="H129" s="35">
        <f t="shared" si="24"/>
        <v>8063946335.1662588</v>
      </c>
      <c r="I129" s="35">
        <f t="shared" si="25"/>
        <v>75920.498438835144</v>
      </c>
      <c r="J129" s="35">
        <f t="shared" si="26"/>
        <v>806394633.51662588</v>
      </c>
      <c r="K129" s="35">
        <f t="shared" si="27"/>
        <v>3558360375.1844463</v>
      </c>
      <c r="L129" s="35">
        <f t="shared" si="28"/>
        <v>0</v>
      </c>
      <c r="M129" s="35">
        <f t="shared" si="29"/>
        <v>8540064900.4426708</v>
      </c>
      <c r="N129" s="36">
        <f t="shared" si="30"/>
        <v>0.39</v>
      </c>
      <c r="O129" s="35">
        <f t="shared" si="31"/>
        <v>0</v>
      </c>
      <c r="P129" s="35">
        <f t="shared" si="32"/>
        <v>787365012.41686857</v>
      </c>
      <c r="Q129" s="35">
        <f t="shared" si="33"/>
        <v>0</v>
      </c>
      <c r="R129" s="35">
        <f t="shared" si="34"/>
        <v>8870416889.181324</v>
      </c>
      <c r="S129" s="33">
        <f t="shared" si="35"/>
        <v>65348</v>
      </c>
    </row>
    <row r="130" spans="1:19" x14ac:dyDescent="0.3">
      <c r="A130" s="33">
        <f>126</f>
        <v>126</v>
      </c>
      <c r="B130" s="34">
        <f t="shared" si="18"/>
        <v>50192</v>
      </c>
      <c r="C130" s="33">
        <f t="shared" si="19"/>
        <v>11</v>
      </c>
      <c r="D130" s="33">
        <f t="shared" si="20"/>
        <v>6</v>
      </c>
      <c r="E130" s="35">
        <f t="shared" si="21"/>
        <v>135740.67593324455</v>
      </c>
      <c r="F130" s="35">
        <f t="shared" si="22"/>
        <v>8870416889.181324</v>
      </c>
      <c r="G130" s="33">
        <f t="shared" si="23"/>
        <v>65348</v>
      </c>
      <c r="H130" s="35">
        <f t="shared" si="24"/>
        <v>8870381690.885664</v>
      </c>
      <c r="I130" s="35">
        <f t="shared" si="25"/>
        <v>35198.295660018921</v>
      </c>
      <c r="J130" s="35">
        <f t="shared" si="26"/>
        <v>887038169.08856642</v>
      </c>
      <c r="K130" s="35">
        <f t="shared" si="27"/>
        <v>4445398544.2730131</v>
      </c>
      <c r="L130" s="35">
        <f t="shared" si="28"/>
        <v>2426513897.0502729</v>
      </c>
      <c r="M130" s="35">
        <f t="shared" si="29"/>
        <v>8890797088.5460262</v>
      </c>
      <c r="N130" s="36">
        <f t="shared" si="30"/>
        <v>0.39</v>
      </c>
      <c r="O130" s="35">
        <f t="shared" si="31"/>
        <v>946340419.84960651</v>
      </c>
      <c r="P130" s="35">
        <f t="shared" si="32"/>
        <v>1733705432.2664752</v>
      </c>
      <c r="Q130" s="35">
        <f t="shared" si="33"/>
        <v>0</v>
      </c>
      <c r="R130" s="35">
        <f t="shared" si="34"/>
        <v>8811114638.4202843</v>
      </c>
      <c r="S130" s="33">
        <f t="shared" si="35"/>
        <v>64911</v>
      </c>
    </row>
    <row r="131" spans="1:19" x14ac:dyDescent="0.3">
      <c r="A131" s="33">
        <f>127</f>
        <v>127</v>
      </c>
      <c r="B131" s="34">
        <f t="shared" si="18"/>
        <v>50222</v>
      </c>
      <c r="C131" s="33">
        <f t="shared" si="19"/>
        <v>11</v>
      </c>
      <c r="D131" s="33">
        <f t="shared" si="20"/>
        <v>7</v>
      </c>
      <c r="E131" s="35">
        <f t="shared" si="21"/>
        <v>135740.67593324455</v>
      </c>
      <c r="F131" s="35">
        <f t="shared" si="22"/>
        <v>8811114638.4202843</v>
      </c>
      <c r="G131" s="33">
        <f t="shared" si="23"/>
        <v>64911</v>
      </c>
      <c r="H131" s="35">
        <f t="shared" si="24"/>
        <v>8811063015.5028362</v>
      </c>
      <c r="I131" s="35">
        <f t="shared" si="25"/>
        <v>51622.917448043823</v>
      </c>
      <c r="J131" s="35">
        <f t="shared" si="26"/>
        <v>881106301.55028367</v>
      </c>
      <c r="K131" s="35">
        <f t="shared" si="27"/>
        <v>5326504845.8232965</v>
      </c>
      <c r="L131" s="35">
        <f t="shared" si="28"/>
        <v>0</v>
      </c>
      <c r="M131" s="35">
        <f t="shared" si="29"/>
        <v>9131151164.2685089</v>
      </c>
      <c r="N131" s="36">
        <f t="shared" si="30"/>
        <v>0.39</v>
      </c>
      <c r="O131" s="35">
        <f t="shared" si="31"/>
        <v>0</v>
      </c>
      <c r="P131" s="35">
        <f t="shared" si="32"/>
        <v>1733705432.2664752</v>
      </c>
      <c r="Q131" s="35">
        <f t="shared" si="33"/>
        <v>0</v>
      </c>
      <c r="R131" s="35">
        <f t="shared" si="34"/>
        <v>9692220939.9705677</v>
      </c>
      <c r="S131" s="33">
        <f t="shared" si="35"/>
        <v>71402</v>
      </c>
    </row>
    <row r="132" spans="1:19" x14ac:dyDescent="0.3">
      <c r="A132" s="33">
        <f>128</f>
        <v>128</v>
      </c>
      <c r="B132" s="34">
        <f t="shared" si="18"/>
        <v>50253</v>
      </c>
      <c r="C132" s="33">
        <f t="shared" si="19"/>
        <v>11</v>
      </c>
      <c r="D132" s="33">
        <f t="shared" si="20"/>
        <v>8</v>
      </c>
      <c r="E132" s="35">
        <f t="shared" si="21"/>
        <v>135740.67593324455</v>
      </c>
      <c r="F132" s="35">
        <f t="shared" si="22"/>
        <v>9692220939.9705677</v>
      </c>
      <c r="G132" s="33">
        <f t="shared" si="23"/>
        <v>71402</v>
      </c>
      <c r="H132" s="35">
        <f t="shared" si="24"/>
        <v>9692155742.985527</v>
      </c>
      <c r="I132" s="35">
        <f t="shared" si="25"/>
        <v>65196.985040664673</v>
      </c>
      <c r="J132" s="35">
        <f t="shared" si="26"/>
        <v>969215574.29855275</v>
      </c>
      <c r="K132" s="35">
        <f t="shared" si="27"/>
        <v>6295720420.1218491</v>
      </c>
      <c r="L132" s="35">
        <f t="shared" si="28"/>
        <v>0</v>
      </c>
      <c r="M132" s="35">
        <f t="shared" si="29"/>
        <v>9443580630.1827736</v>
      </c>
      <c r="N132" s="36">
        <f t="shared" si="30"/>
        <v>0.39</v>
      </c>
      <c r="O132" s="35">
        <f t="shared" si="31"/>
        <v>0</v>
      </c>
      <c r="P132" s="35">
        <f t="shared" si="32"/>
        <v>1733705432.2664752</v>
      </c>
      <c r="Q132" s="35">
        <f t="shared" si="33"/>
        <v>0</v>
      </c>
      <c r="R132" s="35">
        <f t="shared" si="34"/>
        <v>10661436514.269121</v>
      </c>
      <c r="S132" s="33">
        <f t="shared" si="35"/>
        <v>78542</v>
      </c>
    </row>
    <row r="133" spans="1:19" x14ac:dyDescent="0.3">
      <c r="A133" s="33">
        <f>129</f>
        <v>129</v>
      </c>
      <c r="B133" s="34">
        <f t="shared" ref="B133:B196" si="36">IF($A133&gt;NYears*12,"",EDATE(StartMonth,$A133-1))</f>
        <v>50284</v>
      </c>
      <c r="C133" s="33">
        <f t="shared" ref="C133:C196" si="37">IF($A133&gt;NYears*12,"",INT(($A133-1)/12)+1)</f>
        <v>11</v>
      </c>
      <c r="D133" s="33">
        <f t="shared" ref="D133:D196" si="38">IF($A133&gt;NYears*12,"",MOD($A133-1,12)+1)</f>
        <v>9</v>
      </c>
      <c r="E133" s="35">
        <f t="shared" ref="E133:E196" si="39">IF($A133&gt;NYears*12,"",LotValue0*(1+LotGrowth)^($C133-1))</f>
        <v>135740.67593324455</v>
      </c>
      <c r="F133" s="35">
        <f t="shared" ref="F133:F196" si="40">IF($A133&gt;NYears*12,"",IF($A133=1,InitInvest,$R132))</f>
        <v>10661436514.269121</v>
      </c>
      <c r="G133" s="33">
        <f t="shared" ref="G133:G196" si="41">IF($A133&gt;NYears*12,"",INT($F133/$E133))</f>
        <v>78542</v>
      </c>
      <c r="H133" s="35">
        <f t="shared" ref="H133:H196" si="42">IF($A133&gt;NYears*12,"",$G133*$E133)</f>
        <v>10661344169.148893</v>
      </c>
      <c r="I133" s="35">
        <f t="shared" ref="I133:I196" si="43">IF($A133&gt;NYears*12,"",$F133-$H133)</f>
        <v>92345.120227813721</v>
      </c>
      <c r="J133" s="35">
        <f t="shared" ref="J133:J196" si="44">IF($A133&gt;NYears*12,"",$H133*RateC)</f>
        <v>1066134416.9148893</v>
      </c>
      <c r="K133" s="35">
        <f t="shared" ref="K133:K196" si="45">IF($A133&gt;NYears*12,"",IF($D133=1,$J133,$K132+$J133))</f>
        <v>7361854837.0367384</v>
      </c>
      <c r="L133" s="35">
        <f t="shared" ref="L133:L196" si="46">IF($A133&gt;NYears*12,"",IF(MOD($D133,3)=0,SUM($J131:$J133),0))</f>
        <v>2916456292.7637258</v>
      </c>
      <c r="M133" s="35">
        <f t="shared" ref="M133:M196" si="47">IF($A133&gt;NYears*12,"",IF(TaxFreq="Quarterly",$K133*12/$D133,$K133))</f>
        <v>9815806449.3823166</v>
      </c>
      <c r="N133" s="36">
        <f t="shared" ref="N133:N196" si="48">IF($A133&gt;NYears*12,"",LOOKUP($M133,TaxLower,TaxRate))</f>
        <v>0.39</v>
      </c>
      <c r="O133" s="35">
        <f t="shared" ref="O133:O196" si="49">IF($A133&gt;NYears*12,"",IF(TaxFreq="Quarterly",IF(MOD($D133,3)=0,$L133*$N133,0),IF($D133=12,$K133*$N133,0)))</f>
        <v>1137417954.1778531</v>
      </c>
      <c r="P133" s="35">
        <f t="shared" ref="P133:P196" si="50">IF($A133&gt;NYears*12,"",IF($D133=1,$O133,$P132+$O133))</f>
        <v>2871123386.4443283</v>
      </c>
      <c r="Q133" s="35">
        <f t="shared" ref="Q133:Q196" si="51">IF($A133&gt;NYears*12,"",IF($D133=12,MIN(WdrPct*IF(WdrBase="Post-tax profit",$K133-$P133,$K133),WdrCap),0))</f>
        <v>0</v>
      </c>
      <c r="R133" s="35">
        <f t="shared" ref="R133:R196" si="52">IF($A133&gt;NYears*12,"",$F133+$J133-$O133-$Q133)</f>
        <v>10590152977.006157</v>
      </c>
      <c r="S133" s="33">
        <f t="shared" ref="S133:S196" si="53">IF($A133&gt;NYears*12,"",INT($R133/$E133))</f>
        <v>78017</v>
      </c>
    </row>
    <row r="134" spans="1:19" x14ac:dyDescent="0.3">
      <c r="A134" s="33">
        <f>130</f>
        <v>130</v>
      </c>
      <c r="B134" s="34">
        <f t="shared" si="36"/>
        <v>50314</v>
      </c>
      <c r="C134" s="33">
        <f t="shared" si="37"/>
        <v>11</v>
      </c>
      <c r="D134" s="33">
        <f t="shared" si="38"/>
        <v>10</v>
      </c>
      <c r="E134" s="35">
        <f t="shared" si="39"/>
        <v>135740.67593324455</v>
      </c>
      <c r="F134" s="35">
        <f t="shared" si="40"/>
        <v>10590152977.006157</v>
      </c>
      <c r="G134" s="33">
        <f t="shared" si="41"/>
        <v>78017</v>
      </c>
      <c r="H134" s="35">
        <f t="shared" si="42"/>
        <v>10590080314.283939</v>
      </c>
      <c r="I134" s="35">
        <f t="shared" si="43"/>
        <v>72662.722217559814</v>
      </c>
      <c r="J134" s="35">
        <f t="shared" si="44"/>
        <v>1059008031.428394</v>
      </c>
      <c r="K134" s="35">
        <f t="shared" si="45"/>
        <v>8420862868.4651327</v>
      </c>
      <c r="L134" s="35">
        <f t="shared" si="46"/>
        <v>0</v>
      </c>
      <c r="M134" s="35">
        <f t="shared" si="47"/>
        <v>10105035442.158159</v>
      </c>
      <c r="N134" s="36">
        <f t="shared" si="48"/>
        <v>0.39</v>
      </c>
      <c r="O134" s="35">
        <f t="shared" si="49"/>
        <v>0</v>
      </c>
      <c r="P134" s="35">
        <f t="shared" si="50"/>
        <v>2871123386.4443283</v>
      </c>
      <c r="Q134" s="35">
        <f t="shared" si="51"/>
        <v>0</v>
      </c>
      <c r="R134" s="35">
        <f t="shared" si="52"/>
        <v>11649161008.434551</v>
      </c>
      <c r="S134" s="33">
        <f t="shared" si="53"/>
        <v>85819</v>
      </c>
    </row>
    <row r="135" spans="1:19" x14ac:dyDescent="0.3">
      <c r="A135" s="33">
        <f>131</f>
        <v>131</v>
      </c>
      <c r="B135" s="34">
        <f t="shared" si="36"/>
        <v>50345</v>
      </c>
      <c r="C135" s="33">
        <f t="shared" si="37"/>
        <v>11</v>
      </c>
      <c r="D135" s="33">
        <f t="shared" si="38"/>
        <v>11</v>
      </c>
      <c r="E135" s="35">
        <f t="shared" si="39"/>
        <v>135740.67593324455</v>
      </c>
      <c r="F135" s="35">
        <f t="shared" si="40"/>
        <v>11649161008.434551</v>
      </c>
      <c r="G135" s="33">
        <f t="shared" si="41"/>
        <v>85819</v>
      </c>
      <c r="H135" s="35">
        <f t="shared" si="42"/>
        <v>11649129067.915113</v>
      </c>
      <c r="I135" s="35">
        <f t="shared" si="43"/>
        <v>31940.519437789917</v>
      </c>
      <c r="J135" s="35">
        <f t="shared" si="44"/>
        <v>1164912906.7915113</v>
      </c>
      <c r="K135" s="35">
        <f t="shared" si="45"/>
        <v>9585775775.2566433</v>
      </c>
      <c r="L135" s="35">
        <f t="shared" si="46"/>
        <v>0</v>
      </c>
      <c r="M135" s="35">
        <f t="shared" si="47"/>
        <v>10457209936.64361</v>
      </c>
      <c r="N135" s="36">
        <f t="shared" si="48"/>
        <v>0.39</v>
      </c>
      <c r="O135" s="35">
        <f t="shared" si="49"/>
        <v>0</v>
      </c>
      <c r="P135" s="35">
        <f t="shared" si="50"/>
        <v>2871123386.4443283</v>
      </c>
      <c r="Q135" s="35">
        <f t="shared" si="51"/>
        <v>0</v>
      </c>
      <c r="R135" s="35">
        <f t="shared" si="52"/>
        <v>12814073915.226063</v>
      </c>
      <c r="S135" s="33">
        <f t="shared" si="53"/>
        <v>94401</v>
      </c>
    </row>
    <row r="136" spans="1:19" x14ac:dyDescent="0.3">
      <c r="A136" s="37">
        <f>132</f>
        <v>132</v>
      </c>
      <c r="B136" s="38">
        <f t="shared" si="36"/>
        <v>50375</v>
      </c>
      <c r="C136" s="37">
        <f t="shared" si="37"/>
        <v>11</v>
      </c>
      <c r="D136" s="37">
        <f t="shared" si="38"/>
        <v>12</v>
      </c>
      <c r="E136" s="39">
        <f t="shared" si="39"/>
        <v>135740.67593324455</v>
      </c>
      <c r="F136" s="39">
        <f t="shared" si="40"/>
        <v>12814073915.226063</v>
      </c>
      <c r="G136" s="37">
        <f t="shared" si="41"/>
        <v>94401</v>
      </c>
      <c r="H136" s="39">
        <f t="shared" si="42"/>
        <v>12814055548.77422</v>
      </c>
      <c r="I136" s="39">
        <f t="shared" si="43"/>
        <v>18366.451843261719</v>
      </c>
      <c r="J136" s="39">
        <f t="shared" si="44"/>
        <v>1281405554.8774221</v>
      </c>
      <c r="K136" s="39">
        <f t="shared" si="45"/>
        <v>10867181330.134066</v>
      </c>
      <c r="L136" s="39">
        <f t="shared" si="46"/>
        <v>3505326493.0973272</v>
      </c>
      <c r="M136" s="39">
        <f t="shared" si="47"/>
        <v>10867181330.134066</v>
      </c>
      <c r="N136" s="40">
        <f t="shared" si="48"/>
        <v>0.39</v>
      </c>
      <c r="O136" s="39">
        <f t="shared" si="49"/>
        <v>1367077332.3079576</v>
      </c>
      <c r="P136" s="39">
        <f t="shared" si="50"/>
        <v>4238200718.752286</v>
      </c>
      <c r="Q136" s="39">
        <f t="shared" si="51"/>
        <v>10000000</v>
      </c>
      <c r="R136" s="39">
        <f t="shared" si="52"/>
        <v>12718402137.795528</v>
      </c>
      <c r="S136" s="37">
        <f t="shared" si="53"/>
        <v>93696</v>
      </c>
    </row>
    <row r="137" spans="1:19" x14ac:dyDescent="0.3">
      <c r="A137" s="33">
        <f>133</f>
        <v>133</v>
      </c>
      <c r="B137" s="34">
        <f t="shared" si="36"/>
        <v>50406</v>
      </c>
      <c r="C137" s="33">
        <f t="shared" si="37"/>
        <v>12</v>
      </c>
      <c r="D137" s="33">
        <f t="shared" si="38"/>
        <v>1</v>
      </c>
      <c r="E137" s="35">
        <f t="shared" si="39"/>
        <v>142527.70972990678</v>
      </c>
      <c r="F137" s="35">
        <f t="shared" si="40"/>
        <v>12718402137.795528</v>
      </c>
      <c r="G137" s="33">
        <f t="shared" si="41"/>
        <v>89234</v>
      </c>
      <c r="H137" s="35">
        <f t="shared" si="42"/>
        <v>12718317650.038502</v>
      </c>
      <c r="I137" s="35">
        <f t="shared" si="43"/>
        <v>84487.757026672363</v>
      </c>
      <c r="J137" s="35">
        <f t="shared" si="44"/>
        <v>1271831765.0038502</v>
      </c>
      <c r="K137" s="35">
        <f t="shared" si="45"/>
        <v>1271831765.0038502</v>
      </c>
      <c r="L137" s="35">
        <f t="shared" si="46"/>
        <v>0</v>
      </c>
      <c r="M137" s="35">
        <f t="shared" si="47"/>
        <v>15261981180.046204</v>
      </c>
      <c r="N137" s="36">
        <f t="shared" si="48"/>
        <v>0.39</v>
      </c>
      <c r="O137" s="35">
        <f t="shared" si="49"/>
        <v>0</v>
      </c>
      <c r="P137" s="35">
        <f t="shared" si="50"/>
        <v>0</v>
      </c>
      <c r="Q137" s="35">
        <f t="shared" si="51"/>
        <v>0</v>
      </c>
      <c r="R137" s="35">
        <f t="shared" si="52"/>
        <v>13990233902.799379</v>
      </c>
      <c r="S137" s="33">
        <f t="shared" si="53"/>
        <v>98157</v>
      </c>
    </row>
    <row r="138" spans="1:19" x14ac:dyDescent="0.3">
      <c r="A138" s="33">
        <f>134</f>
        <v>134</v>
      </c>
      <c r="B138" s="34">
        <f t="shared" si="36"/>
        <v>50437</v>
      </c>
      <c r="C138" s="33">
        <f t="shared" si="37"/>
        <v>12</v>
      </c>
      <c r="D138" s="33">
        <f t="shared" si="38"/>
        <v>2</v>
      </c>
      <c r="E138" s="35">
        <f t="shared" si="39"/>
        <v>142527.70972990678</v>
      </c>
      <c r="F138" s="35">
        <f t="shared" si="40"/>
        <v>13990233902.799379</v>
      </c>
      <c r="G138" s="33">
        <f t="shared" si="41"/>
        <v>98157</v>
      </c>
      <c r="H138" s="35">
        <f t="shared" si="42"/>
        <v>13990092403.95846</v>
      </c>
      <c r="I138" s="35">
        <f t="shared" si="43"/>
        <v>141498.84091949463</v>
      </c>
      <c r="J138" s="35">
        <f t="shared" si="44"/>
        <v>1399009240.3958461</v>
      </c>
      <c r="K138" s="35">
        <f t="shared" si="45"/>
        <v>2670841005.3996964</v>
      </c>
      <c r="L138" s="35">
        <f t="shared" si="46"/>
        <v>0</v>
      </c>
      <c r="M138" s="35">
        <f t="shared" si="47"/>
        <v>16025046032.398178</v>
      </c>
      <c r="N138" s="36">
        <f t="shared" si="48"/>
        <v>0.39</v>
      </c>
      <c r="O138" s="35">
        <f t="shared" si="49"/>
        <v>0</v>
      </c>
      <c r="P138" s="35">
        <f t="shared" si="50"/>
        <v>0</v>
      </c>
      <c r="Q138" s="35">
        <f t="shared" si="51"/>
        <v>0</v>
      </c>
      <c r="R138" s="35">
        <f t="shared" si="52"/>
        <v>15389243143.195225</v>
      </c>
      <c r="S138" s="33">
        <f t="shared" si="53"/>
        <v>107973</v>
      </c>
    </row>
    <row r="139" spans="1:19" x14ac:dyDescent="0.3">
      <c r="A139" s="33">
        <f>135</f>
        <v>135</v>
      </c>
      <c r="B139" s="34">
        <f t="shared" si="36"/>
        <v>50465</v>
      </c>
      <c r="C139" s="33">
        <f t="shared" si="37"/>
        <v>12</v>
      </c>
      <c r="D139" s="33">
        <f t="shared" si="38"/>
        <v>3</v>
      </c>
      <c r="E139" s="35">
        <f t="shared" si="39"/>
        <v>142527.70972990678</v>
      </c>
      <c r="F139" s="35">
        <f t="shared" si="40"/>
        <v>15389243143.195225</v>
      </c>
      <c r="G139" s="33">
        <f t="shared" si="41"/>
        <v>107973</v>
      </c>
      <c r="H139" s="35">
        <f t="shared" si="42"/>
        <v>15389144402.667225</v>
      </c>
      <c r="I139" s="35">
        <f t="shared" si="43"/>
        <v>98740.52799987793</v>
      </c>
      <c r="J139" s="35">
        <f t="shared" si="44"/>
        <v>1538914440.2667227</v>
      </c>
      <c r="K139" s="35">
        <f t="shared" si="45"/>
        <v>4209755445.666419</v>
      </c>
      <c r="L139" s="35">
        <f t="shared" si="46"/>
        <v>4209755445.666419</v>
      </c>
      <c r="M139" s="35">
        <f t="shared" si="47"/>
        <v>16839021782.665674</v>
      </c>
      <c r="N139" s="36">
        <f t="shared" si="48"/>
        <v>0.39</v>
      </c>
      <c r="O139" s="35">
        <f t="shared" si="49"/>
        <v>1641804623.8099034</v>
      </c>
      <c r="P139" s="35">
        <f t="shared" si="50"/>
        <v>1641804623.8099034</v>
      </c>
      <c r="Q139" s="35">
        <f t="shared" si="51"/>
        <v>0</v>
      </c>
      <c r="R139" s="35">
        <f t="shared" si="52"/>
        <v>15286352959.652044</v>
      </c>
      <c r="S139" s="33">
        <f t="shared" si="53"/>
        <v>107251</v>
      </c>
    </row>
    <row r="140" spans="1:19" x14ac:dyDescent="0.3">
      <c r="A140" s="33">
        <f>136</f>
        <v>136</v>
      </c>
      <c r="B140" s="34">
        <f t="shared" si="36"/>
        <v>50496</v>
      </c>
      <c r="C140" s="33">
        <f t="shared" si="37"/>
        <v>12</v>
      </c>
      <c r="D140" s="33">
        <f t="shared" si="38"/>
        <v>4</v>
      </c>
      <c r="E140" s="35">
        <f t="shared" si="39"/>
        <v>142527.70972990678</v>
      </c>
      <c r="F140" s="35">
        <f t="shared" si="40"/>
        <v>15286352959.652044</v>
      </c>
      <c r="G140" s="33">
        <f t="shared" si="41"/>
        <v>107251</v>
      </c>
      <c r="H140" s="35">
        <f t="shared" si="42"/>
        <v>15286239396.242233</v>
      </c>
      <c r="I140" s="35">
        <f t="shared" si="43"/>
        <v>113563.4098110199</v>
      </c>
      <c r="J140" s="35">
        <f t="shared" si="44"/>
        <v>1528623939.6242235</v>
      </c>
      <c r="K140" s="35">
        <f t="shared" si="45"/>
        <v>5738379385.2906427</v>
      </c>
      <c r="L140" s="35">
        <f t="shared" si="46"/>
        <v>0</v>
      </c>
      <c r="M140" s="35">
        <f t="shared" si="47"/>
        <v>17215138155.871929</v>
      </c>
      <c r="N140" s="36">
        <f t="shared" si="48"/>
        <v>0.39</v>
      </c>
      <c r="O140" s="35">
        <f t="shared" si="49"/>
        <v>0</v>
      </c>
      <c r="P140" s="35">
        <f t="shared" si="50"/>
        <v>1641804623.8099034</v>
      </c>
      <c r="Q140" s="35">
        <f t="shared" si="51"/>
        <v>0</v>
      </c>
      <c r="R140" s="35">
        <f t="shared" si="52"/>
        <v>16814976899.276268</v>
      </c>
      <c r="S140" s="33">
        <f t="shared" si="53"/>
        <v>117976</v>
      </c>
    </row>
    <row r="141" spans="1:19" x14ac:dyDescent="0.3">
      <c r="A141" s="33">
        <f>137</f>
        <v>137</v>
      </c>
      <c r="B141" s="34">
        <f t="shared" si="36"/>
        <v>50526</v>
      </c>
      <c r="C141" s="33">
        <f t="shared" si="37"/>
        <v>12</v>
      </c>
      <c r="D141" s="33">
        <f t="shared" si="38"/>
        <v>5</v>
      </c>
      <c r="E141" s="35">
        <f t="shared" si="39"/>
        <v>142527.70972990678</v>
      </c>
      <c r="F141" s="35">
        <f t="shared" si="40"/>
        <v>16814976899.276268</v>
      </c>
      <c r="G141" s="33">
        <f t="shared" si="41"/>
        <v>117976</v>
      </c>
      <c r="H141" s="35">
        <f t="shared" si="42"/>
        <v>16814849083.095482</v>
      </c>
      <c r="I141" s="35">
        <f t="shared" si="43"/>
        <v>127816.18078613281</v>
      </c>
      <c r="J141" s="35">
        <f t="shared" si="44"/>
        <v>1681484908.3095484</v>
      </c>
      <c r="K141" s="35">
        <f t="shared" si="45"/>
        <v>7419864293.6001911</v>
      </c>
      <c r="L141" s="35">
        <f t="shared" si="46"/>
        <v>0</v>
      </c>
      <c r="M141" s="35">
        <f t="shared" si="47"/>
        <v>17807674304.640461</v>
      </c>
      <c r="N141" s="36">
        <f t="shared" si="48"/>
        <v>0.39</v>
      </c>
      <c r="O141" s="35">
        <f t="shared" si="49"/>
        <v>0</v>
      </c>
      <c r="P141" s="35">
        <f t="shared" si="50"/>
        <v>1641804623.8099034</v>
      </c>
      <c r="Q141" s="35">
        <f t="shared" si="51"/>
        <v>0</v>
      </c>
      <c r="R141" s="35">
        <f t="shared" si="52"/>
        <v>18496461807.585815</v>
      </c>
      <c r="S141" s="33">
        <f t="shared" si="53"/>
        <v>129774</v>
      </c>
    </row>
    <row r="142" spans="1:19" x14ac:dyDescent="0.3">
      <c r="A142" s="33">
        <f>138</f>
        <v>138</v>
      </c>
      <c r="B142" s="34">
        <f t="shared" si="36"/>
        <v>50557</v>
      </c>
      <c r="C142" s="33">
        <f t="shared" si="37"/>
        <v>12</v>
      </c>
      <c r="D142" s="33">
        <f t="shared" si="38"/>
        <v>6</v>
      </c>
      <c r="E142" s="35">
        <f t="shared" si="39"/>
        <v>142527.70972990678</v>
      </c>
      <c r="F142" s="35">
        <f t="shared" si="40"/>
        <v>18496461807.585815</v>
      </c>
      <c r="G142" s="33">
        <f t="shared" si="41"/>
        <v>129774</v>
      </c>
      <c r="H142" s="35">
        <f t="shared" si="42"/>
        <v>18496391002.488922</v>
      </c>
      <c r="I142" s="35">
        <f t="shared" si="43"/>
        <v>70805.096893310547</v>
      </c>
      <c r="J142" s="35">
        <f t="shared" si="44"/>
        <v>1849639100.2488923</v>
      </c>
      <c r="K142" s="35">
        <f t="shared" si="45"/>
        <v>9269503393.8490829</v>
      </c>
      <c r="L142" s="35">
        <f t="shared" si="46"/>
        <v>5059747948.1826649</v>
      </c>
      <c r="M142" s="35">
        <f t="shared" si="47"/>
        <v>18539006787.698166</v>
      </c>
      <c r="N142" s="36">
        <f t="shared" si="48"/>
        <v>0.39</v>
      </c>
      <c r="O142" s="35">
        <f t="shared" si="49"/>
        <v>1973301699.7912393</v>
      </c>
      <c r="P142" s="35">
        <f t="shared" si="50"/>
        <v>3615106323.6011429</v>
      </c>
      <c r="Q142" s="35">
        <f t="shared" si="51"/>
        <v>0</v>
      </c>
      <c r="R142" s="35">
        <f t="shared" si="52"/>
        <v>18372799208.043468</v>
      </c>
      <c r="S142" s="33">
        <f t="shared" si="53"/>
        <v>128906</v>
      </c>
    </row>
    <row r="143" spans="1:19" x14ac:dyDescent="0.3">
      <c r="A143" s="33">
        <f>139</f>
        <v>139</v>
      </c>
      <c r="B143" s="34">
        <f t="shared" si="36"/>
        <v>50587</v>
      </c>
      <c r="C143" s="33">
        <f t="shared" si="37"/>
        <v>12</v>
      </c>
      <c r="D143" s="33">
        <f t="shared" si="38"/>
        <v>7</v>
      </c>
      <c r="E143" s="35">
        <f t="shared" si="39"/>
        <v>142527.70972990678</v>
      </c>
      <c r="F143" s="35">
        <f t="shared" si="40"/>
        <v>18372799208.043468</v>
      </c>
      <c r="G143" s="33">
        <f t="shared" si="41"/>
        <v>128906</v>
      </c>
      <c r="H143" s="35">
        <f t="shared" si="42"/>
        <v>18372676950.443363</v>
      </c>
      <c r="I143" s="35">
        <f t="shared" si="43"/>
        <v>122257.60010528564</v>
      </c>
      <c r="J143" s="35">
        <f t="shared" si="44"/>
        <v>1837267695.0443363</v>
      </c>
      <c r="K143" s="35">
        <f t="shared" si="45"/>
        <v>11106771088.893419</v>
      </c>
      <c r="L143" s="35">
        <f t="shared" si="46"/>
        <v>0</v>
      </c>
      <c r="M143" s="35">
        <f t="shared" si="47"/>
        <v>19040179009.531578</v>
      </c>
      <c r="N143" s="36">
        <f t="shared" si="48"/>
        <v>0.39</v>
      </c>
      <c r="O143" s="35">
        <f t="shared" si="49"/>
        <v>0</v>
      </c>
      <c r="P143" s="35">
        <f t="shared" si="50"/>
        <v>3615106323.6011429</v>
      </c>
      <c r="Q143" s="35">
        <f t="shared" si="51"/>
        <v>0</v>
      </c>
      <c r="R143" s="35">
        <f t="shared" si="52"/>
        <v>20210066903.087807</v>
      </c>
      <c r="S143" s="33">
        <f t="shared" si="53"/>
        <v>141797</v>
      </c>
    </row>
    <row r="144" spans="1:19" x14ac:dyDescent="0.3">
      <c r="A144" s="33">
        <f>140</f>
        <v>140</v>
      </c>
      <c r="B144" s="34">
        <f t="shared" si="36"/>
        <v>50618</v>
      </c>
      <c r="C144" s="33">
        <f t="shared" si="37"/>
        <v>12</v>
      </c>
      <c r="D144" s="33">
        <f t="shared" si="38"/>
        <v>8</v>
      </c>
      <c r="E144" s="35">
        <f t="shared" si="39"/>
        <v>142527.70972990678</v>
      </c>
      <c r="F144" s="35">
        <f t="shared" si="40"/>
        <v>20210066903.087807</v>
      </c>
      <c r="G144" s="33">
        <f t="shared" si="41"/>
        <v>141797</v>
      </c>
      <c r="H144" s="35">
        <f t="shared" si="42"/>
        <v>20210001656.57159</v>
      </c>
      <c r="I144" s="35">
        <f t="shared" si="43"/>
        <v>65246.516216278076</v>
      </c>
      <c r="J144" s="35">
        <f t="shared" si="44"/>
        <v>2021000165.6571591</v>
      </c>
      <c r="K144" s="35">
        <f t="shared" si="45"/>
        <v>13127771254.550579</v>
      </c>
      <c r="L144" s="35">
        <f t="shared" si="46"/>
        <v>0</v>
      </c>
      <c r="M144" s="35">
        <f t="shared" si="47"/>
        <v>19691656881.825867</v>
      </c>
      <c r="N144" s="36">
        <f t="shared" si="48"/>
        <v>0.39</v>
      </c>
      <c r="O144" s="35">
        <f t="shared" si="49"/>
        <v>0</v>
      </c>
      <c r="P144" s="35">
        <f t="shared" si="50"/>
        <v>3615106323.6011429</v>
      </c>
      <c r="Q144" s="35">
        <f t="shared" si="51"/>
        <v>0</v>
      </c>
      <c r="R144" s="35">
        <f t="shared" si="52"/>
        <v>22231067068.744965</v>
      </c>
      <c r="S144" s="33">
        <f t="shared" si="53"/>
        <v>155977</v>
      </c>
    </row>
    <row r="145" spans="1:19" x14ac:dyDescent="0.3">
      <c r="A145" s="33">
        <f>141</f>
        <v>141</v>
      </c>
      <c r="B145" s="34">
        <f t="shared" si="36"/>
        <v>50649</v>
      </c>
      <c r="C145" s="33">
        <f t="shared" si="37"/>
        <v>12</v>
      </c>
      <c r="D145" s="33">
        <f t="shared" si="38"/>
        <v>9</v>
      </c>
      <c r="E145" s="35">
        <f t="shared" si="39"/>
        <v>142527.70972990678</v>
      </c>
      <c r="F145" s="35">
        <f t="shared" si="40"/>
        <v>22231067068.744965</v>
      </c>
      <c r="G145" s="33">
        <f t="shared" si="41"/>
        <v>155977</v>
      </c>
      <c r="H145" s="35">
        <f t="shared" si="42"/>
        <v>22231044580.541672</v>
      </c>
      <c r="I145" s="35">
        <f t="shared" si="43"/>
        <v>22488.20329284668</v>
      </c>
      <c r="J145" s="35">
        <f t="shared" si="44"/>
        <v>2223104458.0541673</v>
      </c>
      <c r="K145" s="35">
        <f t="shared" si="45"/>
        <v>15350875712.604746</v>
      </c>
      <c r="L145" s="35">
        <f t="shared" si="46"/>
        <v>6081372318.7556629</v>
      </c>
      <c r="M145" s="35">
        <f t="shared" si="47"/>
        <v>20467834283.472996</v>
      </c>
      <c r="N145" s="36">
        <f t="shared" si="48"/>
        <v>0.39</v>
      </c>
      <c r="O145" s="35">
        <f t="shared" si="49"/>
        <v>2371735204.3147087</v>
      </c>
      <c r="P145" s="35">
        <f t="shared" si="50"/>
        <v>5986841527.9158516</v>
      </c>
      <c r="Q145" s="35">
        <f t="shared" si="51"/>
        <v>0</v>
      </c>
      <c r="R145" s="35">
        <f t="shared" si="52"/>
        <v>22082436322.484425</v>
      </c>
      <c r="S145" s="33">
        <f t="shared" si="53"/>
        <v>154934</v>
      </c>
    </row>
    <row r="146" spans="1:19" x14ac:dyDescent="0.3">
      <c r="A146" s="33">
        <f>142</f>
        <v>142</v>
      </c>
      <c r="B146" s="34">
        <f t="shared" si="36"/>
        <v>50679</v>
      </c>
      <c r="C146" s="33">
        <f t="shared" si="37"/>
        <v>12</v>
      </c>
      <c r="D146" s="33">
        <f t="shared" si="38"/>
        <v>10</v>
      </c>
      <c r="E146" s="35">
        <f t="shared" si="39"/>
        <v>142527.70972990678</v>
      </c>
      <c r="F146" s="35">
        <f t="shared" si="40"/>
        <v>22082436322.484425</v>
      </c>
      <c r="G146" s="33">
        <f t="shared" si="41"/>
        <v>154934</v>
      </c>
      <c r="H146" s="35">
        <f t="shared" si="42"/>
        <v>22082388179.293377</v>
      </c>
      <c r="I146" s="35">
        <f t="shared" si="43"/>
        <v>48143.191047668457</v>
      </c>
      <c r="J146" s="35">
        <f t="shared" si="44"/>
        <v>2208238817.929338</v>
      </c>
      <c r="K146" s="35">
        <f t="shared" si="45"/>
        <v>17559114530.534084</v>
      </c>
      <c r="L146" s="35">
        <f t="shared" si="46"/>
        <v>0</v>
      </c>
      <c r="M146" s="35">
        <f t="shared" si="47"/>
        <v>21070937436.6409</v>
      </c>
      <c r="N146" s="36">
        <f t="shared" si="48"/>
        <v>0.39</v>
      </c>
      <c r="O146" s="35">
        <f t="shared" si="49"/>
        <v>0</v>
      </c>
      <c r="P146" s="35">
        <f t="shared" si="50"/>
        <v>5986841527.9158516</v>
      </c>
      <c r="Q146" s="35">
        <f t="shared" si="51"/>
        <v>0</v>
      </c>
      <c r="R146" s="35">
        <f t="shared" si="52"/>
        <v>24290675140.413761</v>
      </c>
      <c r="S146" s="33">
        <f t="shared" si="53"/>
        <v>170427</v>
      </c>
    </row>
    <row r="147" spans="1:19" x14ac:dyDescent="0.3">
      <c r="A147" s="33">
        <f>143</f>
        <v>143</v>
      </c>
      <c r="B147" s="34">
        <f t="shared" si="36"/>
        <v>50710</v>
      </c>
      <c r="C147" s="33">
        <f t="shared" si="37"/>
        <v>12</v>
      </c>
      <c r="D147" s="33">
        <f t="shared" si="38"/>
        <v>11</v>
      </c>
      <c r="E147" s="35">
        <f t="shared" si="39"/>
        <v>142527.70972990678</v>
      </c>
      <c r="F147" s="35">
        <f t="shared" si="40"/>
        <v>24290675140.413761</v>
      </c>
      <c r="G147" s="33">
        <f t="shared" si="41"/>
        <v>170427</v>
      </c>
      <c r="H147" s="35">
        <f t="shared" si="42"/>
        <v>24290569986.138824</v>
      </c>
      <c r="I147" s="35">
        <f t="shared" si="43"/>
        <v>105154.27493667603</v>
      </c>
      <c r="J147" s="35">
        <f t="shared" si="44"/>
        <v>2429056998.6138825</v>
      </c>
      <c r="K147" s="35">
        <f t="shared" si="45"/>
        <v>19988171529.147968</v>
      </c>
      <c r="L147" s="35">
        <f t="shared" si="46"/>
        <v>0</v>
      </c>
      <c r="M147" s="35">
        <f t="shared" si="47"/>
        <v>21805278031.797787</v>
      </c>
      <c r="N147" s="36">
        <f t="shared" si="48"/>
        <v>0.39</v>
      </c>
      <c r="O147" s="35">
        <f t="shared" si="49"/>
        <v>0</v>
      </c>
      <c r="P147" s="35">
        <f t="shared" si="50"/>
        <v>5986841527.9158516</v>
      </c>
      <c r="Q147" s="35">
        <f t="shared" si="51"/>
        <v>0</v>
      </c>
      <c r="R147" s="35">
        <f t="shared" si="52"/>
        <v>26719732139.027645</v>
      </c>
      <c r="S147" s="33">
        <f t="shared" si="53"/>
        <v>187470</v>
      </c>
    </row>
    <row r="148" spans="1:19" x14ac:dyDescent="0.3">
      <c r="A148" s="37">
        <f>144</f>
        <v>144</v>
      </c>
      <c r="B148" s="38">
        <f t="shared" si="36"/>
        <v>50740</v>
      </c>
      <c r="C148" s="37">
        <f t="shared" si="37"/>
        <v>12</v>
      </c>
      <c r="D148" s="37">
        <f t="shared" si="38"/>
        <v>12</v>
      </c>
      <c r="E148" s="39">
        <f t="shared" si="39"/>
        <v>142527.70972990678</v>
      </c>
      <c r="F148" s="39">
        <f t="shared" si="40"/>
        <v>26719732139.027645</v>
      </c>
      <c r="G148" s="37">
        <f t="shared" si="41"/>
        <v>187470</v>
      </c>
      <c r="H148" s="39">
        <f t="shared" si="42"/>
        <v>26719669743.065624</v>
      </c>
      <c r="I148" s="39">
        <f t="shared" si="43"/>
        <v>62395.962020874023</v>
      </c>
      <c r="J148" s="39">
        <f t="shared" si="44"/>
        <v>2671966974.3065624</v>
      </c>
      <c r="K148" s="39">
        <f t="shared" si="45"/>
        <v>22660138503.454529</v>
      </c>
      <c r="L148" s="39">
        <f t="shared" si="46"/>
        <v>7309262790.8497829</v>
      </c>
      <c r="M148" s="39">
        <f t="shared" si="47"/>
        <v>22660138503.454529</v>
      </c>
      <c r="N148" s="40">
        <f t="shared" si="48"/>
        <v>0.39</v>
      </c>
      <c r="O148" s="39">
        <f t="shared" si="49"/>
        <v>2850612488.4314156</v>
      </c>
      <c r="P148" s="39">
        <f t="shared" si="50"/>
        <v>8837454016.3472672</v>
      </c>
      <c r="Q148" s="39">
        <f t="shared" si="51"/>
        <v>10000000</v>
      </c>
      <c r="R148" s="39">
        <f t="shared" si="52"/>
        <v>26531086624.90279</v>
      </c>
      <c r="S148" s="37">
        <f t="shared" si="53"/>
        <v>186146</v>
      </c>
    </row>
    <row r="149" spans="1:19" x14ac:dyDescent="0.3">
      <c r="A149" s="33">
        <f>145</f>
        <v>145</v>
      </c>
      <c r="B149" s="34" t="str">
        <f t="shared" si="36"/>
        <v/>
      </c>
      <c r="C149" s="33" t="str">
        <f t="shared" si="37"/>
        <v/>
      </c>
      <c r="D149" s="33" t="str">
        <f t="shared" si="38"/>
        <v/>
      </c>
      <c r="E149" s="35" t="str">
        <f t="shared" si="39"/>
        <v/>
      </c>
      <c r="F149" s="35" t="str">
        <f t="shared" si="40"/>
        <v/>
      </c>
      <c r="G149" s="33" t="str">
        <f t="shared" si="41"/>
        <v/>
      </c>
      <c r="H149" s="35" t="str">
        <f t="shared" si="42"/>
        <v/>
      </c>
      <c r="I149" s="35" t="str">
        <f t="shared" si="43"/>
        <v/>
      </c>
      <c r="J149" s="35" t="str">
        <f t="shared" si="44"/>
        <v/>
      </c>
      <c r="K149" s="35" t="str">
        <f t="shared" si="45"/>
        <v/>
      </c>
      <c r="L149" s="35" t="str">
        <f t="shared" si="46"/>
        <v/>
      </c>
      <c r="M149" s="35" t="str">
        <f t="shared" si="47"/>
        <v/>
      </c>
      <c r="N149" s="36" t="str">
        <f t="shared" si="48"/>
        <v/>
      </c>
      <c r="O149" s="35" t="str">
        <f t="shared" si="49"/>
        <v/>
      </c>
      <c r="P149" s="35" t="str">
        <f t="shared" si="50"/>
        <v/>
      </c>
      <c r="Q149" s="35" t="str">
        <f t="shared" si="51"/>
        <v/>
      </c>
      <c r="R149" s="35" t="str">
        <f t="shared" si="52"/>
        <v/>
      </c>
      <c r="S149" s="33" t="str">
        <f t="shared" si="53"/>
        <v/>
      </c>
    </row>
    <row r="150" spans="1:19" x14ac:dyDescent="0.3">
      <c r="A150" s="33">
        <f>146</f>
        <v>146</v>
      </c>
      <c r="B150" s="34" t="str">
        <f t="shared" si="36"/>
        <v/>
      </c>
      <c r="C150" s="33" t="str">
        <f t="shared" si="37"/>
        <v/>
      </c>
      <c r="D150" s="33" t="str">
        <f t="shared" si="38"/>
        <v/>
      </c>
      <c r="E150" s="35" t="str">
        <f t="shared" si="39"/>
        <v/>
      </c>
      <c r="F150" s="35" t="str">
        <f t="shared" si="40"/>
        <v/>
      </c>
      <c r="G150" s="33" t="str">
        <f t="shared" si="41"/>
        <v/>
      </c>
      <c r="H150" s="35" t="str">
        <f t="shared" si="42"/>
        <v/>
      </c>
      <c r="I150" s="35" t="str">
        <f t="shared" si="43"/>
        <v/>
      </c>
      <c r="J150" s="35" t="str">
        <f t="shared" si="44"/>
        <v/>
      </c>
      <c r="K150" s="35" t="str">
        <f t="shared" si="45"/>
        <v/>
      </c>
      <c r="L150" s="35" t="str">
        <f t="shared" si="46"/>
        <v/>
      </c>
      <c r="M150" s="35" t="str">
        <f t="shared" si="47"/>
        <v/>
      </c>
      <c r="N150" s="36" t="str">
        <f t="shared" si="48"/>
        <v/>
      </c>
      <c r="O150" s="35" t="str">
        <f t="shared" si="49"/>
        <v/>
      </c>
      <c r="P150" s="35" t="str">
        <f t="shared" si="50"/>
        <v/>
      </c>
      <c r="Q150" s="35" t="str">
        <f t="shared" si="51"/>
        <v/>
      </c>
      <c r="R150" s="35" t="str">
        <f t="shared" si="52"/>
        <v/>
      </c>
      <c r="S150" s="33" t="str">
        <f t="shared" si="53"/>
        <v/>
      </c>
    </row>
    <row r="151" spans="1:19" x14ac:dyDescent="0.3">
      <c r="A151" s="33">
        <f>147</f>
        <v>147</v>
      </c>
      <c r="B151" s="34" t="str">
        <f t="shared" si="36"/>
        <v/>
      </c>
      <c r="C151" s="33" t="str">
        <f t="shared" si="37"/>
        <v/>
      </c>
      <c r="D151" s="33" t="str">
        <f t="shared" si="38"/>
        <v/>
      </c>
      <c r="E151" s="35" t="str">
        <f t="shared" si="39"/>
        <v/>
      </c>
      <c r="F151" s="35" t="str">
        <f t="shared" si="40"/>
        <v/>
      </c>
      <c r="G151" s="33" t="str">
        <f t="shared" si="41"/>
        <v/>
      </c>
      <c r="H151" s="35" t="str">
        <f t="shared" si="42"/>
        <v/>
      </c>
      <c r="I151" s="35" t="str">
        <f t="shared" si="43"/>
        <v/>
      </c>
      <c r="J151" s="35" t="str">
        <f t="shared" si="44"/>
        <v/>
      </c>
      <c r="K151" s="35" t="str">
        <f t="shared" si="45"/>
        <v/>
      </c>
      <c r="L151" s="35" t="str">
        <f t="shared" si="46"/>
        <v/>
      </c>
      <c r="M151" s="35" t="str">
        <f t="shared" si="47"/>
        <v/>
      </c>
      <c r="N151" s="36" t="str">
        <f t="shared" si="48"/>
        <v/>
      </c>
      <c r="O151" s="35" t="str">
        <f t="shared" si="49"/>
        <v/>
      </c>
      <c r="P151" s="35" t="str">
        <f t="shared" si="50"/>
        <v/>
      </c>
      <c r="Q151" s="35" t="str">
        <f t="shared" si="51"/>
        <v/>
      </c>
      <c r="R151" s="35" t="str">
        <f t="shared" si="52"/>
        <v/>
      </c>
      <c r="S151" s="33" t="str">
        <f t="shared" si="53"/>
        <v/>
      </c>
    </row>
    <row r="152" spans="1:19" x14ac:dyDescent="0.3">
      <c r="A152" s="33">
        <f>148</f>
        <v>148</v>
      </c>
      <c r="B152" s="34" t="str">
        <f t="shared" si="36"/>
        <v/>
      </c>
      <c r="C152" s="33" t="str">
        <f t="shared" si="37"/>
        <v/>
      </c>
      <c r="D152" s="33" t="str">
        <f t="shared" si="38"/>
        <v/>
      </c>
      <c r="E152" s="35" t="str">
        <f t="shared" si="39"/>
        <v/>
      </c>
      <c r="F152" s="35" t="str">
        <f t="shared" si="40"/>
        <v/>
      </c>
      <c r="G152" s="33" t="str">
        <f t="shared" si="41"/>
        <v/>
      </c>
      <c r="H152" s="35" t="str">
        <f t="shared" si="42"/>
        <v/>
      </c>
      <c r="I152" s="35" t="str">
        <f t="shared" si="43"/>
        <v/>
      </c>
      <c r="J152" s="35" t="str">
        <f t="shared" si="44"/>
        <v/>
      </c>
      <c r="K152" s="35" t="str">
        <f t="shared" si="45"/>
        <v/>
      </c>
      <c r="L152" s="35" t="str">
        <f t="shared" si="46"/>
        <v/>
      </c>
      <c r="M152" s="35" t="str">
        <f t="shared" si="47"/>
        <v/>
      </c>
      <c r="N152" s="36" t="str">
        <f t="shared" si="48"/>
        <v/>
      </c>
      <c r="O152" s="35" t="str">
        <f t="shared" si="49"/>
        <v/>
      </c>
      <c r="P152" s="35" t="str">
        <f t="shared" si="50"/>
        <v/>
      </c>
      <c r="Q152" s="35" t="str">
        <f t="shared" si="51"/>
        <v/>
      </c>
      <c r="R152" s="35" t="str">
        <f t="shared" si="52"/>
        <v/>
      </c>
      <c r="S152" s="33" t="str">
        <f t="shared" si="53"/>
        <v/>
      </c>
    </row>
    <row r="153" spans="1:19" x14ac:dyDescent="0.3">
      <c r="A153" s="33">
        <f>149</f>
        <v>149</v>
      </c>
      <c r="B153" s="34" t="str">
        <f t="shared" si="36"/>
        <v/>
      </c>
      <c r="C153" s="33" t="str">
        <f t="shared" si="37"/>
        <v/>
      </c>
      <c r="D153" s="33" t="str">
        <f t="shared" si="38"/>
        <v/>
      </c>
      <c r="E153" s="35" t="str">
        <f t="shared" si="39"/>
        <v/>
      </c>
      <c r="F153" s="35" t="str">
        <f t="shared" si="40"/>
        <v/>
      </c>
      <c r="G153" s="33" t="str">
        <f t="shared" si="41"/>
        <v/>
      </c>
      <c r="H153" s="35" t="str">
        <f t="shared" si="42"/>
        <v/>
      </c>
      <c r="I153" s="35" t="str">
        <f t="shared" si="43"/>
        <v/>
      </c>
      <c r="J153" s="35" t="str">
        <f t="shared" si="44"/>
        <v/>
      </c>
      <c r="K153" s="35" t="str">
        <f t="shared" si="45"/>
        <v/>
      </c>
      <c r="L153" s="35" t="str">
        <f t="shared" si="46"/>
        <v/>
      </c>
      <c r="M153" s="35" t="str">
        <f t="shared" si="47"/>
        <v/>
      </c>
      <c r="N153" s="36" t="str">
        <f t="shared" si="48"/>
        <v/>
      </c>
      <c r="O153" s="35" t="str">
        <f t="shared" si="49"/>
        <v/>
      </c>
      <c r="P153" s="35" t="str">
        <f t="shared" si="50"/>
        <v/>
      </c>
      <c r="Q153" s="35" t="str">
        <f t="shared" si="51"/>
        <v/>
      </c>
      <c r="R153" s="35" t="str">
        <f t="shared" si="52"/>
        <v/>
      </c>
      <c r="S153" s="33" t="str">
        <f t="shared" si="53"/>
        <v/>
      </c>
    </row>
    <row r="154" spans="1:19" x14ac:dyDescent="0.3">
      <c r="A154" s="33">
        <f>150</f>
        <v>150</v>
      </c>
      <c r="B154" s="34" t="str">
        <f t="shared" si="36"/>
        <v/>
      </c>
      <c r="C154" s="33" t="str">
        <f t="shared" si="37"/>
        <v/>
      </c>
      <c r="D154" s="33" t="str">
        <f t="shared" si="38"/>
        <v/>
      </c>
      <c r="E154" s="35" t="str">
        <f t="shared" si="39"/>
        <v/>
      </c>
      <c r="F154" s="35" t="str">
        <f t="shared" si="40"/>
        <v/>
      </c>
      <c r="G154" s="33" t="str">
        <f t="shared" si="41"/>
        <v/>
      </c>
      <c r="H154" s="35" t="str">
        <f t="shared" si="42"/>
        <v/>
      </c>
      <c r="I154" s="35" t="str">
        <f t="shared" si="43"/>
        <v/>
      </c>
      <c r="J154" s="35" t="str">
        <f t="shared" si="44"/>
        <v/>
      </c>
      <c r="K154" s="35" t="str">
        <f t="shared" si="45"/>
        <v/>
      </c>
      <c r="L154" s="35" t="str">
        <f t="shared" si="46"/>
        <v/>
      </c>
      <c r="M154" s="35" t="str">
        <f t="shared" si="47"/>
        <v/>
      </c>
      <c r="N154" s="36" t="str">
        <f t="shared" si="48"/>
        <v/>
      </c>
      <c r="O154" s="35" t="str">
        <f t="shared" si="49"/>
        <v/>
      </c>
      <c r="P154" s="35" t="str">
        <f t="shared" si="50"/>
        <v/>
      </c>
      <c r="Q154" s="35" t="str">
        <f t="shared" si="51"/>
        <v/>
      </c>
      <c r="R154" s="35" t="str">
        <f t="shared" si="52"/>
        <v/>
      </c>
      <c r="S154" s="33" t="str">
        <f t="shared" si="53"/>
        <v/>
      </c>
    </row>
    <row r="155" spans="1:19" x14ac:dyDescent="0.3">
      <c r="A155" s="33">
        <f>151</f>
        <v>151</v>
      </c>
      <c r="B155" s="34" t="str">
        <f t="shared" si="36"/>
        <v/>
      </c>
      <c r="C155" s="33" t="str">
        <f t="shared" si="37"/>
        <v/>
      </c>
      <c r="D155" s="33" t="str">
        <f t="shared" si="38"/>
        <v/>
      </c>
      <c r="E155" s="35" t="str">
        <f t="shared" si="39"/>
        <v/>
      </c>
      <c r="F155" s="35" t="str">
        <f t="shared" si="40"/>
        <v/>
      </c>
      <c r="G155" s="33" t="str">
        <f t="shared" si="41"/>
        <v/>
      </c>
      <c r="H155" s="35" t="str">
        <f t="shared" si="42"/>
        <v/>
      </c>
      <c r="I155" s="35" t="str">
        <f t="shared" si="43"/>
        <v/>
      </c>
      <c r="J155" s="35" t="str">
        <f t="shared" si="44"/>
        <v/>
      </c>
      <c r="K155" s="35" t="str">
        <f t="shared" si="45"/>
        <v/>
      </c>
      <c r="L155" s="35" t="str">
        <f t="shared" si="46"/>
        <v/>
      </c>
      <c r="M155" s="35" t="str">
        <f t="shared" si="47"/>
        <v/>
      </c>
      <c r="N155" s="36" t="str">
        <f t="shared" si="48"/>
        <v/>
      </c>
      <c r="O155" s="35" t="str">
        <f t="shared" si="49"/>
        <v/>
      </c>
      <c r="P155" s="35" t="str">
        <f t="shared" si="50"/>
        <v/>
      </c>
      <c r="Q155" s="35" t="str">
        <f t="shared" si="51"/>
        <v/>
      </c>
      <c r="R155" s="35" t="str">
        <f t="shared" si="52"/>
        <v/>
      </c>
      <c r="S155" s="33" t="str">
        <f t="shared" si="53"/>
        <v/>
      </c>
    </row>
    <row r="156" spans="1:19" x14ac:dyDescent="0.3">
      <c r="A156" s="33">
        <f>152</f>
        <v>152</v>
      </c>
      <c r="B156" s="34" t="str">
        <f t="shared" si="36"/>
        <v/>
      </c>
      <c r="C156" s="33" t="str">
        <f t="shared" si="37"/>
        <v/>
      </c>
      <c r="D156" s="33" t="str">
        <f t="shared" si="38"/>
        <v/>
      </c>
      <c r="E156" s="35" t="str">
        <f t="shared" si="39"/>
        <v/>
      </c>
      <c r="F156" s="35" t="str">
        <f t="shared" si="40"/>
        <v/>
      </c>
      <c r="G156" s="33" t="str">
        <f t="shared" si="41"/>
        <v/>
      </c>
      <c r="H156" s="35" t="str">
        <f t="shared" si="42"/>
        <v/>
      </c>
      <c r="I156" s="35" t="str">
        <f t="shared" si="43"/>
        <v/>
      </c>
      <c r="J156" s="35" t="str">
        <f t="shared" si="44"/>
        <v/>
      </c>
      <c r="K156" s="35" t="str">
        <f t="shared" si="45"/>
        <v/>
      </c>
      <c r="L156" s="35" t="str">
        <f t="shared" si="46"/>
        <v/>
      </c>
      <c r="M156" s="35" t="str">
        <f t="shared" si="47"/>
        <v/>
      </c>
      <c r="N156" s="36" t="str">
        <f t="shared" si="48"/>
        <v/>
      </c>
      <c r="O156" s="35" t="str">
        <f t="shared" si="49"/>
        <v/>
      </c>
      <c r="P156" s="35" t="str">
        <f t="shared" si="50"/>
        <v/>
      </c>
      <c r="Q156" s="35" t="str">
        <f t="shared" si="51"/>
        <v/>
      </c>
      <c r="R156" s="35" t="str">
        <f t="shared" si="52"/>
        <v/>
      </c>
      <c r="S156" s="33" t="str">
        <f t="shared" si="53"/>
        <v/>
      </c>
    </row>
    <row r="157" spans="1:19" x14ac:dyDescent="0.3">
      <c r="A157" s="33">
        <f>153</f>
        <v>153</v>
      </c>
      <c r="B157" s="34" t="str">
        <f t="shared" si="36"/>
        <v/>
      </c>
      <c r="C157" s="33" t="str">
        <f t="shared" si="37"/>
        <v/>
      </c>
      <c r="D157" s="33" t="str">
        <f t="shared" si="38"/>
        <v/>
      </c>
      <c r="E157" s="35" t="str">
        <f t="shared" si="39"/>
        <v/>
      </c>
      <c r="F157" s="35" t="str">
        <f t="shared" si="40"/>
        <v/>
      </c>
      <c r="G157" s="33" t="str">
        <f t="shared" si="41"/>
        <v/>
      </c>
      <c r="H157" s="35" t="str">
        <f t="shared" si="42"/>
        <v/>
      </c>
      <c r="I157" s="35" t="str">
        <f t="shared" si="43"/>
        <v/>
      </c>
      <c r="J157" s="35" t="str">
        <f t="shared" si="44"/>
        <v/>
      </c>
      <c r="K157" s="35" t="str">
        <f t="shared" si="45"/>
        <v/>
      </c>
      <c r="L157" s="35" t="str">
        <f t="shared" si="46"/>
        <v/>
      </c>
      <c r="M157" s="35" t="str">
        <f t="shared" si="47"/>
        <v/>
      </c>
      <c r="N157" s="36" t="str">
        <f t="shared" si="48"/>
        <v/>
      </c>
      <c r="O157" s="35" t="str">
        <f t="shared" si="49"/>
        <v/>
      </c>
      <c r="P157" s="35" t="str">
        <f t="shared" si="50"/>
        <v/>
      </c>
      <c r="Q157" s="35" t="str">
        <f t="shared" si="51"/>
        <v/>
      </c>
      <c r="R157" s="35" t="str">
        <f t="shared" si="52"/>
        <v/>
      </c>
      <c r="S157" s="33" t="str">
        <f t="shared" si="53"/>
        <v/>
      </c>
    </row>
    <row r="158" spans="1:19" x14ac:dyDescent="0.3">
      <c r="A158" s="33">
        <f>154</f>
        <v>154</v>
      </c>
      <c r="B158" s="34" t="str">
        <f t="shared" si="36"/>
        <v/>
      </c>
      <c r="C158" s="33" t="str">
        <f t="shared" si="37"/>
        <v/>
      </c>
      <c r="D158" s="33" t="str">
        <f t="shared" si="38"/>
        <v/>
      </c>
      <c r="E158" s="35" t="str">
        <f t="shared" si="39"/>
        <v/>
      </c>
      <c r="F158" s="35" t="str">
        <f t="shared" si="40"/>
        <v/>
      </c>
      <c r="G158" s="33" t="str">
        <f t="shared" si="41"/>
        <v/>
      </c>
      <c r="H158" s="35" t="str">
        <f t="shared" si="42"/>
        <v/>
      </c>
      <c r="I158" s="35" t="str">
        <f t="shared" si="43"/>
        <v/>
      </c>
      <c r="J158" s="35" t="str">
        <f t="shared" si="44"/>
        <v/>
      </c>
      <c r="K158" s="35" t="str">
        <f t="shared" si="45"/>
        <v/>
      </c>
      <c r="L158" s="35" t="str">
        <f t="shared" si="46"/>
        <v/>
      </c>
      <c r="M158" s="35" t="str">
        <f t="shared" si="47"/>
        <v/>
      </c>
      <c r="N158" s="36" t="str">
        <f t="shared" si="48"/>
        <v/>
      </c>
      <c r="O158" s="35" t="str">
        <f t="shared" si="49"/>
        <v/>
      </c>
      <c r="P158" s="35" t="str">
        <f t="shared" si="50"/>
        <v/>
      </c>
      <c r="Q158" s="35" t="str">
        <f t="shared" si="51"/>
        <v/>
      </c>
      <c r="R158" s="35" t="str">
        <f t="shared" si="52"/>
        <v/>
      </c>
      <c r="S158" s="33" t="str">
        <f t="shared" si="53"/>
        <v/>
      </c>
    </row>
    <row r="159" spans="1:19" x14ac:dyDescent="0.3">
      <c r="A159" s="33">
        <f>155</f>
        <v>155</v>
      </c>
      <c r="B159" s="34" t="str">
        <f t="shared" si="36"/>
        <v/>
      </c>
      <c r="C159" s="33" t="str">
        <f t="shared" si="37"/>
        <v/>
      </c>
      <c r="D159" s="33" t="str">
        <f t="shared" si="38"/>
        <v/>
      </c>
      <c r="E159" s="35" t="str">
        <f t="shared" si="39"/>
        <v/>
      </c>
      <c r="F159" s="35" t="str">
        <f t="shared" si="40"/>
        <v/>
      </c>
      <c r="G159" s="33" t="str">
        <f t="shared" si="41"/>
        <v/>
      </c>
      <c r="H159" s="35" t="str">
        <f t="shared" si="42"/>
        <v/>
      </c>
      <c r="I159" s="35" t="str">
        <f t="shared" si="43"/>
        <v/>
      </c>
      <c r="J159" s="35" t="str">
        <f t="shared" si="44"/>
        <v/>
      </c>
      <c r="K159" s="35" t="str">
        <f t="shared" si="45"/>
        <v/>
      </c>
      <c r="L159" s="35" t="str">
        <f t="shared" si="46"/>
        <v/>
      </c>
      <c r="M159" s="35" t="str">
        <f t="shared" si="47"/>
        <v/>
      </c>
      <c r="N159" s="36" t="str">
        <f t="shared" si="48"/>
        <v/>
      </c>
      <c r="O159" s="35" t="str">
        <f t="shared" si="49"/>
        <v/>
      </c>
      <c r="P159" s="35" t="str">
        <f t="shared" si="50"/>
        <v/>
      </c>
      <c r="Q159" s="35" t="str">
        <f t="shared" si="51"/>
        <v/>
      </c>
      <c r="R159" s="35" t="str">
        <f t="shared" si="52"/>
        <v/>
      </c>
      <c r="S159" s="33" t="str">
        <f t="shared" si="53"/>
        <v/>
      </c>
    </row>
    <row r="160" spans="1:19" x14ac:dyDescent="0.3">
      <c r="A160" s="37">
        <f>156</f>
        <v>156</v>
      </c>
      <c r="B160" s="38" t="str">
        <f t="shared" si="36"/>
        <v/>
      </c>
      <c r="C160" s="37" t="str">
        <f t="shared" si="37"/>
        <v/>
      </c>
      <c r="D160" s="37" t="str">
        <f t="shared" si="38"/>
        <v/>
      </c>
      <c r="E160" s="39" t="str">
        <f t="shared" si="39"/>
        <v/>
      </c>
      <c r="F160" s="39" t="str">
        <f t="shared" si="40"/>
        <v/>
      </c>
      <c r="G160" s="37" t="str">
        <f t="shared" si="41"/>
        <v/>
      </c>
      <c r="H160" s="39" t="str">
        <f t="shared" si="42"/>
        <v/>
      </c>
      <c r="I160" s="39" t="str">
        <f t="shared" si="43"/>
        <v/>
      </c>
      <c r="J160" s="39" t="str">
        <f t="shared" si="44"/>
        <v/>
      </c>
      <c r="K160" s="39" t="str">
        <f t="shared" si="45"/>
        <v/>
      </c>
      <c r="L160" s="39" t="str">
        <f t="shared" si="46"/>
        <v/>
      </c>
      <c r="M160" s="39" t="str">
        <f t="shared" si="47"/>
        <v/>
      </c>
      <c r="N160" s="40" t="str">
        <f t="shared" si="48"/>
        <v/>
      </c>
      <c r="O160" s="39" t="str">
        <f t="shared" si="49"/>
        <v/>
      </c>
      <c r="P160" s="39" t="str">
        <f t="shared" si="50"/>
        <v/>
      </c>
      <c r="Q160" s="39" t="str">
        <f t="shared" si="51"/>
        <v/>
      </c>
      <c r="R160" s="39" t="str">
        <f t="shared" si="52"/>
        <v/>
      </c>
      <c r="S160" s="37" t="str">
        <f t="shared" si="53"/>
        <v/>
      </c>
    </row>
    <row r="161" spans="1:19" x14ac:dyDescent="0.3">
      <c r="A161" s="33">
        <f>157</f>
        <v>157</v>
      </c>
      <c r="B161" s="34" t="str">
        <f t="shared" si="36"/>
        <v/>
      </c>
      <c r="C161" s="33" t="str">
        <f t="shared" si="37"/>
        <v/>
      </c>
      <c r="D161" s="33" t="str">
        <f t="shared" si="38"/>
        <v/>
      </c>
      <c r="E161" s="35" t="str">
        <f t="shared" si="39"/>
        <v/>
      </c>
      <c r="F161" s="35" t="str">
        <f t="shared" si="40"/>
        <v/>
      </c>
      <c r="G161" s="33" t="str">
        <f t="shared" si="41"/>
        <v/>
      </c>
      <c r="H161" s="35" t="str">
        <f t="shared" si="42"/>
        <v/>
      </c>
      <c r="I161" s="35" t="str">
        <f t="shared" si="43"/>
        <v/>
      </c>
      <c r="J161" s="35" t="str">
        <f t="shared" si="44"/>
        <v/>
      </c>
      <c r="K161" s="35" t="str">
        <f t="shared" si="45"/>
        <v/>
      </c>
      <c r="L161" s="35" t="str">
        <f t="shared" si="46"/>
        <v/>
      </c>
      <c r="M161" s="35" t="str">
        <f t="shared" si="47"/>
        <v/>
      </c>
      <c r="N161" s="36" t="str">
        <f t="shared" si="48"/>
        <v/>
      </c>
      <c r="O161" s="35" t="str">
        <f t="shared" si="49"/>
        <v/>
      </c>
      <c r="P161" s="35" t="str">
        <f t="shared" si="50"/>
        <v/>
      </c>
      <c r="Q161" s="35" t="str">
        <f t="shared" si="51"/>
        <v/>
      </c>
      <c r="R161" s="35" t="str">
        <f t="shared" si="52"/>
        <v/>
      </c>
      <c r="S161" s="33" t="str">
        <f t="shared" si="53"/>
        <v/>
      </c>
    </row>
    <row r="162" spans="1:19" x14ac:dyDescent="0.3">
      <c r="A162" s="33">
        <f>158</f>
        <v>158</v>
      </c>
      <c r="B162" s="34" t="str">
        <f t="shared" si="36"/>
        <v/>
      </c>
      <c r="C162" s="33" t="str">
        <f t="shared" si="37"/>
        <v/>
      </c>
      <c r="D162" s="33" t="str">
        <f t="shared" si="38"/>
        <v/>
      </c>
      <c r="E162" s="35" t="str">
        <f t="shared" si="39"/>
        <v/>
      </c>
      <c r="F162" s="35" t="str">
        <f t="shared" si="40"/>
        <v/>
      </c>
      <c r="G162" s="33" t="str">
        <f t="shared" si="41"/>
        <v/>
      </c>
      <c r="H162" s="35" t="str">
        <f t="shared" si="42"/>
        <v/>
      </c>
      <c r="I162" s="35" t="str">
        <f t="shared" si="43"/>
        <v/>
      </c>
      <c r="J162" s="35" t="str">
        <f t="shared" si="44"/>
        <v/>
      </c>
      <c r="K162" s="35" t="str">
        <f t="shared" si="45"/>
        <v/>
      </c>
      <c r="L162" s="35" t="str">
        <f t="shared" si="46"/>
        <v/>
      </c>
      <c r="M162" s="35" t="str">
        <f t="shared" si="47"/>
        <v/>
      </c>
      <c r="N162" s="36" t="str">
        <f t="shared" si="48"/>
        <v/>
      </c>
      <c r="O162" s="35" t="str">
        <f t="shared" si="49"/>
        <v/>
      </c>
      <c r="P162" s="35" t="str">
        <f t="shared" si="50"/>
        <v/>
      </c>
      <c r="Q162" s="35" t="str">
        <f t="shared" si="51"/>
        <v/>
      </c>
      <c r="R162" s="35" t="str">
        <f t="shared" si="52"/>
        <v/>
      </c>
      <c r="S162" s="33" t="str">
        <f t="shared" si="53"/>
        <v/>
      </c>
    </row>
    <row r="163" spans="1:19" x14ac:dyDescent="0.3">
      <c r="A163" s="33">
        <f>159</f>
        <v>159</v>
      </c>
      <c r="B163" s="34" t="str">
        <f t="shared" si="36"/>
        <v/>
      </c>
      <c r="C163" s="33" t="str">
        <f t="shared" si="37"/>
        <v/>
      </c>
      <c r="D163" s="33" t="str">
        <f t="shared" si="38"/>
        <v/>
      </c>
      <c r="E163" s="35" t="str">
        <f t="shared" si="39"/>
        <v/>
      </c>
      <c r="F163" s="35" t="str">
        <f t="shared" si="40"/>
        <v/>
      </c>
      <c r="G163" s="33" t="str">
        <f t="shared" si="41"/>
        <v/>
      </c>
      <c r="H163" s="35" t="str">
        <f t="shared" si="42"/>
        <v/>
      </c>
      <c r="I163" s="35" t="str">
        <f t="shared" si="43"/>
        <v/>
      </c>
      <c r="J163" s="35" t="str">
        <f t="shared" si="44"/>
        <v/>
      </c>
      <c r="K163" s="35" t="str">
        <f t="shared" si="45"/>
        <v/>
      </c>
      <c r="L163" s="35" t="str">
        <f t="shared" si="46"/>
        <v/>
      </c>
      <c r="M163" s="35" t="str">
        <f t="shared" si="47"/>
        <v/>
      </c>
      <c r="N163" s="36" t="str">
        <f t="shared" si="48"/>
        <v/>
      </c>
      <c r="O163" s="35" t="str">
        <f t="shared" si="49"/>
        <v/>
      </c>
      <c r="P163" s="35" t="str">
        <f t="shared" si="50"/>
        <v/>
      </c>
      <c r="Q163" s="35" t="str">
        <f t="shared" si="51"/>
        <v/>
      </c>
      <c r="R163" s="35" t="str">
        <f t="shared" si="52"/>
        <v/>
      </c>
      <c r="S163" s="33" t="str">
        <f t="shared" si="53"/>
        <v/>
      </c>
    </row>
    <row r="164" spans="1:19" x14ac:dyDescent="0.3">
      <c r="A164" s="33">
        <f>160</f>
        <v>160</v>
      </c>
      <c r="B164" s="34" t="str">
        <f t="shared" si="36"/>
        <v/>
      </c>
      <c r="C164" s="33" t="str">
        <f t="shared" si="37"/>
        <v/>
      </c>
      <c r="D164" s="33" t="str">
        <f t="shared" si="38"/>
        <v/>
      </c>
      <c r="E164" s="35" t="str">
        <f t="shared" si="39"/>
        <v/>
      </c>
      <c r="F164" s="35" t="str">
        <f t="shared" si="40"/>
        <v/>
      </c>
      <c r="G164" s="33" t="str">
        <f t="shared" si="41"/>
        <v/>
      </c>
      <c r="H164" s="35" t="str">
        <f t="shared" si="42"/>
        <v/>
      </c>
      <c r="I164" s="35" t="str">
        <f t="shared" si="43"/>
        <v/>
      </c>
      <c r="J164" s="35" t="str">
        <f t="shared" si="44"/>
        <v/>
      </c>
      <c r="K164" s="35" t="str">
        <f t="shared" si="45"/>
        <v/>
      </c>
      <c r="L164" s="35" t="str">
        <f t="shared" si="46"/>
        <v/>
      </c>
      <c r="M164" s="35" t="str">
        <f t="shared" si="47"/>
        <v/>
      </c>
      <c r="N164" s="36" t="str">
        <f t="shared" si="48"/>
        <v/>
      </c>
      <c r="O164" s="35" t="str">
        <f t="shared" si="49"/>
        <v/>
      </c>
      <c r="P164" s="35" t="str">
        <f t="shared" si="50"/>
        <v/>
      </c>
      <c r="Q164" s="35" t="str">
        <f t="shared" si="51"/>
        <v/>
      </c>
      <c r="R164" s="35" t="str">
        <f t="shared" si="52"/>
        <v/>
      </c>
      <c r="S164" s="33" t="str">
        <f t="shared" si="53"/>
        <v/>
      </c>
    </row>
    <row r="165" spans="1:19" x14ac:dyDescent="0.3">
      <c r="A165" s="33">
        <f>161</f>
        <v>161</v>
      </c>
      <c r="B165" s="34" t="str">
        <f t="shared" si="36"/>
        <v/>
      </c>
      <c r="C165" s="33" t="str">
        <f t="shared" si="37"/>
        <v/>
      </c>
      <c r="D165" s="33" t="str">
        <f t="shared" si="38"/>
        <v/>
      </c>
      <c r="E165" s="35" t="str">
        <f t="shared" si="39"/>
        <v/>
      </c>
      <c r="F165" s="35" t="str">
        <f t="shared" si="40"/>
        <v/>
      </c>
      <c r="G165" s="33" t="str">
        <f t="shared" si="41"/>
        <v/>
      </c>
      <c r="H165" s="35" t="str">
        <f t="shared" si="42"/>
        <v/>
      </c>
      <c r="I165" s="35" t="str">
        <f t="shared" si="43"/>
        <v/>
      </c>
      <c r="J165" s="35" t="str">
        <f t="shared" si="44"/>
        <v/>
      </c>
      <c r="K165" s="35" t="str">
        <f t="shared" si="45"/>
        <v/>
      </c>
      <c r="L165" s="35" t="str">
        <f t="shared" si="46"/>
        <v/>
      </c>
      <c r="M165" s="35" t="str">
        <f t="shared" si="47"/>
        <v/>
      </c>
      <c r="N165" s="36" t="str">
        <f t="shared" si="48"/>
        <v/>
      </c>
      <c r="O165" s="35" t="str">
        <f t="shared" si="49"/>
        <v/>
      </c>
      <c r="P165" s="35" t="str">
        <f t="shared" si="50"/>
        <v/>
      </c>
      <c r="Q165" s="35" t="str">
        <f t="shared" si="51"/>
        <v/>
      </c>
      <c r="R165" s="35" t="str">
        <f t="shared" si="52"/>
        <v/>
      </c>
      <c r="S165" s="33" t="str">
        <f t="shared" si="53"/>
        <v/>
      </c>
    </row>
    <row r="166" spans="1:19" x14ac:dyDescent="0.3">
      <c r="A166" s="33">
        <f>162</f>
        <v>162</v>
      </c>
      <c r="B166" s="34" t="str">
        <f t="shared" si="36"/>
        <v/>
      </c>
      <c r="C166" s="33" t="str">
        <f t="shared" si="37"/>
        <v/>
      </c>
      <c r="D166" s="33" t="str">
        <f t="shared" si="38"/>
        <v/>
      </c>
      <c r="E166" s="35" t="str">
        <f t="shared" si="39"/>
        <v/>
      </c>
      <c r="F166" s="35" t="str">
        <f t="shared" si="40"/>
        <v/>
      </c>
      <c r="G166" s="33" t="str">
        <f t="shared" si="41"/>
        <v/>
      </c>
      <c r="H166" s="35" t="str">
        <f t="shared" si="42"/>
        <v/>
      </c>
      <c r="I166" s="35" t="str">
        <f t="shared" si="43"/>
        <v/>
      </c>
      <c r="J166" s="35" t="str">
        <f t="shared" si="44"/>
        <v/>
      </c>
      <c r="K166" s="35" t="str">
        <f t="shared" si="45"/>
        <v/>
      </c>
      <c r="L166" s="35" t="str">
        <f t="shared" si="46"/>
        <v/>
      </c>
      <c r="M166" s="35" t="str">
        <f t="shared" si="47"/>
        <v/>
      </c>
      <c r="N166" s="36" t="str">
        <f t="shared" si="48"/>
        <v/>
      </c>
      <c r="O166" s="35" t="str">
        <f t="shared" si="49"/>
        <v/>
      </c>
      <c r="P166" s="35" t="str">
        <f t="shared" si="50"/>
        <v/>
      </c>
      <c r="Q166" s="35" t="str">
        <f t="shared" si="51"/>
        <v/>
      </c>
      <c r="R166" s="35" t="str">
        <f t="shared" si="52"/>
        <v/>
      </c>
      <c r="S166" s="33" t="str">
        <f t="shared" si="53"/>
        <v/>
      </c>
    </row>
    <row r="167" spans="1:19" x14ac:dyDescent="0.3">
      <c r="A167" s="33">
        <f>163</f>
        <v>163</v>
      </c>
      <c r="B167" s="34" t="str">
        <f t="shared" si="36"/>
        <v/>
      </c>
      <c r="C167" s="33" t="str">
        <f t="shared" si="37"/>
        <v/>
      </c>
      <c r="D167" s="33" t="str">
        <f t="shared" si="38"/>
        <v/>
      </c>
      <c r="E167" s="35" t="str">
        <f t="shared" si="39"/>
        <v/>
      </c>
      <c r="F167" s="35" t="str">
        <f t="shared" si="40"/>
        <v/>
      </c>
      <c r="G167" s="33" t="str">
        <f t="shared" si="41"/>
        <v/>
      </c>
      <c r="H167" s="35" t="str">
        <f t="shared" si="42"/>
        <v/>
      </c>
      <c r="I167" s="35" t="str">
        <f t="shared" si="43"/>
        <v/>
      </c>
      <c r="J167" s="35" t="str">
        <f t="shared" si="44"/>
        <v/>
      </c>
      <c r="K167" s="35" t="str">
        <f t="shared" si="45"/>
        <v/>
      </c>
      <c r="L167" s="35" t="str">
        <f t="shared" si="46"/>
        <v/>
      </c>
      <c r="M167" s="35" t="str">
        <f t="shared" si="47"/>
        <v/>
      </c>
      <c r="N167" s="36" t="str">
        <f t="shared" si="48"/>
        <v/>
      </c>
      <c r="O167" s="35" t="str">
        <f t="shared" si="49"/>
        <v/>
      </c>
      <c r="P167" s="35" t="str">
        <f t="shared" si="50"/>
        <v/>
      </c>
      <c r="Q167" s="35" t="str">
        <f t="shared" si="51"/>
        <v/>
      </c>
      <c r="R167" s="35" t="str">
        <f t="shared" si="52"/>
        <v/>
      </c>
      <c r="S167" s="33" t="str">
        <f t="shared" si="53"/>
        <v/>
      </c>
    </row>
    <row r="168" spans="1:19" x14ac:dyDescent="0.3">
      <c r="A168" s="33">
        <f>164</f>
        <v>164</v>
      </c>
      <c r="B168" s="34" t="str">
        <f t="shared" si="36"/>
        <v/>
      </c>
      <c r="C168" s="33" t="str">
        <f t="shared" si="37"/>
        <v/>
      </c>
      <c r="D168" s="33" t="str">
        <f t="shared" si="38"/>
        <v/>
      </c>
      <c r="E168" s="35" t="str">
        <f t="shared" si="39"/>
        <v/>
      </c>
      <c r="F168" s="35" t="str">
        <f t="shared" si="40"/>
        <v/>
      </c>
      <c r="G168" s="33" t="str">
        <f t="shared" si="41"/>
        <v/>
      </c>
      <c r="H168" s="35" t="str">
        <f t="shared" si="42"/>
        <v/>
      </c>
      <c r="I168" s="35" t="str">
        <f t="shared" si="43"/>
        <v/>
      </c>
      <c r="J168" s="35" t="str">
        <f t="shared" si="44"/>
        <v/>
      </c>
      <c r="K168" s="35" t="str">
        <f t="shared" si="45"/>
        <v/>
      </c>
      <c r="L168" s="35" t="str">
        <f t="shared" si="46"/>
        <v/>
      </c>
      <c r="M168" s="35" t="str">
        <f t="shared" si="47"/>
        <v/>
      </c>
      <c r="N168" s="36" t="str">
        <f t="shared" si="48"/>
        <v/>
      </c>
      <c r="O168" s="35" t="str">
        <f t="shared" si="49"/>
        <v/>
      </c>
      <c r="P168" s="35" t="str">
        <f t="shared" si="50"/>
        <v/>
      </c>
      <c r="Q168" s="35" t="str">
        <f t="shared" si="51"/>
        <v/>
      </c>
      <c r="R168" s="35" t="str">
        <f t="shared" si="52"/>
        <v/>
      </c>
      <c r="S168" s="33" t="str">
        <f t="shared" si="53"/>
        <v/>
      </c>
    </row>
    <row r="169" spans="1:19" x14ac:dyDescent="0.3">
      <c r="A169" s="33">
        <f>165</f>
        <v>165</v>
      </c>
      <c r="B169" s="34" t="str">
        <f t="shared" si="36"/>
        <v/>
      </c>
      <c r="C169" s="33" t="str">
        <f t="shared" si="37"/>
        <v/>
      </c>
      <c r="D169" s="33" t="str">
        <f t="shared" si="38"/>
        <v/>
      </c>
      <c r="E169" s="35" t="str">
        <f t="shared" si="39"/>
        <v/>
      </c>
      <c r="F169" s="35" t="str">
        <f t="shared" si="40"/>
        <v/>
      </c>
      <c r="G169" s="33" t="str">
        <f t="shared" si="41"/>
        <v/>
      </c>
      <c r="H169" s="35" t="str">
        <f t="shared" si="42"/>
        <v/>
      </c>
      <c r="I169" s="35" t="str">
        <f t="shared" si="43"/>
        <v/>
      </c>
      <c r="J169" s="35" t="str">
        <f t="shared" si="44"/>
        <v/>
      </c>
      <c r="K169" s="35" t="str">
        <f t="shared" si="45"/>
        <v/>
      </c>
      <c r="L169" s="35" t="str">
        <f t="shared" si="46"/>
        <v/>
      </c>
      <c r="M169" s="35" t="str">
        <f t="shared" si="47"/>
        <v/>
      </c>
      <c r="N169" s="36" t="str">
        <f t="shared" si="48"/>
        <v/>
      </c>
      <c r="O169" s="35" t="str">
        <f t="shared" si="49"/>
        <v/>
      </c>
      <c r="P169" s="35" t="str">
        <f t="shared" si="50"/>
        <v/>
      </c>
      <c r="Q169" s="35" t="str">
        <f t="shared" si="51"/>
        <v/>
      </c>
      <c r="R169" s="35" t="str">
        <f t="shared" si="52"/>
        <v/>
      </c>
      <c r="S169" s="33" t="str">
        <f t="shared" si="53"/>
        <v/>
      </c>
    </row>
    <row r="170" spans="1:19" x14ac:dyDescent="0.3">
      <c r="A170" s="33">
        <f>166</f>
        <v>166</v>
      </c>
      <c r="B170" s="34" t="str">
        <f t="shared" si="36"/>
        <v/>
      </c>
      <c r="C170" s="33" t="str">
        <f t="shared" si="37"/>
        <v/>
      </c>
      <c r="D170" s="33" t="str">
        <f t="shared" si="38"/>
        <v/>
      </c>
      <c r="E170" s="35" t="str">
        <f t="shared" si="39"/>
        <v/>
      </c>
      <c r="F170" s="35" t="str">
        <f t="shared" si="40"/>
        <v/>
      </c>
      <c r="G170" s="33" t="str">
        <f t="shared" si="41"/>
        <v/>
      </c>
      <c r="H170" s="35" t="str">
        <f t="shared" si="42"/>
        <v/>
      </c>
      <c r="I170" s="35" t="str">
        <f t="shared" si="43"/>
        <v/>
      </c>
      <c r="J170" s="35" t="str">
        <f t="shared" si="44"/>
        <v/>
      </c>
      <c r="K170" s="35" t="str">
        <f t="shared" si="45"/>
        <v/>
      </c>
      <c r="L170" s="35" t="str">
        <f t="shared" si="46"/>
        <v/>
      </c>
      <c r="M170" s="35" t="str">
        <f t="shared" si="47"/>
        <v/>
      </c>
      <c r="N170" s="36" t="str">
        <f t="shared" si="48"/>
        <v/>
      </c>
      <c r="O170" s="35" t="str">
        <f t="shared" si="49"/>
        <v/>
      </c>
      <c r="P170" s="35" t="str">
        <f t="shared" si="50"/>
        <v/>
      </c>
      <c r="Q170" s="35" t="str">
        <f t="shared" si="51"/>
        <v/>
      </c>
      <c r="R170" s="35" t="str">
        <f t="shared" si="52"/>
        <v/>
      </c>
      <c r="S170" s="33" t="str">
        <f t="shared" si="53"/>
        <v/>
      </c>
    </row>
    <row r="171" spans="1:19" x14ac:dyDescent="0.3">
      <c r="A171" s="33">
        <f>167</f>
        <v>167</v>
      </c>
      <c r="B171" s="34" t="str">
        <f t="shared" si="36"/>
        <v/>
      </c>
      <c r="C171" s="33" t="str">
        <f t="shared" si="37"/>
        <v/>
      </c>
      <c r="D171" s="33" t="str">
        <f t="shared" si="38"/>
        <v/>
      </c>
      <c r="E171" s="35" t="str">
        <f t="shared" si="39"/>
        <v/>
      </c>
      <c r="F171" s="35" t="str">
        <f t="shared" si="40"/>
        <v/>
      </c>
      <c r="G171" s="33" t="str">
        <f t="shared" si="41"/>
        <v/>
      </c>
      <c r="H171" s="35" t="str">
        <f t="shared" si="42"/>
        <v/>
      </c>
      <c r="I171" s="35" t="str">
        <f t="shared" si="43"/>
        <v/>
      </c>
      <c r="J171" s="35" t="str">
        <f t="shared" si="44"/>
        <v/>
      </c>
      <c r="K171" s="35" t="str">
        <f t="shared" si="45"/>
        <v/>
      </c>
      <c r="L171" s="35" t="str">
        <f t="shared" si="46"/>
        <v/>
      </c>
      <c r="M171" s="35" t="str">
        <f t="shared" si="47"/>
        <v/>
      </c>
      <c r="N171" s="36" t="str">
        <f t="shared" si="48"/>
        <v/>
      </c>
      <c r="O171" s="35" t="str">
        <f t="shared" si="49"/>
        <v/>
      </c>
      <c r="P171" s="35" t="str">
        <f t="shared" si="50"/>
        <v/>
      </c>
      <c r="Q171" s="35" t="str">
        <f t="shared" si="51"/>
        <v/>
      </c>
      <c r="R171" s="35" t="str">
        <f t="shared" si="52"/>
        <v/>
      </c>
      <c r="S171" s="33" t="str">
        <f t="shared" si="53"/>
        <v/>
      </c>
    </row>
    <row r="172" spans="1:19" x14ac:dyDescent="0.3">
      <c r="A172" s="37">
        <f>168</f>
        <v>168</v>
      </c>
      <c r="B172" s="38" t="str">
        <f t="shared" si="36"/>
        <v/>
      </c>
      <c r="C172" s="37" t="str">
        <f t="shared" si="37"/>
        <v/>
      </c>
      <c r="D172" s="37" t="str">
        <f t="shared" si="38"/>
        <v/>
      </c>
      <c r="E172" s="39" t="str">
        <f t="shared" si="39"/>
        <v/>
      </c>
      <c r="F172" s="39" t="str">
        <f t="shared" si="40"/>
        <v/>
      </c>
      <c r="G172" s="37" t="str">
        <f t="shared" si="41"/>
        <v/>
      </c>
      <c r="H172" s="39" t="str">
        <f t="shared" si="42"/>
        <v/>
      </c>
      <c r="I172" s="39" t="str">
        <f t="shared" si="43"/>
        <v/>
      </c>
      <c r="J172" s="39" t="str">
        <f t="shared" si="44"/>
        <v/>
      </c>
      <c r="K172" s="39" t="str">
        <f t="shared" si="45"/>
        <v/>
      </c>
      <c r="L172" s="39" t="str">
        <f t="shared" si="46"/>
        <v/>
      </c>
      <c r="M172" s="39" t="str">
        <f t="shared" si="47"/>
        <v/>
      </c>
      <c r="N172" s="40" t="str">
        <f t="shared" si="48"/>
        <v/>
      </c>
      <c r="O172" s="39" t="str">
        <f t="shared" si="49"/>
        <v/>
      </c>
      <c r="P172" s="39" t="str">
        <f t="shared" si="50"/>
        <v/>
      </c>
      <c r="Q172" s="39" t="str">
        <f t="shared" si="51"/>
        <v/>
      </c>
      <c r="R172" s="39" t="str">
        <f t="shared" si="52"/>
        <v/>
      </c>
      <c r="S172" s="37" t="str">
        <f t="shared" si="53"/>
        <v/>
      </c>
    </row>
    <row r="173" spans="1:19" x14ac:dyDescent="0.3">
      <c r="A173" s="33">
        <f>169</f>
        <v>169</v>
      </c>
      <c r="B173" s="34" t="str">
        <f t="shared" si="36"/>
        <v/>
      </c>
      <c r="C173" s="33" t="str">
        <f t="shared" si="37"/>
        <v/>
      </c>
      <c r="D173" s="33" t="str">
        <f t="shared" si="38"/>
        <v/>
      </c>
      <c r="E173" s="35" t="str">
        <f t="shared" si="39"/>
        <v/>
      </c>
      <c r="F173" s="35" t="str">
        <f t="shared" si="40"/>
        <v/>
      </c>
      <c r="G173" s="33" t="str">
        <f t="shared" si="41"/>
        <v/>
      </c>
      <c r="H173" s="35" t="str">
        <f t="shared" si="42"/>
        <v/>
      </c>
      <c r="I173" s="35" t="str">
        <f t="shared" si="43"/>
        <v/>
      </c>
      <c r="J173" s="35" t="str">
        <f t="shared" si="44"/>
        <v/>
      </c>
      <c r="K173" s="35" t="str">
        <f t="shared" si="45"/>
        <v/>
      </c>
      <c r="L173" s="35" t="str">
        <f t="shared" si="46"/>
        <v/>
      </c>
      <c r="M173" s="35" t="str">
        <f t="shared" si="47"/>
        <v/>
      </c>
      <c r="N173" s="36" t="str">
        <f t="shared" si="48"/>
        <v/>
      </c>
      <c r="O173" s="35" t="str">
        <f t="shared" si="49"/>
        <v/>
      </c>
      <c r="P173" s="35" t="str">
        <f t="shared" si="50"/>
        <v/>
      </c>
      <c r="Q173" s="35" t="str">
        <f t="shared" si="51"/>
        <v/>
      </c>
      <c r="R173" s="35" t="str">
        <f t="shared" si="52"/>
        <v/>
      </c>
      <c r="S173" s="33" t="str">
        <f t="shared" si="53"/>
        <v/>
      </c>
    </row>
    <row r="174" spans="1:19" x14ac:dyDescent="0.3">
      <c r="A174" s="33">
        <f>170</f>
        <v>170</v>
      </c>
      <c r="B174" s="34" t="str">
        <f t="shared" si="36"/>
        <v/>
      </c>
      <c r="C174" s="33" t="str">
        <f t="shared" si="37"/>
        <v/>
      </c>
      <c r="D174" s="33" t="str">
        <f t="shared" si="38"/>
        <v/>
      </c>
      <c r="E174" s="35" t="str">
        <f t="shared" si="39"/>
        <v/>
      </c>
      <c r="F174" s="35" t="str">
        <f t="shared" si="40"/>
        <v/>
      </c>
      <c r="G174" s="33" t="str">
        <f t="shared" si="41"/>
        <v/>
      </c>
      <c r="H174" s="35" t="str">
        <f t="shared" si="42"/>
        <v/>
      </c>
      <c r="I174" s="35" t="str">
        <f t="shared" si="43"/>
        <v/>
      </c>
      <c r="J174" s="35" t="str">
        <f t="shared" si="44"/>
        <v/>
      </c>
      <c r="K174" s="35" t="str">
        <f t="shared" si="45"/>
        <v/>
      </c>
      <c r="L174" s="35" t="str">
        <f t="shared" si="46"/>
        <v/>
      </c>
      <c r="M174" s="35" t="str">
        <f t="shared" si="47"/>
        <v/>
      </c>
      <c r="N174" s="36" t="str">
        <f t="shared" si="48"/>
        <v/>
      </c>
      <c r="O174" s="35" t="str">
        <f t="shared" si="49"/>
        <v/>
      </c>
      <c r="P174" s="35" t="str">
        <f t="shared" si="50"/>
        <v/>
      </c>
      <c r="Q174" s="35" t="str">
        <f t="shared" si="51"/>
        <v/>
      </c>
      <c r="R174" s="35" t="str">
        <f t="shared" si="52"/>
        <v/>
      </c>
      <c r="S174" s="33" t="str">
        <f t="shared" si="53"/>
        <v/>
      </c>
    </row>
    <row r="175" spans="1:19" x14ac:dyDescent="0.3">
      <c r="A175" s="33">
        <f>171</f>
        <v>171</v>
      </c>
      <c r="B175" s="34" t="str">
        <f t="shared" si="36"/>
        <v/>
      </c>
      <c r="C175" s="33" t="str">
        <f t="shared" si="37"/>
        <v/>
      </c>
      <c r="D175" s="33" t="str">
        <f t="shared" si="38"/>
        <v/>
      </c>
      <c r="E175" s="35" t="str">
        <f t="shared" si="39"/>
        <v/>
      </c>
      <c r="F175" s="35" t="str">
        <f t="shared" si="40"/>
        <v/>
      </c>
      <c r="G175" s="33" t="str">
        <f t="shared" si="41"/>
        <v/>
      </c>
      <c r="H175" s="35" t="str">
        <f t="shared" si="42"/>
        <v/>
      </c>
      <c r="I175" s="35" t="str">
        <f t="shared" si="43"/>
        <v/>
      </c>
      <c r="J175" s="35" t="str">
        <f t="shared" si="44"/>
        <v/>
      </c>
      <c r="K175" s="35" t="str">
        <f t="shared" si="45"/>
        <v/>
      </c>
      <c r="L175" s="35" t="str">
        <f t="shared" si="46"/>
        <v/>
      </c>
      <c r="M175" s="35" t="str">
        <f t="shared" si="47"/>
        <v/>
      </c>
      <c r="N175" s="36" t="str">
        <f t="shared" si="48"/>
        <v/>
      </c>
      <c r="O175" s="35" t="str">
        <f t="shared" si="49"/>
        <v/>
      </c>
      <c r="P175" s="35" t="str">
        <f t="shared" si="50"/>
        <v/>
      </c>
      <c r="Q175" s="35" t="str">
        <f t="shared" si="51"/>
        <v/>
      </c>
      <c r="R175" s="35" t="str">
        <f t="shared" si="52"/>
        <v/>
      </c>
      <c r="S175" s="33" t="str">
        <f t="shared" si="53"/>
        <v/>
      </c>
    </row>
    <row r="176" spans="1:19" x14ac:dyDescent="0.3">
      <c r="A176" s="33">
        <f>172</f>
        <v>172</v>
      </c>
      <c r="B176" s="34" t="str">
        <f t="shared" si="36"/>
        <v/>
      </c>
      <c r="C176" s="33" t="str">
        <f t="shared" si="37"/>
        <v/>
      </c>
      <c r="D176" s="33" t="str">
        <f t="shared" si="38"/>
        <v/>
      </c>
      <c r="E176" s="35" t="str">
        <f t="shared" si="39"/>
        <v/>
      </c>
      <c r="F176" s="35" t="str">
        <f t="shared" si="40"/>
        <v/>
      </c>
      <c r="G176" s="33" t="str">
        <f t="shared" si="41"/>
        <v/>
      </c>
      <c r="H176" s="35" t="str">
        <f t="shared" si="42"/>
        <v/>
      </c>
      <c r="I176" s="35" t="str">
        <f t="shared" si="43"/>
        <v/>
      </c>
      <c r="J176" s="35" t="str">
        <f t="shared" si="44"/>
        <v/>
      </c>
      <c r="K176" s="35" t="str">
        <f t="shared" si="45"/>
        <v/>
      </c>
      <c r="L176" s="35" t="str">
        <f t="shared" si="46"/>
        <v/>
      </c>
      <c r="M176" s="35" t="str">
        <f t="shared" si="47"/>
        <v/>
      </c>
      <c r="N176" s="36" t="str">
        <f t="shared" si="48"/>
        <v/>
      </c>
      <c r="O176" s="35" t="str">
        <f t="shared" si="49"/>
        <v/>
      </c>
      <c r="P176" s="35" t="str">
        <f t="shared" si="50"/>
        <v/>
      </c>
      <c r="Q176" s="35" t="str">
        <f t="shared" si="51"/>
        <v/>
      </c>
      <c r="R176" s="35" t="str">
        <f t="shared" si="52"/>
        <v/>
      </c>
      <c r="S176" s="33" t="str">
        <f t="shared" si="53"/>
        <v/>
      </c>
    </row>
    <row r="177" spans="1:19" x14ac:dyDescent="0.3">
      <c r="A177" s="33">
        <f>173</f>
        <v>173</v>
      </c>
      <c r="B177" s="34" t="str">
        <f t="shared" si="36"/>
        <v/>
      </c>
      <c r="C177" s="33" t="str">
        <f t="shared" si="37"/>
        <v/>
      </c>
      <c r="D177" s="33" t="str">
        <f t="shared" si="38"/>
        <v/>
      </c>
      <c r="E177" s="35" t="str">
        <f t="shared" si="39"/>
        <v/>
      </c>
      <c r="F177" s="35" t="str">
        <f t="shared" si="40"/>
        <v/>
      </c>
      <c r="G177" s="33" t="str">
        <f t="shared" si="41"/>
        <v/>
      </c>
      <c r="H177" s="35" t="str">
        <f t="shared" si="42"/>
        <v/>
      </c>
      <c r="I177" s="35" t="str">
        <f t="shared" si="43"/>
        <v/>
      </c>
      <c r="J177" s="35" t="str">
        <f t="shared" si="44"/>
        <v/>
      </c>
      <c r="K177" s="35" t="str">
        <f t="shared" si="45"/>
        <v/>
      </c>
      <c r="L177" s="35" t="str">
        <f t="shared" si="46"/>
        <v/>
      </c>
      <c r="M177" s="35" t="str">
        <f t="shared" si="47"/>
        <v/>
      </c>
      <c r="N177" s="36" t="str">
        <f t="shared" si="48"/>
        <v/>
      </c>
      <c r="O177" s="35" t="str">
        <f t="shared" si="49"/>
        <v/>
      </c>
      <c r="P177" s="35" t="str">
        <f t="shared" si="50"/>
        <v/>
      </c>
      <c r="Q177" s="35" t="str">
        <f t="shared" si="51"/>
        <v/>
      </c>
      <c r="R177" s="35" t="str">
        <f t="shared" si="52"/>
        <v/>
      </c>
      <c r="S177" s="33" t="str">
        <f t="shared" si="53"/>
        <v/>
      </c>
    </row>
    <row r="178" spans="1:19" x14ac:dyDescent="0.3">
      <c r="A178" s="33">
        <f>174</f>
        <v>174</v>
      </c>
      <c r="B178" s="34" t="str">
        <f t="shared" si="36"/>
        <v/>
      </c>
      <c r="C178" s="33" t="str">
        <f t="shared" si="37"/>
        <v/>
      </c>
      <c r="D178" s="33" t="str">
        <f t="shared" si="38"/>
        <v/>
      </c>
      <c r="E178" s="35" t="str">
        <f t="shared" si="39"/>
        <v/>
      </c>
      <c r="F178" s="35" t="str">
        <f t="shared" si="40"/>
        <v/>
      </c>
      <c r="G178" s="33" t="str">
        <f t="shared" si="41"/>
        <v/>
      </c>
      <c r="H178" s="35" t="str">
        <f t="shared" si="42"/>
        <v/>
      </c>
      <c r="I178" s="35" t="str">
        <f t="shared" si="43"/>
        <v/>
      </c>
      <c r="J178" s="35" t="str">
        <f t="shared" si="44"/>
        <v/>
      </c>
      <c r="K178" s="35" t="str">
        <f t="shared" si="45"/>
        <v/>
      </c>
      <c r="L178" s="35" t="str">
        <f t="shared" si="46"/>
        <v/>
      </c>
      <c r="M178" s="35" t="str">
        <f t="shared" si="47"/>
        <v/>
      </c>
      <c r="N178" s="36" t="str">
        <f t="shared" si="48"/>
        <v/>
      </c>
      <c r="O178" s="35" t="str">
        <f t="shared" si="49"/>
        <v/>
      </c>
      <c r="P178" s="35" t="str">
        <f t="shared" si="50"/>
        <v/>
      </c>
      <c r="Q178" s="35" t="str">
        <f t="shared" si="51"/>
        <v/>
      </c>
      <c r="R178" s="35" t="str">
        <f t="shared" si="52"/>
        <v/>
      </c>
      <c r="S178" s="33" t="str">
        <f t="shared" si="53"/>
        <v/>
      </c>
    </row>
    <row r="179" spans="1:19" x14ac:dyDescent="0.3">
      <c r="A179" s="33">
        <f>175</f>
        <v>175</v>
      </c>
      <c r="B179" s="34" t="str">
        <f t="shared" si="36"/>
        <v/>
      </c>
      <c r="C179" s="33" t="str">
        <f t="shared" si="37"/>
        <v/>
      </c>
      <c r="D179" s="33" t="str">
        <f t="shared" si="38"/>
        <v/>
      </c>
      <c r="E179" s="35" t="str">
        <f t="shared" si="39"/>
        <v/>
      </c>
      <c r="F179" s="35" t="str">
        <f t="shared" si="40"/>
        <v/>
      </c>
      <c r="G179" s="33" t="str">
        <f t="shared" si="41"/>
        <v/>
      </c>
      <c r="H179" s="35" t="str">
        <f t="shared" si="42"/>
        <v/>
      </c>
      <c r="I179" s="35" t="str">
        <f t="shared" si="43"/>
        <v/>
      </c>
      <c r="J179" s="35" t="str">
        <f t="shared" si="44"/>
        <v/>
      </c>
      <c r="K179" s="35" t="str">
        <f t="shared" si="45"/>
        <v/>
      </c>
      <c r="L179" s="35" t="str">
        <f t="shared" si="46"/>
        <v/>
      </c>
      <c r="M179" s="35" t="str">
        <f t="shared" si="47"/>
        <v/>
      </c>
      <c r="N179" s="36" t="str">
        <f t="shared" si="48"/>
        <v/>
      </c>
      <c r="O179" s="35" t="str">
        <f t="shared" si="49"/>
        <v/>
      </c>
      <c r="P179" s="35" t="str">
        <f t="shared" si="50"/>
        <v/>
      </c>
      <c r="Q179" s="35" t="str">
        <f t="shared" si="51"/>
        <v/>
      </c>
      <c r="R179" s="35" t="str">
        <f t="shared" si="52"/>
        <v/>
      </c>
      <c r="S179" s="33" t="str">
        <f t="shared" si="53"/>
        <v/>
      </c>
    </row>
    <row r="180" spans="1:19" x14ac:dyDescent="0.3">
      <c r="A180" s="33">
        <f>176</f>
        <v>176</v>
      </c>
      <c r="B180" s="34" t="str">
        <f t="shared" si="36"/>
        <v/>
      </c>
      <c r="C180" s="33" t="str">
        <f t="shared" si="37"/>
        <v/>
      </c>
      <c r="D180" s="33" t="str">
        <f t="shared" si="38"/>
        <v/>
      </c>
      <c r="E180" s="35" t="str">
        <f t="shared" si="39"/>
        <v/>
      </c>
      <c r="F180" s="35" t="str">
        <f t="shared" si="40"/>
        <v/>
      </c>
      <c r="G180" s="33" t="str">
        <f t="shared" si="41"/>
        <v/>
      </c>
      <c r="H180" s="35" t="str">
        <f t="shared" si="42"/>
        <v/>
      </c>
      <c r="I180" s="35" t="str">
        <f t="shared" si="43"/>
        <v/>
      </c>
      <c r="J180" s="35" t="str">
        <f t="shared" si="44"/>
        <v/>
      </c>
      <c r="K180" s="35" t="str">
        <f t="shared" si="45"/>
        <v/>
      </c>
      <c r="L180" s="35" t="str">
        <f t="shared" si="46"/>
        <v/>
      </c>
      <c r="M180" s="35" t="str">
        <f t="shared" si="47"/>
        <v/>
      </c>
      <c r="N180" s="36" t="str">
        <f t="shared" si="48"/>
        <v/>
      </c>
      <c r="O180" s="35" t="str">
        <f t="shared" si="49"/>
        <v/>
      </c>
      <c r="P180" s="35" t="str">
        <f t="shared" si="50"/>
        <v/>
      </c>
      <c r="Q180" s="35" t="str">
        <f t="shared" si="51"/>
        <v/>
      </c>
      <c r="R180" s="35" t="str">
        <f t="shared" si="52"/>
        <v/>
      </c>
      <c r="S180" s="33" t="str">
        <f t="shared" si="53"/>
        <v/>
      </c>
    </row>
    <row r="181" spans="1:19" x14ac:dyDescent="0.3">
      <c r="A181" s="33">
        <f>177</f>
        <v>177</v>
      </c>
      <c r="B181" s="34" t="str">
        <f t="shared" si="36"/>
        <v/>
      </c>
      <c r="C181" s="33" t="str">
        <f t="shared" si="37"/>
        <v/>
      </c>
      <c r="D181" s="33" t="str">
        <f t="shared" si="38"/>
        <v/>
      </c>
      <c r="E181" s="35" t="str">
        <f t="shared" si="39"/>
        <v/>
      </c>
      <c r="F181" s="35" t="str">
        <f t="shared" si="40"/>
        <v/>
      </c>
      <c r="G181" s="33" t="str">
        <f t="shared" si="41"/>
        <v/>
      </c>
      <c r="H181" s="35" t="str">
        <f t="shared" si="42"/>
        <v/>
      </c>
      <c r="I181" s="35" t="str">
        <f t="shared" si="43"/>
        <v/>
      </c>
      <c r="J181" s="35" t="str">
        <f t="shared" si="44"/>
        <v/>
      </c>
      <c r="K181" s="35" t="str">
        <f t="shared" si="45"/>
        <v/>
      </c>
      <c r="L181" s="35" t="str">
        <f t="shared" si="46"/>
        <v/>
      </c>
      <c r="M181" s="35" t="str">
        <f t="shared" si="47"/>
        <v/>
      </c>
      <c r="N181" s="36" t="str">
        <f t="shared" si="48"/>
        <v/>
      </c>
      <c r="O181" s="35" t="str">
        <f t="shared" si="49"/>
        <v/>
      </c>
      <c r="P181" s="35" t="str">
        <f t="shared" si="50"/>
        <v/>
      </c>
      <c r="Q181" s="35" t="str">
        <f t="shared" si="51"/>
        <v/>
      </c>
      <c r="R181" s="35" t="str">
        <f t="shared" si="52"/>
        <v/>
      </c>
      <c r="S181" s="33" t="str">
        <f t="shared" si="53"/>
        <v/>
      </c>
    </row>
    <row r="182" spans="1:19" x14ac:dyDescent="0.3">
      <c r="A182" s="33">
        <f>178</f>
        <v>178</v>
      </c>
      <c r="B182" s="34" t="str">
        <f t="shared" si="36"/>
        <v/>
      </c>
      <c r="C182" s="33" t="str">
        <f t="shared" si="37"/>
        <v/>
      </c>
      <c r="D182" s="33" t="str">
        <f t="shared" si="38"/>
        <v/>
      </c>
      <c r="E182" s="35" t="str">
        <f t="shared" si="39"/>
        <v/>
      </c>
      <c r="F182" s="35" t="str">
        <f t="shared" si="40"/>
        <v/>
      </c>
      <c r="G182" s="33" t="str">
        <f t="shared" si="41"/>
        <v/>
      </c>
      <c r="H182" s="35" t="str">
        <f t="shared" si="42"/>
        <v/>
      </c>
      <c r="I182" s="35" t="str">
        <f t="shared" si="43"/>
        <v/>
      </c>
      <c r="J182" s="35" t="str">
        <f t="shared" si="44"/>
        <v/>
      </c>
      <c r="K182" s="35" t="str">
        <f t="shared" si="45"/>
        <v/>
      </c>
      <c r="L182" s="35" t="str">
        <f t="shared" si="46"/>
        <v/>
      </c>
      <c r="M182" s="35" t="str">
        <f t="shared" si="47"/>
        <v/>
      </c>
      <c r="N182" s="36" t="str">
        <f t="shared" si="48"/>
        <v/>
      </c>
      <c r="O182" s="35" t="str">
        <f t="shared" si="49"/>
        <v/>
      </c>
      <c r="P182" s="35" t="str">
        <f t="shared" si="50"/>
        <v/>
      </c>
      <c r="Q182" s="35" t="str">
        <f t="shared" si="51"/>
        <v/>
      </c>
      <c r="R182" s="35" t="str">
        <f t="shared" si="52"/>
        <v/>
      </c>
      <c r="S182" s="33" t="str">
        <f t="shared" si="53"/>
        <v/>
      </c>
    </row>
    <row r="183" spans="1:19" x14ac:dyDescent="0.3">
      <c r="A183" s="33">
        <f>179</f>
        <v>179</v>
      </c>
      <c r="B183" s="34" t="str">
        <f t="shared" si="36"/>
        <v/>
      </c>
      <c r="C183" s="33" t="str">
        <f t="shared" si="37"/>
        <v/>
      </c>
      <c r="D183" s="33" t="str">
        <f t="shared" si="38"/>
        <v/>
      </c>
      <c r="E183" s="35" t="str">
        <f t="shared" si="39"/>
        <v/>
      </c>
      <c r="F183" s="35" t="str">
        <f t="shared" si="40"/>
        <v/>
      </c>
      <c r="G183" s="33" t="str">
        <f t="shared" si="41"/>
        <v/>
      </c>
      <c r="H183" s="35" t="str">
        <f t="shared" si="42"/>
        <v/>
      </c>
      <c r="I183" s="35" t="str">
        <f t="shared" si="43"/>
        <v/>
      </c>
      <c r="J183" s="35" t="str">
        <f t="shared" si="44"/>
        <v/>
      </c>
      <c r="K183" s="35" t="str">
        <f t="shared" si="45"/>
        <v/>
      </c>
      <c r="L183" s="35" t="str">
        <f t="shared" si="46"/>
        <v/>
      </c>
      <c r="M183" s="35" t="str">
        <f t="shared" si="47"/>
        <v/>
      </c>
      <c r="N183" s="36" t="str">
        <f t="shared" si="48"/>
        <v/>
      </c>
      <c r="O183" s="35" t="str">
        <f t="shared" si="49"/>
        <v/>
      </c>
      <c r="P183" s="35" t="str">
        <f t="shared" si="50"/>
        <v/>
      </c>
      <c r="Q183" s="35" t="str">
        <f t="shared" si="51"/>
        <v/>
      </c>
      <c r="R183" s="35" t="str">
        <f t="shared" si="52"/>
        <v/>
      </c>
      <c r="S183" s="33" t="str">
        <f t="shared" si="53"/>
        <v/>
      </c>
    </row>
    <row r="184" spans="1:19" x14ac:dyDescent="0.3">
      <c r="A184" s="37">
        <f>180</f>
        <v>180</v>
      </c>
      <c r="B184" s="38" t="str">
        <f t="shared" si="36"/>
        <v/>
      </c>
      <c r="C184" s="37" t="str">
        <f t="shared" si="37"/>
        <v/>
      </c>
      <c r="D184" s="37" t="str">
        <f t="shared" si="38"/>
        <v/>
      </c>
      <c r="E184" s="39" t="str">
        <f t="shared" si="39"/>
        <v/>
      </c>
      <c r="F184" s="39" t="str">
        <f t="shared" si="40"/>
        <v/>
      </c>
      <c r="G184" s="37" t="str">
        <f t="shared" si="41"/>
        <v/>
      </c>
      <c r="H184" s="39" t="str">
        <f t="shared" si="42"/>
        <v/>
      </c>
      <c r="I184" s="39" t="str">
        <f t="shared" si="43"/>
        <v/>
      </c>
      <c r="J184" s="39" t="str">
        <f t="shared" si="44"/>
        <v/>
      </c>
      <c r="K184" s="39" t="str">
        <f t="shared" si="45"/>
        <v/>
      </c>
      <c r="L184" s="39" t="str">
        <f t="shared" si="46"/>
        <v/>
      </c>
      <c r="M184" s="39" t="str">
        <f t="shared" si="47"/>
        <v/>
      </c>
      <c r="N184" s="40" t="str">
        <f t="shared" si="48"/>
        <v/>
      </c>
      <c r="O184" s="39" t="str">
        <f t="shared" si="49"/>
        <v/>
      </c>
      <c r="P184" s="39" t="str">
        <f t="shared" si="50"/>
        <v/>
      </c>
      <c r="Q184" s="39" t="str">
        <f t="shared" si="51"/>
        <v/>
      </c>
      <c r="R184" s="39" t="str">
        <f t="shared" si="52"/>
        <v/>
      </c>
      <c r="S184" s="37" t="str">
        <f t="shared" si="53"/>
        <v/>
      </c>
    </row>
    <row r="185" spans="1:19" x14ac:dyDescent="0.3">
      <c r="A185" s="33">
        <f>181</f>
        <v>181</v>
      </c>
      <c r="B185" s="34" t="str">
        <f t="shared" si="36"/>
        <v/>
      </c>
      <c r="C185" s="33" t="str">
        <f t="shared" si="37"/>
        <v/>
      </c>
      <c r="D185" s="33" t="str">
        <f t="shared" si="38"/>
        <v/>
      </c>
      <c r="E185" s="35" t="str">
        <f t="shared" si="39"/>
        <v/>
      </c>
      <c r="F185" s="35" t="str">
        <f t="shared" si="40"/>
        <v/>
      </c>
      <c r="G185" s="33" t="str">
        <f t="shared" si="41"/>
        <v/>
      </c>
      <c r="H185" s="35" t="str">
        <f t="shared" si="42"/>
        <v/>
      </c>
      <c r="I185" s="35" t="str">
        <f t="shared" si="43"/>
        <v/>
      </c>
      <c r="J185" s="35" t="str">
        <f t="shared" si="44"/>
        <v/>
      </c>
      <c r="K185" s="35" t="str">
        <f t="shared" si="45"/>
        <v/>
      </c>
      <c r="L185" s="35" t="str">
        <f t="shared" si="46"/>
        <v/>
      </c>
      <c r="M185" s="35" t="str">
        <f t="shared" si="47"/>
        <v/>
      </c>
      <c r="N185" s="36" t="str">
        <f t="shared" si="48"/>
        <v/>
      </c>
      <c r="O185" s="35" t="str">
        <f t="shared" si="49"/>
        <v/>
      </c>
      <c r="P185" s="35" t="str">
        <f t="shared" si="50"/>
        <v/>
      </c>
      <c r="Q185" s="35" t="str">
        <f t="shared" si="51"/>
        <v/>
      </c>
      <c r="R185" s="35" t="str">
        <f t="shared" si="52"/>
        <v/>
      </c>
      <c r="S185" s="33" t="str">
        <f t="shared" si="53"/>
        <v/>
      </c>
    </row>
    <row r="186" spans="1:19" x14ac:dyDescent="0.3">
      <c r="A186" s="33">
        <f>182</f>
        <v>182</v>
      </c>
      <c r="B186" s="34" t="str">
        <f t="shared" si="36"/>
        <v/>
      </c>
      <c r="C186" s="33" t="str">
        <f t="shared" si="37"/>
        <v/>
      </c>
      <c r="D186" s="33" t="str">
        <f t="shared" si="38"/>
        <v/>
      </c>
      <c r="E186" s="35" t="str">
        <f t="shared" si="39"/>
        <v/>
      </c>
      <c r="F186" s="35" t="str">
        <f t="shared" si="40"/>
        <v/>
      </c>
      <c r="G186" s="33" t="str">
        <f t="shared" si="41"/>
        <v/>
      </c>
      <c r="H186" s="35" t="str">
        <f t="shared" si="42"/>
        <v/>
      </c>
      <c r="I186" s="35" t="str">
        <f t="shared" si="43"/>
        <v/>
      </c>
      <c r="J186" s="35" t="str">
        <f t="shared" si="44"/>
        <v/>
      </c>
      <c r="K186" s="35" t="str">
        <f t="shared" si="45"/>
        <v/>
      </c>
      <c r="L186" s="35" t="str">
        <f t="shared" si="46"/>
        <v/>
      </c>
      <c r="M186" s="35" t="str">
        <f t="shared" si="47"/>
        <v/>
      </c>
      <c r="N186" s="36" t="str">
        <f t="shared" si="48"/>
        <v/>
      </c>
      <c r="O186" s="35" t="str">
        <f t="shared" si="49"/>
        <v/>
      </c>
      <c r="P186" s="35" t="str">
        <f t="shared" si="50"/>
        <v/>
      </c>
      <c r="Q186" s="35" t="str">
        <f t="shared" si="51"/>
        <v/>
      </c>
      <c r="R186" s="35" t="str">
        <f t="shared" si="52"/>
        <v/>
      </c>
      <c r="S186" s="33" t="str">
        <f t="shared" si="53"/>
        <v/>
      </c>
    </row>
    <row r="187" spans="1:19" x14ac:dyDescent="0.3">
      <c r="A187" s="33">
        <f>183</f>
        <v>183</v>
      </c>
      <c r="B187" s="34" t="str">
        <f t="shared" si="36"/>
        <v/>
      </c>
      <c r="C187" s="33" t="str">
        <f t="shared" si="37"/>
        <v/>
      </c>
      <c r="D187" s="33" t="str">
        <f t="shared" si="38"/>
        <v/>
      </c>
      <c r="E187" s="35" t="str">
        <f t="shared" si="39"/>
        <v/>
      </c>
      <c r="F187" s="35" t="str">
        <f t="shared" si="40"/>
        <v/>
      </c>
      <c r="G187" s="33" t="str">
        <f t="shared" si="41"/>
        <v/>
      </c>
      <c r="H187" s="35" t="str">
        <f t="shared" si="42"/>
        <v/>
      </c>
      <c r="I187" s="35" t="str">
        <f t="shared" si="43"/>
        <v/>
      </c>
      <c r="J187" s="35" t="str">
        <f t="shared" si="44"/>
        <v/>
      </c>
      <c r="K187" s="35" t="str">
        <f t="shared" si="45"/>
        <v/>
      </c>
      <c r="L187" s="35" t="str">
        <f t="shared" si="46"/>
        <v/>
      </c>
      <c r="M187" s="35" t="str">
        <f t="shared" si="47"/>
        <v/>
      </c>
      <c r="N187" s="36" t="str">
        <f t="shared" si="48"/>
        <v/>
      </c>
      <c r="O187" s="35" t="str">
        <f t="shared" si="49"/>
        <v/>
      </c>
      <c r="P187" s="35" t="str">
        <f t="shared" si="50"/>
        <v/>
      </c>
      <c r="Q187" s="35" t="str">
        <f t="shared" si="51"/>
        <v/>
      </c>
      <c r="R187" s="35" t="str">
        <f t="shared" si="52"/>
        <v/>
      </c>
      <c r="S187" s="33" t="str">
        <f t="shared" si="53"/>
        <v/>
      </c>
    </row>
    <row r="188" spans="1:19" x14ac:dyDescent="0.3">
      <c r="A188" s="33">
        <f>184</f>
        <v>184</v>
      </c>
      <c r="B188" s="34" t="str">
        <f t="shared" si="36"/>
        <v/>
      </c>
      <c r="C188" s="33" t="str">
        <f t="shared" si="37"/>
        <v/>
      </c>
      <c r="D188" s="33" t="str">
        <f t="shared" si="38"/>
        <v/>
      </c>
      <c r="E188" s="35" t="str">
        <f t="shared" si="39"/>
        <v/>
      </c>
      <c r="F188" s="35" t="str">
        <f t="shared" si="40"/>
        <v/>
      </c>
      <c r="G188" s="33" t="str">
        <f t="shared" si="41"/>
        <v/>
      </c>
      <c r="H188" s="35" t="str">
        <f t="shared" si="42"/>
        <v/>
      </c>
      <c r="I188" s="35" t="str">
        <f t="shared" si="43"/>
        <v/>
      </c>
      <c r="J188" s="35" t="str">
        <f t="shared" si="44"/>
        <v/>
      </c>
      <c r="K188" s="35" t="str">
        <f t="shared" si="45"/>
        <v/>
      </c>
      <c r="L188" s="35" t="str">
        <f t="shared" si="46"/>
        <v/>
      </c>
      <c r="M188" s="35" t="str">
        <f t="shared" si="47"/>
        <v/>
      </c>
      <c r="N188" s="36" t="str">
        <f t="shared" si="48"/>
        <v/>
      </c>
      <c r="O188" s="35" t="str">
        <f t="shared" si="49"/>
        <v/>
      </c>
      <c r="P188" s="35" t="str">
        <f t="shared" si="50"/>
        <v/>
      </c>
      <c r="Q188" s="35" t="str">
        <f t="shared" si="51"/>
        <v/>
      </c>
      <c r="R188" s="35" t="str">
        <f t="shared" si="52"/>
        <v/>
      </c>
      <c r="S188" s="33" t="str">
        <f t="shared" si="53"/>
        <v/>
      </c>
    </row>
    <row r="189" spans="1:19" x14ac:dyDescent="0.3">
      <c r="A189" s="33">
        <f>185</f>
        <v>185</v>
      </c>
      <c r="B189" s="34" t="str">
        <f t="shared" si="36"/>
        <v/>
      </c>
      <c r="C189" s="33" t="str">
        <f t="shared" si="37"/>
        <v/>
      </c>
      <c r="D189" s="33" t="str">
        <f t="shared" si="38"/>
        <v/>
      </c>
      <c r="E189" s="35" t="str">
        <f t="shared" si="39"/>
        <v/>
      </c>
      <c r="F189" s="35" t="str">
        <f t="shared" si="40"/>
        <v/>
      </c>
      <c r="G189" s="33" t="str">
        <f t="shared" si="41"/>
        <v/>
      </c>
      <c r="H189" s="35" t="str">
        <f t="shared" si="42"/>
        <v/>
      </c>
      <c r="I189" s="35" t="str">
        <f t="shared" si="43"/>
        <v/>
      </c>
      <c r="J189" s="35" t="str">
        <f t="shared" si="44"/>
        <v/>
      </c>
      <c r="K189" s="35" t="str">
        <f t="shared" si="45"/>
        <v/>
      </c>
      <c r="L189" s="35" t="str">
        <f t="shared" si="46"/>
        <v/>
      </c>
      <c r="M189" s="35" t="str">
        <f t="shared" si="47"/>
        <v/>
      </c>
      <c r="N189" s="36" t="str">
        <f t="shared" si="48"/>
        <v/>
      </c>
      <c r="O189" s="35" t="str">
        <f t="shared" si="49"/>
        <v/>
      </c>
      <c r="P189" s="35" t="str">
        <f t="shared" si="50"/>
        <v/>
      </c>
      <c r="Q189" s="35" t="str">
        <f t="shared" si="51"/>
        <v/>
      </c>
      <c r="R189" s="35" t="str">
        <f t="shared" si="52"/>
        <v/>
      </c>
      <c r="S189" s="33" t="str">
        <f t="shared" si="53"/>
        <v/>
      </c>
    </row>
    <row r="190" spans="1:19" x14ac:dyDescent="0.3">
      <c r="A190" s="33">
        <f>186</f>
        <v>186</v>
      </c>
      <c r="B190" s="34" t="str">
        <f t="shared" si="36"/>
        <v/>
      </c>
      <c r="C190" s="33" t="str">
        <f t="shared" si="37"/>
        <v/>
      </c>
      <c r="D190" s="33" t="str">
        <f t="shared" si="38"/>
        <v/>
      </c>
      <c r="E190" s="35" t="str">
        <f t="shared" si="39"/>
        <v/>
      </c>
      <c r="F190" s="35" t="str">
        <f t="shared" si="40"/>
        <v/>
      </c>
      <c r="G190" s="33" t="str">
        <f t="shared" si="41"/>
        <v/>
      </c>
      <c r="H190" s="35" t="str">
        <f t="shared" si="42"/>
        <v/>
      </c>
      <c r="I190" s="35" t="str">
        <f t="shared" si="43"/>
        <v/>
      </c>
      <c r="J190" s="35" t="str">
        <f t="shared" si="44"/>
        <v/>
      </c>
      <c r="K190" s="35" t="str">
        <f t="shared" si="45"/>
        <v/>
      </c>
      <c r="L190" s="35" t="str">
        <f t="shared" si="46"/>
        <v/>
      </c>
      <c r="M190" s="35" t="str">
        <f t="shared" si="47"/>
        <v/>
      </c>
      <c r="N190" s="36" t="str">
        <f t="shared" si="48"/>
        <v/>
      </c>
      <c r="O190" s="35" t="str">
        <f t="shared" si="49"/>
        <v/>
      </c>
      <c r="P190" s="35" t="str">
        <f t="shared" si="50"/>
        <v/>
      </c>
      <c r="Q190" s="35" t="str">
        <f t="shared" si="51"/>
        <v/>
      </c>
      <c r="R190" s="35" t="str">
        <f t="shared" si="52"/>
        <v/>
      </c>
      <c r="S190" s="33" t="str">
        <f t="shared" si="53"/>
        <v/>
      </c>
    </row>
    <row r="191" spans="1:19" x14ac:dyDescent="0.3">
      <c r="A191" s="33">
        <f>187</f>
        <v>187</v>
      </c>
      <c r="B191" s="34" t="str">
        <f t="shared" si="36"/>
        <v/>
      </c>
      <c r="C191" s="33" t="str">
        <f t="shared" si="37"/>
        <v/>
      </c>
      <c r="D191" s="33" t="str">
        <f t="shared" si="38"/>
        <v/>
      </c>
      <c r="E191" s="35" t="str">
        <f t="shared" si="39"/>
        <v/>
      </c>
      <c r="F191" s="35" t="str">
        <f t="shared" si="40"/>
        <v/>
      </c>
      <c r="G191" s="33" t="str">
        <f t="shared" si="41"/>
        <v/>
      </c>
      <c r="H191" s="35" t="str">
        <f t="shared" si="42"/>
        <v/>
      </c>
      <c r="I191" s="35" t="str">
        <f t="shared" si="43"/>
        <v/>
      </c>
      <c r="J191" s="35" t="str">
        <f t="shared" si="44"/>
        <v/>
      </c>
      <c r="K191" s="35" t="str">
        <f t="shared" si="45"/>
        <v/>
      </c>
      <c r="L191" s="35" t="str">
        <f t="shared" si="46"/>
        <v/>
      </c>
      <c r="M191" s="35" t="str">
        <f t="shared" si="47"/>
        <v/>
      </c>
      <c r="N191" s="36" t="str">
        <f t="shared" si="48"/>
        <v/>
      </c>
      <c r="O191" s="35" t="str">
        <f t="shared" si="49"/>
        <v/>
      </c>
      <c r="P191" s="35" t="str">
        <f t="shared" si="50"/>
        <v/>
      </c>
      <c r="Q191" s="35" t="str">
        <f t="shared" si="51"/>
        <v/>
      </c>
      <c r="R191" s="35" t="str">
        <f t="shared" si="52"/>
        <v/>
      </c>
      <c r="S191" s="33" t="str">
        <f t="shared" si="53"/>
        <v/>
      </c>
    </row>
    <row r="192" spans="1:19" x14ac:dyDescent="0.3">
      <c r="A192" s="33">
        <f>188</f>
        <v>188</v>
      </c>
      <c r="B192" s="34" t="str">
        <f t="shared" si="36"/>
        <v/>
      </c>
      <c r="C192" s="33" t="str">
        <f t="shared" si="37"/>
        <v/>
      </c>
      <c r="D192" s="33" t="str">
        <f t="shared" si="38"/>
        <v/>
      </c>
      <c r="E192" s="35" t="str">
        <f t="shared" si="39"/>
        <v/>
      </c>
      <c r="F192" s="35" t="str">
        <f t="shared" si="40"/>
        <v/>
      </c>
      <c r="G192" s="33" t="str">
        <f t="shared" si="41"/>
        <v/>
      </c>
      <c r="H192" s="35" t="str">
        <f t="shared" si="42"/>
        <v/>
      </c>
      <c r="I192" s="35" t="str">
        <f t="shared" si="43"/>
        <v/>
      </c>
      <c r="J192" s="35" t="str">
        <f t="shared" si="44"/>
        <v/>
      </c>
      <c r="K192" s="35" t="str">
        <f t="shared" si="45"/>
        <v/>
      </c>
      <c r="L192" s="35" t="str">
        <f t="shared" si="46"/>
        <v/>
      </c>
      <c r="M192" s="35" t="str">
        <f t="shared" si="47"/>
        <v/>
      </c>
      <c r="N192" s="36" t="str">
        <f t="shared" si="48"/>
        <v/>
      </c>
      <c r="O192" s="35" t="str">
        <f t="shared" si="49"/>
        <v/>
      </c>
      <c r="P192" s="35" t="str">
        <f t="shared" si="50"/>
        <v/>
      </c>
      <c r="Q192" s="35" t="str">
        <f t="shared" si="51"/>
        <v/>
      </c>
      <c r="R192" s="35" t="str">
        <f t="shared" si="52"/>
        <v/>
      </c>
      <c r="S192" s="33" t="str">
        <f t="shared" si="53"/>
        <v/>
      </c>
    </row>
    <row r="193" spans="1:19" x14ac:dyDescent="0.3">
      <c r="A193" s="33">
        <f>189</f>
        <v>189</v>
      </c>
      <c r="B193" s="34" t="str">
        <f t="shared" si="36"/>
        <v/>
      </c>
      <c r="C193" s="33" t="str">
        <f t="shared" si="37"/>
        <v/>
      </c>
      <c r="D193" s="33" t="str">
        <f t="shared" si="38"/>
        <v/>
      </c>
      <c r="E193" s="35" t="str">
        <f t="shared" si="39"/>
        <v/>
      </c>
      <c r="F193" s="35" t="str">
        <f t="shared" si="40"/>
        <v/>
      </c>
      <c r="G193" s="33" t="str">
        <f t="shared" si="41"/>
        <v/>
      </c>
      <c r="H193" s="35" t="str">
        <f t="shared" si="42"/>
        <v/>
      </c>
      <c r="I193" s="35" t="str">
        <f t="shared" si="43"/>
        <v/>
      </c>
      <c r="J193" s="35" t="str">
        <f t="shared" si="44"/>
        <v/>
      </c>
      <c r="K193" s="35" t="str">
        <f t="shared" si="45"/>
        <v/>
      </c>
      <c r="L193" s="35" t="str">
        <f t="shared" si="46"/>
        <v/>
      </c>
      <c r="M193" s="35" t="str">
        <f t="shared" si="47"/>
        <v/>
      </c>
      <c r="N193" s="36" t="str">
        <f t="shared" si="48"/>
        <v/>
      </c>
      <c r="O193" s="35" t="str">
        <f t="shared" si="49"/>
        <v/>
      </c>
      <c r="P193" s="35" t="str">
        <f t="shared" si="50"/>
        <v/>
      </c>
      <c r="Q193" s="35" t="str">
        <f t="shared" si="51"/>
        <v/>
      </c>
      <c r="R193" s="35" t="str">
        <f t="shared" si="52"/>
        <v/>
      </c>
      <c r="S193" s="33" t="str">
        <f t="shared" si="53"/>
        <v/>
      </c>
    </row>
    <row r="194" spans="1:19" x14ac:dyDescent="0.3">
      <c r="A194" s="33">
        <f>190</f>
        <v>190</v>
      </c>
      <c r="B194" s="34" t="str">
        <f t="shared" si="36"/>
        <v/>
      </c>
      <c r="C194" s="33" t="str">
        <f t="shared" si="37"/>
        <v/>
      </c>
      <c r="D194" s="33" t="str">
        <f t="shared" si="38"/>
        <v/>
      </c>
      <c r="E194" s="35" t="str">
        <f t="shared" si="39"/>
        <v/>
      </c>
      <c r="F194" s="35" t="str">
        <f t="shared" si="40"/>
        <v/>
      </c>
      <c r="G194" s="33" t="str">
        <f t="shared" si="41"/>
        <v/>
      </c>
      <c r="H194" s="35" t="str">
        <f t="shared" si="42"/>
        <v/>
      </c>
      <c r="I194" s="35" t="str">
        <f t="shared" si="43"/>
        <v/>
      </c>
      <c r="J194" s="35" t="str">
        <f t="shared" si="44"/>
        <v/>
      </c>
      <c r="K194" s="35" t="str">
        <f t="shared" si="45"/>
        <v/>
      </c>
      <c r="L194" s="35" t="str">
        <f t="shared" si="46"/>
        <v/>
      </c>
      <c r="M194" s="35" t="str">
        <f t="shared" si="47"/>
        <v/>
      </c>
      <c r="N194" s="36" t="str">
        <f t="shared" si="48"/>
        <v/>
      </c>
      <c r="O194" s="35" t="str">
        <f t="shared" si="49"/>
        <v/>
      </c>
      <c r="P194" s="35" t="str">
        <f t="shared" si="50"/>
        <v/>
      </c>
      <c r="Q194" s="35" t="str">
        <f t="shared" si="51"/>
        <v/>
      </c>
      <c r="R194" s="35" t="str">
        <f t="shared" si="52"/>
        <v/>
      </c>
      <c r="S194" s="33" t="str">
        <f t="shared" si="53"/>
        <v/>
      </c>
    </row>
    <row r="195" spans="1:19" x14ac:dyDescent="0.3">
      <c r="A195" s="33">
        <f>191</f>
        <v>191</v>
      </c>
      <c r="B195" s="34" t="str">
        <f t="shared" si="36"/>
        <v/>
      </c>
      <c r="C195" s="33" t="str">
        <f t="shared" si="37"/>
        <v/>
      </c>
      <c r="D195" s="33" t="str">
        <f t="shared" si="38"/>
        <v/>
      </c>
      <c r="E195" s="35" t="str">
        <f t="shared" si="39"/>
        <v/>
      </c>
      <c r="F195" s="35" t="str">
        <f t="shared" si="40"/>
        <v/>
      </c>
      <c r="G195" s="33" t="str">
        <f t="shared" si="41"/>
        <v/>
      </c>
      <c r="H195" s="35" t="str">
        <f t="shared" si="42"/>
        <v/>
      </c>
      <c r="I195" s="35" t="str">
        <f t="shared" si="43"/>
        <v/>
      </c>
      <c r="J195" s="35" t="str">
        <f t="shared" si="44"/>
        <v/>
      </c>
      <c r="K195" s="35" t="str">
        <f t="shared" si="45"/>
        <v/>
      </c>
      <c r="L195" s="35" t="str">
        <f t="shared" si="46"/>
        <v/>
      </c>
      <c r="M195" s="35" t="str">
        <f t="shared" si="47"/>
        <v/>
      </c>
      <c r="N195" s="36" t="str">
        <f t="shared" si="48"/>
        <v/>
      </c>
      <c r="O195" s="35" t="str">
        <f t="shared" si="49"/>
        <v/>
      </c>
      <c r="P195" s="35" t="str">
        <f t="shared" si="50"/>
        <v/>
      </c>
      <c r="Q195" s="35" t="str">
        <f t="shared" si="51"/>
        <v/>
      </c>
      <c r="R195" s="35" t="str">
        <f t="shared" si="52"/>
        <v/>
      </c>
      <c r="S195" s="33" t="str">
        <f t="shared" si="53"/>
        <v/>
      </c>
    </row>
    <row r="196" spans="1:19" x14ac:dyDescent="0.3">
      <c r="A196" s="37">
        <f>192</f>
        <v>192</v>
      </c>
      <c r="B196" s="38" t="str">
        <f t="shared" si="36"/>
        <v/>
      </c>
      <c r="C196" s="37" t="str">
        <f t="shared" si="37"/>
        <v/>
      </c>
      <c r="D196" s="37" t="str">
        <f t="shared" si="38"/>
        <v/>
      </c>
      <c r="E196" s="39" t="str">
        <f t="shared" si="39"/>
        <v/>
      </c>
      <c r="F196" s="39" t="str">
        <f t="shared" si="40"/>
        <v/>
      </c>
      <c r="G196" s="37" t="str">
        <f t="shared" si="41"/>
        <v/>
      </c>
      <c r="H196" s="39" t="str">
        <f t="shared" si="42"/>
        <v/>
      </c>
      <c r="I196" s="39" t="str">
        <f t="shared" si="43"/>
        <v/>
      </c>
      <c r="J196" s="39" t="str">
        <f t="shared" si="44"/>
        <v/>
      </c>
      <c r="K196" s="39" t="str">
        <f t="shared" si="45"/>
        <v/>
      </c>
      <c r="L196" s="39" t="str">
        <f t="shared" si="46"/>
        <v/>
      </c>
      <c r="M196" s="39" t="str">
        <f t="shared" si="47"/>
        <v/>
      </c>
      <c r="N196" s="40" t="str">
        <f t="shared" si="48"/>
        <v/>
      </c>
      <c r="O196" s="39" t="str">
        <f t="shared" si="49"/>
        <v/>
      </c>
      <c r="P196" s="39" t="str">
        <f t="shared" si="50"/>
        <v/>
      </c>
      <c r="Q196" s="39" t="str">
        <f t="shared" si="51"/>
        <v/>
      </c>
      <c r="R196" s="39" t="str">
        <f t="shared" si="52"/>
        <v/>
      </c>
      <c r="S196" s="37" t="str">
        <f t="shared" si="53"/>
        <v/>
      </c>
    </row>
    <row r="197" spans="1:19" x14ac:dyDescent="0.3">
      <c r="A197" s="33">
        <f>193</f>
        <v>193</v>
      </c>
      <c r="B197" s="34" t="str">
        <f t="shared" ref="B197:B260" si="54">IF($A197&gt;NYears*12,"",EDATE(StartMonth,$A197-1))</f>
        <v/>
      </c>
      <c r="C197" s="33" t="str">
        <f t="shared" ref="C197:C260" si="55">IF($A197&gt;NYears*12,"",INT(($A197-1)/12)+1)</f>
        <v/>
      </c>
      <c r="D197" s="33" t="str">
        <f t="shared" ref="D197:D260" si="56">IF($A197&gt;NYears*12,"",MOD($A197-1,12)+1)</f>
        <v/>
      </c>
      <c r="E197" s="35" t="str">
        <f t="shared" ref="E197:E260" si="57">IF($A197&gt;NYears*12,"",LotValue0*(1+LotGrowth)^($C197-1))</f>
        <v/>
      </c>
      <c r="F197" s="35" t="str">
        <f t="shared" ref="F197:F260" si="58">IF($A197&gt;NYears*12,"",IF($A197=1,InitInvest,$R196))</f>
        <v/>
      </c>
      <c r="G197" s="33" t="str">
        <f t="shared" ref="G197:G260" si="59">IF($A197&gt;NYears*12,"",INT($F197/$E197))</f>
        <v/>
      </c>
      <c r="H197" s="35" t="str">
        <f t="shared" ref="H197:H260" si="60">IF($A197&gt;NYears*12,"",$G197*$E197)</f>
        <v/>
      </c>
      <c r="I197" s="35" t="str">
        <f t="shared" ref="I197:I260" si="61">IF($A197&gt;NYears*12,"",$F197-$H197)</f>
        <v/>
      </c>
      <c r="J197" s="35" t="str">
        <f t="shared" ref="J197:J260" si="62">IF($A197&gt;NYears*12,"",$H197*RateC)</f>
        <v/>
      </c>
      <c r="K197" s="35" t="str">
        <f t="shared" ref="K197:K260" si="63">IF($A197&gt;NYears*12,"",IF($D197=1,$J197,$K196+$J197))</f>
        <v/>
      </c>
      <c r="L197" s="35" t="str">
        <f t="shared" ref="L197:L260" si="64">IF($A197&gt;NYears*12,"",IF(MOD($D197,3)=0,SUM($J195:$J197),0))</f>
        <v/>
      </c>
      <c r="M197" s="35" t="str">
        <f t="shared" ref="M197:M260" si="65">IF($A197&gt;NYears*12,"",IF(TaxFreq="Quarterly",$K197*12/$D197,$K197))</f>
        <v/>
      </c>
      <c r="N197" s="36" t="str">
        <f t="shared" ref="N197:N260" si="66">IF($A197&gt;NYears*12,"",LOOKUP($M197,TaxLower,TaxRate))</f>
        <v/>
      </c>
      <c r="O197" s="35" t="str">
        <f t="shared" ref="O197:O260" si="67">IF($A197&gt;NYears*12,"",IF(TaxFreq="Quarterly",IF(MOD($D197,3)=0,$L197*$N197,0),IF($D197=12,$K197*$N197,0)))</f>
        <v/>
      </c>
      <c r="P197" s="35" t="str">
        <f t="shared" ref="P197:P260" si="68">IF($A197&gt;NYears*12,"",IF($D197=1,$O197,$P196+$O197))</f>
        <v/>
      </c>
      <c r="Q197" s="35" t="str">
        <f t="shared" ref="Q197:Q260" si="69">IF($A197&gt;NYears*12,"",IF($D197=12,MIN(WdrPct*IF(WdrBase="Post-tax profit",$K197-$P197,$K197),WdrCap),0))</f>
        <v/>
      </c>
      <c r="R197" s="35" t="str">
        <f t="shared" ref="R197:R260" si="70">IF($A197&gt;NYears*12,"",$F197+$J197-$O197-$Q197)</f>
        <v/>
      </c>
      <c r="S197" s="33" t="str">
        <f t="shared" ref="S197:S260" si="71">IF($A197&gt;NYears*12,"",INT($R197/$E197))</f>
        <v/>
      </c>
    </row>
    <row r="198" spans="1:19" x14ac:dyDescent="0.3">
      <c r="A198" s="33">
        <f>194</f>
        <v>194</v>
      </c>
      <c r="B198" s="34" t="str">
        <f t="shared" si="54"/>
        <v/>
      </c>
      <c r="C198" s="33" t="str">
        <f t="shared" si="55"/>
        <v/>
      </c>
      <c r="D198" s="33" t="str">
        <f t="shared" si="56"/>
        <v/>
      </c>
      <c r="E198" s="35" t="str">
        <f t="shared" si="57"/>
        <v/>
      </c>
      <c r="F198" s="35" t="str">
        <f t="shared" si="58"/>
        <v/>
      </c>
      <c r="G198" s="33" t="str">
        <f t="shared" si="59"/>
        <v/>
      </c>
      <c r="H198" s="35" t="str">
        <f t="shared" si="60"/>
        <v/>
      </c>
      <c r="I198" s="35" t="str">
        <f t="shared" si="61"/>
        <v/>
      </c>
      <c r="J198" s="35" t="str">
        <f t="shared" si="62"/>
        <v/>
      </c>
      <c r="K198" s="35" t="str">
        <f t="shared" si="63"/>
        <v/>
      </c>
      <c r="L198" s="35" t="str">
        <f t="shared" si="64"/>
        <v/>
      </c>
      <c r="M198" s="35" t="str">
        <f t="shared" si="65"/>
        <v/>
      </c>
      <c r="N198" s="36" t="str">
        <f t="shared" si="66"/>
        <v/>
      </c>
      <c r="O198" s="35" t="str">
        <f t="shared" si="67"/>
        <v/>
      </c>
      <c r="P198" s="35" t="str">
        <f t="shared" si="68"/>
        <v/>
      </c>
      <c r="Q198" s="35" t="str">
        <f t="shared" si="69"/>
        <v/>
      </c>
      <c r="R198" s="35" t="str">
        <f t="shared" si="70"/>
        <v/>
      </c>
      <c r="S198" s="33" t="str">
        <f t="shared" si="71"/>
        <v/>
      </c>
    </row>
    <row r="199" spans="1:19" x14ac:dyDescent="0.3">
      <c r="A199" s="33">
        <f>195</f>
        <v>195</v>
      </c>
      <c r="B199" s="34" t="str">
        <f t="shared" si="54"/>
        <v/>
      </c>
      <c r="C199" s="33" t="str">
        <f t="shared" si="55"/>
        <v/>
      </c>
      <c r="D199" s="33" t="str">
        <f t="shared" si="56"/>
        <v/>
      </c>
      <c r="E199" s="35" t="str">
        <f t="shared" si="57"/>
        <v/>
      </c>
      <c r="F199" s="35" t="str">
        <f t="shared" si="58"/>
        <v/>
      </c>
      <c r="G199" s="33" t="str">
        <f t="shared" si="59"/>
        <v/>
      </c>
      <c r="H199" s="35" t="str">
        <f t="shared" si="60"/>
        <v/>
      </c>
      <c r="I199" s="35" t="str">
        <f t="shared" si="61"/>
        <v/>
      </c>
      <c r="J199" s="35" t="str">
        <f t="shared" si="62"/>
        <v/>
      </c>
      <c r="K199" s="35" t="str">
        <f t="shared" si="63"/>
        <v/>
      </c>
      <c r="L199" s="35" t="str">
        <f t="shared" si="64"/>
        <v/>
      </c>
      <c r="M199" s="35" t="str">
        <f t="shared" si="65"/>
        <v/>
      </c>
      <c r="N199" s="36" t="str">
        <f t="shared" si="66"/>
        <v/>
      </c>
      <c r="O199" s="35" t="str">
        <f t="shared" si="67"/>
        <v/>
      </c>
      <c r="P199" s="35" t="str">
        <f t="shared" si="68"/>
        <v/>
      </c>
      <c r="Q199" s="35" t="str">
        <f t="shared" si="69"/>
        <v/>
      </c>
      <c r="R199" s="35" t="str">
        <f t="shared" si="70"/>
        <v/>
      </c>
      <c r="S199" s="33" t="str">
        <f t="shared" si="71"/>
        <v/>
      </c>
    </row>
    <row r="200" spans="1:19" x14ac:dyDescent="0.3">
      <c r="A200" s="33">
        <f>196</f>
        <v>196</v>
      </c>
      <c r="B200" s="34" t="str">
        <f t="shared" si="54"/>
        <v/>
      </c>
      <c r="C200" s="33" t="str">
        <f t="shared" si="55"/>
        <v/>
      </c>
      <c r="D200" s="33" t="str">
        <f t="shared" si="56"/>
        <v/>
      </c>
      <c r="E200" s="35" t="str">
        <f t="shared" si="57"/>
        <v/>
      </c>
      <c r="F200" s="35" t="str">
        <f t="shared" si="58"/>
        <v/>
      </c>
      <c r="G200" s="33" t="str">
        <f t="shared" si="59"/>
        <v/>
      </c>
      <c r="H200" s="35" t="str">
        <f t="shared" si="60"/>
        <v/>
      </c>
      <c r="I200" s="35" t="str">
        <f t="shared" si="61"/>
        <v/>
      </c>
      <c r="J200" s="35" t="str">
        <f t="shared" si="62"/>
        <v/>
      </c>
      <c r="K200" s="35" t="str">
        <f t="shared" si="63"/>
        <v/>
      </c>
      <c r="L200" s="35" t="str">
        <f t="shared" si="64"/>
        <v/>
      </c>
      <c r="M200" s="35" t="str">
        <f t="shared" si="65"/>
        <v/>
      </c>
      <c r="N200" s="36" t="str">
        <f t="shared" si="66"/>
        <v/>
      </c>
      <c r="O200" s="35" t="str">
        <f t="shared" si="67"/>
        <v/>
      </c>
      <c r="P200" s="35" t="str">
        <f t="shared" si="68"/>
        <v/>
      </c>
      <c r="Q200" s="35" t="str">
        <f t="shared" si="69"/>
        <v/>
      </c>
      <c r="R200" s="35" t="str">
        <f t="shared" si="70"/>
        <v/>
      </c>
      <c r="S200" s="33" t="str">
        <f t="shared" si="71"/>
        <v/>
      </c>
    </row>
    <row r="201" spans="1:19" x14ac:dyDescent="0.3">
      <c r="A201" s="33">
        <f>197</f>
        <v>197</v>
      </c>
      <c r="B201" s="34" t="str">
        <f t="shared" si="54"/>
        <v/>
      </c>
      <c r="C201" s="33" t="str">
        <f t="shared" si="55"/>
        <v/>
      </c>
      <c r="D201" s="33" t="str">
        <f t="shared" si="56"/>
        <v/>
      </c>
      <c r="E201" s="35" t="str">
        <f t="shared" si="57"/>
        <v/>
      </c>
      <c r="F201" s="35" t="str">
        <f t="shared" si="58"/>
        <v/>
      </c>
      <c r="G201" s="33" t="str">
        <f t="shared" si="59"/>
        <v/>
      </c>
      <c r="H201" s="35" t="str">
        <f t="shared" si="60"/>
        <v/>
      </c>
      <c r="I201" s="35" t="str">
        <f t="shared" si="61"/>
        <v/>
      </c>
      <c r="J201" s="35" t="str">
        <f t="shared" si="62"/>
        <v/>
      </c>
      <c r="K201" s="35" t="str">
        <f t="shared" si="63"/>
        <v/>
      </c>
      <c r="L201" s="35" t="str">
        <f t="shared" si="64"/>
        <v/>
      </c>
      <c r="M201" s="35" t="str">
        <f t="shared" si="65"/>
        <v/>
      </c>
      <c r="N201" s="36" t="str">
        <f t="shared" si="66"/>
        <v/>
      </c>
      <c r="O201" s="35" t="str">
        <f t="shared" si="67"/>
        <v/>
      </c>
      <c r="P201" s="35" t="str">
        <f t="shared" si="68"/>
        <v/>
      </c>
      <c r="Q201" s="35" t="str">
        <f t="shared" si="69"/>
        <v/>
      </c>
      <c r="R201" s="35" t="str">
        <f t="shared" si="70"/>
        <v/>
      </c>
      <c r="S201" s="33" t="str">
        <f t="shared" si="71"/>
        <v/>
      </c>
    </row>
    <row r="202" spans="1:19" x14ac:dyDescent="0.3">
      <c r="A202" s="33">
        <f>198</f>
        <v>198</v>
      </c>
      <c r="B202" s="34" t="str">
        <f t="shared" si="54"/>
        <v/>
      </c>
      <c r="C202" s="33" t="str">
        <f t="shared" si="55"/>
        <v/>
      </c>
      <c r="D202" s="33" t="str">
        <f t="shared" si="56"/>
        <v/>
      </c>
      <c r="E202" s="35" t="str">
        <f t="shared" si="57"/>
        <v/>
      </c>
      <c r="F202" s="35" t="str">
        <f t="shared" si="58"/>
        <v/>
      </c>
      <c r="G202" s="33" t="str">
        <f t="shared" si="59"/>
        <v/>
      </c>
      <c r="H202" s="35" t="str">
        <f t="shared" si="60"/>
        <v/>
      </c>
      <c r="I202" s="35" t="str">
        <f t="shared" si="61"/>
        <v/>
      </c>
      <c r="J202" s="35" t="str">
        <f t="shared" si="62"/>
        <v/>
      </c>
      <c r="K202" s="35" t="str">
        <f t="shared" si="63"/>
        <v/>
      </c>
      <c r="L202" s="35" t="str">
        <f t="shared" si="64"/>
        <v/>
      </c>
      <c r="M202" s="35" t="str">
        <f t="shared" si="65"/>
        <v/>
      </c>
      <c r="N202" s="36" t="str">
        <f t="shared" si="66"/>
        <v/>
      </c>
      <c r="O202" s="35" t="str">
        <f t="shared" si="67"/>
        <v/>
      </c>
      <c r="P202" s="35" t="str">
        <f t="shared" si="68"/>
        <v/>
      </c>
      <c r="Q202" s="35" t="str">
        <f t="shared" si="69"/>
        <v/>
      </c>
      <c r="R202" s="35" t="str">
        <f t="shared" si="70"/>
        <v/>
      </c>
      <c r="S202" s="33" t="str">
        <f t="shared" si="71"/>
        <v/>
      </c>
    </row>
    <row r="203" spans="1:19" x14ac:dyDescent="0.3">
      <c r="A203" s="33">
        <f>199</f>
        <v>199</v>
      </c>
      <c r="B203" s="34" t="str">
        <f t="shared" si="54"/>
        <v/>
      </c>
      <c r="C203" s="33" t="str">
        <f t="shared" si="55"/>
        <v/>
      </c>
      <c r="D203" s="33" t="str">
        <f t="shared" si="56"/>
        <v/>
      </c>
      <c r="E203" s="35" t="str">
        <f t="shared" si="57"/>
        <v/>
      </c>
      <c r="F203" s="35" t="str">
        <f t="shared" si="58"/>
        <v/>
      </c>
      <c r="G203" s="33" t="str">
        <f t="shared" si="59"/>
        <v/>
      </c>
      <c r="H203" s="35" t="str">
        <f t="shared" si="60"/>
        <v/>
      </c>
      <c r="I203" s="35" t="str">
        <f t="shared" si="61"/>
        <v/>
      </c>
      <c r="J203" s="35" t="str">
        <f t="shared" si="62"/>
        <v/>
      </c>
      <c r="K203" s="35" t="str">
        <f t="shared" si="63"/>
        <v/>
      </c>
      <c r="L203" s="35" t="str">
        <f t="shared" si="64"/>
        <v/>
      </c>
      <c r="M203" s="35" t="str">
        <f t="shared" si="65"/>
        <v/>
      </c>
      <c r="N203" s="36" t="str">
        <f t="shared" si="66"/>
        <v/>
      </c>
      <c r="O203" s="35" t="str">
        <f t="shared" si="67"/>
        <v/>
      </c>
      <c r="P203" s="35" t="str">
        <f t="shared" si="68"/>
        <v/>
      </c>
      <c r="Q203" s="35" t="str">
        <f t="shared" si="69"/>
        <v/>
      </c>
      <c r="R203" s="35" t="str">
        <f t="shared" si="70"/>
        <v/>
      </c>
      <c r="S203" s="33" t="str">
        <f t="shared" si="71"/>
        <v/>
      </c>
    </row>
    <row r="204" spans="1:19" x14ac:dyDescent="0.3">
      <c r="A204" s="33">
        <f>200</f>
        <v>200</v>
      </c>
      <c r="B204" s="34" t="str">
        <f t="shared" si="54"/>
        <v/>
      </c>
      <c r="C204" s="33" t="str">
        <f t="shared" si="55"/>
        <v/>
      </c>
      <c r="D204" s="33" t="str">
        <f t="shared" si="56"/>
        <v/>
      </c>
      <c r="E204" s="35" t="str">
        <f t="shared" si="57"/>
        <v/>
      </c>
      <c r="F204" s="35" t="str">
        <f t="shared" si="58"/>
        <v/>
      </c>
      <c r="G204" s="33" t="str">
        <f t="shared" si="59"/>
        <v/>
      </c>
      <c r="H204" s="35" t="str">
        <f t="shared" si="60"/>
        <v/>
      </c>
      <c r="I204" s="35" t="str">
        <f t="shared" si="61"/>
        <v/>
      </c>
      <c r="J204" s="35" t="str">
        <f t="shared" si="62"/>
        <v/>
      </c>
      <c r="K204" s="35" t="str">
        <f t="shared" si="63"/>
        <v/>
      </c>
      <c r="L204" s="35" t="str">
        <f t="shared" si="64"/>
        <v/>
      </c>
      <c r="M204" s="35" t="str">
        <f t="shared" si="65"/>
        <v/>
      </c>
      <c r="N204" s="36" t="str">
        <f t="shared" si="66"/>
        <v/>
      </c>
      <c r="O204" s="35" t="str">
        <f t="shared" si="67"/>
        <v/>
      </c>
      <c r="P204" s="35" t="str">
        <f t="shared" si="68"/>
        <v/>
      </c>
      <c r="Q204" s="35" t="str">
        <f t="shared" si="69"/>
        <v/>
      </c>
      <c r="R204" s="35" t="str">
        <f t="shared" si="70"/>
        <v/>
      </c>
      <c r="S204" s="33" t="str">
        <f t="shared" si="71"/>
        <v/>
      </c>
    </row>
    <row r="205" spans="1:19" x14ac:dyDescent="0.3">
      <c r="A205" s="33">
        <f>201</f>
        <v>201</v>
      </c>
      <c r="B205" s="34" t="str">
        <f t="shared" si="54"/>
        <v/>
      </c>
      <c r="C205" s="33" t="str">
        <f t="shared" si="55"/>
        <v/>
      </c>
      <c r="D205" s="33" t="str">
        <f t="shared" si="56"/>
        <v/>
      </c>
      <c r="E205" s="35" t="str">
        <f t="shared" si="57"/>
        <v/>
      </c>
      <c r="F205" s="35" t="str">
        <f t="shared" si="58"/>
        <v/>
      </c>
      <c r="G205" s="33" t="str">
        <f t="shared" si="59"/>
        <v/>
      </c>
      <c r="H205" s="35" t="str">
        <f t="shared" si="60"/>
        <v/>
      </c>
      <c r="I205" s="35" t="str">
        <f t="shared" si="61"/>
        <v/>
      </c>
      <c r="J205" s="35" t="str">
        <f t="shared" si="62"/>
        <v/>
      </c>
      <c r="K205" s="35" t="str">
        <f t="shared" si="63"/>
        <v/>
      </c>
      <c r="L205" s="35" t="str">
        <f t="shared" si="64"/>
        <v/>
      </c>
      <c r="M205" s="35" t="str">
        <f t="shared" si="65"/>
        <v/>
      </c>
      <c r="N205" s="36" t="str">
        <f t="shared" si="66"/>
        <v/>
      </c>
      <c r="O205" s="35" t="str">
        <f t="shared" si="67"/>
        <v/>
      </c>
      <c r="P205" s="35" t="str">
        <f t="shared" si="68"/>
        <v/>
      </c>
      <c r="Q205" s="35" t="str">
        <f t="shared" si="69"/>
        <v/>
      </c>
      <c r="R205" s="35" t="str">
        <f t="shared" si="70"/>
        <v/>
      </c>
      <c r="S205" s="33" t="str">
        <f t="shared" si="71"/>
        <v/>
      </c>
    </row>
    <row r="206" spans="1:19" x14ac:dyDescent="0.3">
      <c r="A206" s="33">
        <f>202</f>
        <v>202</v>
      </c>
      <c r="B206" s="34" t="str">
        <f t="shared" si="54"/>
        <v/>
      </c>
      <c r="C206" s="33" t="str">
        <f t="shared" si="55"/>
        <v/>
      </c>
      <c r="D206" s="33" t="str">
        <f t="shared" si="56"/>
        <v/>
      </c>
      <c r="E206" s="35" t="str">
        <f t="shared" si="57"/>
        <v/>
      </c>
      <c r="F206" s="35" t="str">
        <f t="shared" si="58"/>
        <v/>
      </c>
      <c r="G206" s="33" t="str">
        <f t="shared" si="59"/>
        <v/>
      </c>
      <c r="H206" s="35" t="str">
        <f t="shared" si="60"/>
        <v/>
      </c>
      <c r="I206" s="35" t="str">
        <f t="shared" si="61"/>
        <v/>
      </c>
      <c r="J206" s="35" t="str">
        <f t="shared" si="62"/>
        <v/>
      </c>
      <c r="K206" s="35" t="str">
        <f t="shared" si="63"/>
        <v/>
      </c>
      <c r="L206" s="35" t="str">
        <f t="shared" si="64"/>
        <v/>
      </c>
      <c r="M206" s="35" t="str">
        <f t="shared" si="65"/>
        <v/>
      </c>
      <c r="N206" s="36" t="str">
        <f t="shared" si="66"/>
        <v/>
      </c>
      <c r="O206" s="35" t="str">
        <f t="shared" si="67"/>
        <v/>
      </c>
      <c r="P206" s="35" t="str">
        <f t="shared" si="68"/>
        <v/>
      </c>
      <c r="Q206" s="35" t="str">
        <f t="shared" si="69"/>
        <v/>
      </c>
      <c r="R206" s="35" t="str">
        <f t="shared" si="70"/>
        <v/>
      </c>
      <c r="S206" s="33" t="str">
        <f t="shared" si="71"/>
        <v/>
      </c>
    </row>
    <row r="207" spans="1:19" x14ac:dyDescent="0.3">
      <c r="A207" s="33">
        <f>203</f>
        <v>203</v>
      </c>
      <c r="B207" s="34" t="str">
        <f t="shared" si="54"/>
        <v/>
      </c>
      <c r="C207" s="33" t="str">
        <f t="shared" si="55"/>
        <v/>
      </c>
      <c r="D207" s="33" t="str">
        <f t="shared" si="56"/>
        <v/>
      </c>
      <c r="E207" s="35" t="str">
        <f t="shared" si="57"/>
        <v/>
      </c>
      <c r="F207" s="35" t="str">
        <f t="shared" si="58"/>
        <v/>
      </c>
      <c r="G207" s="33" t="str">
        <f t="shared" si="59"/>
        <v/>
      </c>
      <c r="H207" s="35" t="str">
        <f t="shared" si="60"/>
        <v/>
      </c>
      <c r="I207" s="35" t="str">
        <f t="shared" si="61"/>
        <v/>
      </c>
      <c r="J207" s="35" t="str">
        <f t="shared" si="62"/>
        <v/>
      </c>
      <c r="K207" s="35" t="str">
        <f t="shared" si="63"/>
        <v/>
      </c>
      <c r="L207" s="35" t="str">
        <f t="shared" si="64"/>
        <v/>
      </c>
      <c r="M207" s="35" t="str">
        <f t="shared" si="65"/>
        <v/>
      </c>
      <c r="N207" s="36" t="str">
        <f t="shared" si="66"/>
        <v/>
      </c>
      <c r="O207" s="35" t="str">
        <f t="shared" si="67"/>
        <v/>
      </c>
      <c r="P207" s="35" t="str">
        <f t="shared" si="68"/>
        <v/>
      </c>
      <c r="Q207" s="35" t="str">
        <f t="shared" si="69"/>
        <v/>
      </c>
      <c r="R207" s="35" t="str">
        <f t="shared" si="70"/>
        <v/>
      </c>
      <c r="S207" s="33" t="str">
        <f t="shared" si="71"/>
        <v/>
      </c>
    </row>
    <row r="208" spans="1:19" x14ac:dyDescent="0.3">
      <c r="A208" s="37">
        <f>204</f>
        <v>204</v>
      </c>
      <c r="B208" s="38" t="str">
        <f t="shared" si="54"/>
        <v/>
      </c>
      <c r="C208" s="37" t="str">
        <f t="shared" si="55"/>
        <v/>
      </c>
      <c r="D208" s="37" t="str">
        <f t="shared" si="56"/>
        <v/>
      </c>
      <c r="E208" s="39" t="str">
        <f t="shared" si="57"/>
        <v/>
      </c>
      <c r="F208" s="39" t="str">
        <f t="shared" si="58"/>
        <v/>
      </c>
      <c r="G208" s="37" t="str">
        <f t="shared" si="59"/>
        <v/>
      </c>
      <c r="H208" s="39" t="str">
        <f t="shared" si="60"/>
        <v/>
      </c>
      <c r="I208" s="39" t="str">
        <f t="shared" si="61"/>
        <v/>
      </c>
      <c r="J208" s="39" t="str">
        <f t="shared" si="62"/>
        <v/>
      </c>
      <c r="K208" s="39" t="str">
        <f t="shared" si="63"/>
        <v/>
      </c>
      <c r="L208" s="39" t="str">
        <f t="shared" si="64"/>
        <v/>
      </c>
      <c r="M208" s="39" t="str">
        <f t="shared" si="65"/>
        <v/>
      </c>
      <c r="N208" s="40" t="str">
        <f t="shared" si="66"/>
        <v/>
      </c>
      <c r="O208" s="39" t="str">
        <f t="shared" si="67"/>
        <v/>
      </c>
      <c r="P208" s="39" t="str">
        <f t="shared" si="68"/>
        <v/>
      </c>
      <c r="Q208" s="39" t="str">
        <f t="shared" si="69"/>
        <v/>
      </c>
      <c r="R208" s="39" t="str">
        <f t="shared" si="70"/>
        <v/>
      </c>
      <c r="S208" s="37" t="str">
        <f t="shared" si="71"/>
        <v/>
      </c>
    </row>
    <row r="209" spans="1:19" x14ac:dyDescent="0.3">
      <c r="A209" s="33">
        <f>205</f>
        <v>205</v>
      </c>
      <c r="B209" s="34" t="str">
        <f t="shared" si="54"/>
        <v/>
      </c>
      <c r="C209" s="33" t="str">
        <f t="shared" si="55"/>
        <v/>
      </c>
      <c r="D209" s="33" t="str">
        <f t="shared" si="56"/>
        <v/>
      </c>
      <c r="E209" s="35" t="str">
        <f t="shared" si="57"/>
        <v/>
      </c>
      <c r="F209" s="35" t="str">
        <f t="shared" si="58"/>
        <v/>
      </c>
      <c r="G209" s="33" t="str">
        <f t="shared" si="59"/>
        <v/>
      </c>
      <c r="H209" s="35" t="str">
        <f t="shared" si="60"/>
        <v/>
      </c>
      <c r="I209" s="35" t="str">
        <f t="shared" si="61"/>
        <v/>
      </c>
      <c r="J209" s="35" t="str">
        <f t="shared" si="62"/>
        <v/>
      </c>
      <c r="K209" s="35" t="str">
        <f t="shared" si="63"/>
        <v/>
      </c>
      <c r="L209" s="35" t="str">
        <f t="shared" si="64"/>
        <v/>
      </c>
      <c r="M209" s="35" t="str">
        <f t="shared" si="65"/>
        <v/>
      </c>
      <c r="N209" s="36" t="str">
        <f t="shared" si="66"/>
        <v/>
      </c>
      <c r="O209" s="35" t="str">
        <f t="shared" si="67"/>
        <v/>
      </c>
      <c r="P209" s="35" t="str">
        <f t="shared" si="68"/>
        <v/>
      </c>
      <c r="Q209" s="35" t="str">
        <f t="shared" si="69"/>
        <v/>
      </c>
      <c r="R209" s="35" t="str">
        <f t="shared" si="70"/>
        <v/>
      </c>
      <c r="S209" s="33" t="str">
        <f t="shared" si="71"/>
        <v/>
      </c>
    </row>
    <row r="210" spans="1:19" x14ac:dyDescent="0.3">
      <c r="A210" s="33">
        <f>206</f>
        <v>206</v>
      </c>
      <c r="B210" s="34" t="str">
        <f t="shared" si="54"/>
        <v/>
      </c>
      <c r="C210" s="33" t="str">
        <f t="shared" si="55"/>
        <v/>
      </c>
      <c r="D210" s="33" t="str">
        <f t="shared" si="56"/>
        <v/>
      </c>
      <c r="E210" s="35" t="str">
        <f t="shared" si="57"/>
        <v/>
      </c>
      <c r="F210" s="35" t="str">
        <f t="shared" si="58"/>
        <v/>
      </c>
      <c r="G210" s="33" t="str">
        <f t="shared" si="59"/>
        <v/>
      </c>
      <c r="H210" s="35" t="str">
        <f t="shared" si="60"/>
        <v/>
      </c>
      <c r="I210" s="35" t="str">
        <f t="shared" si="61"/>
        <v/>
      </c>
      <c r="J210" s="35" t="str">
        <f t="shared" si="62"/>
        <v/>
      </c>
      <c r="K210" s="35" t="str">
        <f t="shared" si="63"/>
        <v/>
      </c>
      <c r="L210" s="35" t="str">
        <f t="shared" si="64"/>
        <v/>
      </c>
      <c r="M210" s="35" t="str">
        <f t="shared" si="65"/>
        <v/>
      </c>
      <c r="N210" s="36" t="str">
        <f t="shared" si="66"/>
        <v/>
      </c>
      <c r="O210" s="35" t="str">
        <f t="shared" si="67"/>
        <v/>
      </c>
      <c r="P210" s="35" t="str">
        <f t="shared" si="68"/>
        <v/>
      </c>
      <c r="Q210" s="35" t="str">
        <f t="shared" si="69"/>
        <v/>
      </c>
      <c r="R210" s="35" t="str">
        <f t="shared" si="70"/>
        <v/>
      </c>
      <c r="S210" s="33" t="str">
        <f t="shared" si="71"/>
        <v/>
      </c>
    </row>
    <row r="211" spans="1:19" x14ac:dyDescent="0.3">
      <c r="A211" s="33">
        <f>207</f>
        <v>207</v>
      </c>
      <c r="B211" s="34" t="str">
        <f t="shared" si="54"/>
        <v/>
      </c>
      <c r="C211" s="33" t="str">
        <f t="shared" si="55"/>
        <v/>
      </c>
      <c r="D211" s="33" t="str">
        <f t="shared" si="56"/>
        <v/>
      </c>
      <c r="E211" s="35" t="str">
        <f t="shared" si="57"/>
        <v/>
      </c>
      <c r="F211" s="35" t="str">
        <f t="shared" si="58"/>
        <v/>
      </c>
      <c r="G211" s="33" t="str">
        <f t="shared" si="59"/>
        <v/>
      </c>
      <c r="H211" s="35" t="str">
        <f t="shared" si="60"/>
        <v/>
      </c>
      <c r="I211" s="35" t="str">
        <f t="shared" si="61"/>
        <v/>
      </c>
      <c r="J211" s="35" t="str">
        <f t="shared" si="62"/>
        <v/>
      </c>
      <c r="K211" s="35" t="str">
        <f t="shared" si="63"/>
        <v/>
      </c>
      <c r="L211" s="35" t="str">
        <f t="shared" si="64"/>
        <v/>
      </c>
      <c r="M211" s="35" t="str">
        <f t="shared" si="65"/>
        <v/>
      </c>
      <c r="N211" s="36" t="str">
        <f t="shared" si="66"/>
        <v/>
      </c>
      <c r="O211" s="35" t="str">
        <f t="shared" si="67"/>
        <v/>
      </c>
      <c r="P211" s="35" t="str">
        <f t="shared" si="68"/>
        <v/>
      </c>
      <c r="Q211" s="35" t="str">
        <f t="shared" si="69"/>
        <v/>
      </c>
      <c r="R211" s="35" t="str">
        <f t="shared" si="70"/>
        <v/>
      </c>
      <c r="S211" s="33" t="str">
        <f t="shared" si="71"/>
        <v/>
      </c>
    </row>
    <row r="212" spans="1:19" x14ac:dyDescent="0.3">
      <c r="A212" s="33">
        <f>208</f>
        <v>208</v>
      </c>
      <c r="B212" s="34" t="str">
        <f t="shared" si="54"/>
        <v/>
      </c>
      <c r="C212" s="33" t="str">
        <f t="shared" si="55"/>
        <v/>
      </c>
      <c r="D212" s="33" t="str">
        <f t="shared" si="56"/>
        <v/>
      </c>
      <c r="E212" s="35" t="str">
        <f t="shared" si="57"/>
        <v/>
      </c>
      <c r="F212" s="35" t="str">
        <f t="shared" si="58"/>
        <v/>
      </c>
      <c r="G212" s="33" t="str">
        <f t="shared" si="59"/>
        <v/>
      </c>
      <c r="H212" s="35" t="str">
        <f t="shared" si="60"/>
        <v/>
      </c>
      <c r="I212" s="35" t="str">
        <f t="shared" si="61"/>
        <v/>
      </c>
      <c r="J212" s="35" t="str">
        <f t="shared" si="62"/>
        <v/>
      </c>
      <c r="K212" s="35" t="str">
        <f t="shared" si="63"/>
        <v/>
      </c>
      <c r="L212" s="35" t="str">
        <f t="shared" si="64"/>
        <v/>
      </c>
      <c r="M212" s="35" t="str">
        <f t="shared" si="65"/>
        <v/>
      </c>
      <c r="N212" s="36" t="str">
        <f t="shared" si="66"/>
        <v/>
      </c>
      <c r="O212" s="35" t="str">
        <f t="shared" si="67"/>
        <v/>
      </c>
      <c r="P212" s="35" t="str">
        <f t="shared" si="68"/>
        <v/>
      </c>
      <c r="Q212" s="35" t="str">
        <f t="shared" si="69"/>
        <v/>
      </c>
      <c r="R212" s="35" t="str">
        <f t="shared" si="70"/>
        <v/>
      </c>
      <c r="S212" s="33" t="str">
        <f t="shared" si="71"/>
        <v/>
      </c>
    </row>
    <row r="213" spans="1:19" x14ac:dyDescent="0.3">
      <c r="A213" s="33">
        <f>209</f>
        <v>209</v>
      </c>
      <c r="B213" s="34" t="str">
        <f t="shared" si="54"/>
        <v/>
      </c>
      <c r="C213" s="33" t="str">
        <f t="shared" si="55"/>
        <v/>
      </c>
      <c r="D213" s="33" t="str">
        <f t="shared" si="56"/>
        <v/>
      </c>
      <c r="E213" s="35" t="str">
        <f t="shared" si="57"/>
        <v/>
      </c>
      <c r="F213" s="35" t="str">
        <f t="shared" si="58"/>
        <v/>
      </c>
      <c r="G213" s="33" t="str">
        <f t="shared" si="59"/>
        <v/>
      </c>
      <c r="H213" s="35" t="str">
        <f t="shared" si="60"/>
        <v/>
      </c>
      <c r="I213" s="35" t="str">
        <f t="shared" si="61"/>
        <v/>
      </c>
      <c r="J213" s="35" t="str">
        <f t="shared" si="62"/>
        <v/>
      </c>
      <c r="K213" s="35" t="str">
        <f t="shared" si="63"/>
        <v/>
      </c>
      <c r="L213" s="35" t="str">
        <f t="shared" si="64"/>
        <v/>
      </c>
      <c r="M213" s="35" t="str">
        <f t="shared" si="65"/>
        <v/>
      </c>
      <c r="N213" s="36" t="str">
        <f t="shared" si="66"/>
        <v/>
      </c>
      <c r="O213" s="35" t="str">
        <f t="shared" si="67"/>
        <v/>
      </c>
      <c r="P213" s="35" t="str">
        <f t="shared" si="68"/>
        <v/>
      </c>
      <c r="Q213" s="35" t="str">
        <f t="shared" si="69"/>
        <v/>
      </c>
      <c r="R213" s="35" t="str">
        <f t="shared" si="70"/>
        <v/>
      </c>
      <c r="S213" s="33" t="str">
        <f t="shared" si="71"/>
        <v/>
      </c>
    </row>
    <row r="214" spans="1:19" x14ac:dyDescent="0.3">
      <c r="A214" s="33">
        <f>210</f>
        <v>210</v>
      </c>
      <c r="B214" s="34" t="str">
        <f t="shared" si="54"/>
        <v/>
      </c>
      <c r="C214" s="33" t="str">
        <f t="shared" si="55"/>
        <v/>
      </c>
      <c r="D214" s="33" t="str">
        <f t="shared" si="56"/>
        <v/>
      </c>
      <c r="E214" s="35" t="str">
        <f t="shared" si="57"/>
        <v/>
      </c>
      <c r="F214" s="35" t="str">
        <f t="shared" si="58"/>
        <v/>
      </c>
      <c r="G214" s="33" t="str">
        <f t="shared" si="59"/>
        <v/>
      </c>
      <c r="H214" s="35" t="str">
        <f t="shared" si="60"/>
        <v/>
      </c>
      <c r="I214" s="35" t="str">
        <f t="shared" si="61"/>
        <v/>
      </c>
      <c r="J214" s="35" t="str">
        <f t="shared" si="62"/>
        <v/>
      </c>
      <c r="K214" s="35" t="str">
        <f t="shared" si="63"/>
        <v/>
      </c>
      <c r="L214" s="35" t="str">
        <f t="shared" si="64"/>
        <v/>
      </c>
      <c r="M214" s="35" t="str">
        <f t="shared" si="65"/>
        <v/>
      </c>
      <c r="N214" s="36" t="str">
        <f t="shared" si="66"/>
        <v/>
      </c>
      <c r="O214" s="35" t="str">
        <f t="shared" si="67"/>
        <v/>
      </c>
      <c r="P214" s="35" t="str">
        <f t="shared" si="68"/>
        <v/>
      </c>
      <c r="Q214" s="35" t="str">
        <f t="shared" si="69"/>
        <v/>
      </c>
      <c r="R214" s="35" t="str">
        <f t="shared" si="70"/>
        <v/>
      </c>
      <c r="S214" s="33" t="str">
        <f t="shared" si="71"/>
        <v/>
      </c>
    </row>
    <row r="215" spans="1:19" x14ac:dyDescent="0.3">
      <c r="A215" s="33">
        <f>211</f>
        <v>211</v>
      </c>
      <c r="B215" s="34" t="str">
        <f t="shared" si="54"/>
        <v/>
      </c>
      <c r="C215" s="33" t="str">
        <f t="shared" si="55"/>
        <v/>
      </c>
      <c r="D215" s="33" t="str">
        <f t="shared" si="56"/>
        <v/>
      </c>
      <c r="E215" s="35" t="str">
        <f t="shared" si="57"/>
        <v/>
      </c>
      <c r="F215" s="35" t="str">
        <f t="shared" si="58"/>
        <v/>
      </c>
      <c r="G215" s="33" t="str">
        <f t="shared" si="59"/>
        <v/>
      </c>
      <c r="H215" s="35" t="str">
        <f t="shared" si="60"/>
        <v/>
      </c>
      <c r="I215" s="35" t="str">
        <f t="shared" si="61"/>
        <v/>
      </c>
      <c r="J215" s="35" t="str">
        <f t="shared" si="62"/>
        <v/>
      </c>
      <c r="K215" s="35" t="str">
        <f t="shared" si="63"/>
        <v/>
      </c>
      <c r="L215" s="35" t="str">
        <f t="shared" si="64"/>
        <v/>
      </c>
      <c r="M215" s="35" t="str">
        <f t="shared" si="65"/>
        <v/>
      </c>
      <c r="N215" s="36" t="str">
        <f t="shared" si="66"/>
        <v/>
      </c>
      <c r="O215" s="35" t="str">
        <f t="shared" si="67"/>
        <v/>
      </c>
      <c r="P215" s="35" t="str">
        <f t="shared" si="68"/>
        <v/>
      </c>
      <c r="Q215" s="35" t="str">
        <f t="shared" si="69"/>
        <v/>
      </c>
      <c r="R215" s="35" t="str">
        <f t="shared" si="70"/>
        <v/>
      </c>
      <c r="S215" s="33" t="str">
        <f t="shared" si="71"/>
        <v/>
      </c>
    </row>
    <row r="216" spans="1:19" x14ac:dyDescent="0.3">
      <c r="A216" s="33">
        <f>212</f>
        <v>212</v>
      </c>
      <c r="B216" s="34" t="str">
        <f t="shared" si="54"/>
        <v/>
      </c>
      <c r="C216" s="33" t="str">
        <f t="shared" si="55"/>
        <v/>
      </c>
      <c r="D216" s="33" t="str">
        <f t="shared" si="56"/>
        <v/>
      </c>
      <c r="E216" s="35" t="str">
        <f t="shared" si="57"/>
        <v/>
      </c>
      <c r="F216" s="35" t="str">
        <f t="shared" si="58"/>
        <v/>
      </c>
      <c r="G216" s="33" t="str">
        <f t="shared" si="59"/>
        <v/>
      </c>
      <c r="H216" s="35" t="str">
        <f t="shared" si="60"/>
        <v/>
      </c>
      <c r="I216" s="35" t="str">
        <f t="shared" si="61"/>
        <v/>
      </c>
      <c r="J216" s="35" t="str">
        <f t="shared" si="62"/>
        <v/>
      </c>
      <c r="K216" s="35" t="str">
        <f t="shared" si="63"/>
        <v/>
      </c>
      <c r="L216" s="35" t="str">
        <f t="shared" si="64"/>
        <v/>
      </c>
      <c r="M216" s="35" t="str">
        <f t="shared" si="65"/>
        <v/>
      </c>
      <c r="N216" s="36" t="str">
        <f t="shared" si="66"/>
        <v/>
      </c>
      <c r="O216" s="35" t="str">
        <f t="shared" si="67"/>
        <v/>
      </c>
      <c r="P216" s="35" t="str">
        <f t="shared" si="68"/>
        <v/>
      </c>
      <c r="Q216" s="35" t="str">
        <f t="shared" si="69"/>
        <v/>
      </c>
      <c r="R216" s="35" t="str">
        <f t="shared" si="70"/>
        <v/>
      </c>
      <c r="S216" s="33" t="str">
        <f t="shared" si="71"/>
        <v/>
      </c>
    </row>
    <row r="217" spans="1:19" x14ac:dyDescent="0.3">
      <c r="A217" s="33">
        <f>213</f>
        <v>213</v>
      </c>
      <c r="B217" s="34" t="str">
        <f t="shared" si="54"/>
        <v/>
      </c>
      <c r="C217" s="33" t="str">
        <f t="shared" si="55"/>
        <v/>
      </c>
      <c r="D217" s="33" t="str">
        <f t="shared" si="56"/>
        <v/>
      </c>
      <c r="E217" s="35" t="str">
        <f t="shared" si="57"/>
        <v/>
      </c>
      <c r="F217" s="35" t="str">
        <f t="shared" si="58"/>
        <v/>
      </c>
      <c r="G217" s="33" t="str">
        <f t="shared" si="59"/>
        <v/>
      </c>
      <c r="H217" s="35" t="str">
        <f t="shared" si="60"/>
        <v/>
      </c>
      <c r="I217" s="35" t="str">
        <f t="shared" si="61"/>
        <v/>
      </c>
      <c r="J217" s="35" t="str">
        <f t="shared" si="62"/>
        <v/>
      </c>
      <c r="K217" s="35" t="str">
        <f t="shared" si="63"/>
        <v/>
      </c>
      <c r="L217" s="35" t="str">
        <f t="shared" si="64"/>
        <v/>
      </c>
      <c r="M217" s="35" t="str">
        <f t="shared" si="65"/>
        <v/>
      </c>
      <c r="N217" s="36" t="str">
        <f t="shared" si="66"/>
        <v/>
      </c>
      <c r="O217" s="35" t="str">
        <f t="shared" si="67"/>
        <v/>
      </c>
      <c r="P217" s="35" t="str">
        <f t="shared" si="68"/>
        <v/>
      </c>
      <c r="Q217" s="35" t="str">
        <f t="shared" si="69"/>
        <v/>
      </c>
      <c r="R217" s="35" t="str">
        <f t="shared" si="70"/>
        <v/>
      </c>
      <c r="S217" s="33" t="str">
        <f t="shared" si="71"/>
        <v/>
      </c>
    </row>
    <row r="218" spans="1:19" x14ac:dyDescent="0.3">
      <c r="A218" s="33">
        <f>214</f>
        <v>214</v>
      </c>
      <c r="B218" s="34" t="str">
        <f t="shared" si="54"/>
        <v/>
      </c>
      <c r="C218" s="33" t="str">
        <f t="shared" si="55"/>
        <v/>
      </c>
      <c r="D218" s="33" t="str">
        <f t="shared" si="56"/>
        <v/>
      </c>
      <c r="E218" s="35" t="str">
        <f t="shared" si="57"/>
        <v/>
      </c>
      <c r="F218" s="35" t="str">
        <f t="shared" si="58"/>
        <v/>
      </c>
      <c r="G218" s="33" t="str">
        <f t="shared" si="59"/>
        <v/>
      </c>
      <c r="H218" s="35" t="str">
        <f t="shared" si="60"/>
        <v/>
      </c>
      <c r="I218" s="35" t="str">
        <f t="shared" si="61"/>
        <v/>
      </c>
      <c r="J218" s="35" t="str">
        <f t="shared" si="62"/>
        <v/>
      </c>
      <c r="K218" s="35" t="str">
        <f t="shared" si="63"/>
        <v/>
      </c>
      <c r="L218" s="35" t="str">
        <f t="shared" si="64"/>
        <v/>
      </c>
      <c r="M218" s="35" t="str">
        <f t="shared" si="65"/>
        <v/>
      </c>
      <c r="N218" s="36" t="str">
        <f t="shared" si="66"/>
        <v/>
      </c>
      <c r="O218" s="35" t="str">
        <f t="shared" si="67"/>
        <v/>
      </c>
      <c r="P218" s="35" t="str">
        <f t="shared" si="68"/>
        <v/>
      </c>
      <c r="Q218" s="35" t="str">
        <f t="shared" si="69"/>
        <v/>
      </c>
      <c r="R218" s="35" t="str">
        <f t="shared" si="70"/>
        <v/>
      </c>
      <c r="S218" s="33" t="str">
        <f t="shared" si="71"/>
        <v/>
      </c>
    </row>
    <row r="219" spans="1:19" x14ac:dyDescent="0.3">
      <c r="A219" s="33">
        <f>215</f>
        <v>215</v>
      </c>
      <c r="B219" s="34" t="str">
        <f t="shared" si="54"/>
        <v/>
      </c>
      <c r="C219" s="33" t="str">
        <f t="shared" si="55"/>
        <v/>
      </c>
      <c r="D219" s="33" t="str">
        <f t="shared" si="56"/>
        <v/>
      </c>
      <c r="E219" s="35" t="str">
        <f t="shared" si="57"/>
        <v/>
      </c>
      <c r="F219" s="35" t="str">
        <f t="shared" si="58"/>
        <v/>
      </c>
      <c r="G219" s="33" t="str">
        <f t="shared" si="59"/>
        <v/>
      </c>
      <c r="H219" s="35" t="str">
        <f t="shared" si="60"/>
        <v/>
      </c>
      <c r="I219" s="35" t="str">
        <f t="shared" si="61"/>
        <v/>
      </c>
      <c r="J219" s="35" t="str">
        <f t="shared" si="62"/>
        <v/>
      </c>
      <c r="K219" s="35" t="str">
        <f t="shared" si="63"/>
        <v/>
      </c>
      <c r="L219" s="35" t="str">
        <f t="shared" si="64"/>
        <v/>
      </c>
      <c r="M219" s="35" t="str">
        <f t="shared" si="65"/>
        <v/>
      </c>
      <c r="N219" s="36" t="str">
        <f t="shared" si="66"/>
        <v/>
      </c>
      <c r="O219" s="35" t="str">
        <f t="shared" si="67"/>
        <v/>
      </c>
      <c r="P219" s="35" t="str">
        <f t="shared" si="68"/>
        <v/>
      </c>
      <c r="Q219" s="35" t="str">
        <f t="shared" si="69"/>
        <v/>
      </c>
      <c r="R219" s="35" t="str">
        <f t="shared" si="70"/>
        <v/>
      </c>
      <c r="S219" s="33" t="str">
        <f t="shared" si="71"/>
        <v/>
      </c>
    </row>
    <row r="220" spans="1:19" x14ac:dyDescent="0.3">
      <c r="A220" s="37">
        <f>216</f>
        <v>216</v>
      </c>
      <c r="B220" s="38" t="str">
        <f t="shared" si="54"/>
        <v/>
      </c>
      <c r="C220" s="37" t="str">
        <f t="shared" si="55"/>
        <v/>
      </c>
      <c r="D220" s="37" t="str">
        <f t="shared" si="56"/>
        <v/>
      </c>
      <c r="E220" s="39" t="str">
        <f t="shared" si="57"/>
        <v/>
      </c>
      <c r="F220" s="39" t="str">
        <f t="shared" si="58"/>
        <v/>
      </c>
      <c r="G220" s="37" t="str">
        <f t="shared" si="59"/>
        <v/>
      </c>
      <c r="H220" s="39" t="str">
        <f t="shared" si="60"/>
        <v/>
      </c>
      <c r="I220" s="39" t="str">
        <f t="shared" si="61"/>
        <v/>
      </c>
      <c r="J220" s="39" t="str">
        <f t="shared" si="62"/>
        <v/>
      </c>
      <c r="K220" s="39" t="str">
        <f t="shared" si="63"/>
        <v/>
      </c>
      <c r="L220" s="39" t="str">
        <f t="shared" si="64"/>
        <v/>
      </c>
      <c r="M220" s="39" t="str">
        <f t="shared" si="65"/>
        <v/>
      </c>
      <c r="N220" s="40" t="str">
        <f t="shared" si="66"/>
        <v/>
      </c>
      <c r="O220" s="39" t="str">
        <f t="shared" si="67"/>
        <v/>
      </c>
      <c r="P220" s="39" t="str">
        <f t="shared" si="68"/>
        <v/>
      </c>
      <c r="Q220" s="39" t="str">
        <f t="shared" si="69"/>
        <v/>
      </c>
      <c r="R220" s="39" t="str">
        <f t="shared" si="70"/>
        <v/>
      </c>
      <c r="S220" s="37" t="str">
        <f t="shared" si="71"/>
        <v/>
      </c>
    </row>
    <row r="221" spans="1:19" x14ac:dyDescent="0.3">
      <c r="A221" s="33">
        <f>217</f>
        <v>217</v>
      </c>
      <c r="B221" s="34" t="str">
        <f t="shared" si="54"/>
        <v/>
      </c>
      <c r="C221" s="33" t="str">
        <f t="shared" si="55"/>
        <v/>
      </c>
      <c r="D221" s="33" t="str">
        <f t="shared" si="56"/>
        <v/>
      </c>
      <c r="E221" s="35" t="str">
        <f t="shared" si="57"/>
        <v/>
      </c>
      <c r="F221" s="35" t="str">
        <f t="shared" si="58"/>
        <v/>
      </c>
      <c r="G221" s="33" t="str">
        <f t="shared" si="59"/>
        <v/>
      </c>
      <c r="H221" s="35" t="str">
        <f t="shared" si="60"/>
        <v/>
      </c>
      <c r="I221" s="35" t="str">
        <f t="shared" si="61"/>
        <v/>
      </c>
      <c r="J221" s="35" t="str">
        <f t="shared" si="62"/>
        <v/>
      </c>
      <c r="K221" s="35" t="str">
        <f t="shared" si="63"/>
        <v/>
      </c>
      <c r="L221" s="35" t="str">
        <f t="shared" si="64"/>
        <v/>
      </c>
      <c r="M221" s="35" t="str">
        <f t="shared" si="65"/>
        <v/>
      </c>
      <c r="N221" s="36" t="str">
        <f t="shared" si="66"/>
        <v/>
      </c>
      <c r="O221" s="35" t="str">
        <f t="shared" si="67"/>
        <v/>
      </c>
      <c r="P221" s="35" t="str">
        <f t="shared" si="68"/>
        <v/>
      </c>
      <c r="Q221" s="35" t="str">
        <f t="shared" si="69"/>
        <v/>
      </c>
      <c r="R221" s="35" t="str">
        <f t="shared" si="70"/>
        <v/>
      </c>
      <c r="S221" s="33" t="str">
        <f t="shared" si="71"/>
        <v/>
      </c>
    </row>
    <row r="222" spans="1:19" x14ac:dyDescent="0.3">
      <c r="A222" s="33">
        <f>218</f>
        <v>218</v>
      </c>
      <c r="B222" s="34" t="str">
        <f t="shared" si="54"/>
        <v/>
      </c>
      <c r="C222" s="33" t="str">
        <f t="shared" si="55"/>
        <v/>
      </c>
      <c r="D222" s="33" t="str">
        <f t="shared" si="56"/>
        <v/>
      </c>
      <c r="E222" s="35" t="str">
        <f t="shared" si="57"/>
        <v/>
      </c>
      <c r="F222" s="35" t="str">
        <f t="shared" si="58"/>
        <v/>
      </c>
      <c r="G222" s="33" t="str">
        <f t="shared" si="59"/>
        <v/>
      </c>
      <c r="H222" s="35" t="str">
        <f t="shared" si="60"/>
        <v/>
      </c>
      <c r="I222" s="35" t="str">
        <f t="shared" si="61"/>
        <v/>
      </c>
      <c r="J222" s="35" t="str">
        <f t="shared" si="62"/>
        <v/>
      </c>
      <c r="K222" s="35" t="str">
        <f t="shared" si="63"/>
        <v/>
      </c>
      <c r="L222" s="35" t="str">
        <f t="shared" si="64"/>
        <v/>
      </c>
      <c r="M222" s="35" t="str">
        <f t="shared" si="65"/>
        <v/>
      </c>
      <c r="N222" s="36" t="str">
        <f t="shared" si="66"/>
        <v/>
      </c>
      <c r="O222" s="35" t="str">
        <f t="shared" si="67"/>
        <v/>
      </c>
      <c r="P222" s="35" t="str">
        <f t="shared" si="68"/>
        <v/>
      </c>
      <c r="Q222" s="35" t="str">
        <f t="shared" si="69"/>
        <v/>
      </c>
      <c r="R222" s="35" t="str">
        <f t="shared" si="70"/>
        <v/>
      </c>
      <c r="S222" s="33" t="str">
        <f t="shared" si="71"/>
        <v/>
      </c>
    </row>
    <row r="223" spans="1:19" x14ac:dyDescent="0.3">
      <c r="A223" s="33">
        <f>219</f>
        <v>219</v>
      </c>
      <c r="B223" s="34" t="str">
        <f t="shared" si="54"/>
        <v/>
      </c>
      <c r="C223" s="33" t="str">
        <f t="shared" si="55"/>
        <v/>
      </c>
      <c r="D223" s="33" t="str">
        <f t="shared" si="56"/>
        <v/>
      </c>
      <c r="E223" s="35" t="str">
        <f t="shared" si="57"/>
        <v/>
      </c>
      <c r="F223" s="35" t="str">
        <f t="shared" si="58"/>
        <v/>
      </c>
      <c r="G223" s="33" t="str">
        <f t="shared" si="59"/>
        <v/>
      </c>
      <c r="H223" s="35" t="str">
        <f t="shared" si="60"/>
        <v/>
      </c>
      <c r="I223" s="35" t="str">
        <f t="shared" si="61"/>
        <v/>
      </c>
      <c r="J223" s="35" t="str">
        <f t="shared" si="62"/>
        <v/>
      </c>
      <c r="K223" s="35" t="str">
        <f t="shared" si="63"/>
        <v/>
      </c>
      <c r="L223" s="35" t="str">
        <f t="shared" si="64"/>
        <v/>
      </c>
      <c r="M223" s="35" t="str">
        <f t="shared" si="65"/>
        <v/>
      </c>
      <c r="N223" s="36" t="str">
        <f t="shared" si="66"/>
        <v/>
      </c>
      <c r="O223" s="35" t="str">
        <f t="shared" si="67"/>
        <v/>
      </c>
      <c r="P223" s="35" t="str">
        <f t="shared" si="68"/>
        <v/>
      </c>
      <c r="Q223" s="35" t="str">
        <f t="shared" si="69"/>
        <v/>
      </c>
      <c r="R223" s="35" t="str">
        <f t="shared" si="70"/>
        <v/>
      </c>
      <c r="S223" s="33" t="str">
        <f t="shared" si="71"/>
        <v/>
      </c>
    </row>
    <row r="224" spans="1:19" x14ac:dyDescent="0.3">
      <c r="A224" s="33">
        <f>220</f>
        <v>220</v>
      </c>
      <c r="B224" s="34" t="str">
        <f t="shared" si="54"/>
        <v/>
      </c>
      <c r="C224" s="33" t="str">
        <f t="shared" si="55"/>
        <v/>
      </c>
      <c r="D224" s="33" t="str">
        <f t="shared" si="56"/>
        <v/>
      </c>
      <c r="E224" s="35" t="str">
        <f t="shared" si="57"/>
        <v/>
      </c>
      <c r="F224" s="35" t="str">
        <f t="shared" si="58"/>
        <v/>
      </c>
      <c r="G224" s="33" t="str">
        <f t="shared" si="59"/>
        <v/>
      </c>
      <c r="H224" s="35" t="str">
        <f t="shared" si="60"/>
        <v/>
      </c>
      <c r="I224" s="35" t="str">
        <f t="shared" si="61"/>
        <v/>
      </c>
      <c r="J224" s="35" t="str">
        <f t="shared" si="62"/>
        <v/>
      </c>
      <c r="K224" s="35" t="str">
        <f t="shared" si="63"/>
        <v/>
      </c>
      <c r="L224" s="35" t="str">
        <f t="shared" si="64"/>
        <v/>
      </c>
      <c r="M224" s="35" t="str">
        <f t="shared" si="65"/>
        <v/>
      </c>
      <c r="N224" s="36" t="str">
        <f t="shared" si="66"/>
        <v/>
      </c>
      <c r="O224" s="35" t="str">
        <f t="shared" si="67"/>
        <v/>
      </c>
      <c r="P224" s="35" t="str">
        <f t="shared" si="68"/>
        <v/>
      </c>
      <c r="Q224" s="35" t="str">
        <f t="shared" si="69"/>
        <v/>
      </c>
      <c r="R224" s="35" t="str">
        <f t="shared" si="70"/>
        <v/>
      </c>
      <c r="S224" s="33" t="str">
        <f t="shared" si="71"/>
        <v/>
      </c>
    </row>
    <row r="225" spans="1:19" x14ac:dyDescent="0.3">
      <c r="A225" s="33">
        <f>221</f>
        <v>221</v>
      </c>
      <c r="B225" s="34" t="str">
        <f t="shared" si="54"/>
        <v/>
      </c>
      <c r="C225" s="33" t="str">
        <f t="shared" si="55"/>
        <v/>
      </c>
      <c r="D225" s="33" t="str">
        <f t="shared" si="56"/>
        <v/>
      </c>
      <c r="E225" s="35" t="str">
        <f t="shared" si="57"/>
        <v/>
      </c>
      <c r="F225" s="35" t="str">
        <f t="shared" si="58"/>
        <v/>
      </c>
      <c r="G225" s="33" t="str">
        <f t="shared" si="59"/>
        <v/>
      </c>
      <c r="H225" s="35" t="str">
        <f t="shared" si="60"/>
        <v/>
      </c>
      <c r="I225" s="35" t="str">
        <f t="shared" si="61"/>
        <v/>
      </c>
      <c r="J225" s="35" t="str">
        <f t="shared" si="62"/>
        <v/>
      </c>
      <c r="K225" s="35" t="str">
        <f t="shared" si="63"/>
        <v/>
      </c>
      <c r="L225" s="35" t="str">
        <f t="shared" si="64"/>
        <v/>
      </c>
      <c r="M225" s="35" t="str">
        <f t="shared" si="65"/>
        <v/>
      </c>
      <c r="N225" s="36" t="str">
        <f t="shared" si="66"/>
        <v/>
      </c>
      <c r="O225" s="35" t="str">
        <f t="shared" si="67"/>
        <v/>
      </c>
      <c r="P225" s="35" t="str">
        <f t="shared" si="68"/>
        <v/>
      </c>
      <c r="Q225" s="35" t="str">
        <f t="shared" si="69"/>
        <v/>
      </c>
      <c r="R225" s="35" t="str">
        <f t="shared" si="70"/>
        <v/>
      </c>
      <c r="S225" s="33" t="str">
        <f t="shared" si="71"/>
        <v/>
      </c>
    </row>
    <row r="226" spans="1:19" x14ac:dyDescent="0.3">
      <c r="A226" s="33">
        <f>222</f>
        <v>222</v>
      </c>
      <c r="B226" s="34" t="str">
        <f t="shared" si="54"/>
        <v/>
      </c>
      <c r="C226" s="33" t="str">
        <f t="shared" si="55"/>
        <v/>
      </c>
      <c r="D226" s="33" t="str">
        <f t="shared" si="56"/>
        <v/>
      </c>
      <c r="E226" s="35" t="str">
        <f t="shared" si="57"/>
        <v/>
      </c>
      <c r="F226" s="35" t="str">
        <f t="shared" si="58"/>
        <v/>
      </c>
      <c r="G226" s="33" t="str">
        <f t="shared" si="59"/>
        <v/>
      </c>
      <c r="H226" s="35" t="str">
        <f t="shared" si="60"/>
        <v/>
      </c>
      <c r="I226" s="35" t="str">
        <f t="shared" si="61"/>
        <v/>
      </c>
      <c r="J226" s="35" t="str">
        <f t="shared" si="62"/>
        <v/>
      </c>
      <c r="K226" s="35" t="str">
        <f t="shared" si="63"/>
        <v/>
      </c>
      <c r="L226" s="35" t="str">
        <f t="shared" si="64"/>
        <v/>
      </c>
      <c r="M226" s="35" t="str">
        <f t="shared" si="65"/>
        <v/>
      </c>
      <c r="N226" s="36" t="str">
        <f t="shared" si="66"/>
        <v/>
      </c>
      <c r="O226" s="35" t="str">
        <f t="shared" si="67"/>
        <v/>
      </c>
      <c r="P226" s="35" t="str">
        <f t="shared" si="68"/>
        <v/>
      </c>
      <c r="Q226" s="35" t="str">
        <f t="shared" si="69"/>
        <v/>
      </c>
      <c r="R226" s="35" t="str">
        <f t="shared" si="70"/>
        <v/>
      </c>
      <c r="S226" s="33" t="str">
        <f t="shared" si="71"/>
        <v/>
      </c>
    </row>
    <row r="227" spans="1:19" x14ac:dyDescent="0.3">
      <c r="A227" s="33">
        <f>223</f>
        <v>223</v>
      </c>
      <c r="B227" s="34" t="str">
        <f t="shared" si="54"/>
        <v/>
      </c>
      <c r="C227" s="33" t="str">
        <f t="shared" si="55"/>
        <v/>
      </c>
      <c r="D227" s="33" t="str">
        <f t="shared" si="56"/>
        <v/>
      </c>
      <c r="E227" s="35" t="str">
        <f t="shared" si="57"/>
        <v/>
      </c>
      <c r="F227" s="35" t="str">
        <f t="shared" si="58"/>
        <v/>
      </c>
      <c r="G227" s="33" t="str">
        <f t="shared" si="59"/>
        <v/>
      </c>
      <c r="H227" s="35" t="str">
        <f t="shared" si="60"/>
        <v/>
      </c>
      <c r="I227" s="35" t="str">
        <f t="shared" si="61"/>
        <v/>
      </c>
      <c r="J227" s="35" t="str">
        <f t="shared" si="62"/>
        <v/>
      </c>
      <c r="K227" s="35" t="str">
        <f t="shared" si="63"/>
        <v/>
      </c>
      <c r="L227" s="35" t="str">
        <f t="shared" si="64"/>
        <v/>
      </c>
      <c r="M227" s="35" t="str">
        <f t="shared" si="65"/>
        <v/>
      </c>
      <c r="N227" s="36" t="str">
        <f t="shared" si="66"/>
        <v/>
      </c>
      <c r="O227" s="35" t="str">
        <f t="shared" si="67"/>
        <v/>
      </c>
      <c r="P227" s="35" t="str">
        <f t="shared" si="68"/>
        <v/>
      </c>
      <c r="Q227" s="35" t="str">
        <f t="shared" si="69"/>
        <v/>
      </c>
      <c r="R227" s="35" t="str">
        <f t="shared" si="70"/>
        <v/>
      </c>
      <c r="S227" s="33" t="str">
        <f t="shared" si="71"/>
        <v/>
      </c>
    </row>
    <row r="228" spans="1:19" x14ac:dyDescent="0.3">
      <c r="A228" s="33">
        <f>224</f>
        <v>224</v>
      </c>
      <c r="B228" s="34" t="str">
        <f t="shared" si="54"/>
        <v/>
      </c>
      <c r="C228" s="33" t="str">
        <f t="shared" si="55"/>
        <v/>
      </c>
      <c r="D228" s="33" t="str">
        <f t="shared" si="56"/>
        <v/>
      </c>
      <c r="E228" s="35" t="str">
        <f t="shared" si="57"/>
        <v/>
      </c>
      <c r="F228" s="35" t="str">
        <f t="shared" si="58"/>
        <v/>
      </c>
      <c r="G228" s="33" t="str">
        <f t="shared" si="59"/>
        <v/>
      </c>
      <c r="H228" s="35" t="str">
        <f t="shared" si="60"/>
        <v/>
      </c>
      <c r="I228" s="35" t="str">
        <f t="shared" si="61"/>
        <v/>
      </c>
      <c r="J228" s="35" t="str">
        <f t="shared" si="62"/>
        <v/>
      </c>
      <c r="K228" s="35" t="str">
        <f t="shared" si="63"/>
        <v/>
      </c>
      <c r="L228" s="35" t="str">
        <f t="shared" si="64"/>
        <v/>
      </c>
      <c r="M228" s="35" t="str">
        <f t="shared" si="65"/>
        <v/>
      </c>
      <c r="N228" s="36" t="str">
        <f t="shared" si="66"/>
        <v/>
      </c>
      <c r="O228" s="35" t="str">
        <f t="shared" si="67"/>
        <v/>
      </c>
      <c r="P228" s="35" t="str">
        <f t="shared" si="68"/>
        <v/>
      </c>
      <c r="Q228" s="35" t="str">
        <f t="shared" si="69"/>
        <v/>
      </c>
      <c r="R228" s="35" t="str">
        <f t="shared" si="70"/>
        <v/>
      </c>
      <c r="S228" s="33" t="str">
        <f t="shared" si="71"/>
        <v/>
      </c>
    </row>
    <row r="229" spans="1:19" x14ac:dyDescent="0.3">
      <c r="A229" s="33">
        <f>225</f>
        <v>225</v>
      </c>
      <c r="B229" s="34" t="str">
        <f t="shared" si="54"/>
        <v/>
      </c>
      <c r="C229" s="33" t="str">
        <f t="shared" si="55"/>
        <v/>
      </c>
      <c r="D229" s="33" t="str">
        <f t="shared" si="56"/>
        <v/>
      </c>
      <c r="E229" s="35" t="str">
        <f t="shared" si="57"/>
        <v/>
      </c>
      <c r="F229" s="35" t="str">
        <f t="shared" si="58"/>
        <v/>
      </c>
      <c r="G229" s="33" t="str">
        <f t="shared" si="59"/>
        <v/>
      </c>
      <c r="H229" s="35" t="str">
        <f t="shared" si="60"/>
        <v/>
      </c>
      <c r="I229" s="35" t="str">
        <f t="shared" si="61"/>
        <v/>
      </c>
      <c r="J229" s="35" t="str">
        <f t="shared" si="62"/>
        <v/>
      </c>
      <c r="K229" s="35" t="str">
        <f t="shared" si="63"/>
        <v/>
      </c>
      <c r="L229" s="35" t="str">
        <f t="shared" si="64"/>
        <v/>
      </c>
      <c r="M229" s="35" t="str">
        <f t="shared" si="65"/>
        <v/>
      </c>
      <c r="N229" s="36" t="str">
        <f t="shared" si="66"/>
        <v/>
      </c>
      <c r="O229" s="35" t="str">
        <f t="shared" si="67"/>
        <v/>
      </c>
      <c r="P229" s="35" t="str">
        <f t="shared" si="68"/>
        <v/>
      </c>
      <c r="Q229" s="35" t="str">
        <f t="shared" si="69"/>
        <v/>
      </c>
      <c r="R229" s="35" t="str">
        <f t="shared" si="70"/>
        <v/>
      </c>
      <c r="S229" s="33" t="str">
        <f t="shared" si="71"/>
        <v/>
      </c>
    </row>
    <row r="230" spans="1:19" x14ac:dyDescent="0.3">
      <c r="A230" s="33">
        <f>226</f>
        <v>226</v>
      </c>
      <c r="B230" s="34" t="str">
        <f t="shared" si="54"/>
        <v/>
      </c>
      <c r="C230" s="33" t="str">
        <f t="shared" si="55"/>
        <v/>
      </c>
      <c r="D230" s="33" t="str">
        <f t="shared" si="56"/>
        <v/>
      </c>
      <c r="E230" s="35" t="str">
        <f t="shared" si="57"/>
        <v/>
      </c>
      <c r="F230" s="35" t="str">
        <f t="shared" si="58"/>
        <v/>
      </c>
      <c r="G230" s="33" t="str">
        <f t="shared" si="59"/>
        <v/>
      </c>
      <c r="H230" s="35" t="str">
        <f t="shared" si="60"/>
        <v/>
      </c>
      <c r="I230" s="35" t="str">
        <f t="shared" si="61"/>
        <v/>
      </c>
      <c r="J230" s="35" t="str">
        <f t="shared" si="62"/>
        <v/>
      </c>
      <c r="K230" s="35" t="str">
        <f t="shared" si="63"/>
        <v/>
      </c>
      <c r="L230" s="35" t="str">
        <f t="shared" si="64"/>
        <v/>
      </c>
      <c r="M230" s="35" t="str">
        <f t="shared" si="65"/>
        <v/>
      </c>
      <c r="N230" s="36" t="str">
        <f t="shared" si="66"/>
        <v/>
      </c>
      <c r="O230" s="35" t="str">
        <f t="shared" si="67"/>
        <v/>
      </c>
      <c r="P230" s="35" t="str">
        <f t="shared" si="68"/>
        <v/>
      </c>
      <c r="Q230" s="35" t="str">
        <f t="shared" si="69"/>
        <v/>
      </c>
      <c r="R230" s="35" t="str">
        <f t="shared" si="70"/>
        <v/>
      </c>
      <c r="S230" s="33" t="str">
        <f t="shared" si="71"/>
        <v/>
      </c>
    </row>
    <row r="231" spans="1:19" x14ac:dyDescent="0.3">
      <c r="A231" s="33">
        <f>227</f>
        <v>227</v>
      </c>
      <c r="B231" s="34" t="str">
        <f t="shared" si="54"/>
        <v/>
      </c>
      <c r="C231" s="33" t="str">
        <f t="shared" si="55"/>
        <v/>
      </c>
      <c r="D231" s="33" t="str">
        <f t="shared" si="56"/>
        <v/>
      </c>
      <c r="E231" s="35" t="str">
        <f t="shared" si="57"/>
        <v/>
      </c>
      <c r="F231" s="35" t="str">
        <f t="shared" si="58"/>
        <v/>
      </c>
      <c r="G231" s="33" t="str">
        <f t="shared" si="59"/>
        <v/>
      </c>
      <c r="H231" s="35" t="str">
        <f t="shared" si="60"/>
        <v/>
      </c>
      <c r="I231" s="35" t="str">
        <f t="shared" si="61"/>
        <v/>
      </c>
      <c r="J231" s="35" t="str">
        <f t="shared" si="62"/>
        <v/>
      </c>
      <c r="K231" s="35" t="str">
        <f t="shared" si="63"/>
        <v/>
      </c>
      <c r="L231" s="35" t="str">
        <f t="shared" si="64"/>
        <v/>
      </c>
      <c r="M231" s="35" t="str">
        <f t="shared" si="65"/>
        <v/>
      </c>
      <c r="N231" s="36" t="str">
        <f t="shared" si="66"/>
        <v/>
      </c>
      <c r="O231" s="35" t="str">
        <f t="shared" si="67"/>
        <v/>
      </c>
      <c r="P231" s="35" t="str">
        <f t="shared" si="68"/>
        <v/>
      </c>
      <c r="Q231" s="35" t="str">
        <f t="shared" si="69"/>
        <v/>
      </c>
      <c r="R231" s="35" t="str">
        <f t="shared" si="70"/>
        <v/>
      </c>
      <c r="S231" s="33" t="str">
        <f t="shared" si="71"/>
        <v/>
      </c>
    </row>
    <row r="232" spans="1:19" x14ac:dyDescent="0.3">
      <c r="A232" s="37">
        <f>228</f>
        <v>228</v>
      </c>
      <c r="B232" s="38" t="str">
        <f t="shared" si="54"/>
        <v/>
      </c>
      <c r="C232" s="37" t="str">
        <f t="shared" si="55"/>
        <v/>
      </c>
      <c r="D232" s="37" t="str">
        <f t="shared" si="56"/>
        <v/>
      </c>
      <c r="E232" s="39" t="str">
        <f t="shared" si="57"/>
        <v/>
      </c>
      <c r="F232" s="39" t="str">
        <f t="shared" si="58"/>
        <v/>
      </c>
      <c r="G232" s="37" t="str">
        <f t="shared" si="59"/>
        <v/>
      </c>
      <c r="H232" s="39" t="str">
        <f t="shared" si="60"/>
        <v/>
      </c>
      <c r="I232" s="39" t="str">
        <f t="shared" si="61"/>
        <v/>
      </c>
      <c r="J232" s="39" t="str">
        <f t="shared" si="62"/>
        <v/>
      </c>
      <c r="K232" s="39" t="str">
        <f t="shared" si="63"/>
        <v/>
      </c>
      <c r="L232" s="39" t="str">
        <f t="shared" si="64"/>
        <v/>
      </c>
      <c r="M232" s="39" t="str">
        <f t="shared" si="65"/>
        <v/>
      </c>
      <c r="N232" s="40" t="str">
        <f t="shared" si="66"/>
        <v/>
      </c>
      <c r="O232" s="39" t="str">
        <f t="shared" si="67"/>
        <v/>
      </c>
      <c r="P232" s="39" t="str">
        <f t="shared" si="68"/>
        <v/>
      </c>
      <c r="Q232" s="39" t="str">
        <f t="shared" si="69"/>
        <v/>
      </c>
      <c r="R232" s="39" t="str">
        <f t="shared" si="70"/>
        <v/>
      </c>
      <c r="S232" s="37" t="str">
        <f t="shared" si="71"/>
        <v/>
      </c>
    </row>
    <row r="233" spans="1:19" x14ac:dyDescent="0.3">
      <c r="A233" s="33">
        <f>229</f>
        <v>229</v>
      </c>
      <c r="B233" s="34" t="str">
        <f t="shared" si="54"/>
        <v/>
      </c>
      <c r="C233" s="33" t="str">
        <f t="shared" si="55"/>
        <v/>
      </c>
      <c r="D233" s="33" t="str">
        <f t="shared" si="56"/>
        <v/>
      </c>
      <c r="E233" s="35" t="str">
        <f t="shared" si="57"/>
        <v/>
      </c>
      <c r="F233" s="35" t="str">
        <f t="shared" si="58"/>
        <v/>
      </c>
      <c r="G233" s="33" t="str">
        <f t="shared" si="59"/>
        <v/>
      </c>
      <c r="H233" s="35" t="str">
        <f t="shared" si="60"/>
        <v/>
      </c>
      <c r="I233" s="35" t="str">
        <f t="shared" si="61"/>
        <v/>
      </c>
      <c r="J233" s="35" t="str">
        <f t="shared" si="62"/>
        <v/>
      </c>
      <c r="K233" s="35" t="str">
        <f t="shared" si="63"/>
        <v/>
      </c>
      <c r="L233" s="35" t="str">
        <f t="shared" si="64"/>
        <v/>
      </c>
      <c r="M233" s="35" t="str">
        <f t="shared" si="65"/>
        <v/>
      </c>
      <c r="N233" s="36" t="str">
        <f t="shared" si="66"/>
        <v/>
      </c>
      <c r="O233" s="35" t="str">
        <f t="shared" si="67"/>
        <v/>
      </c>
      <c r="P233" s="35" t="str">
        <f t="shared" si="68"/>
        <v/>
      </c>
      <c r="Q233" s="35" t="str">
        <f t="shared" si="69"/>
        <v/>
      </c>
      <c r="R233" s="35" t="str">
        <f t="shared" si="70"/>
        <v/>
      </c>
      <c r="S233" s="33" t="str">
        <f t="shared" si="71"/>
        <v/>
      </c>
    </row>
    <row r="234" spans="1:19" x14ac:dyDescent="0.3">
      <c r="A234" s="33">
        <f>230</f>
        <v>230</v>
      </c>
      <c r="B234" s="34" t="str">
        <f t="shared" si="54"/>
        <v/>
      </c>
      <c r="C234" s="33" t="str">
        <f t="shared" si="55"/>
        <v/>
      </c>
      <c r="D234" s="33" t="str">
        <f t="shared" si="56"/>
        <v/>
      </c>
      <c r="E234" s="35" t="str">
        <f t="shared" si="57"/>
        <v/>
      </c>
      <c r="F234" s="35" t="str">
        <f t="shared" si="58"/>
        <v/>
      </c>
      <c r="G234" s="33" t="str">
        <f t="shared" si="59"/>
        <v/>
      </c>
      <c r="H234" s="35" t="str">
        <f t="shared" si="60"/>
        <v/>
      </c>
      <c r="I234" s="35" t="str">
        <f t="shared" si="61"/>
        <v/>
      </c>
      <c r="J234" s="35" t="str">
        <f t="shared" si="62"/>
        <v/>
      </c>
      <c r="K234" s="35" t="str">
        <f t="shared" si="63"/>
        <v/>
      </c>
      <c r="L234" s="35" t="str">
        <f t="shared" si="64"/>
        <v/>
      </c>
      <c r="M234" s="35" t="str">
        <f t="shared" si="65"/>
        <v/>
      </c>
      <c r="N234" s="36" t="str">
        <f t="shared" si="66"/>
        <v/>
      </c>
      <c r="O234" s="35" t="str">
        <f t="shared" si="67"/>
        <v/>
      </c>
      <c r="P234" s="35" t="str">
        <f t="shared" si="68"/>
        <v/>
      </c>
      <c r="Q234" s="35" t="str">
        <f t="shared" si="69"/>
        <v/>
      </c>
      <c r="R234" s="35" t="str">
        <f t="shared" si="70"/>
        <v/>
      </c>
      <c r="S234" s="33" t="str">
        <f t="shared" si="71"/>
        <v/>
      </c>
    </row>
    <row r="235" spans="1:19" x14ac:dyDescent="0.3">
      <c r="A235" s="33">
        <f>231</f>
        <v>231</v>
      </c>
      <c r="B235" s="34" t="str">
        <f t="shared" si="54"/>
        <v/>
      </c>
      <c r="C235" s="33" t="str">
        <f t="shared" si="55"/>
        <v/>
      </c>
      <c r="D235" s="33" t="str">
        <f t="shared" si="56"/>
        <v/>
      </c>
      <c r="E235" s="35" t="str">
        <f t="shared" si="57"/>
        <v/>
      </c>
      <c r="F235" s="35" t="str">
        <f t="shared" si="58"/>
        <v/>
      </c>
      <c r="G235" s="33" t="str">
        <f t="shared" si="59"/>
        <v/>
      </c>
      <c r="H235" s="35" t="str">
        <f t="shared" si="60"/>
        <v/>
      </c>
      <c r="I235" s="35" t="str">
        <f t="shared" si="61"/>
        <v/>
      </c>
      <c r="J235" s="35" t="str">
        <f t="shared" si="62"/>
        <v/>
      </c>
      <c r="K235" s="35" t="str">
        <f t="shared" si="63"/>
        <v/>
      </c>
      <c r="L235" s="35" t="str">
        <f t="shared" si="64"/>
        <v/>
      </c>
      <c r="M235" s="35" t="str">
        <f t="shared" si="65"/>
        <v/>
      </c>
      <c r="N235" s="36" t="str">
        <f t="shared" si="66"/>
        <v/>
      </c>
      <c r="O235" s="35" t="str">
        <f t="shared" si="67"/>
        <v/>
      </c>
      <c r="P235" s="35" t="str">
        <f t="shared" si="68"/>
        <v/>
      </c>
      <c r="Q235" s="35" t="str">
        <f t="shared" si="69"/>
        <v/>
      </c>
      <c r="R235" s="35" t="str">
        <f t="shared" si="70"/>
        <v/>
      </c>
      <c r="S235" s="33" t="str">
        <f t="shared" si="71"/>
        <v/>
      </c>
    </row>
    <row r="236" spans="1:19" x14ac:dyDescent="0.3">
      <c r="A236" s="33">
        <f>232</f>
        <v>232</v>
      </c>
      <c r="B236" s="34" t="str">
        <f t="shared" si="54"/>
        <v/>
      </c>
      <c r="C236" s="33" t="str">
        <f t="shared" si="55"/>
        <v/>
      </c>
      <c r="D236" s="33" t="str">
        <f t="shared" si="56"/>
        <v/>
      </c>
      <c r="E236" s="35" t="str">
        <f t="shared" si="57"/>
        <v/>
      </c>
      <c r="F236" s="35" t="str">
        <f t="shared" si="58"/>
        <v/>
      </c>
      <c r="G236" s="33" t="str">
        <f t="shared" si="59"/>
        <v/>
      </c>
      <c r="H236" s="35" t="str">
        <f t="shared" si="60"/>
        <v/>
      </c>
      <c r="I236" s="35" t="str">
        <f t="shared" si="61"/>
        <v/>
      </c>
      <c r="J236" s="35" t="str">
        <f t="shared" si="62"/>
        <v/>
      </c>
      <c r="K236" s="35" t="str">
        <f t="shared" si="63"/>
        <v/>
      </c>
      <c r="L236" s="35" t="str">
        <f t="shared" si="64"/>
        <v/>
      </c>
      <c r="M236" s="35" t="str">
        <f t="shared" si="65"/>
        <v/>
      </c>
      <c r="N236" s="36" t="str">
        <f t="shared" si="66"/>
        <v/>
      </c>
      <c r="O236" s="35" t="str">
        <f t="shared" si="67"/>
        <v/>
      </c>
      <c r="P236" s="35" t="str">
        <f t="shared" si="68"/>
        <v/>
      </c>
      <c r="Q236" s="35" t="str">
        <f t="shared" si="69"/>
        <v/>
      </c>
      <c r="R236" s="35" t="str">
        <f t="shared" si="70"/>
        <v/>
      </c>
      <c r="S236" s="33" t="str">
        <f t="shared" si="71"/>
        <v/>
      </c>
    </row>
    <row r="237" spans="1:19" x14ac:dyDescent="0.3">
      <c r="A237" s="33">
        <f>233</f>
        <v>233</v>
      </c>
      <c r="B237" s="34" t="str">
        <f t="shared" si="54"/>
        <v/>
      </c>
      <c r="C237" s="33" t="str">
        <f t="shared" si="55"/>
        <v/>
      </c>
      <c r="D237" s="33" t="str">
        <f t="shared" si="56"/>
        <v/>
      </c>
      <c r="E237" s="35" t="str">
        <f t="shared" si="57"/>
        <v/>
      </c>
      <c r="F237" s="35" t="str">
        <f t="shared" si="58"/>
        <v/>
      </c>
      <c r="G237" s="33" t="str">
        <f t="shared" si="59"/>
        <v/>
      </c>
      <c r="H237" s="35" t="str">
        <f t="shared" si="60"/>
        <v/>
      </c>
      <c r="I237" s="35" t="str">
        <f t="shared" si="61"/>
        <v/>
      </c>
      <c r="J237" s="35" t="str">
        <f t="shared" si="62"/>
        <v/>
      </c>
      <c r="K237" s="35" t="str">
        <f t="shared" si="63"/>
        <v/>
      </c>
      <c r="L237" s="35" t="str">
        <f t="shared" si="64"/>
        <v/>
      </c>
      <c r="M237" s="35" t="str">
        <f t="shared" si="65"/>
        <v/>
      </c>
      <c r="N237" s="36" t="str">
        <f t="shared" si="66"/>
        <v/>
      </c>
      <c r="O237" s="35" t="str">
        <f t="shared" si="67"/>
        <v/>
      </c>
      <c r="P237" s="35" t="str">
        <f t="shared" si="68"/>
        <v/>
      </c>
      <c r="Q237" s="35" t="str">
        <f t="shared" si="69"/>
        <v/>
      </c>
      <c r="R237" s="35" t="str">
        <f t="shared" si="70"/>
        <v/>
      </c>
      <c r="S237" s="33" t="str">
        <f t="shared" si="71"/>
        <v/>
      </c>
    </row>
    <row r="238" spans="1:19" x14ac:dyDescent="0.3">
      <c r="A238" s="33">
        <f>234</f>
        <v>234</v>
      </c>
      <c r="B238" s="34" t="str">
        <f t="shared" si="54"/>
        <v/>
      </c>
      <c r="C238" s="33" t="str">
        <f t="shared" si="55"/>
        <v/>
      </c>
      <c r="D238" s="33" t="str">
        <f t="shared" si="56"/>
        <v/>
      </c>
      <c r="E238" s="35" t="str">
        <f t="shared" si="57"/>
        <v/>
      </c>
      <c r="F238" s="35" t="str">
        <f t="shared" si="58"/>
        <v/>
      </c>
      <c r="G238" s="33" t="str">
        <f t="shared" si="59"/>
        <v/>
      </c>
      <c r="H238" s="35" t="str">
        <f t="shared" si="60"/>
        <v/>
      </c>
      <c r="I238" s="35" t="str">
        <f t="shared" si="61"/>
        <v/>
      </c>
      <c r="J238" s="35" t="str">
        <f t="shared" si="62"/>
        <v/>
      </c>
      <c r="K238" s="35" t="str">
        <f t="shared" si="63"/>
        <v/>
      </c>
      <c r="L238" s="35" t="str">
        <f t="shared" si="64"/>
        <v/>
      </c>
      <c r="M238" s="35" t="str">
        <f t="shared" si="65"/>
        <v/>
      </c>
      <c r="N238" s="36" t="str">
        <f t="shared" si="66"/>
        <v/>
      </c>
      <c r="O238" s="35" t="str">
        <f t="shared" si="67"/>
        <v/>
      </c>
      <c r="P238" s="35" t="str">
        <f t="shared" si="68"/>
        <v/>
      </c>
      <c r="Q238" s="35" t="str">
        <f t="shared" si="69"/>
        <v/>
      </c>
      <c r="R238" s="35" t="str">
        <f t="shared" si="70"/>
        <v/>
      </c>
      <c r="S238" s="33" t="str">
        <f t="shared" si="71"/>
        <v/>
      </c>
    </row>
    <row r="239" spans="1:19" x14ac:dyDescent="0.3">
      <c r="A239" s="33">
        <f>235</f>
        <v>235</v>
      </c>
      <c r="B239" s="34" t="str">
        <f t="shared" si="54"/>
        <v/>
      </c>
      <c r="C239" s="33" t="str">
        <f t="shared" si="55"/>
        <v/>
      </c>
      <c r="D239" s="33" t="str">
        <f t="shared" si="56"/>
        <v/>
      </c>
      <c r="E239" s="35" t="str">
        <f t="shared" si="57"/>
        <v/>
      </c>
      <c r="F239" s="35" t="str">
        <f t="shared" si="58"/>
        <v/>
      </c>
      <c r="G239" s="33" t="str">
        <f t="shared" si="59"/>
        <v/>
      </c>
      <c r="H239" s="35" t="str">
        <f t="shared" si="60"/>
        <v/>
      </c>
      <c r="I239" s="35" t="str">
        <f t="shared" si="61"/>
        <v/>
      </c>
      <c r="J239" s="35" t="str">
        <f t="shared" si="62"/>
        <v/>
      </c>
      <c r="K239" s="35" t="str">
        <f t="shared" si="63"/>
        <v/>
      </c>
      <c r="L239" s="35" t="str">
        <f t="shared" si="64"/>
        <v/>
      </c>
      <c r="M239" s="35" t="str">
        <f t="shared" si="65"/>
        <v/>
      </c>
      <c r="N239" s="36" t="str">
        <f t="shared" si="66"/>
        <v/>
      </c>
      <c r="O239" s="35" t="str">
        <f t="shared" si="67"/>
        <v/>
      </c>
      <c r="P239" s="35" t="str">
        <f t="shared" si="68"/>
        <v/>
      </c>
      <c r="Q239" s="35" t="str">
        <f t="shared" si="69"/>
        <v/>
      </c>
      <c r="R239" s="35" t="str">
        <f t="shared" si="70"/>
        <v/>
      </c>
      <c r="S239" s="33" t="str">
        <f t="shared" si="71"/>
        <v/>
      </c>
    </row>
    <row r="240" spans="1:19" x14ac:dyDescent="0.3">
      <c r="A240" s="33">
        <f>236</f>
        <v>236</v>
      </c>
      <c r="B240" s="34" t="str">
        <f t="shared" si="54"/>
        <v/>
      </c>
      <c r="C240" s="33" t="str">
        <f t="shared" si="55"/>
        <v/>
      </c>
      <c r="D240" s="33" t="str">
        <f t="shared" si="56"/>
        <v/>
      </c>
      <c r="E240" s="35" t="str">
        <f t="shared" si="57"/>
        <v/>
      </c>
      <c r="F240" s="35" t="str">
        <f t="shared" si="58"/>
        <v/>
      </c>
      <c r="G240" s="33" t="str">
        <f t="shared" si="59"/>
        <v/>
      </c>
      <c r="H240" s="35" t="str">
        <f t="shared" si="60"/>
        <v/>
      </c>
      <c r="I240" s="35" t="str">
        <f t="shared" si="61"/>
        <v/>
      </c>
      <c r="J240" s="35" t="str">
        <f t="shared" si="62"/>
        <v/>
      </c>
      <c r="K240" s="35" t="str">
        <f t="shared" si="63"/>
        <v/>
      </c>
      <c r="L240" s="35" t="str">
        <f t="shared" si="64"/>
        <v/>
      </c>
      <c r="M240" s="35" t="str">
        <f t="shared" si="65"/>
        <v/>
      </c>
      <c r="N240" s="36" t="str">
        <f t="shared" si="66"/>
        <v/>
      </c>
      <c r="O240" s="35" t="str">
        <f t="shared" si="67"/>
        <v/>
      </c>
      <c r="P240" s="35" t="str">
        <f t="shared" si="68"/>
        <v/>
      </c>
      <c r="Q240" s="35" t="str">
        <f t="shared" si="69"/>
        <v/>
      </c>
      <c r="R240" s="35" t="str">
        <f t="shared" si="70"/>
        <v/>
      </c>
      <c r="S240" s="33" t="str">
        <f t="shared" si="71"/>
        <v/>
      </c>
    </row>
    <row r="241" spans="1:19" x14ac:dyDescent="0.3">
      <c r="A241" s="33">
        <f>237</f>
        <v>237</v>
      </c>
      <c r="B241" s="34" t="str">
        <f t="shared" si="54"/>
        <v/>
      </c>
      <c r="C241" s="33" t="str">
        <f t="shared" si="55"/>
        <v/>
      </c>
      <c r="D241" s="33" t="str">
        <f t="shared" si="56"/>
        <v/>
      </c>
      <c r="E241" s="35" t="str">
        <f t="shared" si="57"/>
        <v/>
      </c>
      <c r="F241" s="35" t="str">
        <f t="shared" si="58"/>
        <v/>
      </c>
      <c r="G241" s="33" t="str">
        <f t="shared" si="59"/>
        <v/>
      </c>
      <c r="H241" s="35" t="str">
        <f t="shared" si="60"/>
        <v/>
      </c>
      <c r="I241" s="35" t="str">
        <f t="shared" si="61"/>
        <v/>
      </c>
      <c r="J241" s="35" t="str">
        <f t="shared" si="62"/>
        <v/>
      </c>
      <c r="K241" s="35" t="str">
        <f t="shared" si="63"/>
        <v/>
      </c>
      <c r="L241" s="35" t="str">
        <f t="shared" si="64"/>
        <v/>
      </c>
      <c r="M241" s="35" t="str">
        <f t="shared" si="65"/>
        <v/>
      </c>
      <c r="N241" s="36" t="str">
        <f t="shared" si="66"/>
        <v/>
      </c>
      <c r="O241" s="35" t="str">
        <f t="shared" si="67"/>
        <v/>
      </c>
      <c r="P241" s="35" t="str">
        <f t="shared" si="68"/>
        <v/>
      </c>
      <c r="Q241" s="35" t="str">
        <f t="shared" si="69"/>
        <v/>
      </c>
      <c r="R241" s="35" t="str">
        <f t="shared" si="70"/>
        <v/>
      </c>
      <c r="S241" s="33" t="str">
        <f t="shared" si="71"/>
        <v/>
      </c>
    </row>
    <row r="242" spans="1:19" x14ac:dyDescent="0.3">
      <c r="A242" s="33">
        <f>238</f>
        <v>238</v>
      </c>
      <c r="B242" s="34" t="str">
        <f t="shared" si="54"/>
        <v/>
      </c>
      <c r="C242" s="33" t="str">
        <f t="shared" si="55"/>
        <v/>
      </c>
      <c r="D242" s="33" t="str">
        <f t="shared" si="56"/>
        <v/>
      </c>
      <c r="E242" s="35" t="str">
        <f t="shared" si="57"/>
        <v/>
      </c>
      <c r="F242" s="35" t="str">
        <f t="shared" si="58"/>
        <v/>
      </c>
      <c r="G242" s="33" t="str">
        <f t="shared" si="59"/>
        <v/>
      </c>
      <c r="H242" s="35" t="str">
        <f t="shared" si="60"/>
        <v/>
      </c>
      <c r="I242" s="35" t="str">
        <f t="shared" si="61"/>
        <v/>
      </c>
      <c r="J242" s="35" t="str">
        <f t="shared" si="62"/>
        <v/>
      </c>
      <c r="K242" s="35" t="str">
        <f t="shared" si="63"/>
        <v/>
      </c>
      <c r="L242" s="35" t="str">
        <f t="shared" si="64"/>
        <v/>
      </c>
      <c r="M242" s="35" t="str">
        <f t="shared" si="65"/>
        <v/>
      </c>
      <c r="N242" s="36" t="str">
        <f t="shared" si="66"/>
        <v/>
      </c>
      <c r="O242" s="35" t="str">
        <f t="shared" si="67"/>
        <v/>
      </c>
      <c r="P242" s="35" t="str">
        <f t="shared" si="68"/>
        <v/>
      </c>
      <c r="Q242" s="35" t="str">
        <f t="shared" si="69"/>
        <v/>
      </c>
      <c r="R242" s="35" t="str">
        <f t="shared" si="70"/>
        <v/>
      </c>
      <c r="S242" s="33" t="str">
        <f t="shared" si="71"/>
        <v/>
      </c>
    </row>
    <row r="243" spans="1:19" x14ac:dyDescent="0.3">
      <c r="A243" s="33">
        <f>239</f>
        <v>239</v>
      </c>
      <c r="B243" s="34" t="str">
        <f t="shared" si="54"/>
        <v/>
      </c>
      <c r="C243" s="33" t="str">
        <f t="shared" si="55"/>
        <v/>
      </c>
      <c r="D243" s="33" t="str">
        <f t="shared" si="56"/>
        <v/>
      </c>
      <c r="E243" s="35" t="str">
        <f t="shared" si="57"/>
        <v/>
      </c>
      <c r="F243" s="35" t="str">
        <f t="shared" si="58"/>
        <v/>
      </c>
      <c r="G243" s="33" t="str">
        <f t="shared" si="59"/>
        <v/>
      </c>
      <c r="H243" s="35" t="str">
        <f t="shared" si="60"/>
        <v/>
      </c>
      <c r="I243" s="35" t="str">
        <f t="shared" si="61"/>
        <v/>
      </c>
      <c r="J243" s="35" t="str">
        <f t="shared" si="62"/>
        <v/>
      </c>
      <c r="K243" s="35" t="str">
        <f t="shared" si="63"/>
        <v/>
      </c>
      <c r="L243" s="35" t="str">
        <f t="shared" si="64"/>
        <v/>
      </c>
      <c r="M243" s="35" t="str">
        <f t="shared" si="65"/>
        <v/>
      </c>
      <c r="N243" s="36" t="str">
        <f t="shared" si="66"/>
        <v/>
      </c>
      <c r="O243" s="35" t="str">
        <f t="shared" si="67"/>
        <v/>
      </c>
      <c r="P243" s="35" t="str">
        <f t="shared" si="68"/>
        <v/>
      </c>
      <c r="Q243" s="35" t="str">
        <f t="shared" si="69"/>
        <v/>
      </c>
      <c r="R243" s="35" t="str">
        <f t="shared" si="70"/>
        <v/>
      </c>
      <c r="S243" s="33" t="str">
        <f t="shared" si="71"/>
        <v/>
      </c>
    </row>
    <row r="244" spans="1:19" x14ac:dyDescent="0.3">
      <c r="A244" s="37">
        <f>240</f>
        <v>240</v>
      </c>
      <c r="B244" s="38" t="str">
        <f t="shared" si="54"/>
        <v/>
      </c>
      <c r="C244" s="37" t="str">
        <f t="shared" si="55"/>
        <v/>
      </c>
      <c r="D244" s="37" t="str">
        <f t="shared" si="56"/>
        <v/>
      </c>
      <c r="E244" s="39" t="str">
        <f t="shared" si="57"/>
        <v/>
      </c>
      <c r="F244" s="39" t="str">
        <f t="shared" si="58"/>
        <v/>
      </c>
      <c r="G244" s="37" t="str">
        <f t="shared" si="59"/>
        <v/>
      </c>
      <c r="H244" s="39" t="str">
        <f t="shared" si="60"/>
        <v/>
      </c>
      <c r="I244" s="39" t="str">
        <f t="shared" si="61"/>
        <v/>
      </c>
      <c r="J244" s="39" t="str">
        <f t="shared" si="62"/>
        <v/>
      </c>
      <c r="K244" s="39" t="str">
        <f t="shared" si="63"/>
        <v/>
      </c>
      <c r="L244" s="39" t="str">
        <f t="shared" si="64"/>
        <v/>
      </c>
      <c r="M244" s="39" t="str">
        <f t="shared" si="65"/>
        <v/>
      </c>
      <c r="N244" s="40" t="str">
        <f t="shared" si="66"/>
        <v/>
      </c>
      <c r="O244" s="39" t="str">
        <f t="shared" si="67"/>
        <v/>
      </c>
      <c r="P244" s="39" t="str">
        <f t="shared" si="68"/>
        <v/>
      </c>
      <c r="Q244" s="39" t="str">
        <f t="shared" si="69"/>
        <v/>
      </c>
      <c r="R244" s="39" t="str">
        <f t="shared" si="70"/>
        <v/>
      </c>
      <c r="S244" s="37" t="str">
        <f t="shared" si="71"/>
        <v/>
      </c>
    </row>
    <row r="245" spans="1:19" x14ac:dyDescent="0.3">
      <c r="A245" s="33">
        <f>241</f>
        <v>241</v>
      </c>
      <c r="B245" s="34" t="str">
        <f t="shared" si="54"/>
        <v/>
      </c>
      <c r="C245" s="33" t="str">
        <f t="shared" si="55"/>
        <v/>
      </c>
      <c r="D245" s="33" t="str">
        <f t="shared" si="56"/>
        <v/>
      </c>
      <c r="E245" s="35" t="str">
        <f t="shared" si="57"/>
        <v/>
      </c>
      <c r="F245" s="35" t="str">
        <f t="shared" si="58"/>
        <v/>
      </c>
      <c r="G245" s="33" t="str">
        <f t="shared" si="59"/>
        <v/>
      </c>
      <c r="H245" s="35" t="str">
        <f t="shared" si="60"/>
        <v/>
      </c>
      <c r="I245" s="35" t="str">
        <f t="shared" si="61"/>
        <v/>
      </c>
      <c r="J245" s="35" t="str">
        <f t="shared" si="62"/>
        <v/>
      </c>
      <c r="K245" s="35" t="str">
        <f t="shared" si="63"/>
        <v/>
      </c>
      <c r="L245" s="35" t="str">
        <f t="shared" si="64"/>
        <v/>
      </c>
      <c r="M245" s="35" t="str">
        <f t="shared" si="65"/>
        <v/>
      </c>
      <c r="N245" s="36" t="str">
        <f t="shared" si="66"/>
        <v/>
      </c>
      <c r="O245" s="35" t="str">
        <f t="shared" si="67"/>
        <v/>
      </c>
      <c r="P245" s="35" t="str">
        <f t="shared" si="68"/>
        <v/>
      </c>
      <c r="Q245" s="35" t="str">
        <f t="shared" si="69"/>
        <v/>
      </c>
      <c r="R245" s="35" t="str">
        <f t="shared" si="70"/>
        <v/>
      </c>
      <c r="S245" s="33" t="str">
        <f t="shared" si="71"/>
        <v/>
      </c>
    </row>
    <row r="246" spans="1:19" x14ac:dyDescent="0.3">
      <c r="A246" s="33">
        <f>242</f>
        <v>242</v>
      </c>
      <c r="B246" s="34" t="str">
        <f t="shared" si="54"/>
        <v/>
      </c>
      <c r="C246" s="33" t="str">
        <f t="shared" si="55"/>
        <v/>
      </c>
      <c r="D246" s="33" t="str">
        <f t="shared" si="56"/>
        <v/>
      </c>
      <c r="E246" s="35" t="str">
        <f t="shared" si="57"/>
        <v/>
      </c>
      <c r="F246" s="35" t="str">
        <f t="shared" si="58"/>
        <v/>
      </c>
      <c r="G246" s="33" t="str">
        <f t="shared" si="59"/>
        <v/>
      </c>
      <c r="H246" s="35" t="str">
        <f t="shared" si="60"/>
        <v/>
      </c>
      <c r="I246" s="35" t="str">
        <f t="shared" si="61"/>
        <v/>
      </c>
      <c r="J246" s="35" t="str">
        <f t="shared" si="62"/>
        <v/>
      </c>
      <c r="K246" s="35" t="str">
        <f t="shared" si="63"/>
        <v/>
      </c>
      <c r="L246" s="35" t="str">
        <f t="shared" si="64"/>
        <v/>
      </c>
      <c r="M246" s="35" t="str">
        <f t="shared" si="65"/>
        <v/>
      </c>
      <c r="N246" s="36" t="str">
        <f t="shared" si="66"/>
        <v/>
      </c>
      <c r="O246" s="35" t="str">
        <f t="shared" si="67"/>
        <v/>
      </c>
      <c r="P246" s="35" t="str">
        <f t="shared" si="68"/>
        <v/>
      </c>
      <c r="Q246" s="35" t="str">
        <f t="shared" si="69"/>
        <v/>
      </c>
      <c r="R246" s="35" t="str">
        <f t="shared" si="70"/>
        <v/>
      </c>
      <c r="S246" s="33" t="str">
        <f t="shared" si="71"/>
        <v/>
      </c>
    </row>
    <row r="247" spans="1:19" x14ac:dyDescent="0.3">
      <c r="A247" s="33">
        <f>243</f>
        <v>243</v>
      </c>
      <c r="B247" s="34" t="str">
        <f t="shared" si="54"/>
        <v/>
      </c>
      <c r="C247" s="33" t="str">
        <f t="shared" si="55"/>
        <v/>
      </c>
      <c r="D247" s="33" t="str">
        <f t="shared" si="56"/>
        <v/>
      </c>
      <c r="E247" s="35" t="str">
        <f t="shared" si="57"/>
        <v/>
      </c>
      <c r="F247" s="35" t="str">
        <f t="shared" si="58"/>
        <v/>
      </c>
      <c r="G247" s="33" t="str">
        <f t="shared" si="59"/>
        <v/>
      </c>
      <c r="H247" s="35" t="str">
        <f t="shared" si="60"/>
        <v/>
      </c>
      <c r="I247" s="35" t="str">
        <f t="shared" si="61"/>
        <v/>
      </c>
      <c r="J247" s="35" t="str">
        <f t="shared" si="62"/>
        <v/>
      </c>
      <c r="K247" s="35" t="str">
        <f t="shared" si="63"/>
        <v/>
      </c>
      <c r="L247" s="35" t="str">
        <f t="shared" si="64"/>
        <v/>
      </c>
      <c r="M247" s="35" t="str">
        <f t="shared" si="65"/>
        <v/>
      </c>
      <c r="N247" s="36" t="str">
        <f t="shared" si="66"/>
        <v/>
      </c>
      <c r="O247" s="35" t="str">
        <f t="shared" si="67"/>
        <v/>
      </c>
      <c r="P247" s="35" t="str">
        <f t="shared" si="68"/>
        <v/>
      </c>
      <c r="Q247" s="35" t="str">
        <f t="shared" si="69"/>
        <v/>
      </c>
      <c r="R247" s="35" t="str">
        <f t="shared" si="70"/>
        <v/>
      </c>
      <c r="S247" s="33" t="str">
        <f t="shared" si="71"/>
        <v/>
      </c>
    </row>
    <row r="248" spans="1:19" x14ac:dyDescent="0.3">
      <c r="A248" s="33">
        <f>244</f>
        <v>244</v>
      </c>
      <c r="B248" s="34" t="str">
        <f t="shared" si="54"/>
        <v/>
      </c>
      <c r="C248" s="33" t="str">
        <f t="shared" si="55"/>
        <v/>
      </c>
      <c r="D248" s="33" t="str">
        <f t="shared" si="56"/>
        <v/>
      </c>
      <c r="E248" s="35" t="str">
        <f t="shared" si="57"/>
        <v/>
      </c>
      <c r="F248" s="35" t="str">
        <f t="shared" si="58"/>
        <v/>
      </c>
      <c r="G248" s="33" t="str">
        <f t="shared" si="59"/>
        <v/>
      </c>
      <c r="H248" s="35" t="str">
        <f t="shared" si="60"/>
        <v/>
      </c>
      <c r="I248" s="35" t="str">
        <f t="shared" si="61"/>
        <v/>
      </c>
      <c r="J248" s="35" t="str">
        <f t="shared" si="62"/>
        <v/>
      </c>
      <c r="K248" s="35" t="str">
        <f t="shared" si="63"/>
        <v/>
      </c>
      <c r="L248" s="35" t="str">
        <f t="shared" si="64"/>
        <v/>
      </c>
      <c r="M248" s="35" t="str">
        <f t="shared" si="65"/>
        <v/>
      </c>
      <c r="N248" s="36" t="str">
        <f t="shared" si="66"/>
        <v/>
      </c>
      <c r="O248" s="35" t="str">
        <f t="shared" si="67"/>
        <v/>
      </c>
      <c r="P248" s="35" t="str">
        <f t="shared" si="68"/>
        <v/>
      </c>
      <c r="Q248" s="35" t="str">
        <f t="shared" si="69"/>
        <v/>
      </c>
      <c r="R248" s="35" t="str">
        <f t="shared" si="70"/>
        <v/>
      </c>
      <c r="S248" s="33" t="str">
        <f t="shared" si="71"/>
        <v/>
      </c>
    </row>
    <row r="249" spans="1:19" x14ac:dyDescent="0.3">
      <c r="A249" s="33">
        <f>245</f>
        <v>245</v>
      </c>
      <c r="B249" s="34" t="str">
        <f t="shared" si="54"/>
        <v/>
      </c>
      <c r="C249" s="33" t="str">
        <f t="shared" si="55"/>
        <v/>
      </c>
      <c r="D249" s="33" t="str">
        <f t="shared" si="56"/>
        <v/>
      </c>
      <c r="E249" s="35" t="str">
        <f t="shared" si="57"/>
        <v/>
      </c>
      <c r="F249" s="35" t="str">
        <f t="shared" si="58"/>
        <v/>
      </c>
      <c r="G249" s="33" t="str">
        <f t="shared" si="59"/>
        <v/>
      </c>
      <c r="H249" s="35" t="str">
        <f t="shared" si="60"/>
        <v/>
      </c>
      <c r="I249" s="35" t="str">
        <f t="shared" si="61"/>
        <v/>
      </c>
      <c r="J249" s="35" t="str">
        <f t="shared" si="62"/>
        <v/>
      </c>
      <c r="K249" s="35" t="str">
        <f t="shared" si="63"/>
        <v/>
      </c>
      <c r="L249" s="35" t="str">
        <f t="shared" si="64"/>
        <v/>
      </c>
      <c r="M249" s="35" t="str">
        <f t="shared" si="65"/>
        <v/>
      </c>
      <c r="N249" s="36" t="str">
        <f t="shared" si="66"/>
        <v/>
      </c>
      <c r="O249" s="35" t="str">
        <f t="shared" si="67"/>
        <v/>
      </c>
      <c r="P249" s="35" t="str">
        <f t="shared" si="68"/>
        <v/>
      </c>
      <c r="Q249" s="35" t="str">
        <f t="shared" si="69"/>
        <v/>
      </c>
      <c r="R249" s="35" t="str">
        <f t="shared" si="70"/>
        <v/>
      </c>
      <c r="S249" s="33" t="str">
        <f t="shared" si="71"/>
        <v/>
      </c>
    </row>
    <row r="250" spans="1:19" x14ac:dyDescent="0.3">
      <c r="A250" s="33">
        <f>246</f>
        <v>246</v>
      </c>
      <c r="B250" s="34" t="str">
        <f t="shared" si="54"/>
        <v/>
      </c>
      <c r="C250" s="33" t="str">
        <f t="shared" si="55"/>
        <v/>
      </c>
      <c r="D250" s="33" t="str">
        <f t="shared" si="56"/>
        <v/>
      </c>
      <c r="E250" s="35" t="str">
        <f t="shared" si="57"/>
        <v/>
      </c>
      <c r="F250" s="35" t="str">
        <f t="shared" si="58"/>
        <v/>
      </c>
      <c r="G250" s="33" t="str">
        <f t="shared" si="59"/>
        <v/>
      </c>
      <c r="H250" s="35" t="str">
        <f t="shared" si="60"/>
        <v/>
      </c>
      <c r="I250" s="35" t="str">
        <f t="shared" si="61"/>
        <v/>
      </c>
      <c r="J250" s="35" t="str">
        <f t="shared" si="62"/>
        <v/>
      </c>
      <c r="K250" s="35" t="str">
        <f t="shared" si="63"/>
        <v/>
      </c>
      <c r="L250" s="35" t="str">
        <f t="shared" si="64"/>
        <v/>
      </c>
      <c r="M250" s="35" t="str">
        <f t="shared" si="65"/>
        <v/>
      </c>
      <c r="N250" s="36" t="str">
        <f t="shared" si="66"/>
        <v/>
      </c>
      <c r="O250" s="35" t="str">
        <f t="shared" si="67"/>
        <v/>
      </c>
      <c r="P250" s="35" t="str">
        <f t="shared" si="68"/>
        <v/>
      </c>
      <c r="Q250" s="35" t="str">
        <f t="shared" si="69"/>
        <v/>
      </c>
      <c r="R250" s="35" t="str">
        <f t="shared" si="70"/>
        <v/>
      </c>
      <c r="S250" s="33" t="str">
        <f t="shared" si="71"/>
        <v/>
      </c>
    </row>
    <row r="251" spans="1:19" x14ac:dyDescent="0.3">
      <c r="A251" s="33">
        <f>247</f>
        <v>247</v>
      </c>
      <c r="B251" s="34" t="str">
        <f t="shared" si="54"/>
        <v/>
      </c>
      <c r="C251" s="33" t="str">
        <f t="shared" si="55"/>
        <v/>
      </c>
      <c r="D251" s="33" t="str">
        <f t="shared" si="56"/>
        <v/>
      </c>
      <c r="E251" s="35" t="str">
        <f t="shared" si="57"/>
        <v/>
      </c>
      <c r="F251" s="35" t="str">
        <f t="shared" si="58"/>
        <v/>
      </c>
      <c r="G251" s="33" t="str">
        <f t="shared" si="59"/>
        <v/>
      </c>
      <c r="H251" s="35" t="str">
        <f t="shared" si="60"/>
        <v/>
      </c>
      <c r="I251" s="35" t="str">
        <f t="shared" si="61"/>
        <v/>
      </c>
      <c r="J251" s="35" t="str">
        <f t="shared" si="62"/>
        <v/>
      </c>
      <c r="K251" s="35" t="str">
        <f t="shared" si="63"/>
        <v/>
      </c>
      <c r="L251" s="35" t="str">
        <f t="shared" si="64"/>
        <v/>
      </c>
      <c r="M251" s="35" t="str">
        <f t="shared" si="65"/>
        <v/>
      </c>
      <c r="N251" s="36" t="str">
        <f t="shared" si="66"/>
        <v/>
      </c>
      <c r="O251" s="35" t="str">
        <f t="shared" si="67"/>
        <v/>
      </c>
      <c r="P251" s="35" t="str">
        <f t="shared" si="68"/>
        <v/>
      </c>
      <c r="Q251" s="35" t="str">
        <f t="shared" si="69"/>
        <v/>
      </c>
      <c r="R251" s="35" t="str">
        <f t="shared" si="70"/>
        <v/>
      </c>
      <c r="S251" s="33" t="str">
        <f t="shared" si="71"/>
        <v/>
      </c>
    </row>
    <row r="252" spans="1:19" x14ac:dyDescent="0.3">
      <c r="A252" s="33">
        <f>248</f>
        <v>248</v>
      </c>
      <c r="B252" s="34" t="str">
        <f t="shared" si="54"/>
        <v/>
      </c>
      <c r="C252" s="33" t="str">
        <f t="shared" si="55"/>
        <v/>
      </c>
      <c r="D252" s="33" t="str">
        <f t="shared" si="56"/>
        <v/>
      </c>
      <c r="E252" s="35" t="str">
        <f t="shared" si="57"/>
        <v/>
      </c>
      <c r="F252" s="35" t="str">
        <f t="shared" si="58"/>
        <v/>
      </c>
      <c r="G252" s="33" t="str">
        <f t="shared" si="59"/>
        <v/>
      </c>
      <c r="H252" s="35" t="str">
        <f t="shared" si="60"/>
        <v/>
      </c>
      <c r="I252" s="35" t="str">
        <f t="shared" si="61"/>
        <v/>
      </c>
      <c r="J252" s="35" t="str">
        <f t="shared" si="62"/>
        <v/>
      </c>
      <c r="K252" s="35" t="str">
        <f t="shared" si="63"/>
        <v/>
      </c>
      <c r="L252" s="35" t="str">
        <f t="shared" si="64"/>
        <v/>
      </c>
      <c r="M252" s="35" t="str">
        <f t="shared" si="65"/>
        <v/>
      </c>
      <c r="N252" s="36" t="str">
        <f t="shared" si="66"/>
        <v/>
      </c>
      <c r="O252" s="35" t="str">
        <f t="shared" si="67"/>
        <v/>
      </c>
      <c r="P252" s="35" t="str">
        <f t="shared" si="68"/>
        <v/>
      </c>
      <c r="Q252" s="35" t="str">
        <f t="shared" si="69"/>
        <v/>
      </c>
      <c r="R252" s="35" t="str">
        <f t="shared" si="70"/>
        <v/>
      </c>
      <c r="S252" s="33" t="str">
        <f t="shared" si="71"/>
        <v/>
      </c>
    </row>
    <row r="253" spans="1:19" x14ac:dyDescent="0.3">
      <c r="A253" s="33">
        <f>249</f>
        <v>249</v>
      </c>
      <c r="B253" s="34" t="str">
        <f t="shared" si="54"/>
        <v/>
      </c>
      <c r="C253" s="33" t="str">
        <f t="shared" si="55"/>
        <v/>
      </c>
      <c r="D253" s="33" t="str">
        <f t="shared" si="56"/>
        <v/>
      </c>
      <c r="E253" s="35" t="str">
        <f t="shared" si="57"/>
        <v/>
      </c>
      <c r="F253" s="35" t="str">
        <f t="shared" si="58"/>
        <v/>
      </c>
      <c r="G253" s="33" t="str">
        <f t="shared" si="59"/>
        <v/>
      </c>
      <c r="H253" s="35" t="str">
        <f t="shared" si="60"/>
        <v/>
      </c>
      <c r="I253" s="35" t="str">
        <f t="shared" si="61"/>
        <v/>
      </c>
      <c r="J253" s="35" t="str">
        <f t="shared" si="62"/>
        <v/>
      </c>
      <c r="K253" s="35" t="str">
        <f t="shared" si="63"/>
        <v/>
      </c>
      <c r="L253" s="35" t="str">
        <f t="shared" si="64"/>
        <v/>
      </c>
      <c r="M253" s="35" t="str">
        <f t="shared" si="65"/>
        <v/>
      </c>
      <c r="N253" s="36" t="str">
        <f t="shared" si="66"/>
        <v/>
      </c>
      <c r="O253" s="35" t="str">
        <f t="shared" si="67"/>
        <v/>
      </c>
      <c r="P253" s="35" t="str">
        <f t="shared" si="68"/>
        <v/>
      </c>
      <c r="Q253" s="35" t="str">
        <f t="shared" si="69"/>
        <v/>
      </c>
      <c r="R253" s="35" t="str">
        <f t="shared" si="70"/>
        <v/>
      </c>
      <c r="S253" s="33" t="str">
        <f t="shared" si="71"/>
        <v/>
      </c>
    </row>
    <row r="254" spans="1:19" x14ac:dyDescent="0.3">
      <c r="A254" s="33">
        <f>250</f>
        <v>250</v>
      </c>
      <c r="B254" s="34" t="str">
        <f t="shared" si="54"/>
        <v/>
      </c>
      <c r="C254" s="33" t="str">
        <f t="shared" si="55"/>
        <v/>
      </c>
      <c r="D254" s="33" t="str">
        <f t="shared" si="56"/>
        <v/>
      </c>
      <c r="E254" s="35" t="str">
        <f t="shared" si="57"/>
        <v/>
      </c>
      <c r="F254" s="35" t="str">
        <f t="shared" si="58"/>
        <v/>
      </c>
      <c r="G254" s="33" t="str">
        <f t="shared" si="59"/>
        <v/>
      </c>
      <c r="H254" s="35" t="str">
        <f t="shared" si="60"/>
        <v/>
      </c>
      <c r="I254" s="35" t="str">
        <f t="shared" si="61"/>
        <v/>
      </c>
      <c r="J254" s="35" t="str">
        <f t="shared" si="62"/>
        <v/>
      </c>
      <c r="K254" s="35" t="str">
        <f t="shared" si="63"/>
        <v/>
      </c>
      <c r="L254" s="35" t="str">
        <f t="shared" si="64"/>
        <v/>
      </c>
      <c r="M254" s="35" t="str">
        <f t="shared" si="65"/>
        <v/>
      </c>
      <c r="N254" s="36" t="str">
        <f t="shared" si="66"/>
        <v/>
      </c>
      <c r="O254" s="35" t="str">
        <f t="shared" si="67"/>
        <v/>
      </c>
      <c r="P254" s="35" t="str">
        <f t="shared" si="68"/>
        <v/>
      </c>
      <c r="Q254" s="35" t="str">
        <f t="shared" si="69"/>
        <v/>
      </c>
      <c r="R254" s="35" t="str">
        <f t="shared" si="70"/>
        <v/>
      </c>
      <c r="S254" s="33" t="str">
        <f t="shared" si="71"/>
        <v/>
      </c>
    </row>
    <row r="255" spans="1:19" x14ac:dyDescent="0.3">
      <c r="A255" s="33">
        <f>251</f>
        <v>251</v>
      </c>
      <c r="B255" s="34" t="str">
        <f t="shared" si="54"/>
        <v/>
      </c>
      <c r="C255" s="33" t="str">
        <f t="shared" si="55"/>
        <v/>
      </c>
      <c r="D255" s="33" t="str">
        <f t="shared" si="56"/>
        <v/>
      </c>
      <c r="E255" s="35" t="str">
        <f t="shared" si="57"/>
        <v/>
      </c>
      <c r="F255" s="35" t="str">
        <f t="shared" si="58"/>
        <v/>
      </c>
      <c r="G255" s="33" t="str">
        <f t="shared" si="59"/>
        <v/>
      </c>
      <c r="H255" s="35" t="str">
        <f t="shared" si="60"/>
        <v/>
      </c>
      <c r="I255" s="35" t="str">
        <f t="shared" si="61"/>
        <v/>
      </c>
      <c r="J255" s="35" t="str">
        <f t="shared" si="62"/>
        <v/>
      </c>
      <c r="K255" s="35" t="str">
        <f t="shared" si="63"/>
        <v/>
      </c>
      <c r="L255" s="35" t="str">
        <f t="shared" si="64"/>
        <v/>
      </c>
      <c r="M255" s="35" t="str">
        <f t="shared" si="65"/>
        <v/>
      </c>
      <c r="N255" s="36" t="str">
        <f t="shared" si="66"/>
        <v/>
      </c>
      <c r="O255" s="35" t="str">
        <f t="shared" si="67"/>
        <v/>
      </c>
      <c r="P255" s="35" t="str">
        <f t="shared" si="68"/>
        <v/>
      </c>
      <c r="Q255" s="35" t="str">
        <f t="shared" si="69"/>
        <v/>
      </c>
      <c r="R255" s="35" t="str">
        <f t="shared" si="70"/>
        <v/>
      </c>
      <c r="S255" s="33" t="str">
        <f t="shared" si="71"/>
        <v/>
      </c>
    </row>
    <row r="256" spans="1:19" x14ac:dyDescent="0.3">
      <c r="A256" s="37">
        <f>252</f>
        <v>252</v>
      </c>
      <c r="B256" s="38" t="str">
        <f t="shared" si="54"/>
        <v/>
      </c>
      <c r="C256" s="37" t="str">
        <f t="shared" si="55"/>
        <v/>
      </c>
      <c r="D256" s="37" t="str">
        <f t="shared" si="56"/>
        <v/>
      </c>
      <c r="E256" s="39" t="str">
        <f t="shared" si="57"/>
        <v/>
      </c>
      <c r="F256" s="39" t="str">
        <f t="shared" si="58"/>
        <v/>
      </c>
      <c r="G256" s="37" t="str">
        <f t="shared" si="59"/>
        <v/>
      </c>
      <c r="H256" s="39" t="str">
        <f t="shared" si="60"/>
        <v/>
      </c>
      <c r="I256" s="39" t="str">
        <f t="shared" si="61"/>
        <v/>
      </c>
      <c r="J256" s="39" t="str">
        <f t="shared" si="62"/>
        <v/>
      </c>
      <c r="K256" s="39" t="str">
        <f t="shared" si="63"/>
        <v/>
      </c>
      <c r="L256" s="39" t="str">
        <f t="shared" si="64"/>
        <v/>
      </c>
      <c r="M256" s="39" t="str">
        <f t="shared" si="65"/>
        <v/>
      </c>
      <c r="N256" s="40" t="str">
        <f t="shared" si="66"/>
        <v/>
      </c>
      <c r="O256" s="39" t="str">
        <f t="shared" si="67"/>
        <v/>
      </c>
      <c r="P256" s="39" t="str">
        <f t="shared" si="68"/>
        <v/>
      </c>
      <c r="Q256" s="39" t="str">
        <f t="shared" si="69"/>
        <v/>
      </c>
      <c r="R256" s="39" t="str">
        <f t="shared" si="70"/>
        <v/>
      </c>
      <c r="S256" s="37" t="str">
        <f t="shared" si="71"/>
        <v/>
      </c>
    </row>
    <row r="257" spans="1:19" x14ac:dyDescent="0.3">
      <c r="A257" s="33">
        <f>253</f>
        <v>253</v>
      </c>
      <c r="B257" s="34" t="str">
        <f t="shared" si="54"/>
        <v/>
      </c>
      <c r="C257" s="33" t="str">
        <f t="shared" si="55"/>
        <v/>
      </c>
      <c r="D257" s="33" t="str">
        <f t="shared" si="56"/>
        <v/>
      </c>
      <c r="E257" s="35" t="str">
        <f t="shared" si="57"/>
        <v/>
      </c>
      <c r="F257" s="35" t="str">
        <f t="shared" si="58"/>
        <v/>
      </c>
      <c r="G257" s="33" t="str">
        <f t="shared" si="59"/>
        <v/>
      </c>
      <c r="H257" s="35" t="str">
        <f t="shared" si="60"/>
        <v/>
      </c>
      <c r="I257" s="35" t="str">
        <f t="shared" si="61"/>
        <v/>
      </c>
      <c r="J257" s="35" t="str">
        <f t="shared" si="62"/>
        <v/>
      </c>
      <c r="K257" s="35" t="str">
        <f t="shared" si="63"/>
        <v/>
      </c>
      <c r="L257" s="35" t="str">
        <f t="shared" si="64"/>
        <v/>
      </c>
      <c r="M257" s="35" t="str">
        <f t="shared" si="65"/>
        <v/>
      </c>
      <c r="N257" s="36" t="str">
        <f t="shared" si="66"/>
        <v/>
      </c>
      <c r="O257" s="35" t="str">
        <f t="shared" si="67"/>
        <v/>
      </c>
      <c r="P257" s="35" t="str">
        <f t="shared" si="68"/>
        <v/>
      </c>
      <c r="Q257" s="35" t="str">
        <f t="shared" si="69"/>
        <v/>
      </c>
      <c r="R257" s="35" t="str">
        <f t="shared" si="70"/>
        <v/>
      </c>
      <c r="S257" s="33" t="str">
        <f t="shared" si="71"/>
        <v/>
      </c>
    </row>
    <row r="258" spans="1:19" x14ac:dyDescent="0.3">
      <c r="A258" s="33">
        <f>254</f>
        <v>254</v>
      </c>
      <c r="B258" s="34" t="str">
        <f t="shared" si="54"/>
        <v/>
      </c>
      <c r="C258" s="33" t="str">
        <f t="shared" si="55"/>
        <v/>
      </c>
      <c r="D258" s="33" t="str">
        <f t="shared" si="56"/>
        <v/>
      </c>
      <c r="E258" s="35" t="str">
        <f t="shared" si="57"/>
        <v/>
      </c>
      <c r="F258" s="35" t="str">
        <f t="shared" si="58"/>
        <v/>
      </c>
      <c r="G258" s="33" t="str">
        <f t="shared" si="59"/>
        <v/>
      </c>
      <c r="H258" s="35" t="str">
        <f t="shared" si="60"/>
        <v/>
      </c>
      <c r="I258" s="35" t="str">
        <f t="shared" si="61"/>
        <v/>
      </c>
      <c r="J258" s="35" t="str">
        <f t="shared" si="62"/>
        <v/>
      </c>
      <c r="K258" s="35" t="str">
        <f t="shared" si="63"/>
        <v/>
      </c>
      <c r="L258" s="35" t="str">
        <f t="shared" si="64"/>
        <v/>
      </c>
      <c r="M258" s="35" t="str">
        <f t="shared" si="65"/>
        <v/>
      </c>
      <c r="N258" s="36" t="str">
        <f t="shared" si="66"/>
        <v/>
      </c>
      <c r="O258" s="35" t="str">
        <f t="shared" si="67"/>
        <v/>
      </c>
      <c r="P258" s="35" t="str">
        <f t="shared" si="68"/>
        <v/>
      </c>
      <c r="Q258" s="35" t="str">
        <f t="shared" si="69"/>
        <v/>
      </c>
      <c r="R258" s="35" t="str">
        <f t="shared" si="70"/>
        <v/>
      </c>
      <c r="S258" s="33" t="str">
        <f t="shared" si="71"/>
        <v/>
      </c>
    </row>
    <row r="259" spans="1:19" x14ac:dyDescent="0.3">
      <c r="A259" s="33">
        <f>255</f>
        <v>255</v>
      </c>
      <c r="B259" s="34" t="str">
        <f t="shared" si="54"/>
        <v/>
      </c>
      <c r="C259" s="33" t="str">
        <f t="shared" si="55"/>
        <v/>
      </c>
      <c r="D259" s="33" t="str">
        <f t="shared" si="56"/>
        <v/>
      </c>
      <c r="E259" s="35" t="str">
        <f t="shared" si="57"/>
        <v/>
      </c>
      <c r="F259" s="35" t="str">
        <f t="shared" si="58"/>
        <v/>
      </c>
      <c r="G259" s="33" t="str">
        <f t="shared" si="59"/>
        <v/>
      </c>
      <c r="H259" s="35" t="str">
        <f t="shared" si="60"/>
        <v/>
      </c>
      <c r="I259" s="35" t="str">
        <f t="shared" si="61"/>
        <v/>
      </c>
      <c r="J259" s="35" t="str">
        <f t="shared" si="62"/>
        <v/>
      </c>
      <c r="K259" s="35" t="str">
        <f t="shared" si="63"/>
        <v/>
      </c>
      <c r="L259" s="35" t="str">
        <f t="shared" si="64"/>
        <v/>
      </c>
      <c r="M259" s="35" t="str">
        <f t="shared" si="65"/>
        <v/>
      </c>
      <c r="N259" s="36" t="str">
        <f t="shared" si="66"/>
        <v/>
      </c>
      <c r="O259" s="35" t="str">
        <f t="shared" si="67"/>
        <v/>
      </c>
      <c r="P259" s="35" t="str">
        <f t="shared" si="68"/>
        <v/>
      </c>
      <c r="Q259" s="35" t="str">
        <f t="shared" si="69"/>
        <v/>
      </c>
      <c r="R259" s="35" t="str">
        <f t="shared" si="70"/>
        <v/>
      </c>
      <c r="S259" s="33" t="str">
        <f t="shared" si="71"/>
        <v/>
      </c>
    </row>
    <row r="260" spans="1:19" x14ac:dyDescent="0.3">
      <c r="A260" s="33">
        <f>256</f>
        <v>256</v>
      </c>
      <c r="B260" s="34" t="str">
        <f t="shared" si="54"/>
        <v/>
      </c>
      <c r="C260" s="33" t="str">
        <f t="shared" si="55"/>
        <v/>
      </c>
      <c r="D260" s="33" t="str">
        <f t="shared" si="56"/>
        <v/>
      </c>
      <c r="E260" s="35" t="str">
        <f t="shared" si="57"/>
        <v/>
      </c>
      <c r="F260" s="35" t="str">
        <f t="shared" si="58"/>
        <v/>
      </c>
      <c r="G260" s="33" t="str">
        <f t="shared" si="59"/>
        <v/>
      </c>
      <c r="H260" s="35" t="str">
        <f t="shared" si="60"/>
        <v/>
      </c>
      <c r="I260" s="35" t="str">
        <f t="shared" si="61"/>
        <v/>
      </c>
      <c r="J260" s="35" t="str">
        <f t="shared" si="62"/>
        <v/>
      </c>
      <c r="K260" s="35" t="str">
        <f t="shared" si="63"/>
        <v/>
      </c>
      <c r="L260" s="35" t="str">
        <f t="shared" si="64"/>
        <v/>
      </c>
      <c r="M260" s="35" t="str">
        <f t="shared" si="65"/>
        <v/>
      </c>
      <c r="N260" s="36" t="str">
        <f t="shared" si="66"/>
        <v/>
      </c>
      <c r="O260" s="35" t="str">
        <f t="shared" si="67"/>
        <v/>
      </c>
      <c r="P260" s="35" t="str">
        <f t="shared" si="68"/>
        <v/>
      </c>
      <c r="Q260" s="35" t="str">
        <f t="shared" si="69"/>
        <v/>
      </c>
      <c r="R260" s="35" t="str">
        <f t="shared" si="70"/>
        <v/>
      </c>
      <c r="S260" s="33" t="str">
        <f t="shared" si="71"/>
        <v/>
      </c>
    </row>
    <row r="261" spans="1:19" x14ac:dyDescent="0.3">
      <c r="A261" s="33">
        <f>257</f>
        <v>257</v>
      </c>
      <c r="B261" s="34" t="str">
        <f t="shared" ref="B261:B324" si="72">IF($A261&gt;NYears*12,"",EDATE(StartMonth,$A261-1))</f>
        <v/>
      </c>
      <c r="C261" s="33" t="str">
        <f t="shared" ref="C261:C324" si="73">IF($A261&gt;NYears*12,"",INT(($A261-1)/12)+1)</f>
        <v/>
      </c>
      <c r="D261" s="33" t="str">
        <f t="shared" ref="D261:D324" si="74">IF($A261&gt;NYears*12,"",MOD($A261-1,12)+1)</f>
        <v/>
      </c>
      <c r="E261" s="35" t="str">
        <f t="shared" ref="E261:E324" si="75">IF($A261&gt;NYears*12,"",LotValue0*(1+LotGrowth)^($C261-1))</f>
        <v/>
      </c>
      <c r="F261" s="35" t="str">
        <f t="shared" ref="F261:F324" si="76">IF($A261&gt;NYears*12,"",IF($A261=1,InitInvest,$R260))</f>
        <v/>
      </c>
      <c r="G261" s="33" t="str">
        <f t="shared" ref="G261:G324" si="77">IF($A261&gt;NYears*12,"",INT($F261/$E261))</f>
        <v/>
      </c>
      <c r="H261" s="35" t="str">
        <f t="shared" ref="H261:H324" si="78">IF($A261&gt;NYears*12,"",$G261*$E261)</f>
        <v/>
      </c>
      <c r="I261" s="35" t="str">
        <f t="shared" ref="I261:I324" si="79">IF($A261&gt;NYears*12,"",$F261-$H261)</f>
        <v/>
      </c>
      <c r="J261" s="35" t="str">
        <f t="shared" ref="J261:J324" si="80">IF($A261&gt;NYears*12,"",$H261*RateC)</f>
        <v/>
      </c>
      <c r="K261" s="35" t="str">
        <f t="shared" ref="K261:K324" si="81">IF($A261&gt;NYears*12,"",IF($D261=1,$J261,$K260+$J261))</f>
        <v/>
      </c>
      <c r="L261" s="35" t="str">
        <f t="shared" ref="L261:L324" si="82">IF($A261&gt;NYears*12,"",IF(MOD($D261,3)=0,SUM($J259:$J261),0))</f>
        <v/>
      </c>
      <c r="M261" s="35" t="str">
        <f t="shared" ref="M261:M324" si="83">IF($A261&gt;NYears*12,"",IF(TaxFreq="Quarterly",$K261*12/$D261,$K261))</f>
        <v/>
      </c>
      <c r="N261" s="36" t="str">
        <f t="shared" ref="N261:N324" si="84">IF($A261&gt;NYears*12,"",LOOKUP($M261,TaxLower,TaxRate))</f>
        <v/>
      </c>
      <c r="O261" s="35" t="str">
        <f t="shared" ref="O261:O324" si="85">IF($A261&gt;NYears*12,"",IF(TaxFreq="Quarterly",IF(MOD($D261,3)=0,$L261*$N261,0),IF($D261=12,$K261*$N261,0)))</f>
        <v/>
      </c>
      <c r="P261" s="35" t="str">
        <f t="shared" ref="P261:P324" si="86">IF($A261&gt;NYears*12,"",IF($D261=1,$O261,$P260+$O261))</f>
        <v/>
      </c>
      <c r="Q261" s="35" t="str">
        <f t="shared" ref="Q261:Q324" si="87">IF($A261&gt;NYears*12,"",IF($D261=12,MIN(WdrPct*IF(WdrBase="Post-tax profit",$K261-$P261,$K261),WdrCap),0))</f>
        <v/>
      </c>
      <c r="R261" s="35" t="str">
        <f t="shared" ref="R261:R324" si="88">IF($A261&gt;NYears*12,"",$F261+$J261-$O261-$Q261)</f>
        <v/>
      </c>
      <c r="S261" s="33" t="str">
        <f t="shared" ref="S261:S324" si="89">IF($A261&gt;NYears*12,"",INT($R261/$E261))</f>
        <v/>
      </c>
    </row>
    <row r="262" spans="1:19" x14ac:dyDescent="0.3">
      <c r="A262" s="33">
        <f>258</f>
        <v>258</v>
      </c>
      <c r="B262" s="34" t="str">
        <f t="shared" si="72"/>
        <v/>
      </c>
      <c r="C262" s="33" t="str">
        <f t="shared" si="73"/>
        <v/>
      </c>
      <c r="D262" s="33" t="str">
        <f t="shared" si="74"/>
        <v/>
      </c>
      <c r="E262" s="35" t="str">
        <f t="shared" si="75"/>
        <v/>
      </c>
      <c r="F262" s="35" t="str">
        <f t="shared" si="76"/>
        <v/>
      </c>
      <c r="G262" s="33" t="str">
        <f t="shared" si="77"/>
        <v/>
      </c>
      <c r="H262" s="35" t="str">
        <f t="shared" si="78"/>
        <v/>
      </c>
      <c r="I262" s="35" t="str">
        <f t="shared" si="79"/>
        <v/>
      </c>
      <c r="J262" s="35" t="str">
        <f t="shared" si="80"/>
        <v/>
      </c>
      <c r="K262" s="35" t="str">
        <f t="shared" si="81"/>
        <v/>
      </c>
      <c r="L262" s="35" t="str">
        <f t="shared" si="82"/>
        <v/>
      </c>
      <c r="M262" s="35" t="str">
        <f t="shared" si="83"/>
        <v/>
      </c>
      <c r="N262" s="36" t="str">
        <f t="shared" si="84"/>
        <v/>
      </c>
      <c r="O262" s="35" t="str">
        <f t="shared" si="85"/>
        <v/>
      </c>
      <c r="P262" s="35" t="str">
        <f t="shared" si="86"/>
        <v/>
      </c>
      <c r="Q262" s="35" t="str">
        <f t="shared" si="87"/>
        <v/>
      </c>
      <c r="R262" s="35" t="str">
        <f t="shared" si="88"/>
        <v/>
      </c>
      <c r="S262" s="33" t="str">
        <f t="shared" si="89"/>
        <v/>
      </c>
    </row>
    <row r="263" spans="1:19" x14ac:dyDescent="0.3">
      <c r="A263" s="33">
        <f>259</f>
        <v>259</v>
      </c>
      <c r="B263" s="34" t="str">
        <f t="shared" si="72"/>
        <v/>
      </c>
      <c r="C263" s="33" t="str">
        <f t="shared" si="73"/>
        <v/>
      </c>
      <c r="D263" s="33" t="str">
        <f t="shared" si="74"/>
        <v/>
      </c>
      <c r="E263" s="35" t="str">
        <f t="shared" si="75"/>
        <v/>
      </c>
      <c r="F263" s="35" t="str">
        <f t="shared" si="76"/>
        <v/>
      </c>
      <c r="G263" s="33" t="str">
        <f t="shared" si="77"/>
        <v/>
      </c>
      <c r="H263" s="35" t="str">
        <f t="shared" si="78"/>
        <v/>
      </c>
      <c r="I263" s="35" t="str">
        <f t="shared" si="79"/>
        <v/>
      </c>
      <c r="J263" s="35" t="str">
        <f t="shared" si="80"/>
        <v/>
      </c>
      <c r="K263" s="35" t="str">
        <f t="shared" si="81"/>
        <v/>
      </c>
      <c r="L263" s="35" t="str">
        <f t="shared" si="82"/>
        <v/>
      </c>
      <c r="M263" s="35" t="str">
        <f t="shared" si="83"/>
        <v/>
      </c>
      <c r="N263" s="36" t="str">
        <f t="shared" si="84"/>
        <v/>
      </c>
      <c r="O263" s="35" t="str">
        <f t="shared" si="85"/>
        <v/>
      </c>
      <c r="P263" s="35" t="str">
        <f t="shared" si="86"/>
        <v/>
      </c>
      <c r="Q263" s="35" t="str">
        <f t="shared" si="87"/>
        <v/>
      </c>
      <c r="R263" s="35" t="str">
        <f t="shared" si="88"/>
        <v/>
      </c>
      <c r="S263" s="33" t="str">
        <f t="shared" si="89"/>
        <v/>
      </c>
    </row>
    <row r="264" spans="1:19" x14ac:dyDescent="0.3">
      <c r="A264" s="33">
        <f>260</f>
        <v>260</v>
      </c>
      <c r="B264" s="34" t="str">
        <f t="shared" si="72"/>
        <v/>
      </c>
      <c r="C264" s="33" t="str">
        <f t="shared" si="73"/>
        <v/>
      </c>
      <c r="D264" s="33" t="str">
        <f t="shared" si="74"/>
        <v/>
      </c>
      <c r="E264" s="35" t="str">
        <f t="shared" si="75"/>
        <v/>
      </c>
      <c r="F264" s="35" t="str">
        <f t="shared" si="76"/>
        <v/>
      </c>
      <c r="G264" s="33" t="str">
        <f t="shared" si="77"/>
        <v/>
      </c>
      <c r="H264" s="35" t="str">
        <f t="shared" si="78"/>
        <v/>
      </c>
      <c r="I264" s="35" t="str">
        <f t="shared" si="79"/>
        <v/>
      </c>
      <c r="J264" s="35" t="str">
        <f t="shared" si="80"/>
        <v/>
      </c>
      <c r="K264" s="35" t="str">
        <f t="shared" si="81"/>
        <v/>
      </c>
      <c r="L264" s="35" t="str">
        <f t="shared" si="82"/>
        <v/>
      </c>
      <c r="M264" s="35" t="str">
        <f t="shared" si="83"/>
        <v/>
      </c>
      <c r="N264" s="36" t="str">
        <f t="shared" si="84"/>
        <v/>
      </c>
      <c r="O264" s="35" t="str">
        <f t="shared" si="85"/>
        <v/>
      </c>
      <c r="P264" s="35" t="str">
        <f t="shared" si="86"/>
        <v/>
      </c>
      <c r="Q264" s="35" t="str">
        <f t="shared" si="87"/>
        <v/>
      </c>
      <c r="R264" s="35" t="str">
        <f t="shared" si="88"/>
        <v/>
      </c>
      <c r="S264" s="33" t="str">
        <f t="shared" si="89"/>
        <v/>
      </c>
    </row>
    <row r="265" spans="1:19" x14ac:dyDescent="0.3">
      <c r="A265" s="33">
        <f>261</f>
        <v>261</v>
      </c>
      <c r="B265" s="34" t="str">
        <f t="shared" si="72"/>
        <v/>
      </c>
      <c r="C265" s="33" t="str">
        <f t="shared" si="73"/>
        <v/>
      </c>
      <c r="D265" s="33" t="str">
        <f t="shared" si="74"/>
        <v/>
      </c>
      <c r="E265" s="35" t="str">
        <f t="shared" si="75"/>
        <v/>
      </c>
      <c r="F265" s="35" t="str">
        <f t="shared" si="76"/>
        <v/>
      </c>
      <c r="G265" s="33" t="str">
        <f t="shared" si="77"/>
        <v/>
      </c>
      <c r="H265" s="35" t="str">
        <f t="shared" si="78"/>
        <v/>
      </c>
      <c r="I265" s="35" t="str">
        <f t="shared" si="79"/>
        <v/>
      </c>
      <c r="J265" s="35" t="str">
        <f t="shared" si="80"/>
        <v/>
      </c>
      <c r="K265" s="35" t="str">
        <f t="shared" si="81"/>
        <v/>
      </c>
      <c r="L265" s="35" t="str">
        <f t="shared" si="82"/>
        <v/>
      </c>
      <c r="M265" s="35" t="str">
        <f t="shared" si="83"/>
        <v/>
      </c>
      <c r="N265" s="36" t="str">
        <f t="shared" si="84"/>
        <v/>
      </c>
      <c r="O265" s="35" t="str">
        <f t="shared" si="85"/>
        <v/>
      </c>
      <c r="P265" s="35" t="str">
        <f t="shared" si="86"/>
        <v/>
      </c>
      <c r="Q265" s="35" t="str">
        <f t="shared" si="87"/>
        <v/>
      </c>
      <c r="R265" s="35" t="str">
        <f t="shared" si="88"/>
        <v/>
      </c>
      <c r="S265" s="33" t="str">
        <f t="shared" si="89"/>
        <v/>
      </c>
    </row>
    <row r="266" spans="1:19" x14ac:dyDescent="0.3">
      <c r="A266" s="33">
        <f>262</f>
        <v>262</v>
      </c>
      <c r="B266" s="34" t="str">
        <f t="shared" si="72"/>
        <v/>
      </c>
      <c r="C266" s="33" t="str">
        <f t="shared" si="73"/>
        <v/>
      </c>
      <c r="D266" s="33" t="str">
        <f t="shared" si="74"/>
        <v/>
      </c>
      <c r="E266" s="35" t="str">
        <f t="shared" si="75"/>
        <v/>
      </c>
      <c r="F266" s="35" t="str">
        <f t="shared" si="76"/>
        <v/>
      </c>
      <c r="G266" s="33" t="str">
        <f t="shared" si="77"/>
        <v/>
      </c>
      <c r="H266" s="35" t="str">
        <f t="shared" si="78"/>
        <v/>
      </c>
      <c r="I266" s="35" t="str">
        <f t="shared" si="79"/>
        <v/>
      </c>
      <c r="J266" s="35" t="str">
        <f t="shared" si="80"/>
        <v/>
      </c>
      <c r="K266" s="35" t="str">
        <f t="shared" si="81"/>
        <v/>
      </c>
      <c r="L266" s="35" t="str">
        <f t="shared" si="82"/>
        <v/>
      </c>
      <c r="M266" s="35" t="str">
        <f t="shared" si="83"/>
        <v/>
      </c>
      <c r="N266" s="36" t="str">
        <f t="shared" si="84"/>
        <v/>
      </c>
      <c r="O266" s="35" t="str">
        <f t="shared" si="85"/>
        <v/>
      </c>
      <c r="P266" s="35" t="str">
        <f t="shared" si="86"/>
        <v/>
      </c>
      <c r="Q266" s="35" t="str">
        <f t="shared" si="87"/>
        <v/>
      </c>
      <c r="R266" s="35" t="str">
        <f t="shared" si="88"/>
        <v/>
      </c>
      <c r="S266" s="33" t="str">
        <f t="shared" si="89"/>
        <v/>
      </c>
    </row>
    <row r="267" spans="1:19" x14ac:dyDescent="0.3">
      <c r="A267" s="33">
        <f>263</f>
        <v>263</v>
      </c>
      <c r="B267" s="34" t="str">
        <f t="shared" si="72"/>
        <v/>
      </c>
      <c r="C267" s="33" t="str">
        <f t="shared" si="73"/>
        <v/>
      </c>
      <c r="D267" s="33" t="str">
        <f t="shared" si="74"/>
        <v/>
      </c>
      <c r="E267" s="35" t="str">
        <f t="shared" si="75"/>
        <v/>
      </c>
      <c r="F267" s="35" t="str">
        <f t="shared" si="76"/>
        <v/>
      </c>
      <c r="G267" s="33" t="str">
        <f t="shared" si="77"/>
        <v/>
      </c>
      <c r="H267" s="35" t="str">
        <f t="shared" si="78"/>
        <v/>
      </c>
      <c r="I267" s="35" t="str">
        <f t="shared" si="79"/>
        <v/>
      </c>
      <c r="J267" s="35" t="str">
        <f t="shared" si="80"/>
        <v/>
      </c>
      <c r="K267" s="35" t="str">
        <f t="shared" si="81"/>
        <v/>
      </c>
      <c r="L267" s="35" t="str">
        <f t="shared" si="82"/>
        <v/>
      </c>
      <c r="M267" s="35" t="str">
        <f t="shared" si="83"/>
        <v/>
      </c>
      <c r="N267" s="36" t="str">
        <f t="shared" si="84"/>
        <v/>
      </c>
      <c r="O267" s="35" t="str">
        <f t="shared" si="85"/>
        <v/>
      </c>
      <c r="P267" s="35" t="str">
        <f t="shared" si="86"/>
        <v/>
      </c>
      <c r="Q267" s="35" t="str">
        <f t="shared" si="87"/>
        <v/>
      </c>
      <c r="R267" s="35" t="str">
        <f t="shared" si="88"/>
        <v/>
      </c>
      <c r="S267" s="33" t="str">
        <f t="shared" si="89"/>
        <v/>
      </c>
    </row>
    <row r="268" spans="1:19" x14ac:dyDescent="0.3">
      <c r="A268" s="37">
        <f>264</f>
        <v>264</v>
      </c>
      <c r="B268" s="38" t="str">
        <f t="shared" si="72"/>
        <v/>
      </c>
      <c r="C268" s="37" t="str">
        <f t="shared" si="73"/>
        <v/>
      </c>
      <c r="D268" s="37" t="str">
        <f t="shared" si="74"/>
        <v/>
      </c>
      <c r="E268" s="39" t="str">
        <f t="shared" si="75"/>
        <v/>
      </c>
      <c r="F268" s="39" t="str">
        <f t="shared" si="76"/>
        <v/>
      </c>
      <c r="G268" s="37" t="str">
        <f t="shared" si="77"/>
        <v/>
      </c>
      <c r="H268" s="39" t="str">
        <f t="shared" si="78"/>
        <v/>
      </c>
      <c r="I268" s="39" t="str">
        <f t="shared" si="79"/>
        <v/>
      </c>
      <c r="J268" s="39" t="str">
        <f t="shared" si="80"/>
        <v/>
      </c>
      <c r="K268" s="39" t="str">
        <f t="shared" si="81"/>
        <v/>
      </c>
      <c r="L268" s="39" t="str">
        <f t="shared" si="82"/>
        <v/>
      </c>
      <c r="M268" s="39" t="str">
        <f t="shared" si="83"/>
        <v/>
      </c>
      <c r="N268" s="40" t="str">
        <f t="shared" si="84"/>
        <v/>
      </c>
      <c r="O268" s="39" t="str">
        <f t="shared" si="85"/>
        <v/>
      </c>
      <c r="P268" s="39" t="str">
        <f t="shared" si="86"/>
        <v/>
      </c>
      <c r="Q268" s="39" t="str">
        <f t="shared" si="87"/>
        <v/>
      </c>
      <c r="R268" s="39" t="str">
        <f t="shared" si="88"/>
        <v/>
      </c>
      <c r="S268" s="37" t="str">
        <f t="shared" si="89"/>
        <v/>
      </c>
    </row>
    <row r="269" spans="1:19" x14ac:dyDescent="0.3">
      <c r="A269" s="33">
        <f>265</f>
        <v>265</v>
      </c>
      <c r="B269" s="34" t="str">
        <f t="shared" si="72"/>
        <v/>
      </c>
      <c r="C269" s="33" t="str">
        <f t="shared" si="73"/>
        <v/>
      </c>
      <c r="D269" s="33" t="str">
        <f t="shared" si="74"/>
        <v/>
      </c>
      <c r="E269" s="35" t="str">
        <f t="shared" si="75"/>
        <v/>
      </c>
      <c r="F269" s="35" t="str">
        <f t="shared" si="76"/>
        <v/>
      </c>
      <c r="G269" s="33" t="str">
        <f t="shared" si="77"/>
        <v/>
      </c>
      <c r="H269" s="35" t="str">
        <f t="shared" si="78"/>
        <v/>
      </c>
      <c r="I269" s="35" t="str">
        <f t="shared" si="79"/>
        <v/>
      </c>
      <c r="J269" s="35" t="str">
        <f t="shared" si="80"/>
        <v/>
      </c>
      <c r="K269" s="35" t="str">
        <f t="shared" si="81"/>
        <v/>
      </c>
      <c r="L269" s="35" t="str">
        <f t="shared" si="82"/>
        <v/>
      </c>
      <c r="M269" s="35" t="str">
        <f t="shared" si="83"/>
        <v/>
      </c>
      <c r="N269" s="36" t="str">
        <f t="shared" si="84"/>
        <v/>
      </c>
      <c r="O269" s="35" t="str">
        <f t="shared" si="85"/>
        <v/>
      </c>
      <c r="P269" s="35" t="str">
        <f t="shared" si="86"/>
        <v/>
      </c>
      <c r="Q269" s="35" t="str">
        <f t="shared" si="87"/>
        <v/>
      </c>
      <c r="R269" s="35" t="str">
        <f t="shared" si="88"/>
        <v/>
      </c>
      <c r="S269" s="33" t="str">
        <f t="shared" si="89"/>
        <v/>
      </c>
    </row>
    <row r="270" spans="1:19" x14ac:dyDescent="0.3">
      <c r="A270" s="33">
        <f>266</f>
        <v>266</v>
      </c>
      <c r="B270" s="34" t="str">
        <f t="shared" si="72"/>
        <v/>
      </c>
      <c r="C270" s="33" t="str">
        <f t="shared" si="73"/>
        <v/>
      </c>
      <c r="D270" s="33" t="str">
        <f t="shared" si="74"/>
        <v/>
      </c>
      <c r="E270" s="35" t="str">
        <f t="shared" si="75"/>
        <v/>
      </c>
      <c r="F270" s="35" t="str">
        <f t="shared" si="76"/>
        <v/>
      </c>
      <c r="G270" s="33" t="str">
        <f t="shared" si="77"/>
        <v/>
      </c>
      <c r="H270" s="35" t="str">
        <f t="shared" si="78"/>
        <v/>
      </c>
      <c r="I270" s="35" t="str">
        <f t="shared" si="79"/>
        <v/>
      </c>
      <c r="J270" s="35" t="str">
        <f t="shared" si="80"/>
        <v/>
      </c>
      <c r="K270" s="35" t="str">
        <f t="shared" si="81"/>
        <v/>
      </c>
      <c r="L270" s="35" t="str">
        <f t="shared" si="82"/>
        <v/>
      </c>
      <c r="M270" s="35" t="str">
        <f t="shared" si="83"/>
        <v/>
      </c>
      <c r="N270" s="36" t="str">
        <f t="shared" si="84"/>
        <v/>
      </c>
      <c r="O270" s="35" t="str">
        <f t="shared" si="85"/>
        <v/>
      </c>
      <c r="P270" s="35" t="str">
        <f t="shared" si="86"/>
        <v/>
      </c>
      <c r="Q270" s="35" t="str">
        <f t="shared" si="87"/>
        <v/>
      </c>
      <c r="R270" s="35" t="str">
        <f t="shared" si="88"/>
        <v/>
      </c>
      <c r="S270" s="33" t="str">
        <f t="shared" si="89"/>
        <v/>
      </c>
    </row>
    <row r="271" spans="1:19" x14ac:dyDescent="0.3">
      <c r="A271" s="33">
        <f>267</f>
        <v>267</v>
      </c>
      <c r="B271" s="34" t="str">
        <f t="shared" si="72"/>
        <v/>
      </c>
      <c r="C271" s="33" t="str">
        <f t="shared" si="73"/>
        <v/>
      </c>
      <c r="D271" s="33" t="str">
        <f t="shared" si="74"/>
        <v/>
      </c>
      <c r="E271" s="35" t="str">
        <f t="shared" si="75"/>
        <v/>
      </c>
      <c r="F271" s="35" t="str">
        <f t="shared" si="76"/>
        <v/>
      </c>
      <c r="G271" s="33" t="str">
        <f t="shared" si="77"/>
        <v/>
      </c>
      <c r="H271" s="35" t="str">
        <f t="shared" si="78"/>
        <v/>
      </c>
      <c r="I271" s="35" t="str">
        <f t="shared" si="79"/>
        <v/>
      </c>
      <c r="J271" s="35" t="str">
        <f t="shared" si="80"/>
        <v/>
      </c>
      <c r="K271" s="35" t="str">
        <f t="shared" si="81"/>
        <v/>
      </c>
      <c r="L271" s="35" t="str">
        <f t="shared" si="82"/>
        <v/>
      </c>
      <c r="M271" s="35" t="str">
        <f t="shared" si="83"/>
        <v/>
      </c>
      <c r="N271" s="36" t="str">
        <f t="shared" si="84"/>
        <v/>
      </c>
      <c r="O271" s="35" t="str">
        <f t="shared" si="85"/>
        <v/>
      </c>
      <c r="P271" s="35" t="str">
        <f t="shared" si="86"/>
        <v/>
      </c>
      <c r="Q271" s="35" t="str">
        <f t="shared" si="87"/>
        <v/>
      </c>
      <c r="R271" s="35" t="str">
        <f t="shared" si="88"/>
        <v/>
      </c>
      <c r="S271" s="33" t="str">
        <f t="shared" si="89"/>
        <v/>
      </c>
    </row>
    <row r="272" spans="1:19" x14ac:dyDescent="0.3">
      <c r="A272" s="33">
        <f>268</f>
        <v>268</v>
      </c>
      <c r="B272" s="34" t="str">
        <f t="shared" si="72"/>
        <v/>
      </c>
      <c r="C272" s="33" t="str">
        <f t="shared" si="73"/>
        <v/>
      </c>
      <c r="D272" s="33" t="str">
        <f t="shared" si="74"/>
        <v/>
      </c>
      <c r="E272" s="35" t="str">
        <f t="shared" si="75"/>
        <v/>
      </c>
      <c r="F272" s="35" t="str">
        <f t="shared" si="76"/>
        <v/>
      </c>
      <c r="G272" s="33" t="str">
        <f t="shared" si="77"/>
        <v/>
      </c>
      <c r="H272" s="35" t="str">
        <f t="shared" si="78"/>
        <v/>
      </c>
      <c r="I272" s="35" t="str">
        <f t="shared" si="79"/>
        <v/>
      </c>
      <c r="J272" s="35" t="str">
        <f t="shared" si="80"/>
        <v/>
      </c>
      <c r="K272" s="35" t="str">
        <f t="shared" si="81"/>
        <v/>
      </c>
      <c r="L272" s="35" t="str">
        <f t="shared" si="82"/>
        <v/>
      </c>
      <c r="M272" s="35" t="str">
        <f t="shared" si="83"/>
        <v/>
      </c>
      <c r="N272" s="36" t="str">
        <f t="shared" si="84"/>
        <v/>
      </c>
      <c r="O272" s="35" t="str">
        <f t="shared" si="85"/>
        <v/>
      </c>
      <c r="P272" s="35" t="str">
        <f t="shared" si="86"/>
        <v/>
      </c>
      <c r="Q272" s="35" t="str">
        <f t="shared" si="87"/>
        <v/>
      </c>
      <c r="R272" s="35" t="str">
        <f t="shared" si="88"/>
        <v/>
      </c>
      <c r="S272" s="33" t="str">
        <f t="shared" si="89"/>
        <v/>
      </c>
    </row>
    <row r="273" spans="1:19" x14ac:dyDescent="0.3">
      <c r="A273" s="33">
        <f>269</f>
        <v>269</v>
      </c>
      <c r="B273" s="34" t="str">
        <f t="shared" si="72"/>
        <v/>
      </c>
      <c r="C273" s="33" t="str">
        <f t="shared" si="73"/>
        <v/>
      </c>
      <c r="D273" s="33" t="str">
        <f t="shared" si="74"/>
        <v/>
      </c>
      <c r="E273" s="35" t="str">
        <f t="shared" si="75"/>
        <v/>
      </c>
      <c r="F273" s="35" t="str">
        <f t="shared" si="76"/>
        <v/>
      </c>
      <c r="G273" s="33" t="str">
        <f t="shared" si="77"/>
        <v/>
      </c>
      <c r="H273" s="35" t="str">
        <f t="shared" si="78"/>
        <v/>
      </c>
      <c r="I273" s="35" t="str">
        <f t="shared" si="79"/>
        <v/>
      </c>
      <c r="J273" s="35" t="str">
        <f t="shared" si="80"/>
        <v/>
      </c>
      <c r="K273" s="35" t="str">
        <f t="shared" si="81"/>
        <v/>
      </c>
      <c r="L273" s="35" t="str">
        <f t="shared" si="82"/>
        <v/>
      </c>
      <c r="M273" s="35" t="str">
        <f t="shared" si="83"/>
        <v/>
      </c>
      <c r="N273" s="36" t="str">
        <f t="shared" si="84"/>
        <v/>
      </c>
      <c r="O273" s="35" t="str">
        <f t="shared" si="85"/>
        <v/>
      </c>
      <c r="P273" s="35" t="str">
        <f t="shared" si="86"/>
        <v/>
      </c>
      <c r="Q273" s="35" t="str">
        <f t="shared" si="87"/>
        <v/>
      </c>
      <c r="R273" s="35" t="str">
        <f t="shared" si="88"/>
        <v/>
      </c>
      <c r="S273" s="33" t="str">
        <f t="shared" si="89"/>
        <v/>
      </c>
    </row>
    <row r="274" spans="1:19" x14ac:dyDescent="0.3">
      <c r="A274" s="33">
        <f>270</f>
        <v>270</v>
      </c>
      <c r="B274" s="34" t="str">
        <f t="shared" si="72"/>
        <v/>
      </c>
      <c r="C274" s="33" t="str">
        <f t="shared" si="73"/>
        <v/>
      </c>
      <c r="D274" s="33" t="str">
        <f t="shared" si="74"/>
        <v/>
      </c>
      <c r="E274" s="35" t="str">
        <f t="shared" si="75"/>
        <v/>
      </c>
      <c r="F274" s="35" t="str">
        <f t="shared" si="76"/>
        <v/>
      </c>
      <c r="G274" s="33" t="str">
        <f t="shared" si="77"/>
        <v/>
      </c>
      <c r="H274" s="35" t="str">
        <f t="shared" si="78"/>
        <v/>
      </c>
      <c r="I274" s="35" t="str">
        <f t="shared" si="79"/>
        <v/>
      </c>
      <c r="J274" s="35" t="str">
        <f t="shared" si="80"/>
        <v/>
      </c>
      <c r="K274" s="35" t="str">
        <f t="shared" si="81"/>
        <v/>
      </c>
      <c r="L274" s="35" t="str">
        <f t="shared" si="82"/>
        <v/>
      </c>
      <c r="M274" s="35" t="str">
        <f t="shared" si="83"/>
        <v/>
      </c>
      <c r="N274" s="36" t="str">
        <f t="shared" si="84"/>
        <v/>
      </c>
      <c r="O274" s="35" t="str">
        <f t="shared" si="85"/>
        <v/>
      </c>
      <c r="P274" s="35" t="str">
        <f t="shared" si="86"/>
        <v/>
      </c>
      <c r="Q274" s="35" t="str">
        <f t="shared" si="87"/>
        <v/>
      </c>
      <c r="R274" s="35" t="str">
        <f t="shared" si="88"/>
        <v/>
      </c>
      <c r="S274" s="33" t="str">
        <f t="shared" si="89"/>
        <v/>
      </c>
    </row>
    <row r="275" spans="1:19" x14ac:dyDescent="0.3">
      <c r="A275" s="33">
        <f>271</f>
        <v>271</v>
      </c>
      <c r="B275" s="34" t="str">
        <f t="shared" si="72"/>
        <v/>
      </c>
      <c r="C275" s="33" t="str">
        <f t="shared" si="73"/>
        <v/>
      </c>
      <c r="D275" s="33" t="str">
        <f t="shared" si="74"/>
        <v/>
      </c>
      <c r="E275" s="35" t="str">
        <f t="shared" si="75"/>
        <v/>
      </c>
      <c r="F275" s="35" t="str">
        <f t="shared" si="76"/>
        <v/>
      </c>
      <c r="G275" s="33" t="str">
        <f t="shared" si="77"/>
        <v/>
      </c>
      <c r="H275" s="35" t="str">
        <f t="shared" si="78"/>
        <v/>
      </c>
      <c r="I275" s="35" t="str">
        <f t="shared" si="79"/>
        <v/>
      </c>
      <c r="J275" s="35" t="str">
        <f t="shared" si="80"/>
        <v/>
      </c>
      <c r="K275" s="35" t="str">
        <f t="shared" si="81"/>
        <v/>
      </c>
      <c r="L275" s="35" t="str">
        <f t="shared" si="82"/>
        <v/>
      </c>
      <c r="M275" s="35" t="str">
        <f t="shared" si="83"/>
        <v/>
      </c>
      <c r="N275" s="36" t="str">
        <f t="shared" si="84"/>
        <v/>
      </c>
      <c r="O275" s="35" t="str">
        <f t="shared" si="85"/>
        <v/>
      </c>
      <c r="P275" s="35" t="str">
        <f t="shared" si="86"/>
        <v/>
      </c>
      <c r="Q275" s="35" t="str">
        <f t="shared" si="87"/>
        <v/>
      </c>
      <c r="R275" s="35" t="str">
        <f t="shared" si="88"/>
        <v/>
      </c>
      <c r="S275" s="33" t="str">
        <f t="shared" si="89"/>
        <v/>
      </c>
    </row>
    <row r="276" spans="1:19" x14ac:dyDescent="0.3">
      <c r="A276" s="33">
        <f>272</f>
        <v>272</v>
      </c>
      <c r="B276" s="34" t="str">
        <f t="shared" si="72"/>
        <v/>
      </c>
      <c r="C276" s="33" t="str">
        <f t="shared" si="73"/>
        <v/>
      </c>
      <c r="D276" s="33" t="str">
        <f t="shared" si="74"/>
        <v/>
      </c>
      <c r="E276" s="35" t="str">
        <f t="shared" si="75"/>
        <v/>
      </c>
      <c r="F276" s="35" t="str">
        <f t="shared" si="76"/>
        <v/>
      </c>
      <c r="G276" s="33" t="str">
        <f t="shared" si="77"/>
        <v/>
      </c>
      <c r="H276" s="35" t="str">
        <f t="shared" si="78"/>
        <v/>
      </c>
      <c r="I276" s="35" t="str">
        <f t="shared" si="79"/>
        <v/>
      </c>
      <c r="J276" s="35" t="str">
        <f t="shared" si="80"/>
        <v/>
      </c>
      <c r="K276" s="35" t="str">
        <f t="shared" si="81"/>
        <v/>
      </c>
      <c r="L276" s="35" t="str">
        <f t="shared" si="82"/>
        <v/>
      </c>
      <c r="M276" s="35" t="str">
        <f t="shared" si="83"/>
        <v/>
      </c>
      <c r="N276" s="36" t="str">
        <f t="shared" si="84"/>
        <v/>
      </c>
      <c r="O276" s="35" t="str">
        <f t="shared" si="85"/>
        <v/>
      </c>
      <c r="P276" s="35" t="str">
        <f t="shared" si="86"/>
        <v/>
      </c>
      <c r="Q276" s="35" t="str">
        <f t="shared" si="87"/>
        <v/>
      </c>
      <c r="R276" s="35" t="str">
        <f t="shared" si="88"/>
        <v/>
      </c>
      <c r="S276" s="33" t="str">
        <f t="shared" si="89"/>
        <v/>
      </c>
    </row>
    <row r="277" spans="1:19" x14ac:dyDescent="0.3">
      <c r="A277" s="33">
        <f>273</f>
        <v>273</v>
      </c>
      <c r="B277" s="34" t="str">
        <f t="shared" si="72"/>
        <v/>
      </c>
      <c r="C277" s="33" t="str">
        <f t="shared" si="73"/>
        <v/>
      </c>
      <c r="D277" s="33" t="str">
        <f t="shared" si="74"/>
        <v/>
      </c>
      <c r="E277" s="35" t="str">
        <f t="shared" si="75"/>
        <v/>
      </c>
      <c r="F277" s="35" t="str">
        <f t="shared" si="76"/>
        <v/>
      </c>
      <c r="G277" s="33" t="str">
        <f t="shared" si="77"/>
        <v/>
      </c>
      <c r="H277" s="35" t="str">
        <f t="shared" si="78"/>
        <v/>
      </c>
      <c r="I277" s="35" t="str">
        <f t="shared" si="79"/>
        <v/>
      </c>
      <c r="J277" s="35" t="str">
        <f t="shared" si="80"/>
        <v/>
      </c>
      <c r="K277" s="35" t="str">
        <f t="shared" si="81"/>
        <v/>
      </c>
      <c r="L277" s="35" t="str">
        <f t="shared" si="82"/>
        <v/>
      </c>
      <c r="M277" s="35" t="str">
        <f t="shared" si="83"/>
        <v/>
      </c>
      <c r="N277" s="36" t="str">
        <f t="shared" si="84"/>
        <v/>
      </c>
      <c r="O277" s="35" t="str">
        <f t="shared" si="85"/>
        <v/>
      </c>
      <c r="P277" s="35" t="str">
        <f t="shared" si="86"/>
        <v/>
      </c>
      <c r="Q277" s="35" t="str">
        <f t="shared" si="87"/>
        <v/>
      </c>
      <c r="R277" s="35" t="str">
        <f t="shared" si="88"/>
        <v/>
      </c>
      <c r="S277" s="33" t="str">
        <f t="shared" si="89"/>
        <v/>
      </c>
    </row>
    <row r="278" spans="1:19" x14ac:dyDescent="0.3">
      <c r="A278" s="33">
        <f>274</f>
        <v>274</v>
      </c>
      <c r="B278" s="34" t="str">
        <f t="shared" si="72"/>
        <v/>
      </c>
      <c r="C278" s="33" t="str">
        <f t="shared" si="73"/>
        <v/>
      </c>
      <c r="D278" s="33" t="str">
        <f t="shared" si="74"/>
        <v/>
      </c>
      <c r="E278" s="35" t="str">
        <f t="shared" si="75"/>
        <v/>
      </c>
      <c r="F278" s="35" t="str">
        <f t="shared" si="76"/>
        <v/>
      </c>
      <c r="G278" s="33" t="str">
        <f t="shared" si="77"/>
        <v/>
      </c>
      <c r="H278" s="35" t="str">
        <f t="shared" si="78"/>
        <v/>
      </c>
      <c r="I278" s="35" t="str">
        <f t="shared" si="79"/>
        <v/>
      </c>
      <c r="J278" s="35" t="str">
        <f t="shared" si="80"/>
        <v/>
      </c>
      <c r="K278" s="35" t="str">
        <f t="shared" si="81"/>
        <v/>
      </c>
      <c r="L278" s="35" t="str">
        <f t="shared" si="82"/>
        <v/>
      </c>
      <c r="M278" s="35" t="str">
        <f t="shared" si="83"/>
        <v/>
      </c>
      <c r="N278" s="36" t="str">
        <f t="shared" si="84"/>
        <v/>
      </c>
      <c r="O278" s="35" t="str">
        <f t="shared" si="85"/>
        <v/>
      </c>
      <c r="P278" s="35" t="str">
        <f t="shared" si="86"/>
        <v/>
      </c>
      <c r="Q278" s="35" t="str">
        <f t="shared" si="87"/>
        <v/>
      </c>
      <c r="R278" s="35" t="str">
        <f t="shared" si="88"/>
        <v/>
      </c>
      <c r="S278" s="33" t="str">
        <f t="shared" si="89"/>
        <v/>
      </c>
    </row>
    <row r="279" spans="1:19" x14ac:dyDescent="0.3">
      <c r="A279" s="33">
        <f>275</f>
        <v>275</v>
      </c>
      <c r="B279" s="34" t="str">
        <f t="shared" si="72"/>
        <v/>
      </c>
      <c r="C279" s="33" t="str">
        <f t="shared" si="73"/>
        <v/>
      </c>
      <c r="D279" s="33" t="str">
        <f t="shared" si="74"/>
        <v/>
      </c>
      <c r="E279" s="35" t="str">
        <f t="shared" si="75"/>
        <v/>
      </c>
      <c r="F279" s="35" t="str">
        <f t="shared" si="76"/>
        <v/>
      </c>
      <c r="G279" s="33" t="str">
        <f t="shared" si="77"/>
        <v/>
      </c>
      <c r="H279" s="35" t="str">
        <f t="shared" si="78"/>
        <v/>
      </c>
      <c r="I279" s="35" t="str">
        <f t="shared" si="79"/>
        <v/>
      </c>
      <c r="J279" s="35" t="str">
        <f t="shared" si="80"/>
        <v/>
      </c>
      <c r="K279" s="35" t="str">
        <f t="shared" si="81"/>
        <v/>
      </c>
      <c r="L279" s="35" t="str">
        <f t="shared" si="82"/>
        <v/>
      </c>
      <c r="M279" s="35" t="str">
        <f t="shared" si="83"/>
        <v/>
      </c>
      <c r="N279" s="36" t="str">
        <f t="shared" si="84"/>
        <v/>
      </c>
      <c r="O279" s="35" t="str">
        <f t="shared" si="85"/>
        <v/>
      </c>
      <c r="P279" s="35" t="str">
        <f t="shared" si="86"/>
        <v/>
      </c>
      <c r="Q279" s="35" t="str">
        <f t="shared" si="87"/>
        <v/>
      </c>
      <c r="R279" s="35" t="str">
        <f t="shared" si="88"/>
        <v/>
      </c>
      <c r="S279" s="33" t="str">
        <f t="shared" si="89"/>
        <v/>
      </c>
    </row>
    <row r="280" spans="1:19" x14ac:dyDescent="0.3">
      <c r="A280" s="37">
        <f>276</f>
        <v>276</v>
      </c>
      <c r="B280" s="38" t="str">
        <f t="shared" si="72"/>
        <v/>
      </c>
      <c r="C280" s="37" t="str">
        <f t="shared" si="73"/>
        <v/>
      </c>
      <c r="D280" s="37" t="str">
        <f t="shared" si="74"/>
        <v/>
      </c>
      <c r="E280" s="39" t="str">
        <f t="shared" si="75"/>
        <v/>
      </c>
      <c r="F280" s="39" t="str">
        <f t="shared" si="76"/>
        <v/>
      </c>
      <c r="G280" s="37" t="str">
        <f t="shared" si="77"/>
        <v/>
      </c>
      <c r="H280" s="39" t="str">
        <f t="shared" si="78"/>
        <v/>
      </c>
      <c r="I280" s="39" t="str">
        <f t="shared" si="79"/>
        <v/>
      </c>
      <c r="J280" s="39" t="str">
        <f t="shared" si="80"/>
        <v/>
      </c>
      <c r="K280" s="39" t="str">
        <f t="shared" si="81"/>
        <v/>
      </c>
      <c r="L280" s="39" t="str">
        <f t="shared" si="82"/>
        <v/>
      </c>
      <c r="M280" s="39" t="str">
        <f t="shared" si="83"/>
        <v/>
      </c>
      <c r="N280" s="40" t="str">
        <f t="shared" si="84"/>
        <v/>
      </c>
      <c r="O280" s="39" t="str">
        <f t="shared" si="85"/>
        <v/>
      </c>
      <c r="P280" s="39" t="str">
        <f t="shared" si="86"/>
        <v/>
      </c>
      <c r="Q280" s="39" t="str">
        <f t="shared" si="87"/>
        <v/>
      </c>
      <c r="R280" s="39" t="str">
        <f t="shared" si="88"/>
        <v/>
      </c>
      <c r="S280" s="37" t="str">
        <f t="shared" si="89"/>
        <v/>
      </c>
    </row>
    <row r="281" spans="1:19" x14ac:dyDescent="0.3">
      <c r="A281" s="33">
        <f>277</f>
        <v>277</v>
      </c>
      <c r="B281" s="34" t="str">
        <f t="shared" si="72"/>
        <v/>
      </c>
      <c r="C281" s="33" t="str">
        <f t="shared" si="73"/>
        <v/>
      </c>
      <c r="D281" s="33" t="str">
        <f t="shared" si="74"/>
        <v/>
      </c>
      <c r="E281" s="35" t="str">
        <f t="shared" si="75"/>
        <v/>
      </c>
      <c r="F281" s="35" t="str">
        <f t="shared" si="76"/>
        <v/>
      </c>
      <c r="G281" s="33" t="str">
        <f t="shared" si="77"/>
        <v/>
      </c>
      <c r="H281" s="35" t="str">
        <f t="shared" si="78"/>
        <v/>
      </c>
      <c r="I281" s="35" t="str">
        <f t="shared" si="79"/>
        <v/>
      </c>
      <c r="J281" s="35" t="str">
        <f t="shared" si="80"/>
        <v/>
      </c>
      <c r="K281" s="35" t="str">
        <f t="shared" si="81"/>
        <v/>
      </c>
      <c r="L281" s="35" t="str">
        <f t="shared" si="82"/>
        <v/>
      </c>
      <c r="M281" s="35" t="str">
        <f t="shared" si="83"/>
        <v/>
      </c>
      <c r="N281" s="36" t="str">
        <f t="shared" si="84"/>
        <v/>
      </c>
      <c r="O281" s="35" t="str">
        <f t="shared" si="85"/>
        <v/>
      </c>
      <c r="P281" s="35" t="str">
        <f t="shared" si="86"/>
        <v/>
      </c>
      <c r="Q281" s="35" t="str">
        <f t="shared" si="87"/>
        <v/>
      </c>
      <c r="R281" s="35" t="str">
        <f t="shared" si="88"/>
        <v/>
      </c>
      <c r="S281" s="33" t="str">
        <f t="shared" si="89"/>
        <v/>
      </c>
    </row>
    <row r="282" spans="1:19" x14ac:dyDescent="0.3">
      <c r="A282" s="33">
        <f>278</f>
        <v>278</v>
      </c>
      <c r="B282" s="34" t="str">
        <f t="shared" si="72"/>
        <v/>
      </c>
      <c r="C282" s="33" t="str">
        <f t="shared" si="73"/>
        <v/>
      </c>
      <c r="D282" s="33" t="str">
        <f t="shared" si="74"/>
        <v/>
      </c>
      <c r="E282" s="35" t="str">
        <f t="shared" si="75"/>
        <v/>
      </c>
      <c r="F282" s="35" t="str">
        <f t="shared" si="76"/>
        <v/>
      </c>
      <c r="G282" s="33" t="str">
        <f t="shared" si="77"/>
        <v/>
      </c>
      <c r="H282" s="35" t="str">
        <f t="shared" si="78"/>
        <v/>
      </c>
      <c r="I282" s="35" t="str">
        <f t="shared" si="79"/>
        <v/>
      </c>
      <c r="J282" s="35" t="str">
        <f t="shared" si="80"/>
        <v/>
      </c>
      <c r="K282" s="35" t="str">
        <f t="shared" si="81"/>
        <v/>
      </c>
      <c r="L282" s="35" t="str">
        <f t="shared" si="82"/>
        <v/>
      </c>
      <c r="M282" s="35" t="str">
        <f t="shared" si="83"/>
        <v/>
      </c>
      <c r="N282" s="36" t="str">
        <f t="shared" si="84"/>
        <v/>
      </c>
      <c r="O282" s="35" t="str">
        <f t="shared" si="85"/>
        <v/>
      </c>
      <c r="P282" s="35" t="str">
        <f t="shared" si="86"/>
        <v/>
      </c>
      <c r="Q282" s="35" t="str">
        <f t="shared" si="87"/>
        <v/>
      </c>
      <c r="R282" s="35" t="str">
        <f t="shared" si="88"/>
        <v/>
      </c>
      <c r="S282" s="33" t="str">
        <f t="shared" si="89"/>
        <v/>
      </c>
    </row>
    <row r="283" spans="1:19" x14ac:dyDescent="0.3">
      <c r="A283" s="33">
        <f>279</f>
        <v>279</v>
      </c>
      <c r="B283" s="34" t="str">
        <f t="shared" si="72"/>
        <v/>
      </c>
      <c r="C283" s="33" t="str">
        <f t="shared" si="73"/>
        <v/>
      </c>
      <c r="D283" s="33" t="str">
        <f t="shared" si="74"/>
        <v/>
      </c>
      <c r="E283" s="35" t="str">
        <f t="shared" si="75"/>
        <v/>
      </c>
      <c r="F283" s="35" t="str">
        <f t="shared" si="76"/>
        <v/>
      </c>
      <c r="G283" s="33" t="str">
        <f t="shared" si="77"/>
        <v/>
      </c>
      <c r="H283" s="35" t="str">
        <f t="shared" si="78"/>
        <v/>
      </c>
      <c r="I283" s="35" t="str">
        <f t="shared" si="79"/>
        <v/>
      </c>
      <c r="J283" s="35" t="str">
        <f t="shared" si="80"/>
        <v/>
      </c>
      <c r="K283" s="35" t="str">
        <f t="shared" si="81"/>
        <v/>
      </c>
      <c r="L283" s="35" t="str">
        <f t="shared" si="82"/>
        <v/>
      </c>
      <c r="M283" s="35" t="str">
        <f t="shared" si="83"/>
        <v/>
      </c>
      <c r="N283" s="36" t="str">
        <f t="shared" si="84"/>
        <v/>
      </c>
      <c r="O283" s="35" t="str">
        <f t="shared" si="85"/>
        <v/>
      </c>
      <c r="P283" s="35" t="str">
        <f t="shared" si="86"/>
        <v/>
      </c>
      <c r="Q283" s="35" t="str">
        <f t="shared" si="87"/>
        <v/>
      </c>
      <c r="R283" s="35" t="str">
        <f t="shared" si="88"/>
        <v/>
      </c>
      <c r="S283" s="33" t="str">
        <f t="shared" si="89"/>
        <v/>
      </c>
    </row>
    <row r="284" spans="1:19" x14ac:dyDescent="0.3">
      <c r="A284" s="33">
        <f>280</f>
        <v>280</v>
      </c>
      <c r="B284" s="34" t="str">
        <f t="shared" si="72"/>
        <v/>
      </c>
      <c r="C284" s="33" t="str">
        <f t="shared" si="73"/>
        <v/>
      </c>
      <c r="D284" s="33" t="str">
        <f t="shared" si="74"/>
        <v/>
      </c>
      <c r="E284" s="35" t="str">
        <f t="shared" si="75"/>
        <v/>
      </c>
      <c r="F284" s="35" t="str">
        <f t="shared" si="76"/>
        <v/>
      </c>
      <c r="G284" s="33" t="str">
        <f t="shared" si="77"/>
        <v/>
      </c>
      <c r="H284" s="35" t="str">
        <f t="shared" si="78"/>
        <v/>
      </c>
      <c r="I284" s="35" t="str">
        <f t="shared" si="79"/>
        <v/>
      </c>
      <c r="J284" s="35" t="str">
        <f t="shared" si="80"/>
        <v/>
      </c>
      <c r="K284" s="35" t="str">
        <f t="shared" si="81"/>
        <v/>
      </c>
      <c r="L284" s="35" t="str">
        <f t="shared" si="82"/>
        <v/>
      </c>
      <c r="M284" s="35" t="str">
        <f t="shared" si="83"/>
        <v/>
      </c>
      <c r="N284" s="36" t="str">
        <f t="shared" si="84"/>
        <v/>
      </c>
      <c r="O284" s="35" t="str">
        <f t="shared" si="85"/>
        <v/>
      </c>
      <c r="P284" s="35" t="str">
        <f t="shared" si="86"/>
        <v/>
      </c>
      <c r="Q284" s="35" t="str">
        <f t="shared" si="87"/>
        <v/>
      </c>
      <c r="R284" s="35" t="str">
        <f t="shared" si="88"/>
        <v/>
      </c>
      <c r="S284" s="33" t="str">
        <f t="shared" si="89"/>
        <v/>
      </c>
    </row>
    <row r="285" spans="1:19" x14ac:dyDescent="0.3">
      <c r="A285" s="33">
        <f>281</f>
        <v>281</v>
      </c>
      <c r="B285" s="34" t="str">
        <f t="shared" si="72"/>
        <v/>
      </c>
      <c r="C285" s="33" t="str">
        <f t="shared" si="73"/>
        <v/>
      </c>
      <c r="D285" s="33" t="str">
        <f t="shared" si="74"/>
        <v/>
      </c>
      <c r="E285" s="35" t="str">
        <f t="shared" si="75"/>
        <v/>
      </c>
      <c r="F285" s="35" t="str">
        <f t="shared" si="76"/>
        <v/>
      </c>
      <c r="G285" s="33" t="str">
        <f t="shared" si="77"/>
        <v/>
      </c>
      <c r="H285" s="35" t="str">
        <f t="shared" si="78"/>
        <v/>
      </c>
      <c r="I285" s="35" t="str">
        <f t="shared" si="79"/>
        <v/>
      </c>
      <c r="J285" s="35" t="str">
        <f t="shared" si="80"/>
        <v/>
      </c>
      <c r="K285" s="35" t="str">
        <f t="shared" si="81"/>
        <v/>
      </c>
      <c r="L285" s="35" t="str">
        <f t="shared" si="82"/>
        <v/>
      </c>
      <c r="M285" s="35" t="str">
        <f t="shared" si="83"/>
        <v/>
      </c>
      <c r="N285" s="36" t="str">
        <f t="shared" si="84"/>
        <v/>
      </c>
      <c r="O285" s="35" t="str">
        <f t="shared" si="85"/>
        <v/>
      </c>
      <c r="P285" s="35" t="str">
        <f t="shared" si="86"/>
        <v/>
      </c>
      <c r="Q285" s="35" t="str">
        <f t="shared" si="87"/>
        <v/>
      </c>
      <c r="R285" s="35" t="str">
        <f t="shared" si="88"/>
        <v/>
      </c>
      <c r="S285" s="33" t="str">
        <f t="shared" si="89"/>
        <v/>
      </c>
    </row>
    <row r="286" spans="1:19" x14ac:dyDescent="0.3">
      <c r="A286" s="33">
        <f>282</f>
        <v>282</v>
      </c>
      <c r="B286" s="34" t="str">
        <f t="shared" si="72"/>
        <v/>
      </c>
      <c r="C286" s="33" t="str">
        <f t="shared" si="73"/>
        <v/>
      </c>
      <c r="D286" s="33" t="str">
        <f t="shared" si="74"/>
        <v/>
      </c>
      <c r="E286" s="35" t="str">
        <f t="shared" si="75"/>
        <v/>
      </c>
      <c r="F286" s="35" t="str">
        <f t="shared" si="76"/>
        <v/>
      </c>
      <c r="G286" s="33" t="str">
        <f t="shared" si="77"/>
        <v/>
      </c>
      <c r="H286" s="35" t="str">
        <f t="shared" si="78"/>
        <v/>
      </c>
      <c r="I286" s="35" t="str">
        <f t="shared" si="79"/>
        <v/>
      </c>
      <c r="J286" s="35" t="str">
        <f t="shared" si="80"/>
        <v/>
      </c>
      <c r="K286" s="35" t="str">
        <f t="shared" si="81"/>
        <v/>
      </c>
      <c r="L286" s="35" t="str">
        <f t="shared" si="82"/>
        <v/>
      </c>
      <c r="M286" s="35" t="str">
        <f t="shared" si="83"/>
        <v/>
      </c>
      <c r="N286" s="36" t="str">
        <f t="shared" si="84"/>
        <v/>
      </c>
      <c r="O286" s="35" t="str">
        <f t="shared" si="85"/>
        <v/>
      </c>
      <c r="P286" s="35" t="str">
        <f t="shared" si="86"/>
        <v/>
      </c>
      <c r="Q286" s="35" t="str">
        <f t="shared" si="87"/>
        <v/>
      </c>
      <c r="R286" s="35" t="str">
        <f t="shared" si="88"/>
        <v/>
      </c>
      <c r="S286" s="33" t="str">
        <f t="shared" si="89"/>
        <v/>
      </c>
    </row>
    <row r="287" spans="1:19" x14ac:dyDescent="0.3">
      <c r="A287" s="33">
        <f>283</f>
        <v>283</v>
      </c>
      <c r="B287" s="34" t="str">
        <f t="shared" si="72"/>
        <v/>
      </c>
      <c r="C287" s="33" t="str">
        <f t="shared" si="73"/>
        <v/>
      </c>
      <c r="D287" s="33" t="str">
        <f t="shared" si="74"/>
        <v/>
      </c>
      <c r="E287" s="35" t="str">
        <f t="shared" si="75"/>
        <v/>
      </c>
      <c r="F287" s="35" t="str">
        <f t="shared" si="76"/>
        <v/>
      </c>
      <c r="G287" s="33" t="str">
        <f t="shared" si="77"/>
        <v/>
      </c>
      <c r="H287" s="35" t="str">
        <f t="shared" si="78"/>
        <v/>
      </c>
      <c r="I287" s="35" t="str">
        <f t="shared" si="79"/>
        <v/>
      </c>
      <c r="J287" s="35" t="str">
        <f t="shared" si="80"/>
        <v/>
      </c>
      <c r="K287" s="35" t="str">
        <f t="shared" si="81"/>
        <v/>
      </c>
      <c r="L287" s="35" t="str">
        <f t="shared" si="82"/>
        <v/>
      </c>
      <c r="M287" s="35" t="str">
        <f t="shared" si="83"/>
        <v/>
      </c>
      <c r="N287" s="36" t="str">
        <f t="shared" si="84"/>
        <v/>
      </c>
      <c r="O287" s="35" t="str">
        <f t="shared" si="85"/>
        <v/>
      </c>
      <c r="P287" s="35" t="str">
        <f t="shared" si="86"/>
        <v/>
      </c>
      <c r="Q287" s="35" t="str">
        <f t="shared" si="87"/>
        <v/>
      </c>
      <c r="R287" s="35" t="str">
        <f t="shared" si="88"/>
        <v/>
      </c>
      <c r="S287" s="33" t="str">
        <f t="shared" si="89"/>
        <v/>
      </c>
    </row>
    <row r="288" spans="1:19" x14ac:dyDescent="0.3">
      <c r="A288" s="33">
        <f>284</f>
        <v>284</v>
      </c>
      <c r="B288" s="34" t="str">
        <f t="shared" si="72"/>
        <v/>
      </c>
      <c r="C288" s="33" t="str">
        <f t="shared" si="73"/>
        <v/>
      </c>
      <c r="D288" s="33" t="str">
        <f t="shared" si="74"/>
        <v/>
      </c>
      <c r="E288" s="35" t="str">
        <f t="shared" si="75"/>
        <v/>
      </c>
      <c r="F288" s="35" t="str">
        <f t="shared" si="76"/>
        <v/>
      </c>
      <c r="G288" s="33" t="str">
        <f t="shared" si="77"/>
        <v/>
      </c>
      <c r="H288" s="35" t="str">
        <f t="shared" si="78"/>
        <v/>
      </c>
      <c r="I288" s="35" t="str">
        <f t="shared" si="79"/>
        <v/>
      </c>
      <c r="J288" s="35" t="str">
        <f t="shared" si="80"/>
        <v/>
      </c>
      <c r="K288" s="35" t="str">
        <f t="shared" si="81"/>
        <v/>
      </c>
      <c r="L288" s="35" t="str">
        <f t="shared" si="82"/>
        <v/>
      </c>
      <c r="M288" s="35" t="str">
        <f t="shared" si="83"/>
        <v/>
      </c>
      <c r="N288" s="36" t="str">
        <f t="shared" si="84"/>
        <v/>
      </c>
      <c r="O288" s="35" t="str">
        <f t="shared" si="85"/>
        <v/>
      </c>
      <c r="P288" s="35" t="str">
        <f t="shared" si="86"/>
        <v/>
      </c>
      <c r="Q288" s="35" t="str">
        <f t="shared" si="87"/>
        <v/>
      </c>
      <c r="R288" s="35" t="str">
        <f t="shared" si="88"/>
        <v/>
      </c>
      <c r="S288" s="33" t="str">
        <f t="shared" si="89"/>
        <v/>
      </c>
    </row>
    <row r="289" spans="1:19" x14ac:dyDescent="0.3">
      <c r="A289" s="33">
        <f>285</f>
        <v>285</v>
      </c>
      <c r="B289" s="34" t="str">
        <f t="shared" si="72"/>
        <v/>
      </c>
      <c r="C289" s="33" t="str">
        <f t="shared" si="73"/>
        <v/>
      </c>
      <c r="D289" s="33" t="str">
        <f t="shared" si="74"/>
        <v/>
      </c>
      <c r="E289" s="35" t="str">
        <f t="shared" si="75"/>
        <v/>
      </c>
      <c r="F289" s="35" t="str">
        <f t="shared" si="76"/>
        <v/>
      </c>
      <c r="G289" s="33" t="str">
        <f t="shared" si="77"/>
        <v/>
      </c>
      <c r="H289" s="35" t="str">
        <f t="shared" si="78"/>
        <v/>
      </c>
      <c r="I289" s="35" t="str">
        <f t="shared" si="79"/>
        <v/>
      </c>
      <c r="J289" s="35" t="str">
        <f t="shared" si="80"/>
        <v/>
      </c>
      <c r="K289" s="35" t="str">
        <f t="shared" si="81"/>
        <v/>
      </c>
      <c r="L289" s="35" t="str">
        <f t="shared" si="82"/>
        <v/>
      </c>
      <c r="M289" s="35" t="str">
        <f t="shared" si="83"/>
        <v/>
      </c>
      <c r="N289" s="36" t="str">
        <f t="shared" si="84"/>
        <v/>
      </c>
      <c r="O289" s="35" t="str">
        <f t="shared" si="85"/>
        <v/>
      </c>
      <c r="P289" s="35" t="str">
        <f t="shared" si="86"/>
        <v/>
      </c>
      <c r="Q289" s="35" t="str">
        <f t="shared" si="87"/>
        <v/>
      </c>
      <c r="R289" s="35" t="str">
        <f t="shared" si="88"/>
        <v/>
      </c>
      <c r="S289" s="33" t="str">
        <f t="shared" si="89"/>
        <v/>
      </c>
    </row>
    <row r="290" spans="1:19" x14ac:dyDescent="0.3">
      <c r="A290" s="33">
        <f>286</f>
        <v>286</v>
      </c>
      <c r="B290" s="34" t="str">
        <f t="shared" si="72"/>
        <v/>
      </c>
      <c r="C290" s="33" t="str">
        <f t="shared" si="73"/>
        <v/>
      </c>
      <c r="D290" s="33" t="str">
        <f t="shared" si="74"/>
        <v/>
      </c>
      <c r="E290" s="35" t="str">
        <f t="shared" si="75"/>
        <v/>
      </c>
      <c r="F290" s="35" t="str">
        <f t="shared" si="76"/>
        <v/>
      </c>
      <c r="G290" s="33" t="str">
        <f t="shared" si="77"/>
        <v/>
      </c>
      <c r="H290" s="35" t="str">
        <f t="shared" si="78"/>
        <v/>
      </c>
      <c r="I290" s="35" t="str">
        <f t="shared" si="79"/>
        <v/>
      </c>
      <c r="J290" s="35" t="str">
        <f t="shared" si="80"/>
        <v/>
      </c>
      <c r="K290" s="35" t="str">
        <f t="shared" si="81"/>
        <v/>
      </c>
      <c r="L290" s="35" t="str">
        <f t="shared" si="82"/>
        <v/>
      </c>
      <c r="M290" s="35" t="str">
        <f t="shared" si="83"/>
        <v/>
      </c>
      <c r="N290" s="36" t="str">
        <f t="shared" si="84"/>
        <v/>
      </c>
      <c r="O290" s="35" t="str">
        <f t="shared" si="85"/>
        <v/>
      </c>
      <c r="P290" s="35" t="str">
        <f t="shared" si="86"/>
        <v/>
      </c>
      <c r="Q290" s="35" t="str">
        <f t="shared" si="87"/>
        <v/>
      </c>
      <c r="R290" s="35" t="str">
        <f t="shared" si="88"/>
        <v/>
      </c>
      <c r="S290" s="33" t="str">
        <f t="shared" si="89"/>
        <v/>
      </c>
    </row>
    <row r="291" spans="1:19" x14ac:dyDescent="0.3">
      <c r="A291" s="33">
        <f>287</f>
        <v>287</v>
      </c>
      <c r="B291" s="34" t="str">
        <f t="shared" si="72"/>
        <v/>
      </c>
      <c r="C291" s="33" t="str">
        <f t="shared" si="73"/>
        <v/>
      </c>
      <c r="D291" s="33" t="str">
        <f t="shared" si="74"/>
        <v/>
      </c>
      <c r="E291" s="35" t="str">
        <f t="shared" si="75"/>
        <v/>
      </c>
      <c r="F291" s="35" t="str">
        <f t="shared" si="76"/>
        <v/>
      </c>
      <c r="G291" s="33" t="str">
        <f t="shared" si="77"/>
        <v/>
      </c>
      <c r="H291" s="35" t="str">
        <f t="shared" si="78"/>
        <v/>
      </c>
      <c r="I291" s="35" t="str">
        <f t="shared" si="79"/>
        <v/>
      </c>
      <c r="J291" s="35" t="str">
        <f t="shared" si="80"/>
        <v/>
      </c>
      <c r="K291" s="35" t="str">
        <f t="shared" si="81"/>
        <v/>
      </c>
      <c r="L291" s="35" t="str">
        <f t="shared" si="82"/>
        <v/>
      </c>
      <c r="M291" s="35" t="str">
        <f t="shared" si="83"/>
        <v/>
      </c>
      <c r="N291" s="36" t="str">
        <f t="shared" si="84"/>
        <v/>
      </c>
      <c r="O291" s="35" t="str">
        <f t="shared" si="85"/>
        <v/>
      </c>
      <c r="P291" s="35" t="str">
        <f t="shared" si="86"/>
        <v/>
      </c>
      <c r="Q291" s="35" t="str">
        <f t="shared" si="87"/>
        <v/>
      </c>
      <c r="R291" s="35" t="str">
        <f t="shared" si="88"/>
        <v/>
      </c>
      <c r="S291" s="33" t="str">
        <f t="shared" si="89"/>
        <v/>
      </c>
    </row>
    <row r="292" spans="1:19" x14ac:dyDescent="0.3">
      <c r="A292" s="37">
        <f>288</f>
        <v>288</v>
      </c>
      <c r="B292" s="38" t="str">
        <f t="shared" si="72"/>
        <v/>
      </c>
      <c r="C292" s="37" t="str">
        <f t="shared" si="73"/>
        <v/>
      </c>
      <c r="D292" s="37" t="str">
        <f t="shared" si="74"/>
        <v/>
      </c>
      <c r="E292" s="39" t="str">
        <f t="shared" si="75"/>
        <v/>
      </c>
      <c r="F292" s="39" t="str">
        <f t="shared" si="76"/>
        <v/>
      </c>
      <c r="G292" s="37" t="str">
        <f t="shared" si="77"/>
        <v/>
      </c>
      <c r="H292" s="39" t="str">
        <f t="shared" si="78"/>
        <v/>
      </c>
      <c r="I292" s="39" t="str">
        <f t="shared" si="79"/>
        <v/>
      </c>
      <c r="J292" s="39" t="str">
        <f t="shared" si="80"/>
        <v/>
      </c>
      <c r="K292" s="39" t="str">
        <f t="shared" si="81"/>
        <v/>
      </c>
      <c r="L292" s="39" t="str">
        <f t="shared" si="82"/>
        <v/>
      </c>
      <c r="M292" s="39" t="str">
        <f t="shared" si="83"/>
        <v/>
      </c>
      <c r="N292" s="40" t="str">
        <f t="shared" si="84"/>
        <v/>
      </c>
      <c r="O292" s="39" t="str">
        <f t="shared" si="85"/>
        <v/>
      </c>
      <c r="P292" s="39" t="str">
        <f t="shared" si="86"/>
        <v/>
      </c>
      <c r="Q292" s="39" t="str">
        <f t="shared" si="87"/>
        <v/>
      </c>
      <c r="R292" s="39" t="str">
        <f t="shared" si="88"/>
        <v/>
      </c>
      <c r="S292" s="37" t="str">
        <f t="shared" si="89"/>
        <v/>
      </c>
    </row>
    <row r="293" spans="1:19" x14ac:dyDescent="0.3">
      <c r="A293" s="33">
        <f>289</f>
        <v>289</v>
      </c>
      <c r="B293" s="34" t="str">
        <f t="shared" si="72"/>
        <v/>
      </c>
      <c r="C293" s="33" t="str">
        <f t="shared" si="73"/>
        <v/>
      </c>
      <c r="D293" s="33" t="str">
        <f t="shared" si="74"/>
        <v/>
      </c>
      <c r="E293" s="35" t="str">
        <f t="shared" si="75"/>
        <v/>
      </c>
      <c r="F293" s="35" t="str">
        <f t="shared" si="76"/>
        <v/>
      </c>
      <c r="G293" s="33" t="str">
        <f t="shared" si="77"/>
        <v/>
      </c>
      <c r="H293" s="35" t="str">
        <f t="shared" si="78"/>
        <v/>
      </c>
      <c r="I293" s="35" t="str">
        <f t="shared" si="79"/>
        <v/>
      </c>
      <c r="J293" s="35" t="str">
        <f t="shared" si="80"/>
        <v/>
      </c>
      <c r="K293" s="35" t="str">
        <f t="shared" si="81"/>
        <v/>
      </c>
      <c r="L293" s="35" t="str">
        <f t="shared" si="82"/>
        <v/>
      </c>
      <c r="M293" s="35" t="str">
        <f t="shared" si="83"/>
        <v/>
      </c>
      <c r="N293" s="36" t="str">
        <f t="shared" si="84"/>
        <v/>
      </c>
      <c r="O293" s="35" t="str">
        <f t="shared" si="85"/>
        <v/>
      </c>
      <c r="P293" s="35" t="str">
        <f t="shared" si="86"/>
        <v/>
      </c>
      <c r="Q293" s="35" t="str">
        <f t="shared" si="87"/>
        <v/>
      </c>
      <c r="R293" s="35" t="str">
        <f t="shared" si="88"/>
        <v/>
      </c>
      <c r="S293" s="33" t="str">
        <f t="shared" si="89"/>
        <v/>
      </c>
    </row>
    <row r="294" spans="1:19" x14ac:dyDescent="0.3">
      <c r="A294" s="33">
        <f>290</f>
        <v>290</v>
      </c>
      <c r="B294" s="34" t="str">
        <f t="shared" si="72"/>
        <v/>
      </c>
      <c r="C294" s="33" t="str">
        <f t="shared" si="73"/>
        <v/>
      </c>
      <c r="D294" s="33" t="str">
        <f t="shared" si="74"/>
        <v/>
      </c>
      <c r="E294" s="35" t="str">
        <f t="shared" si="75"/>
        <v/>
      </c>
      <c r="F294" s="35" t="str">
        <f t="shared" si="76"/>
        <v/>
      </c>
      <c r="G294" s="33" t="str">
        <f t="shared" si="77"/>
        <v/>
      </c>
      <c r="H294" s="35" t="str">
        <f t="shared" si="78"/>
        <v/>
      </c>
      <c r="I294" s="35" t="str">
        <f t="shared" si="79"/>
        <v/>
      </c>
      <c r="J294" s="35" t="str">
        <f t="shared" si="80"/>
        <v/>
      </c>
      <c r="K294" s="35" t="str">
        <f t="shared" si="81"/>
        <v/>
      </c>
      <c r="L294" s="35" t="str">
        <f t="shared" si="82"/>
        <v/>
      </c>
      <c r="M294" s="35" t="str">
        <f t="shared" si="83"/>
        <v/>
      </c>
      <c r="N294" s="36" t="str">
        <f t="shared" si="84"/>
        <v/>
      </c>
      <c r="O294" s="35" t="str">
        <f t="shared" si="85"/>
        <v/>
      </c>
      <c r="P294" s="35" t="str">
        <f t="shared" si="86"/>
        <v/>
      </c>
      <c r="Q294" s="35" t="str">
        <f t="shared" si="87"/>
        <v/>
      </c>
      <c r="R294" s="35" t="str">
        <f t="shared" si="88"/>
        <v/>
      </c>
      <c r="S294" s="33" t="str">
        <f t="shared" si="89"/>
        <v/>
      </c>
    </row>
    <row r="295" spans="1:19" x14ac:dyDescent="0.3">
      <c r="A295" s="33">
        <f>291</f>
        <v>291</v>
      </c>
      <c r="B295" s="34" t="str">
        <f t="shared" si="72"/>
        <v/>
      </c>
      <c r="C295" s="33" t="str">
        <f t="shared" si="73"/>
        <v/>
      </c>
      <c r="D295" s="33" t="str">
        <f t="shared" si="74"/>
        <v/>
      </c>
      <c r="E295" s="35" t="str">
        <f t="shared" si="75"/>
        <v/>
      </c>
      <c r="F295" s="35" t="str">
        <f t="shared" si="76"/>
        <v/>
      </c>
      <c r="G295" s="33" t="str">
        <f t="shared" si="77"/>
        <v/>
      </c>
      <c r="H295" s="35" t="str">
        <f t="shared" si="78"/>
        <v/>
      </c>
      <c r="I295" s="35" t="str">
        <f t="shared" si="79"/>
        <v/>
      </c>
      <c r="J295" s="35" t="str">
        <f t="shared" si="80"/>
        <v/>
      </c>
      <c r="K295" s="35" t="str">
        <f t="shared" si="81"/>
        <v/>
      </c>
      <c r="L295" s="35" t="str">
        <f t="shared" si="82"/>
        <v/>
      </c>
      <c r="M295" s="35" t="str">
        <f t="shared" si="83"/>
        <v/>
      </c>
      <c r="N295" s="36" t="str">
        <f t="shared" si="84"/>
        <v/>
      </c>
      <c r="O295" s="35" t="str">
        <f t="shared" si="85"/>
        <v/>
      </c>
      <c r="P295" s="35" t="str">
        <f t="shared" si="86"/>
        <v/>
      </c>
      <c r="Q295" s="35" t="str">
        <f t="shared" si="87"/>
        <v/>
      </c>
      <c r="R295" s="35" t="str">
        <f t="shared" si="88"/>
        <v/>
      </c>
      <c r="S295" s="33" t="str">
        <f t="shared" si="89"/>
        <v/>
      </c>
    </row>
    <row r="296" spans="1:19" x14ac:dyDescent="0.3">
      <c r="A296" s="33">
        <f>292</f>
        <v>292</v>
      </c>
      <c r="B296" s="34" t="str">
        <f t="shared" si="72"/>
        <v/>
      </c>
      <c r="C296" s="33" t="str">
        <f t="shared" si="73"/>
        <v/>
      </c>
      <c r="D296" s="33" t="str">
        <f t="shared" si="74"/>
        <v/>
      </c>
      <c r="E296" s="35" t="str">
        <f t="shared" si="75"/>
        <v/>
      </c>
      <c r="F296" s="35" t="str">
        <f t="shared" si="76"/>
        <v/>
      </c>
      <c r="G296" s="33" t="str">
        <f t="shared" si="77"/>
        <v/>
      </c>
      <c r="H296" s="35" t="str">
        <f t="shared" si="78"/>
        <v/>
      </c>
      <c r="I296" s="35" t="str">
        <f t="shared" si="79"/>
        <v/>
      </c>
      <c r="J296" s="35" t="str">
        <f t="shared" si="80"/>
        <v/>
      </c>
      <c r="K296" s="35" t="str">
        <f t="shared" si="81"/>
        <v/>
      </c>
      <c r="L296" s="35" t="str">
        <f t="shared" si="82"/>
        <v/>
      </c>
      <c r="M296" s="35" t="str">
        <f t="shared" si="83"/>
        <v/>
      </c>
      <c r="N296" s="36" t="str">
        <f t="shared" si="84"/>
        <v/>
      </c>
      <c r="O296" s="35" t="str">
        <f t="shared" si="85"/>
        <v/>
      </c>
      <c r="P296" s="35" t="str">
        <f t="shared" si="86"/>
        <v/>
      </c>
      <c r="Q296" s="35" t="str">
        <f t="shared" si="87"/>
        <v/>
      </c>
      <c r="R296" s="35" t="str">
        <f t="shared" si="88"/>
        <v/>
      </c>
      <c r="S296" s="33" t="str">
        <f t="shared" si="89"/>
        <v/>
      </c>
    </row>
    <row r="297" spans="1:19" x14ac:dyDescent="0.3">
      <c r="A297" s="33">
        <f>293</f>
        <v>293</v>
      </c>
      <c r="B297" s="34" t="str">
        <f t="shared" si="72"/>
        <v/>
      </c>
      <c r="C297" s="33" t="str">
        <f t="shared" si="73"/>
        <v/>
      </c>
      <c r="D297" s="33" t="str">
        <f t="shared" si="74"/>
        <v/>
      </c>
      <c r="E297" s="35" t="str">
        <f t="shared" si="75"/>
        <v/>
      </c>
      <c r="F297" s="35" t="str">
        <f t="shared" si="76"/>
        <v/>
      </c>
      <c r="G297" s="33" t="str">
        <f t="shared" si="77"/>
        <v/>
      </c>
      <c r="H297" s="35" t="str">
        <f t="shared" si="78"/>
        <v/>
      </c>
      <c r="I297" s="35" t="str">
        <f t="shared" si="79"/>
        <v/>
      </c>
      <c r="J297" s="35" t="str">
        <f t="shared" si="80"/>
        <v/>
      </c>
      <c r="K297" s="35" t="str">
        <f t="shared" si="81"/>
        <v/>
      </c>
      <c r="L297" s="35" t="str">
        <f t="shared" si="82"/>
        <v/>
      </c>
      <c r="M297" s="35" t="str">
        <f t="shared" si="83"/>
        <v/>
      </c>
      <c r="N297" s="36" t="str">
        <f t="shared" si="84"/>
        <v/>
      </c>
      <c r="O297" s="35" t="str">
        <f t="shared" si="85"/>
        <v/>
      </c>
      <c r="P297" s="35" t="str">
        <f t="shared" si="86"/>
        <v/>
      </c>
      <c r="Q297" s="35" t="str">
        <f t="shared" si="87"/>
        <v/>
      </c>
      <c r="R297" s="35" t="str">
        <f t="shared" si="88"/>
        <v/>
      </c>
      <c r="S297" s="33" t="str">
        <f t="shared" si="89"/>
        <v/>
      </c>
    </row>
    <row r="298" spans="1:19" x14ac:dyDescent="0.3">
      <c r="A298" s="33">
        <f>294</f>
        <v>294</v>
      </c>
      <c r="B298" s="34" t="str">
        <f t="shared" si="72"/>
        <v/>
      </c>
      <c r="C298" s="33" t="str">
        <f t="shared" si="73"/>
        <v/>
      </c>
      <c r="D298" s="33" t="str">
        <f t="shared" si="74"/>
        <v/>
      </c>
      <c r="E298" s="35" t="str">
        <f t="shared" si="75"/>
        <v/>
      </c>
      <c r="F298" s="35" t="str">
        <f t="shared" si="76"/>
        <v/>
      </c>
      <c r="G298" s="33" t="str">
        <f t="shared" si="77"/>
        <v/>
      </c>
      <c r="H298" s="35" t="str">
        <f t="shared" si="78"/>
        <v/>
      </c>
      <c r="I298" s="35" t="str">
        <f t="shared" si="79"/>
        <v/>
      </c>
      <c r="J298" s="35" t="str">
        <f t="shared" si="80"/>
        <v/>
      </c>
      <c r="K298" s="35" t="str">
        <f t="shared" si="81"/>
        <v/>
      </c>
      <c r="L298" s="35" t="str">
        <f t="shared" si="82"/>
        <v/>
      </c>
      <c r="M298" s="35" t="str">
        <f t="shared" si="83"/>
        <v/>
      </c>
      <c r="N298" s="36" t="str">
        <f t="shared" si="84"/>
        <v/>
      </c>
      <c r="O298" s="35" t="str">
        <f t="shared" si="85"/>
        <v/>
      </c>
      <c r="P298" s="35" t="str">
        <f t="shared" si="86"/>
        <v/>
      </c>
      <c r="Q298" s="35" t="str">
        <f t="shared" si="87"/>
        <v/>
      </c>
      <c r="R298" s="35" t="str">
        <f t="shared" si="88"/>
        <v/>
      </c>
      <c r="S298" s="33" t="str">
        <f t="shared" si="89"/>
        <v/>
      </c>
    </row>
    <row r="299" spans="1:19" x14ac:dyDescent="0.3">
      <c r="A299" s="33">
        <f>295</f>
        <v>295</v>
      </c>
      <c r="B299" s="34" t="str">
        <f t="shared" si="72"/>
        <v/>
      </c>
      <c r="C299" s="33" t="str">
        <f t="shared" si="73"/>
        <v/>
      </c>
      <c r="D299" s="33" t="str">
        <f t="shared" si="74"/>
        <v/>
      </c>
      <c r="E299" s="35" t="str">
        <f t="shared" si="75"/>
        <v/>
      </c>
      <c r="F299" s="35" t="str">
        <f t="shared" si="76"/>
        <v/>
      </c>
      <c r="G299" s="33" t="str">
        <f t="shared" si="77"/>
        <v/>
      </c>
      <c r="H299" s="35" t="str">
        <f t="shared" si="78"/>
        <v/>
      </c>
      <c r="I299" s="35" t="str">
        <f t="shared" si="79"/>
        <v/>
      </c>
      <c r="J299" s="35" t="str">
        <f t="shared" si="80"/>
        <v/>
      </c>
      <c r="K299" s="35" t="str">
        <f t="shared" si="81"/>
        <v/>
      </c>
      <c r="L299" s="35" t="str">
        <f t="shared" si="82"/>
        <v/>
      </c>
      <c r="M299" s="35" t="str">
        <f t="shared" si="83"/>
        <v/>
      </c>
      <c r="N299" s="36" t="str">
        <f t="shared" si="84"/>
        <v/>
      </c>
      <c r="O299" s="35" t="str">
        <f t="shared" si="85"/>
        <v/>
      </c>
      <c r="P299" s="35" t="str">
        <f t="shared" si="86"/>
        <v/>
      </c>
      <c r="Q299" s="35" t="str">
        <f t="shared" si="87"/>
        <v/>
      </c>
      <c r="R299" s="35" t="str">
        <f t="shared" si="88"/>
        <v/>
      </c>
      <c r="S299" s="33" t="str">
        <f t="shared" si="89"/>
        <v/>
      </c>
    </row>
    <row r="300" spans="1:19" x14ac:dyDescent="0.3">
      <c r="A300" s="33">
        <f>296</f>
        <v>296</v>
      </c>
      <c r="B300" s="34" t="str">
        <f t="shared" si="72"/>
        <v/>
      </c>
      <c r="C300" s="33" t="str">
        <f t="shared" si="73"/>
        <v/>
      </c>
      <c r="D300" s="33" t="str">
        <f t="shared" si="74"/>
        <v/>
      </c>
      <c r="E300" s="35" t="str">
        <f t="shared" si="75"/>
        <v/>
      </c>
      <c r="F300" s="35" t="str">
        <f t="shared" si="76"/>
        <v/>
      </c>
      <c r="G300" s="33" t="str">
        <f t="shared" si="77"/>
        <v/>
      </c>
      <c r="H300" s="35" t="str">
        <f t="shared" si="78"/>
        <v/>
      </c>
      <c r="I300" s="35" t="str">
        <f t="shared" si="79"/>
        <v/>
      </c>
      <c r="J300" s="35" t="str">
        <f t="shared" si="80"/>
        <v/>
      </c>
      <c r="K300" s="35" t="str">
        <f t="shared" si="81"/>
        <v/>
      </c>
      <c r="L300" s="35" t="str">
        <f t="shared" si="82"/>
        <v/>
      </c>
      <c r="M300" s="35" t="str">
        <f t="shared" si="83"/>
        <v/>
      </c>
      <c r="N300" s="36" t="str">
        <f t="shared" si="84"/>
        <v/>
      </c>
      <c r="O300" s="35" t="str">
        <f t="shared" si="85"/>
        <v/>
      </c>
      <c r="P300" s="35" t="str">
        <f t="shared" si="86"/>
        <v/>
      </c>
      <c r="Q300" s="35" t="str">
        <f t="shared" si="87"/>
        <v/>
      </c>
      <c r="R300" s="35" t="str">
        <f t="shared" si="88"/>
        <v/>
      </c>
      <c r="S300" s="33" t="str">
        <f t="shared" si="89"/>
        <v/>
      </c>
    </row>
    <row r="301" spans="1:19" x14ac:dyDescent="0.3">
      <c r="A301" s="33">
        <f>297</f>
        <v>297</v>
      </c>
      <c r="B301" s="34" t="str">
        <f t="shared" si="72"/>
        <v/>
      </c>
      <c r="C301" s="33" t="str">
        <f t="shared" si="73"/>
        <v/>
      </c>
      <c r="D301" s="33" t="str">
        <f t="shared" si="74"/>
        <v/>
      </c>
      <c r="E301" s="35" t="str">
        <f t="shared" si="75"/>
        <v/>
      </c>
      <c r="F301" s="35" t="str">
        <f t="shared" si="76"/>
        <v/>
      </c>
      <c r="G301" s="33" t="str">
        <f t="shared" si="77"/>
        <v/>
      </c>
      <c r="H301" s="35" t="str">
        <f t="shared" si="78"/>
        <v/>
      </c>
      <c r="I301" s="35" t="str">
        <f t="shared" si="79"/>
        <v/>
      </c>
      <c r="J301" s="35" t="str">
        <f t="shared" si="80"/>
        <v/>
      </c>
      <c r="K301" s="35" t="str">
        <f t="shared" si="81"/>
        <v/>
      </c>
      <c r="L301" s="35" t="str">
        <f t="shared" si="82"/>
        <v/>
      </c>
      <c r="M301" s="35" t="str">
        <f t="shared" si="83"/>
        <v/>
      </c>
      <c r="N301" s="36" t="str">
        <f t="shared" si="84"/>
        <v/>
      </c>
      <c r="O301" s="35" t="str">
        <f t="shared" si="85"/>
        <v/>
      </c>
      <c r="P301" s="35" t="str">
        <f t="shared" si="86"/>
        <v/>
      </c>
      <c r="Q301" s="35" t="str">
        <f t="shared" si="87"/>
        <v/>
      </c>
      <c r="R301" s="35" t="str">
        <f t="shared" si="88"/>
        <v/>
      </c>
      <c r="S301" s="33" t="str">
        <f t="shared" si="89"/>
        <v/>
      </c>
    </row>
    <row r="302" spans="1:19" x14ac:dyDescent="0.3">
      <c r="A302" s="33">
        <f>298</f>
        <v>298</v>
      </c>
      <c r="B302" s="34" t="str">
        <f t="shared" si="72"/>
        <v/>
      </c>
      <c r="C302" s="33" t="str">
        <f t="shared" si="73"/>
        <v/>
      </c>
      <c r="D302" s="33" t="str">
        <f t="shared" si="74"/>
        <v/>
      </c>
      <c r="E302" s="35" t="str">
        <f t="shared" si="75"/>
        <v/>
      </c>
      <c r="F302" s="35" t="str">
        <f t="shared" si="76"/>
        <v/>
      </c>
      <c r="G302" s="33" t="str">
        <f t="shared" si="77"/>
        <v/>
      </c>
      <c r="H302" s="35" t="str">
        <f t="shared" si="78"/>
        <v/>
      </c>
      <c r="I302" s="35" t="str">
        <f t="shared" si="79"/>
        <v/>
      </c>
      <c r="J302" s="35" t="str">
        <f t="shared" si="80"/>
        <v/>
      </c>
      <c r="K302" s="35" t="str">
        <f t="shared" si="81"/>
        <v/>
      </c>
      <c r="L302" s="35" t="str">
        <f t="shared" si="82"/>
        <v/>
      </c>
      <c r="M302" s="35" t="str">
        <f t="shared" si="83"/>
        <v/>
      </c>
      <c r="N302" s="36" t="str">
        <f t="shared" si="84"/>
        <v/>
      </c>
      <c r="O302" s="35" t="str">
        <f t="shared" si="85"/>
        <v/>
      </c>
      <c r="P302" s="35" t="str">
        <f t="shared" si="86"/>
        <v/>
      </c>
      <c r="Q302" s="35" t="str">
        <f t="shared" si="87"/>
        <v/>
      </c>
      <c r="R302" s="35" t="str">
        <f t="shared" si="88"/>
        <v/>
      </c>
      <c r="S302" s="33" t="str">
        <f t="shared" si="89"/>
        <v/>
      </c>
    </row>
    <row r="303" spans="1:19" x14ac:dyDescent="0.3">
      <c r="A303" s="33">
        <f>299</f>
        <v>299</v>
      </c>
      <c r="B303" s="34" t="str">
        <f t="shared" si="72"/>
        <v/>
      </c>
      <c r="C303" s="33" t="str">
        <f t="shared" si="73"/>
        <v/>
      </c>
      <c r="D303" s="33" t="str">
        <f t="shared" si="74"/>
        <v/>
      </c>
      <c r="E303" s="35" t="str">
        <f t="shared" si="75"/>
        <v/>
      </c>
      <c r="F303" s="35" t="str">
        <f t="shared" si="76"/>
        <v/>
      </c>
      <c r="G303" s="33" t="str">
        <f t="shared" si="77"/>
        <v/>
      </c>
      <c r="H303" s="35" t="str">
        <f t="shared" si="78"/>
        <v/>
      </c>
      <c r="I303" s="35" t="str">
        <f t="shared" si="79"/>
        <v/>
      </c>
      <c r="J303" s="35" t="str">
        <f t="shared" si="80"/>
        <v/>
      </c>
      <c r="K303" s="35" t="str">
        <f t="shared" si="81"/>
        <v/>
      </c>
      <c r="L303" s="35" t="str">
        <f t="shared" si="82"/>
        <v/>
      </c>
      <c r="M303" s="35" t="str">
        <f t="shared" si="83"/>
        <v/>
      </c>
      <c r="N303" s="36" t="str">
        <f t="shared" si="84"/>
        <v/>
      </c>
      <c r="O303" s="35" t="str">
        <f t="shared" si="85"/>
        <v/>
      </c>
      <c r="P303" s="35" t="str">
        <f t="shared" si="86"/>
        <v/>
      </c>
      <c r="Q303" s="35" t="str">
        <f t="shared" si="87"/>
        <v/>
      </c>
      <c r="R303" s="35" t="str">
        <f t="shared" si="88"/>
        <v/>
      </c>
      <c r="S303" s="33" t="str">
        <f t="shared" si="89"/>
        <v/>
      </c>
    </row>
    <row r="304" spans="1:19" x14ac:dyDescent="0.3">
      <c r="A304" s="37">
        <f>300</f>
        <v>300</v>
      </c>
      <c r="B304" s="38" t="str">
        <f t="shared" si="72"/>
        <v/>
      </c>
      <c r="C304" s="37" t="str">
        <f t="shared" si="73"/>
        <v/>
      </c>
      <c r="D304" s="37" t="str">
        <f t="shared" si="74"/>
        <v/>
      </c>
      <c r="E304" s="39" t="str">
        <f t="shared" si="75"/>
        <v/>
      </c>
      <c r="F304" s="39" t="str">
        <f t="shared" si="76"/>
        <v/>
      </c>
      <c r="G304" s="37" t="str">
        <f t="shared" si="77"/>
        <v/>
      </c>
      <c r="H304" s="39" t="str">
        <f t="shared" si="78"/>
        <v/>
      </c>
      <c r="I304" s="39" t="str">
        <f t="shared" si="79"/>
        <v/>
      </c>
      <c r="J304" s="39" t="str">
        <f t="shared" si="80"/>
        <v/>
      </c>
      <c r="K304" s="39" t="str">
        <f t="shared" si="81"/>
        <v/>
      </c>
      <c r="L304" s="39" t="str">
        <f t="shared" si="82"/>
        <v/>
      </c>
      <c r="M304" s="39" t="str">
        <f t="shared" si="83"/>
        <v/>
      </c>
      <c r="N304" s="40" t="str">
        <f t="shared" si="84"/>
        <v/>
      </c>
      <c r="O304" s="39" t="str">
        <f t="shared" si="85"/>
        <v/>
      </c>
      <c r="P304" s="39" t="str">
        <f t="shared" si="86"/>
        <v/>
      </c>
      <c r="Q304" s="39" t="str">
        <f t="shared" si="87"/>
        <v/>
      </c>
      <c r="R304" s="39" t="str">
        <f t="shared" si="88"/>
        <v/>
      </c>
      <c r="S304" s="37" t="str">
        <f t="shared" si="89"/>
        <v/>
      </c>
    </row>
    <row r="305" spans="1:19" x14ac:dyDescent="0.3">
      <c r="A305" s="33">
        <f>301</f>
        <v>301</v>
      </c>
      <c r="B305" s="34" t="str">
        <f t="shared" si="72"/>
        <v/>
      </c>
      <c r="C305" s="33" t="str">
        <f t="shared" si="73"/>
        <v/>
      </c>
      <c r="D305" s="33" t="str">
        <f t="shared" si="74"/>
        <v/>
      </c>
      <c r="E305" s="35" t="str">
        <f t="shared" si="75"/>
        <v/>
      </c>
      <c r="F305" s="35" t="str">
        <f t="shared" si="76"/>
        <v/>
      </c>
      <c r="G305" s="33" t="str">
        <f t="shared" si="77"/>
        <v/>
      </c>
      <c r="H305" s="35" t="str">
        <f t="shared" si="78"/>
        <v/>
      </c>
      <c r="I305" s="35" t="str">
        <f t="shared" si="79"/>
        <v/>
      </c>
      <c r="J305" s="35" t="str">
        <f t="shared" si="80"/>
        <v/>
      </c>
      <c r="K305" s="35" t="str">
        <f t="shared" si="81"/>
        <v/>
      </c>
      <c r="L305" s="35" t="str">
        <f t="shared" si="82"/>
        <v/>
      </c>
      <c r="M305" s="35" t="str">
        <f t="shared" si="83"/>
        <v/>
      </c>
      <c r="N305" s="36" t="str">
        <f t="shared" si="84"/>
        <v/>
      </c>
      <c r="O305" s="35" t="str">
        <f t="shared" si="85"/>
        <v/>
      </c>
      <c r="P305" s="35" t="str">
        <f t="shared" si="86"/>
        <v/>
      </c>
      <c r="Q305" s="35" t="str">
        <f t="shared" si="87"/>
        <v/>
      </c>
      <c r="R305" s="35" t="str">
        <f t="shared" si="88"/>
        <v/>
      </c>
      <c r="S305" s="33" t="str">
        <f t="shared" si="89"/>
        <v/>
      </c>
    </row>
    <row r="306" spans="1:19" x14ac:dyDescent="0.3">
      <c r="A306" s="33">
        <f>302</f>
        <v>302</v>
      </c>
      <c r="B306" s="34" t="str">
        <f t="shared" si="72"/>
        <v/>
      </c>
      <c r="C306" s="33" t="str">
        <f t="shared" si="73"/>
        <v/>
      </c>
      <c r="D306" s="33" t="str">
        <f t="shared" si="74"/>
        <v/>
      </c>
      <c r="E306" s="35" t="str">
        <f t="shared" si="75"/>
        <v/>
      </c>
      <c r="F306" s="35" t="str">
        <f t="shared" si="76"/>
        <v/>
      </c>
      <c r="G306" s="33" t="str">
        <f t="shared" si="77"/>
        <v/>
      </c>
      <c r="H306" s="35" t="str">
        <f t="shared" si="78"/>
        <v/>
      </c>
      <c r="I306" s="35" t="str">
        <f t="shared" si="79"/>
        <v/>
      </c>
      <c r="J306" s="35" t="str">
        <f t="shared" si="80"/>
        <v/>
      </c>
      <c r="K306" s="35" t="str">
        <f t="shared" si="81"/>
        <v/>
      </c>
      <c r="L306" s="35" t="str">
        <f t="shared" si="82"/>
        <v/>
      </c>
      <c r="M306" s="35" t="str">
        <f t="shared" si="83"/>
        <v/>
      </c>
      <c r="N306" s="36" t="str">
        <f t="shared" si="84"/>
        <v/>
      </c>
      <c r="O306" s="35" t="str">
        <f t="shared" si="85"/>
        <v/>
      </c>
      <c r="P306" s="35" t="str">
        <f t="shared" si="86"/>
        <v/>
      </c>
      <c r="Q306" s="35" t="str">
        <f t="shared" si="87"/>
        <v/>
      </c>
      <c r="R306" s="35" t="str">
        <f t="shared" si="88"/>
        <v/>
      </c>
      <c r="S306" s="33" t="str">
        <f t="shared" si="89"/>
        <v/>
      </c>
    </row>
    <row r="307" spans="1:19" x14ac:dyDescent="0.3">
      <c r="A307" s="33">
        <f>303</f>
        <v>303</v>
      </c>
      <c r="B307" s="34" t="str">
        <f t="shared" si="72"/>
        <v/>
      </c>
      <c r="C307" s="33" t="str">
        <f t="shared" si="73"/>
        <v/>
      </c>
      <c r="D307" s="33" t="str">
        <f t="shared" si="74"/>
        <v/>
      </c>
      <c r="E307" s="35" t="str">
        <f t="shared" si="75"/>
        <v/>
      </c>
      <c r="F307" s="35" t="str">
        <f t="shared" si="76"/>
        <v/>
      </c>
      <c r="G307" s="33" t="str">
        <f t="shared" si="77"/>
        <v/>
      </c>
      <c r="H307" s="35" t="str">
        <f t="shared" si="78"/>
        <v/>
      </c>
      <c r="I307" s="35" t="str">
        <f t="shared" si="79"/>
        <v/>
      </c>
      <c r="J307" s="35" t="str">
        <f t="shared" si="80"/>
        <v/>
      </c>
      <c r="K307" s="35" t="str">
        <f t="shared" si="81"/>
        <v/>
      </c>
      <c r="L307" s="35" t="str">
        <f t="shared" si="82"/>
        <v/>
      </c>
      <c r="M307" s="35" t="str">
        <f t="shared" si="83"/>
        <v/>
      </c>
      <c r="N307" s="36" t="str">
        <f t="shared" si="84"/>
        <v/>
      </c>
      <c r="O307" s="35" t="str">
        <f t="shared" si="85"/>
        <v/>
      </c>
      <c r="P307" s="35" t="str">
        <f t="shared" si="86"/>
        <v/>
      </c>
      <c r="Q307" s="35" t="str">
        <f t="shared" si="87"/>
        <v/>
      </c>
      <c r="R307" s="35" t="str">
        <f t="shared" si="88"/>
        <v/>
      </c>
      <c r="S307" s="33" t="str">
        <f t="shared" si="89"/>
        <v/>
      </c>
    </row>
    <row r="308" spans="1:19" x14ac:dyDescent="0.3">
      <c r="A308" s="33">
        <f>304</f>
        <v>304</v>
      </c>
      <c r="B308" s="34" t="str">
        <f t="shared" si="72"/>
        <v/>
      </c>
      <c r="C308" s="33" t="str">
        <f t="shared" si="73"/>
        <v/>
      </c>
      <c r="D308" s="33" t="str">
        <f t="shared" si="74"/>
        <v/>
      </c>
      <c r="E308" s="35" t="str">
        <f t="shared" si="75"/>
        <v/>
      </c>
      <c r="F308" s="35" t="str">
        <f t="shared" si="76"/>
        <v/>
      </c>
      <c r="G308" s="33" t="str">
        <f t="shared" si="77"/>
        <v/>
      </c>
      <c r="H308" s="35" t="str">
        <f t="shared" si="78"/>
        <v/>
      </c>
      <c r="I308" s="35" t="str">
        <f t="shared" si="79"/>
        <v/>
      </c>
      <c r="J308" s="35" t="str">
        <f t="shared" si="80"/>
        <v/>
      </c>
      <c r="K308" s="35" t="str">
        <f t="shared" si="81"/>
        <v/>
      </c>
      <c r="L308" s="35" t="str">
        <f t="shared" si="82"/>
        <v/>
      </c>
      <c r="M308" s="35" t="str">
        <f t="shared" si="83"/>
        <v/>
      </c>
      <c r="N308" s="36" t="str">
        <f t="shared" si="84"/>
        <v/>
      </c>
      <c r="O308" s="35" t="str">
        <f t="shared" si="85"/>
        <v/>
      </c>
      <c r="P308" s="35" t="str">
        <f t="shared" si="86"/>
        <v/>
      </c>
      <c r="Q308" s="35" t="str">
        <f t="shared" si="87"/>
        <v/>
      </c>
      <c r="R308" s="35" t="str">
        <f t="shared" si="88"/>
        <v/>
      </c>
      <c r="S308" s="33" t="str">
        <f t="shared" si="89"/>
        <v/>
      </c>
    </row>
    <row r="309" spans="1:19" x14ac:dyDescent="0.3">
      <c r="A309" s="33">
        <f>305</f>
        <v>305</v>
      </c>
      <c r="B309" s="34" t="str">
        <f t="shared" si="72"/>
        <v/>
      </c>
      <c r="C309" s="33" t="str">
        <f t="shared" si="73"/>
        <v/>
      </c>
      <c r="D309" s="33" t="str">
        <f t="shared" si="74"/>
        <v/>
      </c>
      <c r="E309" s="35" t="str">
        <f t="shared" si="75"/>
        <v/>
      </c>
      <c r="F309" s="35" t="str">
        <f t="shared" si="76"/>
        <v/>
      </c>
      <c r="G309" s="33" t="str">
        <f t="shared" si="77"/>
        <v/>
      </c>
      <c r="H309" s="35" t="str">
        <f t="shared" si="78"/>
        <v/>
      </c>
      <c r="I309" s="35" t="str">
        <f t="shared" si="79"/>
        <v/>
      </c>
      <c r="J309" s="35" t="str">
        <f t="shared" si="80"/>
        <v/>
      </c>
      <c r="K309" s="35" t="str">
        <f t="shared" si="81"/>
        <v/>
      </c>
      <c r="L309" s="35" t="str">
        <f t="shared" si="82"/>
        <v/>
      </c>
      <c r="M309" s="35" t="str">
        <f t="shared" si="83"/>
        <v/>
      </c>
      <c r="N309" s="36" t="str">
        <f t="shared" si="84"/>
        <v/>
      </c>
      <c r="O309" s="35" t="str">
        <f t="shared" si="85"/>
        <v/>
      </c>
      <c r="P309" s="35" t="str">
        <f t="shared" si="86"/>
        <v/>
      </c>
      <c r="Q309" s="35" t="str">
        <f t="shared" si="87"/>
        <v/>
      </c>
      <c r="R309" s="35" t="str">
        <f t="shared" si="88"/>
        <v/>
      </c>
      <c r="S309" s="33" t="str">
        <f t="shared" si="89"/>
        <v/>
      </c>
    </row>
    <row r="310" spans="1:19" x14ac:dyDescent="0.3">
      <c r="A310" s="33">
        <f>306</f>
        <v>306</v>
      </c>
      <c r="B310" s="34" t="str">
        <f t="shared" si="72"/>
        <v/>
      </c>
      <c r="C310" s="33" t="str">
        <f t="shared" si="73"/>
        <v/>
      </c>
      <c r="D310" s="33" t="str">
        <f t="shared" si="74"/>
        <v/>
      </c>
      <c r="E310" s="35" t="str">
        <f t="shared" si="75"/>
        <v/>
      </c>
      <c r="F310" s="35" t="str">
        <f t="shared" si="76"/>
        <v/>
      </c>
      <c r="G310" s="33" t="str">
        <f t="shared" si="77"/>
        <v/>
      </c>
      <c r="H310" s="35" t="str">
        <f t="shared" si="78"/>
        <v/>
      </c>
      <c r="I310" s="35" t="str">
        <f t="shared" si="79"/>
        <v/>
      </c>
      <c r="J310" s="35" t="str">
        <f t="shared" si="80"/>
        <v/>
      </c>
      <c r="K310" s="35" t="str">
        <f t="shared" si="81"/>
        <v/>
      </c>
      <c r="L310" s="35" t="str">
        <f t="shared" si="82"/>
        <v/>
      </c>
      <c r="M310" s="35" t="str">
        <f t="shared" si="83"/>
        <v/>
      </c>
      <c r="N310" s="36" t="str">
        <f t="shared" si="84"/>
        <v/>
      </c>
      <c r="O310" s="35" t="str">
        <f t="shared" si="85"/>
        <v/>
      </c>
      <c r="P310" s="35" t="str">
        <f t="shared" si="86"/>
        <v/>
      </c>
      <c r="Q310" s="35" t="str">
        <f t="shared" si="87"/>
        <v/>
      </c>
      <c r="R310" s="35" t="str">
        <f t="shared" si="88"/>
        <v/>
      </c>
      <c r="S310" s="33" t="str">
        <f t="shared" si="89"/>
        <v/>
      </c>
    </row>
    <row r="311" spans="1:19" x14ac:dyDescent="0.3">
      <c r="A311" s="33">
        <f>307</f>
        <v>307</v>
      </c>
      <c r="B311" s="34" t="str">
        <f t="shared" si="72"/>
        <v/>
      </c>
      <c r="C311" s="33" t="str">
        <f t="shared" si="73"/>
        <v/>
      </c>
      <c r="D311" s="33" t="str">
        <f t="shared" si="74"/>
        <v/>
      </c>
      <c r="E311" s="35" t="str">
        <f t="shared" si="75"/>
        <v/>
      </c>
      <c r="F311" s="35" t="str">
        <f t="shared" si="76"/>
        <v/>
      </c>
      <c r="G311" s="33" t="str">
        <f t="shared" si="77"/>
        <v/>
      </c>
      <c r="H311" s="35" t="str">
        <f t="shared" si="78"/>
        <v/>
      </c>
      <c r="I311" s="35" t="str">
        <f t="shared" si="79"/>
        <v/>
      </c>
      <c r="J311" s="35" t="str">
        <f t="shared" si="80"/>
        <v/>
      </c>
      <c r="K311" s="35" t="str">
        <f t="shared" si="81"/>
        <v/>
      </c>
      <c r="L311" s="35" t="str">
        <f t="shared" si="82"/>
        <v/>
      </c>
      <c r="M311" s="35" t="str">
        <f t="shared" si="83"/>
        <v/>
      </c>
      <c r="N311" s="36" t="str">
        <f t="shared" si="84"/>
        <v/>
      </c>
      <c r="O311" s="35" t="str">
        <f t="shared" si="85"/>
        <v/>
      </c>
      <c r="P311" s="35" t="str">
        <f t="shared" si="86"/>
        <v/>
      </c>
      <c r="Q311" s="35" t="str">
        <f t="shared" si="87"/>
        <v/>
      </c>
      <c r="R311" s="35" t="str">
        <f t="shared" si="88"/>
        <v/>
      </c>
      <c r="S311" s="33" t="str">
        <f t="shared" si="89"/>
        <v/>
      </c>
    </row>
    <row r="312" spans="1:19" x14ac:dyDescent="0.3">
      <c r="A312" s="33">
        <f>308</f>
        <v>308</v>
      </c>
      <c r="B312" s="34" t="str">
        <f t="shared" si="72"/>
        <v/>
      </c>
      <c r="C312" s="33" t="str">
        <f t="shared" si="73"/>
        <v/>
      </c>
      <c r="D312" s="33" t="str">
        <f t="shared" si="74"/>
        <v/>
      </c>
      <c r="E312" s="35" t="str">
        <f t="shared" si="75"/>
        <v/>
      </c>
      <c r="F312" s="35" t="str">
        <f t="shared" si="76"/>
        <v/>
      </c>
      <c r="G312" s="33" t="str">
        <f t="shared" si="77"/>
        <v/>
      </c>
      <c r="H312" s="35" t="str">
        <f t="shared" si="78"/>
        <v/>
      </c>
      <c r="I312" s="35" t="str">
        <f t="shared" si="79"/>
        <v/>
      </c>
      <c r="J312" s="35" t="str">
        <f t="shared" si="80"/>
        <v/>
      </c>
      <c r="K312" s="35" t="str">
        <f t="shared" si="81"/>
        <v/>
      </c>
      <c r="L312" s="35" t="str">
        <f t="shared" si="82"/>
        <v/>
      </c>
      <c r="M312" s="35" t="str">
        <f t="shared" si="83"/>
        <v/>
      </c>
      <c r="N312" s="36" t="str">
        <f t="shared" si="84"/>
        <v/>
      </c>
      <c r="O312" s="35" t="str">
        <f t="shared" si="85"/>
        <v/>
      </c>
      <c r="P312" s="35" t="str">
        <f t="shared" si="86"/>
        <v/>
      </c>
      <c r="Q312" s="35" t="str">
        <f t="shared" si="87"/>
        <v/>
      </c>
      <c r="R312" s="35" t="str">
        <f t="shared" si="88"/>
        <v/>
      </c>
      <c r="S312" s="33" t="str">
        <f t="shared" si="89"/>
        <v/>
      </c>
    </row>
    <row r="313" spans="1:19" x14ac:dyDescent="0.3">
      <c r="A313" s="33">
        <f>309</f>
        <v>309</v>
      </c>
      <c r="B313" s="34" t="str">
        <f t="shared" si="72"/>
        <v/>
      </c>
      <c r="C313" s="33" t="str">
        <f t="shared" si="73"/>
        <v/>
      </c>
      <c r="D313" s="33" t="str">
        <f t="shared" si="74"/>
        <v/>
      </c>
      <c r="E313" s="35" t="str">
        <f t="shared" si="75"/>
        <v/>
      </c>
      <c r="F313" s="35" t="str">
        <f t="shared" si="76"/>
        <v/>
      </c>
      <c r="G313" s="33" t="str">
        <f t="shared" si="77"/>
        <v/>
      </c>
      <c r="H313" s="35" t="str">
        <f t="shared" si="78"/>
        <v/>
      </c>
      <c r="I313" s="35" t="str">
        <f t="shared" si="79"/>
        <v/>
      </c>
      <c r="J313" s="35" t="str">
        <f t="shared" si="80"/>
        <v/>
      </c>
      <c r="K313" s="35" t="str">
        <f t="shared" si="81"/>
        <v/>
      </c>
      <c r="L313" s="35" t="str">
        <f t="shared" si="82"/>
        <v/>
      </c>
      <c r="M313" s="35" t="str">
        <f t="shared" si="83"/>
        <v/>
      </c>
      <c r="N313" s="36" t="str">
        <f t="shared" si="84"/>
        <v/>
      </c>
      <c r="O313" s="35" t="str">
        <f t="shared" si="85"/>
        <v/>
      </c>
      <c r="P313" s="35" t="str">
        <f t="shared" si="86"/>
        <v/>
      </c>
      <c r="Q313" s="35" t="str">
        <f t="shared" si="87"/>
        <v/>
      </c>
      <c r="R313" s="35" t="str">
        <f t="shared" si="88"/>
        <v/>
      </c>
      <c r="S313" s="33" t="str">
        <f t="shared" si="89"/>
        <v/>
      </c>
    </row>
    <row r="314" spans="1:19" x14ac:dyDescent="0.3">
      <c r="A314" s="33">
        <f>310</f>
        <v>310</v>
      </c>
      <c r="B314" s="34" t="str">
        <f t="shared" si="72"/>
        <v/>
      </c>
      <c r="C314" s="33" t="str">
        <f t="shared" si="73"/>
        <v/>
      </c>
      <c r="D314" s="33" t="str">
        <f t="shared" si="74"/>
        <v/>
      </c>
      <c r="E314" s="35" t="str">
        <f t="shared" si="75"/>
        <v/>
      </c>
      <c r="F314" s="35" t="str">
        <f t="shared" si="76"/>
        <v/>
      </c>
      <c r="G314" s="33" t="str">
        <f t="shared" si="77"/>
        <v/>
      </c>
      <c r="H314" s="35" t="str">
        <f t="shared" si="78"/>
        <v/>
      </c>
      <c r="I314" s="35" t="str">
        <f t="shared" si="79"/>
        <v/>
      </c>
      <c r="J314" s="35" t="str">
        <f t="shared" si="80"/>
        <v/>
      </c>
      <c r="K314" s="35" t="str">
        <f t="shared" si="81"/>
        <v/>
      </c>
      <c r="L314" s="35" t="str">
        <f t="shared" si="82"/>
        <v/>
      </c>
      <c r="M314" s="35" t="str">
        <f t="shared" si="83"/>
        <v/>
      </c>
      <c r="N314" s="36" t="str">
        <f t="shared" si="84"/>
        <v/>
      </c>
      <c r="O314" s="35" t="str">
        <f t="shared" si="85"/>
        <v/>
      </c>
      <c r="P314" s="35" t="str">
        <f t="shared" si="86"/>
        <v/>
      </c>
      <c r="Q314" s="35" t="str">
        <f t="shared" si="87"/>
        <v/>
      </c>
      <c r="R314" s="35" t="str">
        <f t="shared" si="88"/>
        <v/>
      </c>
      <c r="S314" s="33" t="str">
        <f t="shared" si="89"/>
        <v/>
      </c>
    </row>
    <row r="315" spans="1:19" x14ac:dyDescent="0.3">
      <c r="A315" s="33">
        <f>311</f>
        <v>311</v>
      </c>
      <c r="B315" s="34" t="str">
        <f t="shared" si="72"/>
        <v/>
      </c>
      <c r="C315" s="33" t="str">
        <f t="shared" si="73"/>
        <v/>
      </c>
      <c r="D315" s="33" t="str">
        <f t="shared" si="74"/>
        <v/>
      </c>
      <c r="E315" s="35" t="str">
        <f t="shared" si="75"/>
        <v/>
      </c>
      <c r="F315" s="35" t="str">
        <f t="shared" si="76"/>
        <v/>
      </c>
      <c r="G315" s="33" t="str">
        <f t="shared" si="77"/>
        <v/>
      </c>
      <c r="H315" s="35" t="str">
        <f t="shared" si="78"/>
        <v/>
      </c>
      <c r="I315" s="35" t="str">
        <f t="shared" si="79"/>
        <v/>
      </c>
      <c r="J315" s="35" t="str">
        <f t="shared" si="80"/>
        <v/>
      </c>
      <c r="K315" s="35" t="str">
        <f t="shared" si="81"/>
        <v/>
      </c>
      <c r="L315" s="35" t="str">
        <f t="shared" si="82"/>
        <v/>
      </c>
      <c r="M315" s="35" t="str">
        <f t="shared" si="83"/>
        <v/>
      </c>
      <c r="N315" s="36" t="str">
        <f t="shared" si="84"/>
        <v/>
      </c>
      <c r="O315" s="35" t="str">
        <f t="shared" si="85"/>
        <v/>
      </c>
      <c r="P315" s="35" t="str">
        <f t="shared" si="86"/>
        <v/>
      </c>
      <c r="Q315" s="35" t="str">
        <f t="shared" si="87"/>
        <v/>
      </c>
      <c r="R315" s="35" t="str">
        <f t="shared" si="88"/>
        <v/>
      </c>
      <c r="S315" s="33" t="str">
        <f t="shared" si="89"/>
        <v/>
      </c>
    </row>
    <row r="316" spans="1:19" x14ac:dyDescent="0.3">
      <c r="A316" s="37">
        <f>312</f>
        <v>312</v>
      </c>
      <c r="B316" s="38" t="str">
        <f t="shared" si="72"/>
        <v/>
      </c>
      <c r="C316" s="37" t="str">
        <f t="shared" si="73"/>
        <v/>
      </c>
      <c r="D316" s="37" t="str">
        <f t="shared" si="74"/>
        <v/>
      </c>
      <c r="E316" s="39" t="str">
        <f t="shared" si="75"/>
        <v/>
      </c>
      <c r="F316" s="39" t="str">
        <f t="shared" si="76"/>
        <v/>
      </c>
      <c r="G316" s="37" t="str">
        <f t="shared" si="77"/>
        <v/>
      </c>
      <c r="H316" s="39" t="str">
        <f t="shared" si="78"/>
        <v/>
      </c>
      <c r="I316" s="39" t="str">
        <f t="shared" si="79"/>
        <v/>
      </c>
      <c r="J316" s="39" t="str">
        <f t="shared" si="80"/>
        <v/>
      </c>
      <c r="K316" s="39" t="str">
        <f t="shared" si="81"/>
        <v/>
      </c>
      <c r="L316" s="39" t="str">
        <f t="shared" si="82"/>
        <v/>
      </c>
      <c r="M316" s="39" t="str">
        <f t="shared" si="83"/>
        <v/>
      </c>
      <c r="N316" s="40" t="str">
        <f t="shared" si="84"/>
        <v/>
      </c>
      <c r="O316" s="39" t="str">
        <f t="shared" si="85"/>
        <v/>
      </c>
      <c r="P316" s="39" t="str">
        <f t="shared" si="86"/>
        <v/>
      </c>
      <c r="Q316" s="39" t="str">
        <f t="shared" si="87"/>
        <v/>
      </c>
      <c r="R316" s="39" t="str">
        <f t="shared" si="88"/>
        <v/>
      </c>
      <c r="S316" s="37" t="str">
        <f t="shared" si="89"/>
        <v/>
      </c>
    </row>
    <row r="317" spans="1:19" x14ac:dyDescent="0.3">
      <c r="A317" s="33">
        <f>313</f>
        <v>313</v>
      </c>
      <c r="B317" s="34" t="str">
        <f t="shared" si="72"/>
        <v/>
      </c>
      <c r="C317" s="33" t="str">
        <f t="shared" si="73"/>
        <v/>
      </c>
      <c r="D317" s="33" t="str">
        <f t="shared" si="74"/>
        <v/>
      </c>
      <c r="E317" s="35" t="str">
        <f t="shared" si="75"/>
        <v/>
      </c>
      <c r="F317" s="35" t="str">
        <f t="shared" si="76"/>
        <v/>
      </c>
      <c r="G317" s="33" t="str">
        <f t="shared" si="77"/>
        <v/>
      </c>
      <c r="H317" s="35" t="str">
        <f t="shared" si="78"/>
        <v/>
      </c>
      <c r="I317" s="35" t="str">
        <f t="shared" si="79"/>
        <v/>
      </c>
      <c r="J317" s="35" t="str">
        <f t="shared" si="80"/>
        <v/>
      </c>
      <c r="K317" s="35" t="str">
        <f t="shared" si="81"/>
        <v/>
      </c>
      <c r="L317" s="35" t="str">
        <f t="shared" si="82"/>
        <v/>
      </c>
      <c r="M317" s="35" t="str">
        <f t="shared" si="83"/>
        <v/>
      </c>
      <c r="N317" s="36" t="str">
        <f t="shared" si="84"/>
        <v/>
      </c>
      <c r="O317" s="35" t="str">
        <f t="shared" si="85"/>
        <v/>
      </c>
      <c r="P317" s="35" t="str">
        <f t="shared" si="86"/>
        <v/>
      </c>
      <c r="Q317" s="35" t="str">
        <f t="shared" si="87"/>
        <v/>
      </c>
      <c r="R317" s="35" t="str">
        <f t="shared" si="88"/>
        <v/>
      </c>
      <c r="S317" s="33" t="str">
        <f t="shared" si="89"/>
        <v/>
      </c>
    </row>
    <row r="318" spans="1:19" x14ac:dyDescent="0.3">
      <c r="A318" s="33">
        <f>314</f>
        <v>314</v>
      </c>
      <c r="B318" s="34" t="str">
        <f t="shared" si="72"/>
        <v/>
      </c>
      <c r="C318" s="33" t="str">
        <f t="shared" si="73"/>
        <v/>
      </c>
      <c r="D318" s="33" t="str">
        <f t="shared" si="74"/>
        <v/>
      </c>
      <c r="E318" s="35" t="str">
        <f t="shared" si="75"/>
        <v/>
      </c>
      <c r="F318" s="35" t="str">
        <f t="shared" si="76"/>
        <v/>
      </c>
      <c r="G318" s="33" t="str">
        <f t="shared" si="77"/>
        <v/>
      </c>
      <c r="H318" s="35" t="str">
        <f t="shared" si="78"/>
        <v/>
      </c>
      <c r="I318" s="35" t="str">
        <f t="shared" si="79"/>
        <v/>
      </c>
      <c r="J318" s="35" t="str">
        <f t="shared" si="80"/>
        <v/>
      </c>
      <c r="K318" s="35" t="str">
        <f t="shared" si="81"/>
        <v/>
      </c>
      <c r="L318" s="35" t="str">
        <f t="shared" si="82"/>
        <v/>
      </c>
      <c r="M318" s="35" t="str">
        <f t="shared" si="83"/>
        <v/>
      </c>
      <c r="N318" s="36" t="str">
        <f t="shared" si="84"/>
        <v/>
      </c>
      <c r="O318" s="35" t="str">
        <f t="shared" si="85"/>
        <v/>
      </c>
      <c r="P318" s="35" t="str">
        <f t="shared" si="86"/>
        <v/>
      </c>
      <c r="Q318" s="35" t="str">
        <f t="shared" si="87"/>
        <v/>
      </c>
      <c r="R318" s="35" t="str">
        <f t="shared" si="88"/>
        <v/>
      </c>
      <c r="S318" s="33" t="str">
        <f t="shared" si="89"/>
        <v/>
      </c>
    </row>
    <row r="319" spans="1:19" x14ac:dyDescent="0.3">
      <c r="A319" s="33">
        <f>315</f>
        <v>315</v>
      </c>
      <c r="B319" s="34" t="str">
        <f t="shared" si="72"/>
        <v/>
      </c>
      <c r="C319" s="33" t="str">
        <f t="shared" si="73"/>
        <v/>
      </c>
      <c r="D319" s="33" t="str">
        <f t="shared" si="74"/>
        <v/>
      </c>
      <c r="E319" s="35" t="str">
        <f t="shared" si="75"/>
        <v/>
      </c>
      <c r="F319" s="35" t="str">
        <f t="shared" si="76"/>
        <v/>
      </c>
      <c r="G319" s="33" t="str">
        <f t="shared" si="77"/>
        <v/>
      </c>
      <c r="H319" s="35" t="str">
        <f t="shared" si="78"/>
        <v/>
      </c>
      <c r="I319" s="35" t="str">
        <f t="shared" si="79"/>
        <v/>
      </c>
      <c r="J319" s="35" t="str">
        <f t="shared" si="80"/>
        <v/>
      </c>
      <c r="K319" s="35" t="str">
        <f t="shared" si="81"/>
        <v/>
      </c>
      <c r="L319" s="35" t="str">
        <f t="shared" si="82"/>
        <v/>
      </c>
      <c r="M319" s="35" t="str">
        <f t="shared" si="83"/>
        <v/>
      </c>
      <c r="N319" s="36" t="str">
        <f t="shared" si="84"/>
        <v/>
      </c>
      <c r="O319" s="35" t="str">
        <f t="shared" si="85"/>
        <v/>
      </c>
      <c r="P319" s="35" t="str">
        <f t="shared" si="86"/>
        <v/>
      </c>
      <c r="Q319" s="35" t="str">
        <f t="shared" si="87"/>
        <v/>
      </c>
      <c r="R319" s="35" t="str">
        <f t="shared" si="88"/>
        <v/>
      </c>
      <c r="S319" s="33" t="str">
        <f t="shared" si="89"/>
        <v/>
      </c>
    </row>
    <row r="320" spans="1:19" x14ac:dyDescent="0.3">
      <c r="A320" s="33">
        <f>316</f>
        <v>316</v>
      </c>
      <c r="B320" s="34" t="str">
        <f t="shared" si="72"/>
        <v/>
      </c>
      <c r="C320" s="33" t="str">
        <f t="shared" si="73"/>
        <v/>
      </c>
      <c r="D320" s="33" t="str">
        <f t="shared" si="74"/>
        <v/>
      </c>
      <c r="E320" s="35" t="str">
        <f t="shared" si="75"/>
        <v/>
      </c>
      <c r="F320" s="35" t="str">
        <f t="shared" si="76"/>
        <v/>
      </c>
      <c r="G320" s="33" t="str">
        <f t="shared" si="77"/>
        <v/>
      </c>
      <c r="H320" s="35" t="str">
        <f t="shared" si="78"/>
        <v/>
      </c>
      <c r="I320" s="35" t="str">
        <f t="shared" si="79"/>
        <v/>
      </c>
      <c r="J320" s="35" t="str">
        <f t="shared" si="80"/>
        <v/>
      </c>
      <c r="K320" s="35" t="str">
        <f t="shared" si="81"/>
        <v/>
      </c>
      <c r="L320" s="35" t="str">
        <f t="shared" si="82"/>
        <v/>
      </c>
      <c r="M320" s="35" t="str">
        <f t="shared" si="83"/>
        <v/>
      </c>
      <c r="N320" s="36" t="str">
        <f t="shared" si="84"/>
        <v/>
      </c>
      <c r="O320" s="35" t="str">
        <f t="shared" si="85"/>
        <v/>
      </c>
      <c r="P320" s="35" t="str">
        <f t="shared" si="86"/>
        <v/>
      </c>
      <c r="Q320" s="35" t="str">
        <f t="shared" si="87"/>
        <v/>
      </c>
      <c r="R320" s="35" t="str">
        <f t="shared" si="88"/>
        <v/>
      </c>
      <c r="S320" s="33" t="str">
        <f t="shared" si="89"/>
        <v/>
      </c>
    </row>
    <row r="321" spans="1:19" x14ac:dyDescent="0.3">
      <c r="A321" s="33">
        <f>317</f>
        <v>317</v>
      </c>
      <c r="B321" s="34" t="str">
        <f t="shared" si="72"/>
        <v/>
      </c>
      <c r="C321" s="33" t="str">
        <f t="shared" si="73"/>
        <v/>
      </c>
      <c r="D321" s="33" t="str">
        <f t="shared" si="74"/>
        <v/>
      </c>
      <c r="E321" s="35" t="str">
        <f t="shared" si="75"/>
        <v/>
      </c>
      <c r="F321" s="35" t="str">
        <f t="shared" si="76"/>
        <v/>
      </c>
      <c r="G321" s="33" t="str">
        <f t="shared" si="77"/>
        <v/>
      </c>
      <c r="H321" s="35" t="str">
        <f t="shared" si="78"/>
        <v/>
      </c>
      <c r="I321" s="35" t="str">
        <f t="shared" si="79"/>
        <v/>
      </c>
      <c r="J321" s="35" t="str">
        <f t="shared" si="80"/>
        <v/>
      </c>
      <c r="K321" s="35" t="str">
        <f t="shared" si="81"/>
        <v/>
      </c>
      <c r="L321" s="35" t="str">
        <f t="shared" si="82"/>
        <v/>
      </c>
      <c r="M321" s="35" t="str">
        <f t="shared" si="83"/>
        <v/>
      </c>
      <c r="N321" s="36" t="str">
        <f t="shared" si="84"/>
        <v/>
      </c>
      <c r="O321" s="35" t="str">
        <f t="shared" si="85"/>
        <v/>
      </c>
      <c r="P321" s="35" t="str">
        <f t="shared" si="86"/>
        <v/>
      </c>
      <c r="Q321" s="35" t="str">
        <f t="shared" si="87"/>
        <v/>
      </c>
      <c r="R321" s="35" t="str">
        <f t="shared" si="88"/>
        <v/>
      </c>
      <c r="S321" s="33" t="str">
        <f t="shared" si="89"/>
        <v/>
      </c>
    </row>
    <row r="322" spans="1:19" x14ac:dyDescent="0.3">
      <c r="A322" s="33">
        <f>318</f>
        <v>318</v>
      </c>
      <c r="B322" s="34" t="str">
        <f t="shared" si="72"/>
        <v/>
      </c>
      <c r="C322" s="33" t="str">
        <f t="shared" si="73"/>
        <v/>
      </c>
      <c r="D322" s="33" t="str">
        <f t="shared" si="74"/>
        <v/>
      </c>
      <c r="E322" s="35" t="str">
        <f t="shared" si="75"/>
        <v/>
      </c>
      <c r="F322" s="35" t="str">
        <f t="shared" si="76"/>
        <v/>
      </c>
      <c r="G322" s="33" t="str">
        <f t="shared" si="77"/>
        <v/>
      </c>
      <c r="H322" s="35" t="str">
        <f t="shared" si="78"/>
        <v/>
      </c>
      <c r="I322" s="35" t="str">
        <f t="shared" si="79"/>
        <v/>
      </c>
      <c r="J322" s="35" t="str">
        <f t="shared" si="80"/>
        <v/>
      </c>
      <c r="K322" s="35" t="str">
        <f t="shared" si="81"/>
        <v/>
      </c>
      <c r="L322" s="35" t="str">
        <f t="shared" si="82"/>
        <v/>
      </c>
      <c r="M322" s="35" t="str">
        <f t="shared" si="83"/>
        <v/>
      </c>
      <c r="N322" s="36" t="str">
        <f t="shared" si="84"/>
        <v/>
      </c>
      <c r="O322" s="35" t="str">
        <f t="shared" si="85"/>
        <v/>
      </c>
      <c r="P322" s="35" t="str">
        <f t="shared" si="86"/>
        <v/>
      </c>
      <c r="Q322" s="35" t="str">
        <f t="shared" si="87"/>
        <v/>
      </c>
      <c r="R322" s="35" t="str">
        <f t="shared" si="88"/>
        <v/>
      </c>
      <c r="S322" s="33" t="str">
        <f t="shared" si="89"/>
        <v/>
      </c>
    </row>
    <row r="323" spans="1:19" x14ac:dyDescent="0.3">
      <c r="A323" s="33">
        <f>319</f>
        <v>319</v>
      </c>
      <c r="B323" s="34" t="str">
        <f t="shared" si="72"/>
        <v/>
      </c>
      <c r="C323" s="33" t="str">
        <f t="shared" si="73"/>
        <v/>
      </c>
      <c r="D323" s="33" t="str">
        <f t="shared" si="74"/>
        <v/>
      </c>
      <c r="E323" s="35" t="str">
        <f t="shared" si="75"/>
        <v/>
      </c>
      <c r="F323" s="35" t="str">
        <f t="shared" si="76"/>
        <v/>
      </c>
      <c r="G323" s="33" t="str">
        <f t="shared" si="77"/>
        <v/>
      </c>
      <c r="H323" s="35" t="str">
        <f t="shared" si="78"/>
        <v/>
      </c>
      <c r="I323" s="35" t="str">
        <f t="shared" si="79"/>
        <v/>
      </c>
      <c r="J323" s="35" t="str">
        <f t="shared" si="80"/>
        <v/>
      </c>
      <c r="K323" s="35" t="str">
        <f t="shared" si="81"/>
        <v/>
      </c>
      <c r="L323" s="35" t="str">
        <f t="shared" si="82"/>
        <v/>
      </c>
      <c r="M323" s="35" t="str">
        <f t="shared" si="83"/>
        <v/>
      </c>
      <c r="N323" s="36" t="str">
        <f t="shared" si="84"/>
        <v/>
      </c>
      <c r="O323" s="35" t="str">
        <f t="shared" si="85"/>
        <v/>
      </c>
      <c r="P323" s="35" t="str">
        <f t="shared" si="86"/>
        <v/>
      </c>
      <c r="Q323" s="35" t="str">
        <f t="shared" si="87"/>
        <v/>
      </c>
      <c r="R323" s="35" t="str">
        <f t="shared" si="88"/>
        <v/>
      </c>
      <c r="S323" s="33" t="str">
        <f t="shared" si="89"/>
        <v/>
      </c>
    </row>
    <row r="324" spans="1:19" x14ac:dyDescent="0.3">
      <c r="A324" s="33">
        <f>320</f>
        <v>320</v>
      </c>
      <c r="B324" s="34" t="str">
        <f t="shared" si="72"/>
        <v/>
      </c>
      <c r="C324" s="33" t="str">
        <f t="shared" si="73"/>
        <v/>
      </c>
      <c r="D324" s="33" t="str">
        <f t="shared" si="74"/>
        <v/>
      </c>
      <c r="E324" s="35" t="str">
        <f t="shared" si="75"/>
        <v/>
      </c>
      <c r="F324" s="35" t="str">
        <f t="shared" si="76"/>
        <v/>
      </c>
      <c r="G324" s="33" t="str">
        <f t="shared" si="77"/>
        <v/>
      </c>
      <c r="H324" s="35" t="str">
        <f t="shared" si="78"/>
        <v/>
      </c>
      <c r="I324" s="35" t="str">
        <f t="shared" si="79"/>
        <v/>
      </c>
      <c r="J324" s="35" t="str">
        <f t="shared" si="80"/>
        <v/>
      </c>
      <c r="K324" s="35" t="str">
        <f t="shared" si="81"/>
        <v/>
      </c>
      <c r="L324" s="35" t="str">
        <f t="shared" si="82"/>
        <v/>
      </c>
      <c r="M324" s="35" t="str">
        <f t="shared" si="83"/>
        <v/>
      </c>
      <c r="N324" s="36" t="str">
        <f t="shared" si="84"/>
        <v/>
      </c>
      <c r="O324" s="35" t="str">
        <f t="shared" si="85"/>
        <v/>
      </c>
      <c r="P324" s="35" t="str">
        <f t="shared" si="86"/>
        <v/>
      </c>
      <c r="Q324" s="35" t="str">
        <f t="shared" si="87"/>
        <v/>
      </c>
      <c r="R324" s="35" t="str">
        <f t="shared" si="88"/>
        <v/>
      </c>
      <c r="S324" s="33" t="str">
        <f t="shared" si="89"/>
        <v/>
      </c>
    </row>
    <row r="325" spans="1:19" x14ac:dyDescent="0.3">
      <c r="A325" s="33">
        <f>321</f>
        <v>321</v>
      </c>
      <c r="B325" s="34" t="str">
        <f t="shared" ref="B325:B364" si="90">IF($A325&gt;NYears*12,"",EDATE(StartMonth,$A325-1))</f>
        <v/>
      </c>
      <c r="C325" s="33" t="str">
        <f t="shared" ref="C325:C364" si="91">IF($A325&gt;NYears*12,"",INT(($A325-1)/12)+1)</f>
        <v/>
      </c>
      <c r="D325" s="33" t="str">
        <f t="shared" ref="D325:D364" si="92">IF($A325&gt;NYears*12,"",MOD($A325-1,12)+1)</f>
        <v/>
      </c>
      <c r="E325" s="35" t="str">
        <f t="shared" ref="E325:E364" si="93">IF($A325&gt;NYears*12,"",LotValue0*(1+LotGrowth)^($C325-1))</f>
        <v/>
      </c>
      <c r="F325" s="35" t="str">
        <f t="shared" ref="F325:F364" si="94">IF($A325&gt;NYears*12,"",IF($A325=1,InitInvest,$R324))</f>
        <v/>
      </c>
      <c r="G325" s="33" t="str">
        <f t="shared" ref="G325:G364" si="95">IF($A325&gt;NYears*12,"",INT($F325/$E325))</f>
        <v/>
      </c>
      <c r="H325" s="35" t="str">
        <f t="shared" ref="H325:H364" si="96">IF($A325&gt;NYears*12,"",$G325*$E325)</f>
        <v/>
      </c>
      <c r="I325" s="35" t="str">
        <f t="shared" ref="I325:I364" si="97">IF($A325&gt;NYears*12,"",$F325-$H325)</f>
        <v/>
      </c>
      <c r="J325" s="35" t="str">
        <f t="shared" ref="J325:J364" si="98">IF($A325&gt;NYears*12,"",$H325*RateC)</f>
        <v/>
      </c>
      <c r="K325" s="35" t="str">
        <f t="shared" ref="K325:K364" si="99">IF($A325&gt;NYears*12,"",IF($D325=1,$J325,$K324+$J325))</f>
        <v/>
      </c>
      <c r="L325" s="35" t="str">
        <f t="shared" ref="L325:L364" si="100">IF($A325&gt;NYears*12,"",IF(MOD($D325,3)=0,SUM($J323:$J325),0))</f>
        <v/>
      </c>
      <c r="M325" s="35" t="str">
        <f t="shared" ref="M325:M364" si="101">IF($A325&gt;NYears*12,"",IF(TaxFreq="Quarterly",$K325*12/$D325,$K325))</f>
        <v/>
      </c>
      <c r="N325" s="36" t="str">
        <f t="shared" ref="N325:N364" si="102">IF($A325&gt;NYears*12,"",LOOKUP($M325,TaxLower,TaxRate))</f>
        <v/>
      </c>
      <c r="O325" s="35" t="str">
        <f t="shared" ref="O325:O364" si="103">IF($A325&gt;NYears*12,"",IF(TaxFreq="Quarterly",IF(MOD($D325,3)=0,$L325*$N325,0),IF($D325=12,$K325*$N325,0)))</f>
        <v/>
      </c>
      <c r="P325" s="35" t="str">
        <f t="shared" ref="P325:P364" si="104">IF($A325&gt;NYears*12,"",IF($D325=1,$O325,$P324+$O325))</f>
        <v/>
      </c>
      <c r="Q325" s="35" t="str">
        <f t="shared" ref="Q325:Q364" si="105">IF($A325&gt;NYears*12,"",IF($D325=12,MIN(WdrPct*IF(WdrBase="Post-tax profit",$K325-$P325,$K325),WdrCap),0))</f>
        <v/>
      </c>
      <c r="R325" s="35" t="str">
        <f t="shared" ref="R325:R364" si="106">IF($A325&gt;NYears*12,"",$F325+$J325-$O325-$Q325)</f>
        <v/>
      </c>
      <c r="S325" s="33" t="str">
        <f t="shared" ref="S325:S364" si="107">IF($A325&gt;NYears*12,"",INT($R325/$E325))</f>
        <v/>
      </c>
    </row>
    <row r="326" spans="1:19" x14ac:dyDescent="0.3">
      <c r="A326" s="33">
        <f>322</f>
        <v>322</v>
      </c>
      <c r="B326" s="34" t="str">
        <f t="shared" si="90"/>
        <v/>
      </c>
      <c r="C326" s="33" t="str">
        <f t="shared" si="91"/>
        <v/>
      </c>
      <c r="D326" s="33" t="str">
        <f t="shared" si="92"/>
        <v/>
      </c>
      <c r="E326" s="35" t="str">
        <f t="shared" si="93"/>
        <v/>
      </c>
      <c r="F326" s="35" t="str">
        <f t="shared" si="94"/>
        <v/>
      </c>
      <c r="G326" s="33" t="str">
        <f t="shared" si="95"/>
        <v/>
      </c>
      <c r="H326" s="35" t="str">
        <f t="shared" si="96"/>
        <v/>
      </c>
      <c r="I326" s="35" t="str">
        <f t="shared" si="97"/>
        <v/>
      </c>
      <c r="J326" s="35" t="str">
        <f t="shared" si="98"/>
        <v/>
      </c>
      <c r="K326" s="35" t="str">
        <f t="shared" si="99"/>
        <v/>
      </c>
      <c r="L326" s="35" t="str">
        <f t="shared" si="100"/>
        <v/>
      </c>
      <c r="M326" s="35" t="str">
        <f t="shared" si="101"/>
        <v/>
      </c>
      <c r="N326" s="36" t="str">
        <f t="shared" si="102"/>
        <v/>
      </c>
      <c r="O326" s="35" t="str">
        <f t="shared" si="103"/>
        <v/>
      </c>
      <c r="P326" s="35" t="str">
        <f t="shared" si="104"/>
        <v/>
      </c>
      <c r="Q326" s="35" t="str">
        <f t="shared" si="105"/>
        <v/>
      </c>
      <c r="R326" s="35" t="str">
        <f t="shared" si="106"/>
        <v/>
      </c>
      <c r="S326" s="33" t="str">
        <f t="shared" si="107"/>
        <v/>
      </c>
    </row>
    <row r="327" spans="1:19" x14ac:dyDescent="0.3">
      <c r="A327" s="33">
        <f>323</f>
        <v>323</v>
      </c>
      <c r="B327" s="34" t="str">
        <f t="shared" si="90"/>
        <v/>
      </c>
      <c r="C327" s="33" t="str">
        <f t="shared" si="91"/>
        <v/>
      </c>
      <c r="D327" s="33" t="str">
        <f t="shared" si="92"/>
        <v/>
      </c>
      <c r="E327" s="35" t="str">
        <f t="shared" si="93"/>
        <v/>
      </c>
      <c r="F327" s="35" t="str">
        <f t="shared" si="94"/>
        <v/>
      </c>
      <c r="G327" s="33" t="str">
        <f t="shared" si="95"/>
        <v/>
      </c>
      <c r="H327" s="35" t="str">
        <f t="shared" si="96"/>
        <v/>
      </c>
      <c r="I327" s="35" t="str">
        <f t="shared" si="97"/>
        <v/>
      </c>
      <c r="J327" s="35" t="str">
        <f t="shared" si="98"/>
        <v/>
      </c>
      <c r="K327" s="35" t="str">
        <f t="shared" si="99"/>
        <v/>
      </c>
      <c r="L327" s="35" t="str">
        <f t="shared" si="100"/>
        <v/>
      </c>
      <c r="M327" s="35" t="str">
        <f t="shared" si="101"/>
        <v/>
      </c>
      <c r="N327" s="36" t="str">
        <f t="shared" si="102"/>
        <v/>
      </c>
      <c r="O327" s="35" t="str">
        <f t="shared" si="103"/>
        <v/>
      </c>
      <c r="P327" s="35" t="str">
        <f t="shared" si="104"/>
        <v/>
      </c>
      <c r="Q327" s="35" t="str">
        <f t="shared" si="105"/>
        <v/>
      </c>
      <c r="R327" s="35" t="str">
        <f t="shared" si="106"/>
        <v/>
      </c>
      <c r="S327" s="33" t="str">
        <f t="shared" si="107"/>
        <v/>
      </c>
    </row>
    <row r="328" spans="1:19" x14ac:dyDescent="0.3">
      <c r="A328" s="37">
        <f>324</f>
        <v>324</v>
      </c>
      <c r="B328" s="38" t="str">
        <f t="shared" si="90"/>
        <v/>
      </c>
      <c r="C328" s="37" t="str">
        <f t="shared" si="91"/>
        <v/>
      </c>
      <c r="D328" s="37" t="str">
        <f t="shared" si="92"/>
        <v/>
      </c>
      <c r="E328" s="39" t="str">
        <f t="shared" si="93"/>
        <v/>
      </c>
      <c r="F328" s="39" t="str">
        <f t="shared" si="94"/>
        <v/>
      </c>
      <c r="G328" s="37" t="str">
        <f t="shared" si="95"/>
        <v/>
      </c>
      <c r="H328" s="39" t="str">
        <f t="shared" si="96"/>
        <v/>
      </c>
      <c r="I328" s="39" t="str">
        <f t="shared" si="97"/>
        <v/>
      </c>
      <c r="J328" s="39" t="str">
        <f t="shared" si="98"/>
        <v/>
      </c>
      <c r="K328" s="39" t="str">
        <f t="shared" si="99"/>
        <v/>
      </c>
      <c r="L328" s="39" t="str">
        <f t="shared" si="100"/>
        <v/>
      </c>
      <c r="M328" s="39" t="str">
        <f t="shared" si="101"/>
        <v/>
      </c>
      <c r="N328" s="40" t="str">
        <f t="shared" si="102"/>
        <v/>
      </c>
      <c r="O328" s="39" t="str">
        <f t="shared" si="103"/>
        <v/>
      </c>
      <c r="P328" s="39" t="str">
        <f t="shared" si="104"/>
        <v/>
      </c>
      <c r="Q328" s="39" t="str">
        <f t="shared" si="105"/>
        <v/>
      </c>
      <c r="R328" s="39" t="str">
        <f t="shared" si="106"/>
        <v/>
      </c>
      <c r="S328" s="37" t="str">
        <f t="shared" si="107"/>
        <v/>
      </c>
    </row>
    <row r="329" spans="1:19" x14ac:dyDescent="0.3">
      <c r="A329" s="33">
        <f>325</f>
        <v>325</v>
      </c>
      <c r="B329" s="34" t="str">
        <f t="shared" si="90"/>
        <v/>
      </c>
      <c r="C329" s="33" t="str">
        <f t="shared" si="91"/>
        <v/>
      </c>
      <c r="D329" s="33" t="str">
        <f t="shared" si="92"/>
        <v/>
      </c>
      <c r="E329" s="35" t="str">
        <f t="shared" si="93"/>
        <v/>
      </c>
      <c r="F329" s="35" t="str">
        <f t="shared" si="94"/>
        <v/>
      </c>
      <c r="G329" s="33" t="str">
        <f t="shared" si="95"/>
        <v/>
      </c>
      <c r="H329" s="35" t="str">
        <f t="shared" si="96"/>
        <v/>
      </c>
      <c r="I329" s="35" t="str">
        <f t="shared" si="97"/>
        <v/>
      </c>
      <c r="J329" s="35" t="str">
        <f t="shared" si="98"/>
        <v/>
      </c>
      <c r="K329" s="35" t="str">
        <f t="shared" si="99"/>
        <v/>
      </c>
      <c r="L329" s="35" t="str">
        <f t="shared" si="100"/>
        <v/>
      </c>
      <c r="M329" s="35" t="str">
        <f t="shared" si="101"/>
        <v/>
      </c>
      <c r="N329" s="36" t="str">
        <f t="shared" si="102"/>
        <v/>
      </c>
      <c r="O329" s="35" t="str">
        <f t="shared" si="103"/>
        <v/>
      </c>
      <c r="P329" s="35" t="str">
        <f t="shared" si="104"/>
        <v/>
      </c>
      <c r="Q329" s="35" t="str">
        <f t="shared" si="105"/>
        <v/>
      </c>
      <c r="R329" s="35" t="str">
        <f t="shared" si="106"/>
        <v/>
      </c>
      <c r="S329" s="33" t="str">
        <f t="shared" si="107"/>
        <v/>
      </c>
    </row>
    <row r="330" spans="1:19" x14ac:dyDescent="0.3">
      <c r="A330" s="33">
        <f>326</f>
        <v>326</v>
      </c>
      <c r="B330" s="34" t="str">
        <f t="shared" si="90"/>
        <v/>
      </c>
      <c r="C330" s="33" t="str">
        <f t="shared" si="91"/>
        <v/>
      </c>
      <c r="D330" s="33" t="str">
        <f t="shared" si="92"/>
        <v/>
      </c>
      <c r="E330" s="35" t="str">
        <f t="shared" si="93"/>
        <v/>
      </c>
      <c r="F330" s="35" t="str">
        <f t="shared" si="94"/>
        <v/>
      </c>
      <c r="G330" s="33" t="str">
        <f t="shared" si="95"/>
        <v/>
      </c>
      <c r="H330" s="35" t="str">
        <f t="shared" si="96"/>
        <v/>
      </c>
      <c r="I330" s="35" t="str">
        <f t="shared" si="97"/>
        <v/>
      </c>
      <c r="J330" s="35" t="str">
        <f t="shared" si="98"/>
        <v/>
      </c>
      <c r="K330" s="35" t="str">
        <f t="shared" si="99"/>
        <v/>
      </c>
      <c r="L330" s="35" t="str">
        <f t="shared" si="100"/>
        <v/>
      </c>
      <c r="M330" s="35" t="str">
        <f t="shared" si="101"/>
        <v/>
      </c>
      <c r="N330" s="36" t="str">
        <f t="shared" si="102"/>
        <v/>
      </c>
      <c r="O330" s="35" t="str">
        <f t="shared" si="103"/>
        <v/>
      </c>
      <c r="P330" s="35" t="str">
        <f t="shared" si="104"/>
        <v/>
      </c>
      <c r="Q330" s="35" t="str">
        <f t="shared" si="105"/>
        <v/>
      </c>
      <c r="R330" s="35" t="str">
        <f t="shared" si="106"/>
        <v/>
      </c>
      <c r="S330" s="33" t="str">
        <f t="shared" si="107"/>
        <v/>
      </c>
    </row>
    <row r="331" spans="1:19" x14ac:dyDescent="0.3">
      <c r="A331" s="33">
        <f>327</f>
        <v>327</v>
      </c>
      <c r="B331" s="34" t="str">
        <f t="shared" si="90"/>
        <v/>
      </c>
      <c r="C331" s="33" t="str">
        <f t="shared" si="91"/>
        <v/>
      </c>
      <c r="D331" s="33" t="str">
        <f t="shared" si="92"/>
        <v/>
      </c>
      <c r="E331" s="35" t="str">
        <f t="shared" si="93"/>
        <v/>
      </c>
      <c r="F331" s="35" t="str">
        <f t="shared" si="94"/>
        <v/>
      </c>
      <c r="G331" s="33" t="str">
        <f t="shared" si="95"/>
        <v/>
      </c>
      <c r="H331" s="35" t="str">
        <f t="shared" si="96"/>
        <v/>
      </c>
      <c r="I331" s="35" t="str">
        <f t="shared" si="97"/>
        <v/>
      </c>
      <c r="J331" s="35" t="str">
        <f t="shared" si="98"/>
        <v/>
      </c>
      <c r="K331" s="35" t="str">
        <f t="shared" si="99"/>
        <v/>
      </c>
      <c r="L331" s="35" t="str">
        <f t="shared" si="100"/>
        <v/>
      </c>
      <c r="M331" s="35" t="str">
        <f t="shared" si="101"/>
        <v/>
      </c>
      <c r="N331" s="36" t="str">
        <f t="shared" si="102"/>
        <v/>
      </c>
      <c r="O331" s="35" t="str">
        <f t="shared" si="103"/>
        <v/>
      </c>
      <c r="P331" s="35" t="str">
        <f t="shared" si="104"/>
        <v/>
      </c>
      <c r="Q331" s="35" t="str">
        <f t="shared" si="105"/>
        <v/>
      </c>
      <c r="R331" s="35" t="str">
        <f t="shared" si="106"/>
        <v/>
      </c>
      <c r="S331" s="33" t="str">
        <f t="shared" si="107"/>
        <v/>
      </c>
    </row>
    <row r="332" spans="1:19" x14ac:dyDescent="0.3">
      <c r="A332" s="33">
        <f>328</f>
        <v>328</v>
      </c>
      <c r="B332" s="34" t="str">
        <f t="shared" si="90"/>
        <v/>
      </c>
      <c r="C332" s="33" t="str">
        <f t="shared" si="91"/>
        <v/>
      </c>
      <c r="D332" s="33" t="str">
        <f t="shared" si="92"/>
        <v/>
      </c>
      <c r="E332" s="35" t="str">
        <f t="shared" si="93"/>
        <v/>
      </c>
      <c r="F332" s="35" t="str">
        <f t="shared" si="94"/>
        <v/>
      </c>
      <c r="G332" s="33" t="str">
        <f t="shared" si="95"/>
        <v/>
      </c>
      <c r="H332" s="35" t="str">
        <f t="shared" si="96"/>
        <v/>
      </c>
      <c r="I332" s="35" t="str">
        <f t="shared" si="97"/>
        <v/>
      </c>
      <c r="J332" s="35" t="str">
        <f t="shared" si="98"/>
        <v/>
      </c>
      <c r="K332" s="35" t="str">
        <f t="shared" si="99"/>
        <v/>
      </c>
      <c r="L332" s="35" t="str">
        <f t="shared" si="100"/>
        <v/>
      </c>
      <c r="M332" s="35" t="str">
        <f t="shared" si="101"/>
        <v/>
      </c>
      <c r="N332" s="36" t="str">
        <f t="shared" si="102"/>
        <v/>
      </c>
      <c r="O332" s="35" t="str">
        <f t="shared" si="103"/>
        <v/>
      </c>
      <c r="P332" s="35" t="str">
        <f t="shared" si="104"/>
        <v/>
      </c>
      <c r="Q332" s="35" t="str">
        <f t="shared" si="105"/>
        <v/>
      </c>
      <c r="R332" s="35" t="str">
        <f t="shared" si="106"/>
        <v/>
      </c>
      <c r="S332" s="33" t="str">
        <f t="shared" si="107"/>
        <v/>
      </c>
    </row>
    <row r="333" spans="1:19" x14ac:dyDescent="0.3">
      <c r="A333" s="33">
        <f>329</f>
        <v>329</v>
      </c>
      <c r="B333" s="34" t="str">
        <f t="shared" si="90"/>
        <v/>
      </c>
      <c r="C333" s="33" t="str">
        <f t="shared" si="91"/>
        <v/>
      </c>
      <c r="D333" s="33" t="str">
        <f t="shared" si="92"/>
        <v/>
      </c>
      <c r="E333" s="35" t="str">
        <f t="shared" si="93"/>
        <v/>
      </c>
      <c r="F333" s="35" t="str">
        <f t="shared" si="94"/>
        <v/>
      </c>
      <c r="G333" s="33" t="str">
        <f t="shared" si="95"/>
        <v/>
      </c>
      <c r="H333" s="35" t="str">
        <f t="shared" si="96"/>
        <v/>
      </c>
      <c r="I333" s="35" t="str">
        <f t="shared" si="97"/>
        <v/>
      </c>
      <c r="J333" s="35" t="str">
        <f t="shared" si="98"/>
        <v/>
      </c>
      <c r="K333" s="35" t="str">
        <f t="shared" si="99"/>
        <v/>
      </c>
      <c r="L333" s="35" t="str">
        <f t="shared" si="100"/>
        <v/>
      </c>
      <c r="M333" s="35" t="str">
        <f t="shared" si="101"/>
        <v/>
      </c>
      <c r="N333" s="36" t="str">
        <f t="shared" si="102"/>
        <v/>
      </c>
      <c r="O333" s="35" t="str">
        <f t="shared" si="103"/>
        <v/>
      </c>
      <c r="P333" s="35" t="str">
        <f t="shared" si="104"/>
        <v/>
      </c>
      <c r="Q333" s="35" t="str">
        <f t="shared" si="105"/>
        <v/>
      </c>
      <c r="R333" s="35" t="str">
        <f t="shared" si="106"/>
        <v/>
      </c>
      <c r="S333" s="33" t="str">
        <f t="shared" si="107"/>
        <v/>
      </c>
    </row>
    <row r="334" spans="1:19" x14ac:dyDescent="0.3">
      <c r="A334" s="33">
        <f>330</f>
        <v>330</v>
      </c>
      <c r="B334" s="34" t="str">
        <f t="shared" si="90"/>
        <v/>
      </c>
      <c r="C334" s="33" t="str">
        <f t="shared" si="91"/>
        <v/>
      </c>
      <c r="D334" s="33" t="str">
        <f t="shared" si="92"/>
        <v/>
      </c>
      <c r="E334" s="35" t="str">
        <f t="shared" si="93"/>
        <v/>
      </c>
      <c r="F334" s="35" t="str">
        <f t="shared" si="94"/>
        <v/>
      </c>
      <c r="G334" s="33" t="str">
        <f t="shared" si="95"/>
        <v/>
      </c>
      <c r="H334" s="35" t="str">
        <f t="shared" si="96"/>
        <v/>
      </c>
      <c r="I334" s="35" t="str">
        <f t="shared" si="97"/>
        <v/>
      </c>
      <c r="J334" s="35" t="str">
        <f t="shared" si="98"/>
        <v/>
      </c>
      <c r="K334" s="35" t="str">
        <f t="shared" si="99"/>
        <v/>
      </c>
      <c r="L334" s="35" t="str">
        <f t="shared" si="100"/>
        <v/>
      </c>
      <c r="M334" s="35" t="str">
        <f t="shared" si="101"/>
        <v/>
      </c>
      <c r="N334" s="36" t="str">
        <f t="shared" si="102"/>
        <v/>
      </c>
      <c r="O334" s="35" t="str">
        <f t="shared" si="103"/>
        <v/>
      </c>
      <c r="P334" s="35" t="str">
        <f t="shared" si="104"/>
        <v/>
      </c>
      <c r="Q334" s="35" t="str">
        <f t="shared" si="105"/>
        <v/>
      </c>
      <c r="R334" s="35" t="str">
        <f t="shared" si="106"/>
        <v/>
      </c>
      <c r="S334" s="33" t="str">
        <f t="shared" si="107"/>
        <v/>
      </c>
    </row>
    <row r="335" spans="1:19" x14ac:dyDescent="0.3">
      <c r="A335" s="33">
        <f>331</f>
        <v>331</v>
      </c>
      <c r="B335" s="34" t="str">
        <f t="shared" si="90"/>
        <v/>
      </c>
      <c r="C335" s="33" t="str">
        <f t="shared" si="91"/>
        <v/>
      </c>
      <c r="D335" s="33" t="str">
        <f t="shared" si="92"/>
        <v/>
      </c>
      <c r="E335" s="35" t="str">
        <f t="shared" si="93"/>
        <v/>
      </c>
      <c r="F335" s="35" t="str">
        <f t="shared" si="94"/>
        <v/>
      </c>
      <c r="G335" s="33" t="str">
        <f t="shared" si="95"/>
        <v/>
      </c>
      <c r="H335" s="35" t="str">
        <f t="shared" si="96"/>
        <v/>
      </c>
      <c r="I335" s="35" t="str">
        <f t="shared" si="97"/>
        <v/>
      </c>
      <c r="J335" s="35" t="str">
        <f t="shared" si="98"/>
        <v/>
      </c>
      <c r="K335" s="35" t="str">
        <f t="shared" si="99"/>
        <v/>
      </c>
      <c r="L335" s="35" t="str">
        <f t="shared" si="100"/>
        <v/>
      </c>
      <c r="M335" s="35" t="str">
        <f t="shared" si="101"/>
        <v/>
      </c>
      <c r="N335" s="36" t="str">
        <f t="shared" si="102"/>
        <v/>
      </c>
      <c r="O335" s="35" t="str">
        <f t="shared" si="103"/>
        <v/>
      </c>
      <c r="P335" s="35" t="str">
        <f t="shared" si="104"/>
        <v/>
      </c>
      <c r="Q335" s="35" t="str">
        <f t="shared" si="105"/>
        <v/>
      </c>
      <c r="R335" s="35" t="str">
        <f t="shared" si="106"/>
        <v/>
      </c>
      <c r="S335" s="33" t="str">
        <f t="shared" si="107"/>
        <v/>
      </c>
    </row>
    <row r="336" spans="1:19" x14ac:dyDescent="0.3">
      <c r="A336" s="33">
        <f>332</f>
        <v>332</v>
      </c>
      <c r="B336" s="34" t="str">
        <f t="shared" si="90"/>
        <v/>
      </c>
      <c r="C336" s="33" t="str">
        <f t="shared" si="91"/>
        <v/>
      </c>
      <c r="D336" s="33" t="str">
        <f t="shared" si="92"/>
        <v/>
      </c>
      <c r="E336" s="35" t="str">
        <f t="shared" si="93"/>
        <v/>
      </c>
      <c r="F336" s="35" t="str">
        <f t="shared" si="94"/>
        <v/>
      </c>
      <c r="G336" s="33" t="str">
        <f t="shared" si="95"/>
        <v/>
      </c>
      <c r="H336" s="35" t="str">
        <f t="shared" si="96"/>
        <v/>
      </c>
      <c r="I336" s="35" t="str">
        <f t="shared" si="97"/>
        <v/>
      </c>
      <c r="J336" s="35" t="str">
        <f t="shared" si="98"/>
        <v/>
      </c>
      <c r="K336" s="35" t="str">
        <f t="shared" si="99"/>
        <v/>
      </c>
      <c r="L336" s="35" t="str">
        <f t="shared" si="100"/>
        <v/>
      </c>
      <c r="M336" s="35" t="str">
        <f t="shared" si="101"/>
        <v/>
      </c>
      <c r="N336" s="36" t="str">
        <f t="shared" si="102"/>
        <v/>
      </c>
      <c r="O336" s="35" t="str">
        <f t="shared" si="103"/>
        <v/>
      </c>
      <c r="P336" s="35" t="str">
        <f t="shared" si="104"/>
        <v/>
      </c>
      <c r="Q336" s="35" t="str">
        <f t="shared" si="105"/>
        <v/>
      </c>
      <c r="R336" s="35" t="str">
        <f t="shared" si="106"/>
        <v/>
      </c>
      <c r="S336" s="33" t="str">
        <f t="shared" si="107"/>
        <v/>
      </c>
    </row>
    <row r="337" spans="1:19" x14ac:dyDescent="0.3">
      <c r="A337" s="33">
        <f>333</f>
        <v>333</v>
      </c>
      <c r="B337" s="34" t="str">
        <f t="shared" si="90"/>
        <v/>
      </c>
      <c r="C337" s="33" t="str">
        <f t="shared" si="91"/>
        <v/>
      </c>
      <c r="D337" s="33" t="str">
        <f t="shared" si="92"/>
        <v/>
      </c>
      <c r="E337" s="35" t="str">
        <f t="shared" si="93"/>
        <v/>
      </c>
      <c r="F337" s="35" t="str">
        <f t="shared" si="94"/>
        <v/>
      </c>
      <c r="G337" s="33" t="str">
        <f t="shared" si="95"/>
        <v/>
      </c>
      <c r="H337" s="35" t="str">
        <f t="shared" si="96"/>
        <v/>
      </c>
      <c r="I337" s="35" t="str">
        <f t="shared" si="97"/>
        <v/>
      </c>
      <c r="J337" s="35" t="str">
        <f t="shared" si="98"/>
        <v/>
      </c>
      <c r="K337" s="35" t="str">
        <f t="shared" si="99"/>
        <v/>
      </c>
      <c r="L337" s="35" t="str">
        <f t="shared" si="100"/>
        <v/>
      </c>
      <c r="M337" s="35" t="str">
        <f t="shared" si="101"/>
        <v/>
      </c>
      <c r="N337" s="36" t="str">
        <f t="shared" si="102"/>
        <v/>
      </c>
      <c r="O337" s="35" t="str">
        <f t="shared" si="103"/>
        <v/>
      </c>
      <c r="P337" s="35" t="str">
        <f t="shared" si="104"/>
        <v/>
      </c>
      <c r="Q337" s="35" t="str">
        <f t="shared" si="105"/>
        <v/>
      </c>
      <c r="R337" s="35" t="str">
        <f t="shared" si="106"/>
        <v/>
      </c>
      <c r="S337" s="33" t="str">
        <f t="shared" si="107"/>
        <v/>
      </c>
    </row>
    <row r="338" spans="1:19" x14ac:dyDescent="0.3">
      <c r="A338" s="33">
        <f>334</f>
        <v>334</v>
      </c>
      <c r="B338" s="34" t="str">
        <f t="shared" si="90"/>
        <v/>
      </c>
      <c r="C338" s="33" t="str">
        <f t="shared" si="91"/>
        <v/>
      </c>
      <c r="D338" s="33" t="str">
        <f t="shared" si="92"/>
        <v/>
      </c>
      <c r="E338" s="35" t="str">
        <f t="shared" si="93"/>
        <v/>
      </c>
      <c r="F338" s="35" t="str">
        <f t="shared" si="94"/>
        <v/>
      </c>
      <c r="G338" s="33" t="str">
        <f t="shared" si="95"/>
        <v/>
      </c>
      <c r="H338" s="35" t="str">
        <f t="shared" si="96"/>
        <v/>
      </c>
      <c r="I338" s="35" t="str">
        <f t="shared" si="97"/>
        <v/>
      </c>
      <c r="J338" s="35" t="str">
        <f t="shared" si="98"/>
        <v/>
      </c>
      <c r="K338" s="35" t="str">
        <f t="shared" si="99"/>
        <v/>
      </c>
      <c r="L338" s="35" t="str">
        <f t="shared" si="100"/>
        <v/>
      </c>
      <c r="M338" s="35" t="str">
        <f t="shared" si="101"/>
        <v/>
      </c>
      <c r="N338" s="36" t="str">
        <f t="shared" si="102"/>
        <v/>
      </c>
      <c r="O338" s="35" t="str">
        <f t="shared" si="103"/>
        <v/>
      </c>
      <c r="P338" s="35" t="str">
        <f t="shared" si="104"/>
        <v/>
      </c>
      <c r="Q338" s="35" t="str">
        <f t="shared" si="105"/>
        <v/>
      </c>
      <c r="R338" s="35" t="str">
        <f t="shared" si="106"/>
        <v/>
      </c>
      <c r="S338" s="33" t="str">
        <f t="shared" si="107"/>
        <v/>
      </c>
    </row>
    <row r="339" spans="1:19" x14ac:dyDescent="0.3">
      <c r="A339" s="33">
        <f>335</f>
        <v>335</v>
      </c>
      <c r="B339" s="34" t="str">
        <f t="shared" si="90"/>
        <v/>
      </c>
      <c r="C339" s="33" t="str">
        <f t="shared" si="91"/>
        <v/>
      </c>
      <c r="D339" s="33" t="str">
        <f t="shared" si="92"/>
        <v/>
      </c>
      <c r="E339" s="35" t="str">
        <f t="shared" si="93"/>
        <v/>
      </c>
      <c r="F339" s="35" t="str">
        <f t="shared" si="94"/>
        <v/>
      </c>
      <c r="G339" s="33" t="str">
        <f t="shared" si="95"/>
        <v/>
      </c>
      <c r="H339" s="35" t="str">
        <f t="shared" si="96"/>
        <v/>
      </c>
      <c r="I339" s="35" t="str">
        <f t="shared" si="97"/>
        <v/>
      </c>
      <c r="J339" s="35" t="str">
        <f t="shared" si="98"/>
        <v/>
      </c>
      <c r="K339" s="35" t="str">
        <f t="shared" si="99"/>
        <v/>
      </c>
      <c r="L339" s="35" t="str">
        <f t="shared" si="100"/>
        <v/>
      </c>
      <c r="M339" s="35" t="str">
        <f t="shared" si="101"/>
        <v/>
      </c>
      <c r="N339" s="36" t="str">
        <f t="shared" si="102"/>
        <v/>
      </c>
      <c r="O339" s="35" t="str">
        <f t="shared" si="103"/>
        <v/>
      </c>
      <c r="P339" s="35" t="str">
        <f t="shared" si="104"/>
        <v/>
      </c>
      <c r="Q339" s="35" t="str">
        <f t="shared" si="105"/>
        <v/>
      </c>
      <c r="R339" s="35" t="str">
        <f t="shared" si="106"/>
        <v/>
      </c>
      <c r="S339" s="33" t="str">
        <f t="shared" si="107"/>
        <v/>
      </c>
    </row>
    <row r="340" spans="1:19" x14ac:dyDescent="0.3">
      <c r="A340" s="37">
        <f>336</f>
        <v>336</v>
      </c>
      <c r="B340" s="38" t="str">
        <f t="shared" si="90"/>
        <v/>
      </c>
      <c r="C340" s="37" t="str">
        <f t="shared" si="91"/>
        <v/>
      </c>
      <c r="D340" s="37" t="str">
        <f t="shared" si="92"/>
        <v/>
      </c>
      <c r="E340" s="39" t="str">
        <f t="shared" si="93"/>
        <v/>
      </c>
      <c r="F340" s="39" t="str">
        <f t="shared" si="94"/>
        <v/>
      </c>
      <c r="G340" s="37" t="str">
        <f t="shared" si="95"/>
        <v/>
      </c>
      <c r="H340" s="39" t="str">
        <f t="shared" si="96"/>
        <v/>
      </c>
      <c r="I340" s="39" t="str">
        <f t="shared" si="97"/>
        <v/>
      </c>
      <c r="J340" s="39" t="str">
        <f t="shared" si="98"/>
        <v/>
      </c>
      <c r="K340" s="39" t="str">
        <f t="shared" si="99"/>
        <v/>
      </c>
      <c r="L340" s="39" t="str">
        <f t="shared" si="100"/>
        <v/>
      </c>
      <c r="M340" s="39" t="str">
        <f t="shared" si="101"/>
        <v/>
      </c>
      <c r="N340" s="40" t="str">
        <f t="shared" si="102"/>
        <v/>
      </c>
      <c r="O340" s="39" t="str">
        <f t="shared" si="103"/>
        <v/>
      </c>
      <c r="P340" s="39" t="str">
        <f t="shared" si="104"/>
        <v/>
      </c>
      <c r="Q340" s="39" t="str">
        <f t="shared" si="105"/>
        <v/>
      </c>
      <c r="R340" s="39" t="str">
        <f t="shared" si="106"/>
        <v/>
      </c>
      <c r="S340" s="37" t="str">
        <f t="shared" si="107"/>
        <v/>
      </c>
    </row>
    <row r="341" spans="1:19" x14ac:dyDescent="0.3">
      <c r="A341" s="33">
        <f>337</f>
        <v>337</v>
      </c>
      <c r="B341" s="34" t="str">
        <f t="shared" si="90"/>
        <v/>
      </c>
      <c r="C341" s="33" t="str">
        <f t="shared" si="91"/>
        <v/>
      </c>
      <c r="D341" s="33" t="str">
        <f t="shared" si="92"/>
        <v/>
      </c>
      <c r="E341" s="35" t="str">
        <f t="shared" si="93"/>
        <v/>
      </c>
      <c r="F341" s="35" t="str">
        <f t="shared" si="94"/>
        <v/>
      </c>
      <c r="G341" s="33" t="str">
        <f t="shared" si="95"/>
        <v/>
      </c>
      <c r="H341" s="35" t="str">
        <f t="shared" si="96"/>
        <v/>
      </c>
      <c r="I341" s="35" t="str">
        <f t="shared" si="97"/>
        <v/>
      </c>
      <c r="J341" s="35" t="str">
        <f t="shared" si="98"/>
        <v/>
      </c>
      <c r="K341" s="35" t="str">
        <f t="shared" si="99"/>
        <v/>
      </c>
      <c r="L341" s="35" t="str">
        <f t="shared" si="100"/>
        <v/>
      </c>
      <c r="M341" s="35" t="str">
        <f t="shared" si="101"/>
        <v/>
      </c>
      <c r="N341" s="36" t="str">
        <f t="shared" si="102"/>
        <v/>
      </c>
      <c r="O341" s="35" t="str">
        <f t="shared" si="103"/>
        <v/>
      </c>
      <c r="P341" s="35" t="str">
        <f t="shared" si="104"/>
        <v/>
      </c>
      <c r="Q341" s="35" t="str">
        <f t="shared" si="105"/>
        <v/>
      </c>
      <c r="R341" s="35" t="str">
        <f t="shared" si="106"/>
        <v/>
      </c>
      <c r="S341" s="33" t="str">
        <f t="shared" si="107"/>
        <v/>
      </c>
    </row>
    <row r="342" spans="1:19" x14ac:dyDescent="0.3">
      <c r="A342" s="33">
        <f>338</f>
        <v>338</v>
      </c>
      <c r="B342" s="34" t="str">
        <f t="shared" si="90"/>
        <v/>
      </c>
      <c r="C342" s="33" t="str">
        <f t="shared" si="91"/>
        <v/>
      </c>
      <c r="D342" s="33" t="str">
        <f t="shared" si="92"/>
        <v/>
      </c>
      <c r="E342" s="35" t="str">
        <f t="shared" si="93"/>
        <v/>
      </c>
      <c r="F342" s="35" t="str">
        <f t="shared" si="94"/>
        <v/>
      </c>
      <c r="G342" s="33" t="str">
        <f t="shared" si="95"/>
        <v/>
      </c>
      <c r="H342" s="35" t="str">
        <f t="shared" si="96"/>
        <v/>
      </c>
      <c r="I342" s="35" t="str">
        <f t="shared" si="97"/>
        <v/>
      </c>
      <c r="J342" s="35" t="str">
        <f t="shared" si="98"/>
        <v/>
      </c>
      <c r="K342" s="35" t="str">
        <f t="shared" si="99"/>
        <v/>
      </c>
      <c r="L342" s="35" t="str">
        <f t="shared" si="100"/>
        <v/>
      </c>
      <c r="M342" s="35" t="str">
        <f t="shared" si="101"/>
        <v/>
      </c>
      <c r="N342" s="36" t="str">
        <f t="shared" si="102"/>
        <v/>
      </c>
      <c r="O342" s="35" t="str">
        <f t="shared" si="103"/>
        <v/>
      </c>
      <c r="P342" s="35" t="str">
        <f t="shared" si="104"/>
        <v/>
      </c>
      <c r="Q342" s="35" t="str">
        <f t="shared" si="105"/>
        <v/>
      </c>
      <c r="R342" s="35" t="str">
        <f t="shared" si="106"/>
        <v/>
      </c>
      <c r="S342" s="33" t="str">
        <f t="shared" si="107"/>
        <v/>
      </c>
    </row>
    <row r="343" spans="1:19" x14ac:dyDescent="0.3">
      <c r="A343" s="33">
        <f>339</f>
        <v>339</v>
      </c>
      <c r="B343" s="34" t="str">
        <f t="shared" si="90"/>
        <v/>
      </c>
      <c r="C343" s="33" t="str">
        <f t="shared" si="91"/>
        <v/>
      </c>
      <c r="D343" s="33" t="str">
        <f t="shared" si="92"/>
        <v/>
      </c>
      <c r="E343" s="35" t="str">
        <f t="shared" si="93"/>
        <v/>
      </c>
      <c r="F343" s="35" t="str">
        <f t="shared" si="94"/>
        <v/>
      </c>
      <c r="G343" s="33" t="str">
        <f t="shared" si="95"/>
        <v/>
      </c>
      <c r="H343" s="35" t="str">
        <f t="shared" si="96"/>
        <v/>
      </c>
      <c r="I343" s="35" t="str">
        <f t="shared" si="97"/>
        <v/>
      </c>
      <c r="J343" s="35" t="str">
        <f t="shared" si="98"/>
        <v/>
      </c>
      <c r="K343" s="35" t="str">
        <f t="shared" si="99"/>
        <v/>
      </c>
      <c r="L343" s="35" t="str">
        <f t="shared" si="100"/>
        <v/>
      </c>
      <c r="M343" s="35" t="str">
        <f t="shared" si="101"/>
        <v/>
      </c>
      <c r="N343" s="36" t="str">
        <f t="shared" si="102"/>
        <v/>
      </c>
      <c r="O343" s="35" t="str">
        <f t="shared" si="103"/>
        <v/>
      </c>
      <c r="P343" s="35" t="str">
        <f t="shared" si="104"/>
        <v/>
      </c>
      <c r="Q343" s="35" t="str">
        <f t="shared" si="105"/>
        <v/>
      </c>
      <c r="R343" s="35" t="str">
        <f t="shared" si="106"/>
        <v/>
      </c>
      <c r="S343" s="33" t="str">
        <f t="shared" si="107"/>
        <v/>
      </c>
    </row>
    <row r="344" spans="1:19" x14ac:dyDescent="0.3">
      <c r="A344" s="33">
        <f>340</f>
        <v>340</v>
      </c>
      <c r="B344" s="34" t="str">
        <f t="shared" si="90"/>
        <v/>
      </c>
      <c r="C344" s="33" t="str">
        <f t="shared" si="91"/>
        <v/>
      </c>
      <c r="D344" s="33" t="str">
        <f t="shared" si="92"/>
        <v/>
      </c>
      <c r="E344" s="35" t="str">
        <f t="shared" si="93"/>
        <v/>
      </c>
      <c r="F344" s="35" t="str">
        <f t="shared" si="94"/>
        <v/>
      </c>
      <c r="G344" s="33" t="str">
        <f t="shared" si="95"/>
        <v/>
      </c>
      <c r="H344" s="35" t="str">
        <f t="shared" si="96"/>
        <v/>
      </c>
      <c r="I344" s="35" t="str">
        <f t="shared" si="97"/>
        <v/>
      </c>
      <c r="J344" s="35" t="str">
        <f t="shared" si="98"/>
        <v/>
      </c>
      <c r="K344" s="35" t="str">
        <f t="shared" si="99"/>
        <v/>
      </c>
      <c r="L344" s="35" t="str">
        <f t="shared" si="100"/>
        <v/>
      </c>
      <c r="M344" s="35" t="str">
        <f t="shared" si="101"/>
        <v/>
      </c>
      <c r="N344" s="36" t="str">
        <f t="shared" si="102"/>
        <v/>
      </c>
      <c r="O344" s="35" t="str">
        <f t="shared" si="103"/>
        <v/>
      </c>
      <c r="P344" s="35" t="str">
        <f t="shared" si="104"/>
        <v/>
      </c>
      <c r="Q344" s="35" t="str">
        <f t="shared" si="105"/>
        <v/>
      </c>
      <c r="R344" s="35" t="str">
        <f t="shared" si="106"/>
        <v/>
      </c>
      <c r="S344" s="33" t="str">
        <f t="shared" si="107"/>
        <v/>
      </c>
    </row>
    <row r="345" spans="1:19" x14ac:dyDescent="0.3">
      <c r="A345" s="33">
        <f>341</f>
        <v>341</v>
      </c>
      <c r="B345" s="34" t="str">
        <f t="shared" si="90"/>
        <v/>
      </c>
      <c r="C345" s="33" t="str">
        <f t="shared" si="91"/>
        <v/>
      </c>
      <c r="D345" s="33" t="str">
        <f t="shared" si="92"/>
        <v/>
      </c>
      <c r="E345" s="35" t="str">
        <f t="shared" si="93"/>
        <v/>
      </c>
      <c r="F345" s="35" t="str">
        <f t="shared" si="94"/>
        <v/>
      </c>
      <c r="G345" s="33" t="str">
        <f t="shared" si="95"/>
        <v/>
      </c>
      <c r="H345" s="35" t="str">
        <f t="shared" si="96"/>
        <v/>
      </c>
      <c r="I345" s="35" t="str">
        <f t="shared" si="97"/>
        <v/>
      </c>
      <c r="J345" s="35" t="str">
        <f t="shared" si="98"/>
        <v/>
      </c>
      <c r="K345" s="35" t="str">
        <f t="shared" si="99"/>
        <v/>
      </c>
      <c r="L345" s="35" t="str">
        <f t="shared" si="100"/>
        <v/>
      </c>
      <c r="M345" s="35" t="str">
        <f t="shared" si="101"/>
        <v/>
      </c>
      <c r="N345" s="36" t="str">
        <f t="shared" si="102"/>
        <v/>
      </c>
      <c r="O345" s="35" t="str">
        <f t="shared" si="103"/>
        <v/>
      </c>
      <c r="P345" s="35" t="str">
        <f t="shared" si="104"/>
        <v/>
      </c>
      <c r="Q345" s="35" t="str">
        <f t="shared" si="105"/>
        <v/>
      </c>
      <c r="R345" s="35" t="str">
        <f t="shared" si="106"/>
        <v/>
      </c>
      <c r="S345" s="33" t="str">
        <f t="shared" si="107"/>
        <v/>
      </c>
    </row>
    <row r="346" spans="1:19" x14ac:dyDescent="0.3">
      <c r="A346" s="33">
        <f>342</f>
        <v>342</v>
      </c>
      <c r="B346" s="34" t="str">
        <f t="shared" si="90"/>
        <v/>
      </c>
      <c r="C346" s="33" t="str">
        <f t="shared" si="91"/>
        <v/>
      </c>
      <c r="D346" s="33" t="str">
        <f t="shared" si="92"/>
        <v/>
      </c>
      <c r="E346" s="35" t="str">
        <f t="shared" si="93"/>
        <v/>
      </c>
      <c r="F346" s="35" t="str">
        <f t="shared" si="94"/>
        <v/>
      </c>
      <c r="G346" s="33" t="str">
        <f t="shared" si="95"/>
        <v/>
      </c>
      <c r="H346" s="35" t="str">
        <f t="shared" si="96"/>
        <v/>
      </c>
      <c r="I346" s="35" t="str">
        <f t="shared" si="97"/>
        <v/>
      </c>
      <c r="J346" s="35" t="str">
        <f t="shared" si="98"/>
        <v/>
      </c>
      <c r="K346" s="35" t="str">
        <f t="shared" si="99"/>
        <v/>
      </c>
      <c r="L346" s="35" t="str">
        <f t="shared" si="100"/>
        <v/>
      </c>
      <c r="M346" s="35" t="str">
        <f t="shared" si="101"/>
        <v/>
      </c>
      <c r="N346" s="36" t="str">
        <f t="shared" si="102"/>
        <v/>
      </c>
      <c r="O346" s="35" t="str">
        <f t="shared" si="103"/>
        <v/>
      </c>
      <c r="P346" s="35" t="str">
        <f t="shared" si="104"/>
        <v/>
      </c>
      <c r="Q346" s="35" t="str">
        <f t="shared" si="105"/>
        <v/>
      </c>
      <c r="R346" s="35" t="str">
        <f t="shared" si="106"/>
        <v/>
      </c>
      <c r="S346" s="33" t="str">
        <f t="shared" si="107"/>
        <v/>
      </c>
    </row>
    <row r="347" spans="1:19" x14ac:dyDescent="0.3">
      <c r="A347" s="33">
        <f>343</f>
        <v>343</v>
      </c>
      <c r="B347" s="34" t="str">
        <f t="shared" si="90"/>
        <v/>
      </c>
      <c r="C347" s="33" t="str">
        <f t="shared" si="91"/>
        <v/>
      </c>
      <c r="D347" s="33" t="str">
        <f t="shared" si="92"/>
        <v/>
      </c>
      <c r="E347" s="35" t="str">
        <f t="shared" si="93"/>
        <v/>
      </c>
      <c r="F347" s="35" t="str">
        <f t="shared" si="94"/>
        <v/>
      </c>
      <c r="G347" s="33" t="str">
        <f t="shared" si="95"/>
        <v/>
      </c>
      <c r="H347" s="35" t="str">
        <f t="shared" si="96"/>
        <v/>
      </c>
      <c r="I347" s="35" t="str">
        <f t="shared" si="97"/>
        <v/>
      </c>
      <c r="J347" s="35" t="str">
        <f t="shared" si="98"/>
        <v/>
      </c>
      <c r="K347" s="35" t="str">
        <f t="shared" si="99"/>
        <v/>
      </c>
      <c r="L347" s="35" t="str">
        <f t="shared" si="100"/>
        <v/>
      </c>
      <c r="M347" s="35" t="str">
        <f t="shared" si="101"/>
        <v/>
      </c>
      <c r="N347" s="36" t="str">
        <f t="shared" si="102"/>
        <v/>
      </c>
      <c r="O347" s="35" t="str">
        <f t="shared" si="103"/>
        <v/>
      </c>
      <c r="P347" s="35" t="str">
        <f t="shared" si="104"/>
        <v/>
      </c>
      <c r="Q347" s="35" t="str">
        <f t="shared" si="105"/>
        <v/>
      </c>
      <c r="R347" s="35" t="str">
        <f t="shared" si="106"/>
        <v/>
      </c>
      <c r="S347" s="33" t="str">
        <f t="shared" si="107"/>
        <v/>
      </c>
    </row>
    <row r="348" spans="1:19" x14ac:dyDescent="0.3">
      <c r="A348" s="33">
        <f>344</f>
        <v>344</v>
      </c>
      <c r="B348" s="34" t="str">
        <f t="shared" si="90"/>
        <v/>
      </c>
      <c r="C348" s="33" t="str">
        <f t="shared" si="91"/>
        <v/>
      </c>
      <c r="D348" s="33" t="str">
        <f t="shared" si="92"/>
        <v/>
      </c>
      <c r="E348" s="35" t="str">
        <f t="shared" si="93"/>
        <v/>
      </c>
      <c r="F348" s="35" t="str">
        <f t="shared" si="94"/>
        <v/>
      </c>
      <c r="G348" s="33" t="str">
        <f t="shared" si="95"/>
        <v/>
      </c>
      <c r="H348" s="35" t="str">
        <f t="shared" si="96"/>
        <v/>
      </c>
      <c r="I348" s="35" t="str">
        <f t="shared" si="97"/>
        <v/>
      </c>
      <c r="J348" s="35" t="str">
        <f t="shared" si="98"/>
        <v/>
      </c>
      <c r="K348" s="35" t="str">
        <f t="shared" si="99"/>
        <v/>
      </c>
      <c r="L348" s="35" t="str">
        <f t="shared" si="100"/>
        <v/>
      </c>
      <c r="M348" s="35" t="str">
        <f t="shared" si="101"/>
        <v/>
      </c>
      <c r="N348" s="36" t="str">
        <f t="shared" si="102"/>
        <v/>
      </c>
      <c r="O348" s="35" t="str">
        <f t="shared" si="103"/>
        <v/>
      </c>
      <c r="P348" s="35" t="str">
        <f t="shared" si="104"/>
        <v/>
      </c>
      <c r="Q348" s="35" t="str">
        <f t="shared" si="105"/>
        <v/>
      </c>
      <c r="R348" s="35" t="str">
        <f t="shared" si="106"/>
        <v/>
      </c>
      <c r="S348" s="33" t="str">
        <f t="shared" si="107"/>
        <v/>
      </c>
    </row>
    <row r="349" spans="1:19" x14ac:dyDescent="0.3">
      <c r="A349" s="33">
        <f>345</f>
        <v>345</v>
      </c>
      <c r="B349" s="34" t="str">
        <f t="shared" si="90"/>
        <v/>
      </c>
      <c r="C349" s="33" t="str">
        <f t="shared" si="91"/>
        <v/>
      </c>
      <c r="D349" s="33" t="str">
        <f t="shared" si="92"/>
        <v/>
      </c>
      <c r="E349" s="35" t="str">
        <f t="shared" si="93"/>
        <v/>
      </c>
      <c r="F349" s="35" t="str">
        <f t="shared" si="94"/>
        <v/>
      </c>
      <c r="G349" s="33" t="str">
        <f t="shared" si="95"/>
        <v/>
      </c>
      <c r="H349" s="35" t="str">
        <f t="shared" si="96"/>
        <v/>
      </c>
      <c r="I349" s="35" t="str">
        <f t="shared" si="97"/>
        <v/>
      </c>
      <c r="J349" s="35" t="str">
        <f t="shared" si="98"/>
        <v/>
      </c>
      <c r="K349" s="35" t="str">
        <f t="shared" si="99"/>
        <v/>
      </c>
      <c r="L349" s="35" t="str">
        <f t="shared" si="100"/>
        <v/>
      </c>
      <c r="M349" s="35" t="str">
        <f t="shared" si="101"/>
        <v/>
      </c>
      <c r="N349" s="36" t="str">
        <f t="shared" si="102"/>
        <v/>
      </c>
      <c r="O349" s="35" t="str">
        <f t="shared" si="103"/>
        <v/>
      </c>
      <c r="P349" s="35" t="str">
        <f t="shared" si="104"/>
        <v/>
      </c>
      <c r="Q349" s="35" t="str">
        <f t="shared" si="105"/>
        <v/>
      </c>
      <c r="R349" s="35" t="str">
        <f t="shared" si="106"/>
        <v/>
      </c>
      <c r="S349" s="33" t="str">
        <f t="shared" si="107"/>
        <v/>
      </c>
    </row>
    <row r="350" spans="1:19" x14ac:dyDescent="0.3">
      <c r="A350" s="33">
        <f>346</f>
        <v>346</v>
      </c>
      <c r="B350" s="34" t="str">
        <f t="shared" si="90"/>
        <v/>
      </c>
      <c r="C350" s="33" t="str">
        <f t="shared" si="91"/>
        <v/>
      </c>
      <c r="D350" s="33" t="str">
        <f t="shared" si="92"/>
        <v/>
      </c>
      <c r="E350" s="35" t="str">
        <f t="shared" si="93"/>
        <v/>
      </c>
      <c r="F350" s="35" t="str">
        <f t="shared" si="94"/>
        <v/>
      </c>
      <c r="G350" s="33" t="str">
        <f t="shared" si="95"/>
        <v/>
      </c>
      <c r="H350" s="35" t="str">
        <f t="shared" si="96"/>
        <v/>
      </c>
      <c r="I350" s="35" t="str">
        <f t="shared" si="97"/>
        <v/>
      </c>
      <c r="J350" s="35" t="str">
        <f t="shared" si="98"/>
        <v/>
      </c>
      <c r="K350" s="35" t="str">
        <f t="shared" si="99"/>
        <v/>
      </c>
      <c r="L350" s="35" t="str">
        <f t="shared" si="100"/>
        <v/>
      </c>
      <c r="M350" s="35" t="str">
        <f t="shared" si="101"/>
        <v/>
      </c>
      <c r="N350" s="36" t="str">
        <f t="shared" si="102"/>
        <v/>
      </c>
      <c r="O350" s="35" t="str">
        <f t="shared" si="103"/>
        <v/>
      </c>
      <c r="P350" s="35" t="str">
        <f t="shared" si="104"/>
        <v/>
      </c>
      <c r="Q350" s="35" t="str">
        <f t="shared" si="105"/>
        <v/>
      </c>
      <c r="R350" s="35" t="str">
        <f t="shared" si="106"/>
        <v/>
      </c>
      <c r="S350" s="33" t="str">
        <f t="shared" si="107"/>
        <v/>
      </c>
    </row>
    <row r="351" spans="1:19" x14ac:dyDescent="0.3">
      <c r="A351" s="33">
        <f>347</f>
        <v>347</v>
      </c>
      <c r="B351" s="34" t="str">
        <f t="shared" si="90"/>
        <v/>
      </c>
      <c r="C351" s="33" t="str">
        <f t="shared" si="91"/>
        <v/>
      </c>
      <c r="D351" s="33" t="str">
        <f t="shared" si="92"/>
        <v/>
      </c>
      <c r="E351" s="35" t="str">
        <f t="shared" si="93"/>
        <v/>
      </c>
      <c r="F351" s="35" t="str">
        <f t="shared" si="94"/>
        <v/>
      </c>
      <c r="G351" s="33" t="str">
        <f t="shared" si="95"/>
        <v/>
      </c>
      <c r="H351" s="35" t="str">
        <f t="shared" si="96"/>
        <v/>
      </c>
      <c r="I351" s="35" t="str">
        <f t="shared" si="97"/>
        <v/>
      </c>
      <c r="J351" s="35" t="str">
        <f t="shared" si="98"/>
        <v/>
      </c>
      <c r="K351" s="35" t="str">
        <f t="shared" si="99"/>
        <v/>
      </c>
      <c r="L351" s="35" t="str">
        <f t="shared" si="100"/>
        <v/>
      </c>
      <c r="M351" s="35" t="str">
        <f t="shared" si="101"/>
        <v/>
      </c>
      <c r="N351" s="36" t="str">
        <f t="shared" si="102"/>
        <v/>
      </c>
      <c r="O351" s="35" t="str">
        <f t="shared" si="103"/>
        <v/>
      </c>
      <c r="P351" s="35" t="str">
        <f t="shared" si="104"/>
        <v/>
      </c>
      <c r="Q351" s="35" t="str">
        <f t="shared" si="105"/>
        <v/>
      </c>
      <c r="R351" s="35" t="str">
        <f t="shared" si="106"/>
        <v/>
      </c>
      <c r="S351" s="33" t="str">
        <f t="shared" si="107"/>
        <v/>
      </c>
    </row>
    <row r="352" spans="1:19" x14ac:dyDescent="0.3">
      <c r="A352" s="37">
        <f>348</f>
        <v>348</v>
      </c>
      <c r="B352" s="38" t="str">
        <f t="shared" si="90"/>
        <v/>
      </c>
      <c r="C352" s="37" t="str">
        <f t="shared" si="91"/>
        <v/>
      </c>
      <c r="D352" s="37" t="str">
        <f t="shared" si="92"/>
        <v/>
      </c>
      <c r="E352" s="39" t="str">
        <f t="shared" si="93"/>
        <v/>
      </c>
      <c r="F352" s="39" t="str">
        <f t="shared" si="94"/>
        <v/>
      </c>
      <c r="G352" s="37" t="str">
        <f t="shared" si="95"/>
        <v/>
      </c>
      <c r="H352" s="39" t="str">
        <f t="shared" si="96"/>
        <v/>
      </c>
      <c r="I352" s="39" t="str">
        <f t="shared" si="97"/>
        <v/>
      </c>
      <c r="J352" s="39" t="str">
        <f t="shared" si="98"/>
        <v/>
      </c>
      <c r="K352" s="39" t="str">
        <f t="shared" si="99"/>
        <v/>
      </c>
      <c r="L352" s="39" t="str">
        <f t="shared" si="100"/>
        <v/>
      </c>
      <c r="M352" s="39" t="str">
        <f t="shared" si="101"/>
        <v/>
      </c>
      <c r="N352" s="40" t="str">
        <f t="shared" si="102"/>
        <v/>
      </c>
      <c r="O352" s="39" t="str">
        <f t="shared" si="103"/>
        <v/>
      </c>
      <c r="P352" s="39" t="str">
        <f t="shared" si="104"/>
        <v/>
      </c>
      <c r="Q352" s="39" t="str">
        <f t="shared" si="105"/>
        <v/>
      </c>
      <c r="R352" s="39" t="str">
        <f t="shared" si="106"/>
        <v/>
      </c>
      <c r="S352" s="37" t="str">
        <f t="shared" si="107"/>
        <v/>
      </c>
    </row>
    <row r="353" spans="1:19" x14ac:dyDescent="0.3">
      <c r="A353" s="33">
        <f>349</f>
        <v>349</v>
      </c>
      <c r="B353" s="34" t="str">
        <f t="shared" si="90"/>
        <v/>
      </c>
      <c r="C353" s="33" t="str">
        <f t="shared" si="91"/>
        <v/>
      </c>
      <c r="D353" s="33" t="str">
        <f t="shared" si="92"/>
        <v/>
      </c>
      <c r="E353" s="35" t="str">
        <f t="shared" si="93"/>
        <v/>
      </c>
      <c r="F353" s="35" t="str">
        <f t="shared" si="94"/>
        <v/>
      </c>
      <c r="G353" s="33" t="str">
        <f t="shared" si="95"/>
        <v/>
      </c>
      <c r="H353" s="35" t="str">
        <f t="shared" si="96"/>
        <v/>
      </c>
      <c r="I353" s="35" t="str">
        <f t="shared" si="97"/>
        <v/>
      </c>
      <c r="J353" s="35" t="str">
        <f t="shared" si="98"/>
        <v/>
      </c>
      <c r="K353" s="35" t="str">
        <f t="shared" si="99"/>
        <v/>
      </c>
      <c r="L353" s="35" t="str">
        <f t="shared" si="100"/>
        <v/>
      </c>
      <c r="M353" s="35" t="str">
        <f t="shared" si="101"/>
        <v/>
      </c>
      <c r="N353" s="36" t="str">
        <f t="shared" si="102"/>
        <v/>
      </c>
      <c r="O353" s="35" t="str">
        <f t="shared" si="103"/>
        <v/>
      </c>
      <c r="P353" s="35" t="str">
        <f t="shared" si="104"/>
        <v/>
      </c>
      <c r="Q353" s="35" t="str">
        <f t="shared" si="105"/>
        <v/>
      </c>
      <c r="R353" s="35" t="str">
        <f t="shared" si="106"/>
        <v/>
      </c>
      <c r="S353" s="33" t="str">
        <f t="shared" si="107"/>
        <v/>
      </c>
    </row>
    <row r="354" spans="1:19" x14ac:dyDescent="0.3">
      <c r="A354" s="33">
        <f>350</f>
        <v>350</v>
      </c>
      <c r="B354" s="34" t="str">
        <f t="shared" si="90"/>
        <v/>
      </c>
      <c r="C354" s="33" t="str">
        <f t="shared" si="91"/>
        <v/>
      </c>
      <c r="D354" s="33" t="str">
        <f t="shared" si="92"/>
        <v/>
      </c>
      <c r="E354" s="35" t="str">
        <f t="shared" si="93"/>
        <v/>
      </c>
      <c r="F354" s="35" t="str">
        <f t="shared" si="94"/>
        <v/>
      </c>
      <c r="G354" s="33" t="str">
        <f t="shared" si="95"/>
        <v/>
      </c>
      <c r="H354" s="35" t="str">
        <f t="shared" si="96"/>
        <v/>
      </c>
      <c r="I354" s="35" t="str">
        <f t="shared" si="97"/>
        <v/>
      </c>
      <c r="J354" s="35" t="str">
        <f t="shared" si="98"/>
        <v/>
      </c>
      <c r="K354" s="35" t="str">
        <f t="shared" si="99"/>
        <v/>
      </c>
      <c r="L354" s="35" t="str">
        <f t="shared" si="100"/>
        <v/>
      </c>
      <c r="M354" s="35" t="str">
        <f t="shared" si="101"/>
        <v/>
      </c>
      <c r="N354" s="36" t="str">
        <f t="shared" si="102"/>
        <v/>
      </c>
      <c r="O354" s="35" t="str">
        <f t="shared" si="103"/>
        <v/>
      </c>
      <c r="P354" s="35" t="str">
        <f t="shared" si="104"/>
        <v/>
      </c>
      <c r="Q354" s="35" t="str">
        <f t="shared" si="105"/>
        <v/>
      </c>
      <c r="R354" s="35" t="str">
        <f t="shared" si="106"/>
        <v/>
      </c>
      <c r="S354" s="33" t="str">
        <f t="shared" si="107"/>
        <v/>
      </c>
    </row>
    <row r="355" spans="1:19" x14ac:dyDescent="0.3">
      <c r="A355" s="33">
        <f>351</f>
        <v>351</v>
      </c>
      <c r="B355" s="34" t="str">
        <f t="shared" si="90"/>
        <v/>
      </c>
      <c r="C355" s="33" t="str">
        <f t="shared" si="91"/>
        <v/>
      </c>
      <c r="D355" s="33" t="str">
        <f t="shared" si="92"/>
        <v/>
      </c>
      <c r="E355" s="35" t="str">
        <f t="shared" si="93"/>
        <v/>
      </c>
      <c r="F355" s="35" t="str">
        <f t="shared" si="94"/>
        <v/>
      </c>
      <c r="G355" s="33" t="str">
        <f t="shared" si="95"/>
        <v/>
      </c>
      <c r="H355" s="35" t="str">
        <f t="shared" si="96"/>
        <v/>
      </c>
      <c r="I355" s="35" t="str">
        <f t="shared" si="97"/>
        <v/>
      </c>
      <c r="J355" s="35" t="str">
        <f t="shared" si="98"/>
        <v/>
      </c>
      <c r="K355" s="35" t="str">
        <f t="shared" si="99"/>
        <v/>
      </c>
      <c r="L355" s="35" t="str">
        <f t="shared" si="100"/>
        <v/>
      </c>
      <c r="M355" s="35" t="str">
        <f t="shared" si="101"/>
        <v/>
      </c>
      <c r="N355" s="36" t="str">
        <f t="shared" si="102"/>
        <v/>
      </c>
      <c r="O355" s="35" t="str">
        <f t="shared" si="103"/>
        <v/>
      </c>
      <c r="P355" s="35" t="str">
        <f t="shared" si="104"/>
        <v/>
      </c>
      <c r="Q355" s="35" t="str">
        <f t="shared" si="105"/>
        <v/>
      </c>
      <c r="R355" s="35" t="str">
        <f t="shared" si="106"/>
        <v/>
      </c>
      <c r="S355" s="33" t="str">
        <f t="shared" si="107"/>
        <v/>
      </c>
    </row>
    <row r="356" spans="1:19" x14ac:dyDescent="0.3">
      <c r="A356" s="33">
        <f>352</f>
        <v>352</v>
      </c>
      <c r="B356" s="34" t="str">
        <f t="shared" si="90"/>
        <v/>
      </c>
      <c r="C356" s="33" t="str">
        <f t="shared" si="91"/>
        <v/>
      </c>
      <c r="D356" s="33" t="str">
        <f t="shared" si="92"/>
        <v/>
      </c>
      <c r="E356" s="35" t="str">
        <f t="shared" si="93"/>
        <v/>
      </c>
      <c r="F356" s="35" t="str">
        <f t="shared" si="94"/>
        <v/>
      </c>
      <c r="G356" s="33" t="str">
        <f t="shared" si="95"/>
        <v/>
      </c>
      <c r="H356" s="35" t="str">
        <f t="shared" si="96"/>
        <v/>
      </c>
      <c r="I356" s="35" t="str">
        <f t="shared" si="97"/>
        <v/>
      </c>
      <c r="J356" s="35" t="str">
        <f t="shared" si="98"/>
        <v/>
      </c>
      <c r="K356" s="35" t="str">
        <f t="shared" si="99"/>
        <v/>
      </c>
      <c r="L356" s="35" t="str">
        <f t="shared" si="100"/>
        <v/>
      </c>
      <c r="M356" s="35" t="str">
        <f t="shared" si="101"/>
        <v/>
      </c>
      <c r="N356" s="36" t="str">
        <f t="shared" si="102"/>
        <v/>
      </c>
      <c r="O356" s="35" t="str">
        <f t="shared" si="103"/>
        <v/>
      </c>
      <c r="P356" s="35" t="str">
        <f t="shared" si="104"/>
        <v/>
      </c>
      <c r="Q356" s="35" t="str">
        <f t="shared" si="105"/>
        <v/>
      </c>
      <c r="R356" s="35" t="str">
        <f t="shared" si="106"/>
        <v/>
      </c>
      <c r="S356" s="33" t="str">
        <f t="shared" si="107"/>
        <v/>
      </c>
    </row>
    <row r="357" spans="1:19" x14ac:dyDescent="0.3">
      <c r="A357" s="33">
        <f>353</f>
        <v>353</v>
      </c>
      <c r="B357" s="34" t="str">
        <f t="shared" si="90"/>
        <v/>
      </c>
      <c r="C357" s="33" t="str">
        <f t="shared" si="91"/>
        <v/>
      </c>
      <c r="D357" s="33" t="str">
        <f t="shared" si="92"/>
        <v/>
      </c>
      <c r="E357" s="35" t="str">
        <f t="shared" si="93"/>
        <v/>
      </c>
      <c r="F357" s="35" t="str">
        <f t="shared" si="94"/>
        <v/>
      </c>
      <c r="G357" s="33" t="str">
        <f t="shared" si="95"/>
        <v/>
      </c>
      <c r="H357" s="35" t="str">
        <f t="shared" si="96"/>
        <v/>
      </c>
      <c r="I357" s="35" t="str">
        <f t="shared" si="97"/>
        <v/>
      </c>
      <c r="J357" s="35" t="str">
        <f t="shared" si="98"/>
        <v/>
      </c>
      <c r="K357" s="35" t="str">
        <f t="shared" si="99"/>
        <v/>
      </c>
      <c r="L357" s="35" t="str">
        <f t="shared" si="100"/>
        <v/>
      </c>
      <c r="M357" s="35" t="str">
        <f t="shared" si="101"/>
        <v/>
      </c>
      <c r="N357" s="36" t="str">
        <f t="shared" si="102"/>
        <v/>
      </c>
      <c r="O357" s="35" t="str">
        <f t="shared" si="103"/>
        <v/>
      </c>
      <c r="P357" s="35" t="str">
        <f t="shared" si="104"/>
        <v/>
      </c>
      <c r="Q357" s="35" t="str">
        <f t="shared" si="105"/>
        <v/>
      </c>
      <c r="R357" s="35" t="str">
        <f t="shared" si="106"/>
        <v/>
      </c>
      <c r="S357" s="33" t="str">
        <f t="shared" si="107"/>
        <v/>
      </c>
    </row>
    <row r="358" spans="1:19" x14ac:dyDescent="0.3">
      <c r="A358" s="33">
        <f>354</f>
        <v>354</v>
      </c>
      <c r="B358" s="34" t="str">
        <f t="shared" si="90"/>
        <v/>
      </c>
      <c r="C358" s="33" t="str">
        <f t="shared" si="91"/>
        <v/>
      </c>
      <c r="D358" s="33" t="str">
        <f t="shared" si="92"/>
        <v/>
      </c>
      <c r="E358" s="35" t="str">
        <f t="shared" si="93"/>
        <v/>
      </c>
      <c r="F358" s="35" t="str">
        <f t="shared" si="94"/>
        <v/>
      </c>
      <c r="G358" s="33" t="str">
        <f t="shared" si="95"/>
        <v/>
      </c>
      <c r="H358" s="35" t="str">
        <f t="shared" si="96"/>
        <v/>
      </c>
      <c r="I358" s="35" t="str">
        <f t="shared" si="97"/>
        <v/>
      </c>
      <c r="J358" s="35" t="str">
        <f t="shared" si="98"/>
        <v/>
      </c>
      <c r="K358" s="35" t="str">
        <f t="shared" si="99"/>
        <v/>
      </c>
      <c r="L358" s="35" t="str">
        <f t="shared" si="100"/>
        <v/>
      </c>
      <c r="M358" s="35" t="str">
        <f t="shared" si="101"/>
        <v/>
      </c>
      <c r="N358" s="36" t="str">
        <f t="shared" si="102"/>
        <v/>
      </c>
      <c r="O358" s="35" t="str">
        <f t="shared" si="103"/>
        <v/>
      </c>
      <c r="P358" s="35" t="str">
        <f t="shared" si="104"/>
        <v/>
      </c>
      <c r="Q358" s="35" t="str">
        <f t="shared" si="105"/>
        <v/>
      </c>
      <c r="R358" s="35" t="str">
        <f t="shared" si="106"/>
        <v/>
      </c>
      <c r="S358" s="33" t="str">
        <f t="shared" si="107"/>
        <v/>
      </c>
    </row>
    <row r="359" spans="1:19" x14ac:dyDescent="0.3">
      <c r="A359" s="33">
        <f>355</f>
        <v>355</v>
      </c>
      <c r="B359" s="34" t="str">
        <f t="shared" si="90"/>
        <v/>
      </c>
      <c r="C359" s="33" t="str">
        <f t="shared" si="91"/>
        <v/>
      </c>
      <c r="D359" s="33" t="str">
        <f t="shared" si="92"/>
        <v/>
      </c>
      <c r="E359" s="35" t="str">
        <f t="shared" si="93"/>
        <v/>
      </c>
      <c r="F359" s="35" t="str">
        <f t="shared" si="94"/>
        <v/>
      </c>
      <c r="G359" s="33" t="str">
        <f t="shared" si="95"/>
        <v/>
      </c>
      <c r="H359" s="35" t="str">
        <f t="shared" si="96"/>
        <v/>
      </c>
      <c r="I359" s="35" t="str">
        <f t="shared" si="97"/>
        <v/>
      </c>
      <c r="J359" s="35" t="str">
        <f t="shared" si="98"/>
        <v/>
      </c>
      <c r="K359" s="35" t="str">
        <f t="shared" si="99"/>
        <v/>
      </c>
      <c r="L359" s="35" t="str">
        <f t="shared" si="100"/>
        <v/>
      </c>
      <c r="M359" s="35" t="str">
        <f t="shared" si="101"/>
        <v/>
      </c>
      <c r="N359" s="36" t="str">
        <f t="shared" si="102"/>
        <v/>
      </c>
      <c r="O359" s="35" t="str">
        <f t="shared" si="103"/>
        <v/>
      </c>
      <c r="P359" s="35" t="str">
        <f t="shared" si="104"/>
        <v/>
      </c>
      <c r="Q359" s="35" t="str">
        <f t="shared" si="105"/>
        <v/>
      </c>
      <c r="R359" s="35" t="str">
        <f t="shared" si="106"/>
        <v/>
      </c>
      <c r="S359" s="33" t="str">
        <f t="shared" si="107"/>
        <v/>
      </c>
    </row>
    <row r="360" spans="1:19" x14ac:dyDescent="0.3">
      <c r="A360" s="33">
        <f>356</f>
        <v>356</v>
      </c>
      <c r="B360" s="34" t="str">
        <f t="shared" si="90"/>
        <v/>
      </c>
      <c r="C360" s="33" t="str">
        <f t="shared" si="91"/>
        <v/>
      </c>
      <c r="D360" s="33" t="str">
        <f t="shared" si="92"/>
        <v/>
      </c>
      <c r="E360" s="35" t="str">
        <f t="shared" si="93"/>
        <v/>
      </c>
      <c r="F360" s="35" t="str">
        <f t="shared" si="94"/>
        <v/>
      </c>
      <c r="G360" s="33" t="str">
        <f t="shared" si="95"/>
        <v/>
      </c>
      <c r="H360" s="35" t="str">
        <f t="shared" si="96"/>
        <v/>
      </c>
      <c r="I360" s="35" t="str">
        <f t="shared" si="97"/>
        <v/>
      </c>
      <c r="J360" s="35" t="str">
        <f t="shared" si="98"/>
        <v/>
      </c>
      <c r="K360" s="35" t="str">
        <f t="shared" si="99"/>
        <v/>
      </c>
      <c r="L360" s="35" t="str">
        <f t="shared" si="100"/>
        <v/>
      </c>
      <c r="M360" s="35" t="str">
        <f t="shared" si="101"/>
        <v/>
      </c>
      <c r="N360" s="36" t="str">
        <f t="shared" si="102"/>
        <v/>
      </c>
      <c r="O360" s="35" t="str">
        <f t="shared" si="103"/>
        <v/>
      </c>
      <c r="P360" s="35" t="str">
        <f t="shared" si="104"/>
        <v/>
      </c>
      <c r="Q360" s="35" t="str">
        <f t="shared" si="105"/>
        <v/>
      </c>
      <c r="R360" s="35" t="str">
        <f t="shared" si="106"/>
        <v/>
      </c>
      <c r="S360" s="33" t="str">
        <f t="shared" si="107"/>
        <v/>
      </c>
    </row>
    <row r="361" spans="1:19" x14ac:dyDescent="0.3">
      <c r="A361" s="33">
        <f>357</f>
        <v>357</v>
      </c>
      <c r="B361" s="34" t="str">
        <f t="shared" si="90"/>
        <v/>
      </c>
      <c r="C361" s="33" t="str">
        <f t="shared" si="91"/>
        <v/>
      </c>
      <c r="D361" s="33" t="str">
        <f t="shared" si="92"/>
        <v/>
      </c>
      <c r="E361" s="35" t="str">
        <f t="shared" si="93"/>
        <v/>
      </c>
      <c r="F361" s="35" t="str">
        <f t="shared" si="94"/>
        <v/>
      </c>
      <c r="G361" s="33" t="str">
        <f t="shared" si="95"/>
        <v/>
      </c>
      <c r="H361" s="35" t="str">
        <f t="shared" si="96"/>
        <v/>
      </c>
      <c r="I361" s="35" t="str">
        <f t="shared" si="97"/>
        <v/>
      </c>
      <c r="J361" s="35" t="str">
        <f t="shared" si="98"/>
        <v/>
      </c>
      <c r="K361" s="35" t="str">
        <f t="shared" si="99"/>
        <v/>
      </c>
      <c r="L361" s="35" t="str">
        <f t="shared" si="100"/>
        <v/>
      </c>
      <c r="M361" s="35" t="str">
        <f t="shared" si="101"/>
        <v/>
      </c>
      <c r="N361" s="36" t="str">
        <f t="shared" si="102"/>
        <v/>
      </c>
      <c r="O361" s="35" t="str">
        <f t="shared" si="103"/>
        <v/>
      </c>
      <c r="P361" s="35" t="str">
        <f t="shared" si="104"/>
        <v/>
      </c>
      <c r="Q361" s="35" t="str">
        <f t="shared" si="105"/>
        <v/>
      </c>
      <c r="R361" s="35" t="str">
        <f t="shared" si="106"/>
        <v/>
      </c>
      <c r="S361" s="33" t="str">
        <f t="shared" si="107"/>
        <v/>
      </c>
    </row>
    <row r="362" spans="1:19" x14ac:dyDescent="0.3">
      <c r="A362" s="33">
        <f>358</f>
        <v>358</v>
      </c>
      <c r="B362" s="34" t="str">
        <f t="shared" si="90"/>
        <v/>
      </c>
      <c r="C362" s="33" t="str">
        <f t="shared" si="91"/>
        <v/>
      </c>
      <c r="D362" s="33" t="str">
        <f t="shared" si="92"/>
        <v/>
      </c>
      <c r="E362" s="35" t="str">
        <f t="shared" si="93"/>
        <v/>
      </c>
      <c r="F362" s="35" t="str">
        <f t="shared" si="94"/>
        <v/>
      </c>
      <c r="G362" s="33" t="str">
        <f t="shared" si="95"/>
        <v/>
      </c>
      <c r="H362" s="35" t="str">
        <f t="shared" si="96"/>
        <v/>
      </c>
      <c r="I362" s="35" t="str">
        <f t="shared" si="97"/>
        <v/>
      </c>
      <c r="J362" s="35" t="str">
        <f t="shared" si="98"/>
        <v/>
      </c>
      <c r="K362" s="35" t="str">
        <f t="shared" si="99"/>
        <v/>
      </c>
      <c r="L362" s="35" t="str">
        <f t="shared" si="100"/>
        <v/>
      </c>
      <c r="M362" s="35" t="str">
        <f t="shared" si="101"/>
        <v/>
      </c>
      <c r="N362" s="36" t="str">
        <f t="shared" si="102"/>
        <v/>
      </c>
      <c r="O362" s="35" t="str">
        <f t="shared" si="103"/>
        <v/>
      </c>
      <c r="P362" s="35" t="str">
        <f t="shared" si="104"/>
        <v/>
      </c>
      <c r="Q362" s="35" t="str">
        <f t="shared" si="105"/>
        <v/>
      </c>
      <c r="R362" s="35" t="str">
        <f t="shared" si="106"/>
        <v/>
      </c>
      <c r="S362" s="33" t="str">
        <f t="shared" si="107"/>
        <v/>
      </c>
    </row>
    <row r="363" spans="1:19" x14ac:dyDescent="0.3">
      <c r="A363" s="33">
        <f>359</f>
        <v>359</v>
      </c>
      <c r="B363" s="34" t="str">
        <f t="shared" si="90"/>
        <v/>
      </c>
      <c r="C363" s="33" t="str">
        <f t="shared" si="91"/>
        <v/>
      </c>
      <c r="D363" s="33" t="str">
        <f t="shared" si="92"/>
        <v/>
      </c>
      <c r="E363" s="35" t="str">
        <f t="shared" si="93"/>
        <v/>
      </c>
      <c r="F363" s="35" t="str">
        <f t="shared" si="94"/>
        <v/>
      </c>
      <c r="G363" s="33" t="str">
        <f t="shared" si="95"/>
        <v/>
      </c>
      <c r="H363" s="35" t="str">
        <f t="shared" si="96"/>
        <v/>
      </c>
      <c r="I363" s="35" t="str">
        <f t="shared" si="97"/>
        <v/>
      </c>
      <c r="J363" s="35" t="str">
        <f t="shared" si="98"/>
        <v/>
      </c>
      <c r="K363" s="35" t="str">
        <f t="shared" si="99"/>
        <v/>
      </c>
      <c r="L363" s="35" t="str">
        <f t="shared" si="100"/>
        <v/>
      </c>
      <c r="M363" s="35" t="str">
        <f t="shared" si="101"/>
        <v/>
      </c>
      <c r="N363" s="36" t="str">
        <f t="shared" si="102"/>
        <v/>
      </c>
      <c r="O363" s="35" t="str">
        <f t="shared" si="103"/>
        <v/>
      </c>
      <c r="P363" s="35" t="str">
        <f t="shared" si="104"/>
        <v/>
      </c>
      <c r="Q363" s="35" t="str">
        <f t="shared" si="105"/>
        <v/>
      </c>
      <c r="R363" s="35" t="str">
        <f t="shared" si="106"/>
        <v/>
      </c>
      <c r="S363" s="33" t="str">
        <f t="shared" si="107"/>
        <v/>
      </c>
    </row>
    <row r="364" spans="1:19" x14ac:dyDescent="0.3">
      <c r="A364" s="37">
        <f>360</f>
        <v>360</v>
      </c>
      <c r="B364" s="38" t="str">
        <f t="shared" si="90"/>
        <v/>
      </c>
      <c r="C364" s="37" t="str">
        <f t="shared" si="91"/>
        <v/>
      </c>
      <c r="D364" s="37" t="str">
        <f t="shared" si="92"/>
        <v/>
      </c>
      <c r="E364" s="39" t="str">
        <f t="shared" si="93"/>
        <v/>
      </c>
      <c r="F364" s="39" t="str">
        <f t="shared" si="94"/>
        <v/>
      </c>
      <c r="G364" s="37" t="str">
        <f t="shared" si="95"/>
        <v/>
      </c>
      <c r="H364" s="39" t="str">
        <f t="shared" si="96"/>
        <v/>
      </c>
      <c r="I364" s="39" t="str">
        <f t="shared" si="97"/>
        <v/>
      </c>
      <c r="J364" s="39" t="str">
        <f t="shared" si="98"/>
        <v/>
      </c>
      <c r="K364" s="39" t="str">
        <f t="shared" si="99"/>
        <v/>
      </c>
      <c r="L364" s="39" t="str">
        <f t="shared" si="100"/>
        <v/>
      </c>
      <c r="M364" s="39" t="str">
        <f t="shared" si="101"/>
        <v/>
      </c>
      <c r="N364" s="40" t="str">
        <f t="shared" si="102"/>
        <v/>
      </c>
      <c r="O364" s="39" t="str">
        <f t="shared" si="103"/>
        <v/>
      </c>
      <c r="P364" s="39" t="str">
        <f t="shared" si="104"/>
        <v/>
      </c>
      <c r="Q364" s="39" t="str">
        <f t="shared" si="105"/>
        <v/>
      </c>
      <c r="R364" s="39" t="str">
        <f t="shared" si="106"/>
        <v/>
      </c>
      <c r="S364" s="37" t="str">
        <f t="shared" si="107"/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364"/>
  <sheetViews>
    <sheetView showGridLines="0" workbookViewId="0">
      <pane ySplit="4" topLeftCell="A5" activePane="bottomLeft" state="frozen"/>
      <selection pane="bottomLeft"/>
    </sheetView>
  </sheetViews>
  <sheetFormatPr defaultRowHeight="14.4" x14ac:dyDescent="0.3"/>
  <cols>
    <col min="1" max="1" width="8" customWidth="1"/>
    <col min="2" max="2" width="11" customWidth="1"/>
    <col min="3" max="3" width="5" customWidth="1"/>
    <col min="4" max="4" width="8" customWidth="1"/>
    <col min="5" max="5" width="14" customWidth="1"/>
    <col min="6" max="6" width="16" customWidth="1"/>
    <col min="7" max="7" width="7" customWidth="1"/>
    <col min="8" max="8" width="16" customWidth="1"/>
    <col min="9" max="9" width="13" customWidth="1"/>
    <col min="10" max="13" width="15" customWidth="1"/>
    <col min="14" max="14" width="10" customWidth="1"/>
    <col min="15" max="17" width="14" customWidth="1"/>
    <col min="18" max="18" width="17" customWidth="1"/>
    <col min="19" max="19" width="12" customWidth="1"/>
  </cols>
  <sheetData>
    <row r="1" spans="1:19" ht="18" x14ac:dyDescent="0.35">
      <c r="A1" s="1" t="s">
        <v>95</v>
      </c>
    </row>
    <row r="2" spans="1:19" x14ac:dyDescent="0.3">
      <c r="A2" s="5" t="s">
        <v>78</v>
      </c>
      <c r="B2" s="32">
        <f>RateD</f>
        <v>0.04</v>
      </c>
      <c r="D2" s="2" t="s">
        <v>79</v>
      </c>
    </row>
    <row r="4" spans="1:19" ht="28.8" x14ac:dyDescent="0.3">
      <c r="A4" s="18" t="s">
        <v>80</v>
      </c>
      <c r="B4" s="18" t="s">
        <v>81</v>
      </c>
      <c r="C4" s="18" t="s">
        <v>82</v>
      </c>
      <c r="D4" s="18" t="s">
        <v>83</v>
      </c>
      <c r="E4" s="18" t="s">
        <v>63</v>
      </c>
      <c r="F4" s="18" t="s">
        <v>64</v>
      </c>
      <c r="G4" s="18" t="s">
        <v>84</v>
      </c>
      <c r="H4" s="18" t="s">
        <v>68</v>
      </c>
      <c r="I4" s="18" t="s">
        <v>85</v>
      </c>
      <c r="J4" s="18" t="s">
        <v>86</v>
      </c>
      <c r="K4" s="18" t="s">
        <v>87</v>
      </c>
      <c r="L4" s="18" t="s">
        <v>88</v>
      </c>
      <c r="M4" s="18" t="s">
        <v>89</v>
      </c>
      <c r="N4" s="18" t="s">
        <v>90</v>
      </c>
      <c r="O4" s="18" t="s">
        <v>30</v>
      </c>
      <c r="P4" s="18" t="s">
        <v>91</v>
      </c>
      <c r="Q4" s="18" t="s">
        <v>71</v>
      </c>
      <c r="R4" s="18" t="s">
        <v>73</v>
      </c>
      <c r="S4" s="18" t="s">
        <v>92</v>
      </c>
    </row>
    <row r="5" spans="1:19" x14ac:dyDescent="0.3">
      <c r="A5" s="33">
        <f>1</f>
        <v>1</v>
      </c>
      <c r="B5" s="34">
        <f t="shared" ref="B5:B68" si="0">IF($A5&gt;NYears*12,"",EDATE(StartMonth,$A5-1))</f>
        <v>46388</v>
      </c>
      <c r="C5" s="33">
        <f t="shared" ref="C5:C68" si="1">IF($A5&gt;NYears*12,"",INT(($A5-1)/12)+1)</f>
        <v>1</v>
      </c>
      <c r="D5" s="33">
        <f t="shared" ref="D5:D68" si="2">IF($A5&gt;NYears*12,"",MOD($A5-1,12)+1)</f>
        <v>1</v>
      </c>
      <c r="E5" s="35">
        <f t="shared" ref="E5:E68" si="3">IF($A5&gt;NYears*12,"",LotValue0*(1+LotGrowth)^($C5-1))</f>
        <v>83333</v>
      </c>
      <c r="F5" s="35">
        <f t="shared" ref="F5:F68" si="4">IF($A5&gt;NYears*12,"",IF($A5=1,InitInvest,$R4))</f>
        <v>5000000</v>
      </c>
      <c r="G5" s="33">
        <f t="shared" ref="G5:G68" si="5">IF($A5&gt;NYears*12,"",INT($F5/$E5))</f>
        <v>60</v>
      </c>
      <c r="H5" s="35">
        <f t="shared" ref="H5:H68" si="6">IF($A5&gt;NYears*12,"",$G5*$E5)</f>
        <v>4999980</v>
      </c>
      <c r="I5" s="35">
        <f t="shared" ref="I5:I68" si="7">IF($A5&gt;NYears*12,"",$F5-$H5)</f>
        <v>20</v>
      </c>
      <c r="J5" s="35">
        <f t="shared" ref="J5:J68" si="8">IF($A5&gt;NYears*12,"",$H5*RateD)</f>
        <v>199999.2</v>
      </c>
      <c r="K5" s="35">
        <f t="shared" ref="K5:K68" si="9">IF($A5&gt;NYears*12,"",IF($D5=1,$J5,$K4+$J5))</f>
        <v>199999.2</v>
      </c>
      <c r="L5" s="35">
        <f t="shared" ref="L5:L68" si="10">IF($A5&gt;NYears*12,"",IF(MOD($D5,3)=0,SUM($J3:$J5),0))</f>
        <v>0</v>
      </c>
      <c r="M5" s="35">
        <f t="shared" ref="M5:M68" si="11">IF($A5&gt;NYears*12,"",IF(TaxFreq="Quarterly",$K5*12/$D5,$K5))</f>
        <v>2399990.4000000004</v>
      </c>
      <c r="N5" s="36">
        <f t="shared" ref="N5:N68" si="12">IF($A5&gt;NYears*12,"",LOOKUP($M5,TaxLower,TaxRate))</f>
        <v>0.312</v>
      </c>
      <c r="O5" s="35">
        <f t="shared" ref="O5:O68" si="13">IF($A5&gt;NYears*12,"",IF(TaxFreq="Quarterly",IF(MOD($D5,3)=0,$L5*$N5,0),IF($D5=12,$K5*$N5,0)))</f>
        <v>0</v>
      </c>
      <c r="P5" s="35">
        <f t="shared" ref="P5:P68" si="14">IF($A5&gt;NYears*12,"",IF($D5=1,$O5,$P4+$O5))</f>
        <v>0</v>
      </c>
      <c r="Q5" s="35">
        <f t="shared" ref="Q5:Q68" si="15">IF($A5&gt;NYears*12,"",IF($D5=12,MIN(WdrPct*IF(WdrBase="Post-tax profit",$K5-$P5,$K5),WdrCap),0))</f>
        <v>0</v>
      </c>
      <c r="R5" s="35">
        <f t="shared" ref="R5:R68" si="16">IF($A5&gt;NYears*12,"",$F5+$J5-$O5-$Q5)</f>
        <v>5199999.2</v>
      </c>
      <c r="S5" s="33">
        <f t="shared" ref="S5:S68" si="17">IF($A5&gt;NYears*12,"",INT($R5/$E5))</f>
        <v>62</v>
      </c>
    </row>
    <row r="6" spans="1:19" x14ac:dyDescent="0.3">
      <c r="A6" s="33">
        <f>2</f>
        <v>2</v>
      </c>
      <c r="B6" s="34">
        <f t="shared" si="0"/>
        <v>46419</v>
      </c>
      <c r="C6" s="33">
        <f t="shared" si="1"/>
        <v>1</v>
      </c>
      <c r="D6" s="33">
        <f t="shared" si="2"/>
        <v>2</v>
      </c>
      <c r="E6" s="35">
        <f t="shared" si="3"/>
        <v>83333</v>
      </c>
      <c r="F6" s="35">
        <f t="shared" si="4"/>
        <v>5199999.2</v>
      </c>
      <c r="G6" s="33">
        <f t="shared" si="5"/>
        <v>62</v>
      </c>
      <c r="H6" s="35">
        <f t="shared" si="6"/>
        <v>5166646</v>
      </c>
      <c r="I6" s="35">
        <f t="shared" si="7"/>
        <v>33353.200000000186</v>
      </c>
      <c r="J6" s="35">
        <f t="shared" si="8"/>
        <v>206665.84</v>
      </c>
      <c r="K6" s="35">
        <f t="shared" si="9"/>
        <v>406665.04000000004</v>
      </c>
      <c r="L6" s="35">
        <f t="shared" si="10"/>
        <v>0</v>
      </c>
      <c r="M6" s="35">
        <f t="shared" si="11"/>
        <v>2439990.2400000002</v>
      </c>
      <c r="N6" s="36">
        <f t="shared" si="12"/>
        <v>0.312</v>
      </c>
      <c r="O6" s="35">
        <f t="shared" si="13"/>
        <v>0</v>
      </c>
      <c r="P6" s="35">
        <f t="shared" si="14"/>
        <v>0</v>
      </c>
      <c r="Q6" s="35">
        <f t="shared" si="15"/>
        <v>0</v>
      </c>
      <c r="R6" s="35">
        <f t="shared" si="16"/>
        <v>5406665.04</v>
      </c>
      <c r="S6" s="33">
        <f t="shared" si="17"/>
        <v>64</v>
      </c>
    </row>
    <row r="7" spans="1:19" x14ac:dyDescent="0.3">
      <c r="A7" s="33">
        <f>3</f>
        <v>3</v>
      </c>
      <c r="B7" s="34">
        <f t="shared" si="0"/>
        <v>46447</v>
      </c>
      <c r="C7" s="33">
        <f t="shared" si="1"/>
        <v>1</v>
      </c>
      <c r="D7" s="33">
        <f t="shared" si="2"/>
        <v>3</v>
      </c>
      <c r="E7" s="35">
        <f t="shared" si="3"/>
        <v>83333</v>
      </c>
      <c r="F7" s="35">
        <f t="shared" si="4"/>
        <v>5406665.04</v>
      </c>
      <c r="G7" s="33">
        <f t="shared" si="5"/>
        <v>64</v>
      </c>
      <c r="H7" s="35">
        <f t="shared" si="6"/>
        <v>5333312</v>
      </c>
      <c r="I7" s="35">
        <f t="shared" si="7"/>
        <v>73353.040000000037</v>
      </c>
      <c r="J7" s="35">
        <f t="shared" si="8"/>
        <v>213332.48000000001</v>
      </c>
      <c r="K7" s="35">
        <f t="shared" si="9"/>
        <v>619997.52</v>
      </c>
      <c r="L7" s="35">
        <f t="shared" si="10"/>
        <v>619997.52</v>
      </c>
      <c r="M7" s="35">
        <f t="shared" si="11"/>
        <v>2479990.08</v>
      </c>
      <c r="N7" s="36">
        <f t="shared" si="12"/>
        <v>0.312</v>
      </c>
      <c r="O7" s="35">
        <f t="shared" si="13"/>
        <v>193439.22624000002</v>
      </c>
      <c r="P7" s="35">
        <f t="shared" si="14"/>
        <v>193439.22624000002</v>
      </c>
      <c r="Q7" s="35">
        <f t="shared" si="15"/>
        <v>0</v>
      </c>
      <c r="R7" s="35">
        <f t="shared" si="16"/>
        <v>5426558.2937600007</v>
      </c>
      <c r="S7" s="33">
        <f t="shared" si="17"/>
        <v>65</v>
      </c>
    </row>
    <row r="8" spans="1:19" x14ac:dyDescent="0.3">
      <c r="A8" s="33">
        <f>4</f>
        <v>4</v>
      </c>
      <c r="B8" s="34">
        <f t="shared" si="0"/>
        <v>46478</v>
      </c>
      <c r="C8" s="33">
        <f t="shared" si="1"/>
        <v>1</v>
      </c>
      <c r="D8" s="33">
        <f t="shared" si="2"/>
        <v>4</v>
      </c>
      <c r="E8" s="35">
        <f t="shared" si="3"/>
        <v>83333</v>
      </c>
      <c r="F8" s="35">
        <f t="shared" si="4"/>
        <v>5426558.2937600007</v>
      </c>
      <c r="G8" s="33">
        <f t="shared" si="5"/>
        <v>65</v>
      </c>
      <c r="H8" s="35">
        <f t="shared" si="6"/>
        <v>5416645</v>
      </c>
      <c r="I8" s="35">
        <f t="shared" si="7"/>
        <v>9913.2937600007281</v>
      </c>
      <c r="J8" s="35">
        <f t="shared" si="8"/>
        <v>216665.80000000002</v>
      </c>
      <c r="K8" s="35">
        <f t="shared" si="9"/>
        <v>836663.32000000007</v>
      </c>
      <c r="L8" s="35">
        <f t="shared" si="10"/>
        <v>0</v>
      </c>
      <c r="M8" s="35">
        <f t="shared" si="11"/>
        <v>2509989.96</v>
      </c>
      <c r="N8" s="36">
        <f t="shared" si="12"/>
        <v>0.312</v>
      </c>
      <c r="O8" s="35">
        <f t="shared" si="13"/>
        <v>0</v>
      </c>
      <c r="P8" s="35">
        <f t="shared" si="14"/>
        <v>193439.22624000002</v>
      </c>
      <c r="Q8" s="35">
        <f t="shared" si="15"/>
        <v>0</v>
      </c>
      <c r="R8" s="35">
        <f t="shared" si="16"/>
        <v>5643224.0937600005</v>
      </c>
      <c r="S8" s="33">
        <f t="shared" si="17"/>
        <v>67</v>
      </c>
    </row>
    <row r="9" spans="1:19" x14ac:dyDescent="0.3">
      <c r="A9" s="33">
        <f>5</f>
        <v>5</v>
      </c>
      <c r="B9" s="34">
        <f t="shared" si="0"/>
        <v>46508</v>
      </c>
      <c r="C9" s="33">
        <f t="shared" si="1"/>
        <v>1</v>
      </c>
      <c r="D9" s="33">
        <f t="shared" si="2"/>
        <v>5</v>
      </c>
      <c r="E9" s="35">
        <f t="shared" si="3"/>
        <v>83333</v>
      </c>
      <c r="F9" s="35">
        <f t="shared" si="4"/>
        <v>5643224.0937600005</v>
      </c>
      <c r="G9" s="33">
        <f t="shared" si="5"/>
        <v>67</v>
      </c>
      <c r="H9" s="35">
        <f t="shared" si="6"/>
        <v>5583311</v>
      </c>
      <c r="I9" s="35">
        <f t="shared" si="7"/>
        <v>59913.093760000542</v>
      </c>
      <c r="J9" s="35">
        <f t="shared" si="8"/>
        <v>223332.44</v>
      </c>
      <c r="K9" s="35">
        <f t="shared" si="9"/>
        <v>1059995.76</v>
      </c>
      <c r="L9" s="35">
        <f t="shared" si="10"/>
        <v>0</v>
      </c>
      <c r="M9" s="35">
        <f t="shared" si="11"/>
        <v>2543989.824</v>
      </c>
      <c r="N9" s="36">
        <f t="shared" si="12"/>
        <v>0.312</v>
      </c>
      <c r="O9" s="35">
        <f t="shared" si="13"/>
        <v>0</v>
      </c>
      <c r="P9" s="35">
        <f t="shared" si="14"/>
        <v>193439.22624000002</v>
      </c>
      <c r="Q9" s="35">
        <f t="shared" si="15"/>
        <v>0</v>
      </c>
      <c r="R9" s="35">
        <f t="shared" si="16"/>
        <v>5866556.533760001</v>
      </c>
      <c r="S9" s="33">
        <f t="shared" si="17"/>
        <v>70</v>
      </c>
    </row>
    <row r="10" spans="1:19" x14ac:dyDescent="0.3">
      <c r="A10" s="33">
        <f>6</f>
        <v>6</v>
      </c>
      <c r="B10" s="34">
        <f t="shared" si="0"/>
        <v>46539</v>
      </c>
      <c r="C10" s="33">
        <f t="shared" si="1"/>
        <v>1</v>
      </c>
      <c r="D10" s="33">
        <f t="shared" si="2"/>
        <v>6</v>
      </c>
      <c r="E10" s="35">
        <f t="shared" si="3"/>
        <v>83333</v>
      </c>
      <c r="F10" s="35">
        <f t="shared" si="4"/>
        <v>5866556.533760001</v>
      </c>
      <c r="G10" s="33">
        <f t="shared" si="5"/>
        <v>70</v>
      </c>
      <c r="H10" s="35">
        <f t="shared" si="6"/>
        <v>5833310</v>
      </c>
      <c r="I10" s="35">
        <f t="shared" si="7"/>
        <v>33246.533760000952</v>
      </c>
      <c r="J10" s="35">
        <f t="shared" si="8"/>
        <v>233332.4</v>
      </c>
      <c r="K10" s="35">
        <f t="shared" si="9"/>
        <v>1293328.1599999999</v>
      </c>
      <c r="L10" s="35">
        <f t="shared" si="10"/>
        <v>673330.64</v>
      </c>
      <c r="M10" s="35">
        <f t="shared" si="11"/>
        <v>2586656.3199999998</v>
      </c>
      <c r="N10" s="36">
        <f t="shared" si="12"/>
        <v>0.312</v>
      </c>
      <c r="O10" s="35">
        <f t="shared" si="13"/>
        <v>210079.15968000001</v>
      </c>
      <c r="P10" s="35">
        <f t="shared" si="14"/>
        <v>403518.38592000003</v>
      </c>
      <c r="Q10" s="35">
        <f t="shared" si="15"/>
        <v>0</v>
      </c>
      <c r="R10" s="35">
        <f t="shared" si="16"/>
        <v>5889809.7740800017</v>
      </c>
      <c r="S10" s="33">
        <f t="shared" si="17"/>
        <v>70</v>
      </c>
    </row>
    <row r="11" spans="1:19" x14ac:dyDescent="0.3">
      <c r="A11" s="33">
        <f>7</f>
        <v>7</v>
      </c>
      <c r="B11" s="34">
        <f t="shared" si="0"/>
        <v>46569</v>
      </c>
      <c r="C11" s="33">
        <f t="shared" si="1"/>
        <v>1</v>
      </c>
      <c r="D11" s="33">
        <f t="shared" si="2"/>
        <v>7</v>
      </c>
      <c r="E11" s="35">
        <f t="shared" si="3"/>
        <v>83333</v>
      </c>
      <c r="F11" s="35">
        <f t="shared" si="4"/>
        <v>5889809.7740800017</v>
      </c>
      <c r="G11" s="33">
        <f t="shared" si="5"/>
        <v>70</v>
      </c>
      <c r="H11" s="35">
        <f t="shared" si="6"/>
        <v>5833310</v>
      </c>
      <c r="I11" s="35">
        <f t="shared" si="7"/>
        <v>56499.774080001749</v>
      </c>
      <c r="J11" s="35">
        <f t="shared" si="8"/>
        <v>233332.4</v>
      </c>
      <c r="K11" s="35">
        <f t="shared" si="9"/>
        <v>1526660.5599999998</v>
      </c>
      <c r="L11" s="35">
        <f t="shared" si="10"/>
        <v>0</v>
      </c>
      <c r="M11" s="35">
        <f t="shared" si="11"/>
        <v>2617132.3885714286</v>
      </c>
      <c r="N11" s="36">
        <f t="shared" si="12"/>
        <v>0.312</v>
      </c>
      <c r="O11" s="35">
        <f t="shared" si="13"/>
        <v>0</v>
      </c>
      <c r="P11" s="35">
        <f t="shared" si="14"/>
        <v>403518.38592000003</v>
      </c>
      <c r="Q11" s="35">
        <f t="shared" si="15"/>
        <v>0</v>
      </c>
      <c r="R11" s="35">
        <f t="shared" si="16"/>
        <v>6123142.1740800021</v>
      </c>
      <c r="S11" s="33">
        <f t="shared" si="17"/>
        <v>73</v>
      </c>
    </row>
    <row r="12" spans="1:19" x14ac:dyDescent="0.3">
      <c r="A12" s="33">
        <f>8</f>
        <v>8</v>
      </c>
      <c r="B12" s="34">
        <f t="shared" si="0"/>
        <v>46600</v>
      </c>
      <c r="C12" s="33">
        <f t="shared" si="1"/>
        <v>1</v>
      </c>
      <c r="D12" s="33">
        <f t="shared" si="2"/>
        <v>8</v>
      </c>
      <c r="E12" s="35">
        <f t="shared" si="3"/>
        <v>83333</v>
      </c>
      <c r="F12" s="35">
        <f t="shared" si="4"/>
        <v>6123142.1740800021</v>
      </c>
      <c r="G12" s="33">
        <f t="shared" si="5"/>
        <v>73</v>
      </c>
      <c r="H12" s="35">
        <f t="shared" si="6"/>
        <v>6083309</v>
      </c>
      <c r="I12" s="35">
        <f t="shared" si="7"/>
        <v>39833.174080002122</v>
      </c>
      <c r="J12" s="35">
        <f t="shared" si="8"/>
        <v>243332.36000000002</v>
      </c>
      <c r="K12" s="35">
        <f t="shared" si="9"/>
        <v>1769992.92</v>
      </c>
      <c r="L12" s="35">
        <f t="shared" si="10"/>
        <v>0</v>
      </c>
      <c r="M12" s="35">
        <f t="shared" si="11"/>
        <v>2654989.38</v>
      </c>
      <c r="N12" s="36">
        <f t="shared" si="12"/>
        <v>0.312</v>
      </c>
      <c r="O12" s="35">
        <f t="shared" si="13"/>
        <v>0</v>
      </c>
      <c r="P12" s="35">
        <f t="shared" si="14"/>
        <v>403518.38592000003</v>
      </c>
      <c r="Q12" s="35">
        <f t="shared" si="15"/>
        <v>0</v>
      </c>
      <c r="R12" s="35">
        <f t="shared" si="16"/>
        <v>6366474.5340800025</v>
      </c>
      <c r="S12" s="33">
        <f t="shared" si="17"/>
        <v>76</v>
      </c>
    </row>
    <row r="13" spans="1:19" x14ac:dyDescent="0.3">
      <c r="A13" s="33">
        <f>9</f>
        <v>9</v>
      </c>
      <c r="B13" s="34">
        <f t="shared" si="0"/>
        <v>46631</v>
      </c>
      <c r="C13" s="33">
        <f t="shared" si="1"/>
        <v>1</v>
      </c>
      <c r="D13" s="33">
        <f t="shared" si="2"/>
        <v>9</v>
      </c>
      <c r="E13" s="35">
        <f t="shared" si="3"/>
        <v>83333</v>
      </c>
      <c r="F13" s="35">
        <f t="shared" si="4"/>
        <v>6366474.5340800025</v>
      </c>
      <c r="G13" s="33">
        <f t="shared" si="5"/>
        <v>76</v>
      </c>
      <c r="H13" s="35">
        <f t="shared" si="6"/>
        <v>6333308</v>
      </c>
      <c r="I13" s="35">
        <f t="shared" si="7"/>
        <v>33166.534080002457</v>
      </c>
      <c r="J13" s="35">
        <f t="shared" si="8"/>
        <v>253332.32</v>
      </c>
      <c r="K13" s="35">
        <f t="shared" si="9"/>
        <v>2023325.24</v>
      </c>
      <c r="L13" s="35">
        <f t="shared" si="10"/>
        <v>729997.08000000007</v>
      </c>
      <c r="M13" s="35">
        <f t="shared" si="11"/>
        <v>2697766.9866666663</v>
      </c>
      <c r="N13" s="36">
        <f t="shared" si="12"/>
        <v>0.312</v>
      </c>
      <c r="O13" s="35">
        <f t="shared" si="13"/>
        <v>227759.08896000002</v>
      </c>
      <c r="P13" s="35">
        <f t="shared" si="14"/>
        <v>631277.47488000011</v>
      </c>
      <c r="Q13" s="35">
        <f t="shared" si="15"/>
        <v>0</v>
      </c>
      <c r="R13" s="35">
        <f t="shared" si="16"/>
        <v>6392047.7651200024</v>
      </c>
      <c r="S13" s="33">
        <f t="shared" si="17"/>
        <v>76</v>
      </c>
    </row>
    <row r="14" spans="1:19" x14ac:dyDescent="0.3">
      <c r="A14" s="33">
        <f>10</f>
        <v>10</v>
      </c>
      <c r="B14" s="34">
        <f t="shared" si="0"/>
        <v>46661</v>
      </c>
      <c r="C14" s="33">
        <f t="shared" si="1"/>
        <v>1</v>
      </c>
      <c r="D14" s="33">
        <f t="shared" si="2"/>
        <v>10</v>
      </c>
      <c r="E14" s="35">
        <f t="shared" si="3"/>
        <v>83333</v>
      </c>
      <c r="F14" s="35">
        <f t="shared" si="4"/>
        <v>6392047.7651200024</v>
      </c>
      <c r="G14" s="33">
        <f t="shared" si="5"/>
        <v>76</v>
      </c>
      <c r="H14" s="35">
        <f t="shared" si="6"/>
        <v>6333308</v>
      </c>
      <c r="I14" s="35">
        <f t="shared" si="7"/>
        <v>58739.765120002441</v>
      </c>
      <c r="J14" s="35">
        <f t="shared" si="8"/>
        <v>253332.32</v>
      </c>
      <c r="K14" s="35">
        <f t="shared" si="9"/>
        <v>2276657.56</v>
      </c>
      <c r="L14" s="35">
        <f t="shared" si="10"/>
        <v>0</v>
      </c>
      <c r="M14" s="35">
        <f t="shared" si="11"/>
        <v>2731989.0719999997</v>
      </c>
      <c r="N14" s="36">
        <f t="shared" si="12"/>
        <v>0.312</v>
      </c>
      <c r="O14" s="35">
        <f t="shared" si="13"/>
        <v>0</v>
      </c>
      <c r="P14" s="35">
        <f t="shared" si="14"/>
        <v>631277.47488000011</v>
      </c>
      <c r="Q14" s="35">
        <f t="shared" si="15"/>
        <v>0</v>
      </c>
      <c r="R14" s="35">
        <f t="shared" si="16"/>
        <v>6645380.0851200027</v>
      </c>
      <c r="S14" s="33">
        <f t="shared" si="17"/>
        <v>79</v>
      </c>
    </row>
    <row r="15" spans="1:19" x14ac:dyDescent="0.3">
      <c r="A15" s="33">
        <f>11</f>
        <v>11</v>
      </c>
      <c r="B15" s="34">
        <f t="shared" si="0"/>
        <v>46692</v>
      </c>
      <c r="C15" s="33">
        <f t="shared" si="1"/>
        <v>1</v>
      </c>
      <c r="D15" s="33">
        <f t="shared" si="2"/>
        <v>11</v>
      </c>
      <c r="E15" s="35">
        <f t="shared" si="3"/>
        <v>83333</v>
      </c>
      <c r="F15" s="35">
        <f t="shared" si="4"/>
        <v>6645380.0851200027</v>
      </c>
      <c r="G15" s="33">
        <f t="shared" si="5"/>
        <v>79</v>
      </c>
      <c r="H15" s="35">
        <f t="shared" si="6"/>
        <v>6583307</v>
      </c>
      <c r="I15" s="35">
        <f t="shared" si="7"/>
        <v>62073.085120002739</v>
      </c>
      <c r="J15" s="35">
        <f t="shared" si="8"/>
        <v>263332.28000000003</v>
      </c>
      <c r="K15" s="35">
        <f t="shared" si="9"/>
        <v>2539989.84</v>
      </c>
      <c r="L15" s="35">
        <f t="shared" si="10"/>
        <v>0</v>
      </c>
      <c r="M15" s="35">
        <f t="shared" si="11"/>
        <v>2770898.0072727273</v>
      </c>
      <c r="N15" s="36">
        <f t="shared" si="12"/>
        <v>0.312</v>
      </c>
      <c r="O15" s="35">
        <f t="shared" si="13"/>
        <v>0</v>
      </c>
      <c r="P15" s="35">
        <f t="shared" si="14"/>
        <v>631277.47488000011</v>
      </c>
      <c r="Q15" s="35">
        <f t="shared" si="15"/>
        <v>0</v>
      </c>
      <c r="R15" s="35">
        <f t="shared" si="16"/>
        <v>6908712.365120003</v>
      </c>
      <c r="S15" s="33">
        <f t="shared" si="17"/>
        <v>82</v>
      </c>
    </row>
    <row r="16" spans="1:19" x14ac:dyDescent="0.3">
      <c r="A16" s="37">
        <f>12</f>
        <v>12</v>
      </c>
      <c r="B16" s="38">
        <f t="shared" si="0"/>
        <v>46722</v>
      </c>
      <c r="C16" s="37">
        <f t="shared" si="1"/>
        <v>1</v>
      </c>
      <c r="D16" s="37">
        <f t="shared" si="2"/>
        <v>12</v>
      </c>
      <c r="E16" s="39">
        <f t="shared" si="3"/>
        <v>83333</v>
      </c>
      <c r="F16" s="39">
        <f t="shared" si="4"/>
        <v>6908712.365120003</v>
      </c>
      <c r="G16" s="37">
        <f t="shared" si="5"/>
        <v>82</v>
      </c>
      <c r="H16" s="39">
        <f t="shared" si="6"/>
        <v>6833306</v>
      </c>
      <c r="I16" s="39">
        <f t="shared" si="7"/>
        <v>75406.365120003</v>
      </c>
      <c r="J16" s="39">
        <f t="shared" si="8"/>
        <v>273332.24</v>
      </c>
      <c r="K16" s="39">
        <f t="shared" si="9"/>
        <v>2813322.08</v>
      </c>
      <c r="L16" s="39">
        <f t="shared" si="10"/>
        <v>789996.84000000008</v>
      </c>
      <c r="M16" s="39">
        <f t="shared" si="11"/>
        <v>2813322.08</v>
      </c>
      <c r="N16" s="40">
        <f t="shared" si="12"/>
        <v>0.312</v>
      </c>
      <c r="O16" s="39">
        <f t="shared" si="13"/>
        <v>246479.01408000002</v>
      </c>
      <c r="P16" s="39">
        <f t="shared" si="14"/>
        <v>877756.4889600001</v>
      </c>
      <c r="Q16" s="39">
        <f t="shared" si="15"/>
        <v>193556.55910399999</v>
      </c>
      <c r="R16" s="39">
        <f t="shared" si="16"/>
        <v>6742009.0319360029</v>
      </c>
      <c r="S16" s="37">
        <f t="shared" si="17"/>
        <v>80</v>
      </c>
    </row>
    <row r="17" spans="1:19" x14ac:dyDescent="0.3">
      <c r="A17" s="33">
        <f>13</f>
        <v>13</v>
      </c>
      <c r="B17" s="34">
        <f t="shared" si="0"/>
        <v>46753</v>
      </c>
      <c r="C17" s="33">
        <f t="shared" si="1"/>
        <v>2</v>
      </c>
      <c r="D17" s="33">
        <f t="shared" si="2"/>
        <v>1</v>
      </c>
      <c r="E17" s="35">
        <f t="shared" si="3"/>
        <v>87499.650000000009</v>
      </c>
      <c r="F17" s="35">
        <f t="shared" si="4"/>
        <v>6742009.0319360029</v>
      </c>
      <c r="G17" s="33">
        <f t="shared" si="5"/>
        <v>77</v>
      </c>
      <c r="H17" s="35">
        <f t="shared" si="6"/>
        <v>6737473.0500000007</v>
      </c>
      <c r="I17" s="35">
        <f t="shared" si="7"/>
        <v>4535.9819360021502</v>
      </c>
      <c r="J17" s="35">
        <f t="shared" si="8"/>
        <v>269498.92200000002</v>
      </c>
      <c r="K17" s="35">
        <f t="shared" si="9"/>
        <v>269498.92200000002</v>
      </c>
      <c r="L17" s="35">
        <f t="shared" si="10"/>
        <v>0</v>
      </c>
      <c r="M17" s="35">
        <f t="shared" si="11"/>
        <v>3233987.0640000002</v>
      </c>
      <c r="N17" s="36">
        <f t="shared" si="12"/>
        <v>0.312</v>
      </c>
      <c r="O17" s="35">
        <f t="shared" si="13"/>
        <v>0</v>
      </c>
      <c r="P17" s="35">
        <f t="shared" si="14"/>
        <v>0</v>
      </c>
      <c r="Q17" s="35">
        <f t="shared" si="15"/>
        <v>0</v>
      </c>
      <c r="R17" s="35">
        <f t="shared" si="16"/>
        <v>7011507.9539360031</v>
      </c>
      <c r="S17" s="33">
        <f t="shared" si="17"/>
        <v>80</v>
      </c>
    </row>
    <row r="18" spans="1:19" x14ac:dyDescent="0.3">
      <c r="A18" s="33">
        <f>14</f>
        <v>14</v>
      </c>
      <c r="B18" s="34">
        <f t="shared" si="0"/>
        <v>46784</v>
      </c>
      <c r="C18" s="33">
        <f t="shared" si="1"/>
        <v>2</v>
      </c>
      <c r="D18" s="33">
        <f t="shared" si="2"/>
        <v>2</v>
      </c>
      <c r="E18" s="35">
        <f t="shared" si="3"/>
        <v>87499.650000000009</v>
      </c>
      <c r="F18" s="35">
        <f t="shared" si="4"/>
        <v>7011507.9539360031</v>
      </c>
      <c r="G18" s="33">
        <f t="shared" si="5"/>
        <v>80</v>
      </c>
      <c r="H18" s="35">
        <f t="shared" si="6"/>
        <v>6999972.0000000009</v>
      </c>
      <c r="I18" s="35">
        <f t="shared" si="7"/>
        <v>11535.953936002217</v>
      </c>
      <c r="J18" s="35">
        <f t="shared" si="8"/>
        <v>279998.88000000006</v>
      </c>
      <c r="K18" s="35">
        <f t="shared" si="9"/>
        <v>549497.80200000014</v>
      </c>
      <c r="L18" s="35">
        <f t="shared" si="10"/>
        <v>0</v>
      </c>
      <c r="M18" s="35">
        <f t="shared" si="11"/>
        <v>3296986.8120000008</v>
      </c>
      <c r="N18" s="36">
        <f t="shared" si="12"/>
        <v>0.312</v>
      </c>
      <c r="O18" s="35">
        <f t="shared" si="13"/>
        <v>0</v>
      </c>
      <c r="P18" s="35">
        <f t="shared" si="14"/>
        <v>0</v>
      </c>
      <c r="Q18" s="35">
        <f t="shared" si="15"/>
        <v>0</v>
      </c>
      <c r="R18" s="35">
        <f t="shared" si="16"/>
        <v>7291506.833936003</v>
      </c>
      <c r="S18" s="33">
        <f t="shared" si="17"/>
        <v>83</v>
      </c>
    </row>
    <row r="19" spans="1:19" x14ac:dyDescent="0.3">
      <c r="A19" s="33">
        <f>15</f>
        <v>15</v>
      </c>
      <c r="B19" s="34">
        <f t="shared" si="0"/>
        <v>46813</v>
      </c>
      <c r="C19" s="33">
        <f t="shared" si="1"/>
        <v>2</v>
      </c>
      <c r="D19" s="33">
        <f t="shared" si="2"/>
        <v>3</v>
      </c>
      <c r="E19" s="35">
        <f t="shared" si="3"/>
        <v>87499.650000000009</v>
      </c>
      <c r="F19" s="35">
        <f t="shared" si="4"/>
        <v>7291506.833936003</v>
      </c>
      <c r="G19" s="33">
        <f t="shared" si="5"/>
        <v>83</v>
      </c>
      <c r="H19" s="35">
        <f t="shared" si="6"/>
        <v>7262470.9500000011</v>
      </c>
      <c r="I19" s="35">
        <f t="shared" si="7"/>
        <v>29035.883936001919</v>
      </c>
      <c r="J19" s="35">
        <f t="shared" si="8"/>
        <v>290498.83800000005</v>
      </c>
      <c r="K19" s="35">
        <f t="shared" si="9"/>
        <v>839996.64000000013</v>
      </c>
      <c r="L19" s="35">
        <f t="shared" si="10"/>
        <v>839996.64000000013</v>
      </c>
      <c r="M19" s="35">
        <f t="shared" si="11"/>
        <v>3359986.5600000005</v>
      </c>
      <c r="N19" s="36">
        <f t="shared" si="12"/>
        <v>0.312</v>
      </c>
      <c r="O19" s="35">
        <f t="shared" si="13"/>
        <v>262078.95168000003</v>
      </c>
      <c r="P19" s="35">
        <f t="shared" si="14"/>
        <v>262078.95168000003</v>
      </c>
      <c r="Q19" s="35">
        <f t="shared" si="15"/>
        <v>0</v>
      </c>
      <c r="R19" s="35">
        <f t="shared" si="16"/>
        <v>7319926.7202560036</v>
      </c>
      <c r="S19" s="33">
        <f t="shared" si="17"/>
        <v>83</v>
      </c>
    </row>
    <row r="20" spans="1:19" x14ac:dyDescent="0.3">
      <c r="A20" s="33">
        <f>16</f>
        <v>16</v>
      </c>
      <c r="B20" s="34">
        <f t="shared" si="0"/>
        <v>46844</v>
      </c>
      <c r="C20" s="33">
        <f t="shared" si="1"/>
        <v>2</v>
      </c>
      <c r="D20" s="33">
        <f t="shared" si="2"/>
        <v>4</v>
      </c>
      <c r="E20" s="35">
        <f t="shared" si="3"/>
        <v>87499.650000000009</v>
      </c>
      <c r="F20" s="35">
        <f t="shared" si="4"/>
        <v>7319926.7202560036</v>
      </c>
      <c r="G20" s="33">
        <f t="shared" si="5"/>
        <v>83</v>
      </c>
      <c r="H20" s="35">
        <f t="shared" si="6"/>
        <v>7262470.9500000011</v>
      </c>
      <c r="I20" s="35">
        <f t="shared" si="7"/>
        <v>57455.770256002434</v>
      </c>
      <c r="J20" s="35">
        <f t="shared" si="8"/>
        <v>290498.83800000005</v>
      </c>
      <c r="K20" s="35">
        <f t="shared" si="9"/>
        <v>1130495.4780000001</v>
      </c>
      <c r="L20" s="35">
        <f t="shared" si="10"/>
        <v>0</v>
      </c>
      <c r="M20" s="35">
        <f t="shared" si="11"/>
        <v>3391486.4340000004</v>
      </c>
      <c r="N20" s="36">
        <f t="shared" si="12"/>
        <v>0.312</v>
      </c>
      <c r="O20" s="35">
        <f t="shared" si="13"/>
        <v>0</v>
      </c>
      <c r="P20" s="35">
        <f t="shared" si="14"/>
        <v>262078.95168000003</v>
      </c>
      <c r="Q20" s="35">
        <f t="shared" si="15"/>
        <v>0</v>
      </c>
      <c r="R20" s="35">
        <f t="shared" si="16"/>
        <v>7610425.558256004</v>
      </c>
      <c r="S20" s="33">
        <f t="shared" si="17"/>
        <v>86</v>
      </c>
    </row>
    <row r="21" spans="1:19" x14ac:dyDescent="0.3">
      <c r="A21" s="33">
        <f>17</f>
        <v>17</v>
      </c>
      <c r="B21" s="34">
        <f t="shared" si="0"/>
        <v>46874</v>
      </c>
      <c r="C21" s="33">
        <f t="shared" si="1"/>
        <v>2</v>
      </c>
      <c r="D21" s="33">
        <f t="shared" si="2"/>
        <v>5</v>
      </c>
      <c r="E21" s="35">
        <f t="shared" si="3"/>
        <v>87499.650000000009</v>
      </c>
      <c r="F21" s="35">
        <f t="shared" si="4"/>
        <v>7610425.558256004</v>
      </c>
      <c r="G21" s="33">
        <f t="shared" si="5"/>
        <v>86</v>
      </c>
      <c r="H21" s="35">
        <f t="shared" si="6"/>
        <v>7524969.9000000004</v>
      </c>
      <c r="I21" s="35">
        <f t="shared" si="7"/>
        <v>85455.658256003633</v>
      </c>
      <c r="J21" s="35">
        <f t="shared" si="8"/>
        <v>300998.79600000003</v>
      </c>
      <c r="K21" s="35">
        <f t="shared" si="9"/>
        <v>1431494.2740000002</v>
      </c>
      <c r="L21" s="35">
        <f t="shared" si="10"/>
        <v>0</v>
      </c>
      <c r="M21" s="35">
        <f t="shared" si="11"/>
        <v>3435586.2576000006</v>
      </c>
      <c r="N21" s="36">
        <f t="shared" si="12"/>
        <v>0.312</v>
      </c>
      <c r="O21" s="35">
        <f t="shared" si="13"/>
        <v>0</v>
      </c>
      <c r="P21" s="35">
        <f t="shared" si="14"/>
        <v>262078.95168000003</v>
      </c>
      <c r="Q21" s="35">
        <f t="shared" si="15"/>
        <v>0</v>
      </c>
      <c r="R21" s="35">
        <f t="shared" si="16"/>
        <v>7911424.3542560041</v>
      </c>
      <c r="S21" s="33">
        <f t="shared" si="17"/>
        <v>90</v>
      </c>
    </row>
    <row r="22" spans="1:19" x14ac:dyDescent="0.3">
      <c r="A22" s="33">
        <f>18</f>
        <v>18</v>
      </c>
      <c r="B22" s="34">
        <f t="shared" si="0"/>
        <v>46905</v>
      </c>
      <c r="C22" s="33">
        <f t="shared" si="1"/>
        <v>2</v>
      </c>
      <c r="D22" s="33">
        <f t="shared" si="2"/>
        <v>6</v>
      </c>
      <c r="E22" s="35">
        <f t="shared" si="3"/>
        <v>87499.650000000009</v>
      </c>
      <c r="F22" s="35">
        <f t="shared" si="4"/>
        <v>7911424.3542560041</v>
      </c>
      <c r="G22" s="33">
        <f t="shared" si="5"/>
        <v>90</v>
      </c>
      <c r="H22" s="35">
        <f t="shared" si="6"/>
        <v>7874968.5000000009</v>
      </c>
      <c r="I22" s="35">
        <f t="shared" si="7"/>
        <v>36455.854256003164</v>
      </c>
      <c r="J22" s="35">
        <f t="shared" si="8"/>
        <v>314998.74000000005</v>
      </c>
      <c r="K22" s="35">
        <f t="shared" si="9"/>
        <v>1746493.0140000002</v>
      </c>
      <c r="L22" s="35">
        <f t="shared" si="10"/>
        <v>906496.37400000007</v>
      </c>
      <c r="M22" s="35">
        <f t="shared" si="11"/>
        <v>3492986.0280000004</v>
      </c>
      <c r="N22" s="36">
        <f t="shared" si="12"/>
        <v>0.312</v>
      </c>
      <c r="O22" s="35">
        <f t="shared" si="13"/>
        <v>282826.86868800002</v>
      </c>
      <c r="P22" s="35">
        <f t="shared" si="14"/>
        <v>544905.82036800007</v>
      </c>
      <c r="Q22" s="35">
        <f t="shared" si="15"/>
        <v>0</v>
      </c>
      <c r="R22" s="35">
        <f t="shared" si="16"/>
        <v>7943596.225568004</v>
      </c>
      <c r="S22" s="33">
        <f t="shared" si="17"/>
        <v>90</v>
      </c>
    </row>
    <row r="23" spans="1:19" x14ac:dyDescent="0.3">
      <c r="A23" s="33">
        <f>19</f>
        <v>19</v>
      </c>
      <c r="B23" s="34">
        <f t="shared" si="0"/>
        <v>46935</v>
      </c>
      <c r="C23" s="33">
        <f t="shared" si="1"/>
        <v>2</v>
      </c>
      <c r="D23" s="33">
        <f t="shared" si="2"/>
        <v>7</v>
      </c>
      <c r="E23" s="35">
        <f t="shared" si="3"/>
        <v>87499.650000000009</v>
      </c>
      <c r="F23" s="35">
        <f t="shared" si="4"/>
        <v>7943596.225568004</v>
      </c>
      <c r="G23" s="33">
        <f t="shared" si="5"/>
        <v>90</v>
      </c>
      <c r="H23" s="35">
        <f t="shared" si="6"/>
        <v>7874968.5000000009</v>
      </c>
      <c r="I23" s="35">
        <f t="shared" si="7"/>
        <v>68627.725568003021</v>
      </c>
      <c r="J23" s="35">
        <f t="shared" si="8"/>
        <v>314998.74000000005</v>
      </c>
      <c r="K23" s="35">
        <f t="shared" si="9"/>
        <v>2061491.7540000002</v>
      </c>
      <c r="L23" s="35">
        <f t="shared" si="10"/>
        <v>0</v>
      </c>
      <c r="M23" s="35">
        <f t="shared" si="11"/>
        <v>3533985.8640000001</v>
      </c>
      <c r="N23" s="36">
        <f t="shared" si="12"/>
        <v>0.312</v>
      </c>
      <c r="O23" s="35">
        <f t="shared" si="13"/>
        <v>0</v>
      </c>
      <c r="P23" s="35">
        <f t="shared" si="14"/>
        <v>544905.82036800007</v>
      </c>
      <c r="Q23" s="35">
        <f t="shared" si="15"/>
        <v>0</v>
      </c>
      <c r="R23" s="35">
        <f t="shared" si="16"/>
        <v>8258594.9655680042</v>
      </c>
      <c r="S23" s="33">
        <f t="shared" si="17"/>
        <v>94</v>
      </c>
    </row>
    <row r="24" spans="1:19" x14ac:dyDescent="0.3">
      <c r="A24" s="33">
        <f>20</f>
        <v>20</v>
      </c>
      <c r="B24" s="34">
        <f t="shared" si="0"/>
        <v>46966</v>
      </c>
      <c r="C24" s="33">
        <f t="shared" si="1"/>
        <v>2</v>
      </c>
      <c r="D24" s="33">
        <f t="shared" si="2"/>
        <v>8</v>
      </c>
      <c r="E24" s="35">
        <f t="shared" si="3"/>
        <v>87499.650000000009</v>
      </c>
      <c r="F24" s="35">
        <f t="shared" si="4"/>
        <v>8258594.9655680042</v>
      </c>
      <c r="G24" s="33">
        <f t="shared" si="5"/>
        <v>94</v>
      </c>
      <c r="H24" s="35">
        <f t="shared" si="6"/>
        <v>8224967.1000000006</v>
      </c>
      <c r="I24" s="35">
        <f t="shared" si="7"/>
        <v>33627.865568003617</v>
      </c>
      <c r="J24" s="35">
        <f t="shared" si="8"/>
        <v>328998.68400000001</v>
      </c>
      <c r="K24" s="35">
        <f t="shared" si="9"/>
        <v>2390490.4380000001</v>
      </c>
      <c r="L24" s="35">
        <f t="shared" si="10"/>
        <v>0</v>
      </c>
      <c r="M24" s="35">
        <f t="shared" si="11"/>
        <v>3585735.6570000001</v>
      </c>
      <c r="N24" s="36">
        <f t="shared" si="12"/>
        <v>0.312</v>
      </c>
      <c r="O24" s="35">
        <f t="shared" si="13"/>
        <v>0</v>
      </c>
      <c r="P24" s="35">
        <f t="shared" si="14"/>
        <v>544905.82036800007</v>
      </c>
      <c r="Q24" s="35">
        <f t="shared" si="15"/>
        <v>0</v>
      </c>
      <c r="R24" s="35">
        <f t="shared" si="16"/>
        <v>8587593.6495680045</v>
      </c>
      <c r="S24" s="33">
        <f t="shared" si="17"/>
        <v>98</v>
      </c>
    </row>
    <row r="25" spans="1:19" x14ac:dyDescent="0.3">
      <c r="A25" s="33">
        <f>21</f>
        <v>21</v>
      </c>
      <c r="B25" s="34">
        <f t="shared" si="0"/>
        <v>46997</v>
      </c>
      <c r="C25" s="33">
        <f t="shared" si="1"/>
        <v>2</v>
      </c>
      <c r="D25" s="33">
        <f t="shared" si="2"/>
        <v>9</v>
      </c>
      <c r="E25" s="35">
        <f t="shared" si="3"/>
        <v>87499.650000000009</v>
      </c>
      <c r="F25" s="35">
        <f t="shared" si="4"/>
        <v>8587593.6495680045</v>
      </c>
      <c r="G25" s="33">
        <f t="shared" si="5"/>
        <v>98</v>
      </c>
      <c r="H25" s="35">
        <f t="shared" si="6"/>
        <v>8574965.7000000011</v>
      </c>
      <c r="I25" s="35">
        <f t="shared" si="7"/>
        <v>12627.949568003416</v>
      </c>
      <c r="J25" s="35">
        <f t="shared" si="8"/>
        <v>342998.62800000003</v>
      </c>
      <c r="K25" s="35">
        <f t="shared" si="9"/>
        <v>2733489.0660000001</v>
      </c>
      <c r="L25" s="35">
        <f t="shared" si="10"/>
        <v>986996.05200000014</v>
      </c>
      <c r="M25" s="35">
        <f t="shared" si="11"/>
        <v>3644652.0880000005</v>
      </c>
      <c r="N25" s="36">
        <f t="shared" si="12"/>
        <v>0.312</v>
      </c>
      <c r="O25" s="35">
        <f t="shared" si="13"/>
        <v>307942.76822400006</v>
      </c>
      <c r="P25" s="35">
        <f t="shared" si="14"/>
        <v>852848.58859200007</v>
      </c>
      <c r="Q25" s="35">
        <f t="shared" si="15"/>
        <v>0</v>
      </c>
      <c r="R25" s="35">
        <f t="shared" si="16"/>
        <v>8622649.5093440041</v>
      </c>
      <c r="S25" s="33">
        <f t="shared" si="17"/>
        <v>98</v>
      </c>
    </row>
    <row r="26" spans="1:19" x14ac:dyDescent="0.3">
      <c r="A26" s="33">
        <f>22</f>
        <v>22</v>
      </c>
      <c r="B26" s="34">
        <f t="shared" si="0"/>
        <v>47027</v>
      </c>
      <c r="C26" s="33">
        <f t="shared" si="1"/>
        <v>2</v>
      </c>
      <c r="D26" s="33">
        <f t="shared" si="2"/>
        <v>10</v>
      </c>
      <c r="E26" s="35">
        <f t="shared" si="3"/>
        <v>87499.650000000009</v>
      </c>
      <c r="F26" s="35">
        <f t="shared" si="4"/>
        <v>8622649.5093440041</v>
      </c>
      <c r="G26" s="33">
        <f t="shared" si="5"/>
        <v>98</v>
      </c>
      <c r="H26" s="35">
        <f t="shared" si="6"/>
        <v>8574965.7000000011</v>
      </c>
      <c r="I26" s="35">
        <f t="shared" si="7"/>
        <v>47683.809344002977</v>
      </c>
      <c r="J26" s="35">
        <f t="shared" si="8"/>
        <v>342998.62800000003</v>
      </c>
      <c r="K26" s="35">
        <f t="shared" si="9"/>
        <v>3076487.6940000001</v>
      </c>
      <c r="L26" s="35">
        <f t="shared" si="10"/>
        <v>0</v>
      </c>
      <c r="M26" s="35">
        <f t="shared" si="11"/>
        <v>3691785.2328000003</v>
      </c>
      <c r="N26" s="36">
        <f t="shared" si="12"/>
        <v>0.312</v>
      </c>
      <c r="O26" s="35">
        <f t="shared" si="13"/>
        <v>0</v>
      </c>
      <c r="P26" s="35">
        <f t="shared" si="14"/>
        <v>852848.58859200007</v>
      </c>
      <c r="Q26" s="35">
        <f t="shared" si="15"/>
        <v>0</v>
      </c>
      <c r="R26" s="35">
        <f t="shared" si="16"/>
        <v>8965648.1373440046</v>
      </c>
      <c r="S26" s="33">
        <f t="shared" si="17"/>
        <v>102</v>
      </c>
    </row>
    <row r="27" spans="1:19" x14ac:dyDescent="0.3">
      <c r="A27" s="33">
        <f>23</f>
        <v>23</v>
      </c>
      <c r="B27" s="34">
        <f t="shared" si="0"/>
        <v>47058</v>
      </c>
      <c r="C27" s="33">
        <f t="shared" si="1"/>
        <v>2</v>
      </c>
      <c r="D27" s="33">
        <f t="shared" si="2"/>
        <v>11</v>
      </c>
      <c r="E27" s="35">
        <f t="shared" si="3"/>
        <v>87499.650000000009</v>
      </c>
      <c r="F27" s="35">
        <f t="shared" si="4"/>
        <v>8965648.1373440046</v>
      </c>
      <c r="G27" s="33">
        <f t="shared" si="5"/>
        <v>102</v>
      </c>
      <c r="H27" s="35">
        <f t="shared" si="6"/>
        <v>8924964.3000000007</v>
      </c>
      <c r="I27" s="35">
        <f t="shared" si="7"/>
        <v>40683.837344003841</v>
      </c>
      <c r="J27" s="35">
        <f t="shared" si="8"/>
        <v>356998.57200000004</v>
      </c>
      <c r="K27" s="35">
        <f t="shared" si="9"/>
        <v>3433486.2660000003</v>
      </c>
      <c r="L27" s="35">
        <f t="shared" si="10"/>
        <v>0</v>
      </c>
      <c r="M27" s="35">
        <f t="shared" si="11"/>
        <v>3745621.3810909092</v>
      </c>
      <c r="N27" s="36">
        <f t="shared" si="12"/>
        <v>0.312</v>
      </c>
      <c r="O27" s="35">
        <f t="shared" si="13"/>
        <v>0</v>
      </c>
      <c r="P27" s="35">
        <f t="shared" si="14"/>
        <v>852848.58859200007</v>
      </c>
      <c r="Q27" s="35">
        <f t="shared" si="15"/>
        <v>0</v>
      </c>
      <c r="R27" s="35">
        <f t="shared" si="16"/>
        <v>9322646.7093440052</v>
      </c>
      <c r="S27" s="33">
        <f t="shared" si="17"/>
        <v>106</v>
      </c>
    </row>
    <row r="28" spans="1:19" x14ac:dyDescent="0.3">
      <c r="A28" s="37">
        <f>24</f>
        <v>24</v>
      </c>
      <c r="B28" s="38">
        <f t="shared" si="0"/>
        <v>47088</v>
      </c>
      <c r="C28" s="37">
        <f t="shared" si="1"/>
        <v>2</v>
      </c>
      <c r="D28" s="37">
        <f t="shared" si="2"/>
        <v>12</v>
      </c>
      <c r="E28" s="39">
        <f t="shared" si="3"/>
        <v>87499.650000000009</v>
      </c>
      <c r="F28" s="39">
        <f t="shared" si="4"/>
        <v>9322646.7093440052</v>
      </c>
      <c r="G28" s="37">
        <f t="shared" si="5"/>
        <v>106</v>
      </c>
      <c r="H28" s="39">
        <f t="shared" si="6"/>
        <v>9274962.9000000004</v>
      </c>
      <c r="I28" s="39">
        <f t="shared" si="7"/>
        <v>47683.80934400484</v>
      </c>
      <c r="J28" s="39">
        <f t="shared" si="8"/>
        <v>370998.516</v>
      </c>
      <c r="K28" s="39">
        <f t="shared" si="9"/>
        <v>3804484.7820000001</v>
      </c>
      <c r="L28" s="39">
        <f t="shared" si="10"/>
        <v>1070995.716</v>
      </c>
      <c r="M28" s="39">
        <f t="shared" si="11"/>
        <v>3804484.7820000001</v>
      </c>
      <c r="N28" s="40">
        <f t="shared" si="12"/>
        <v>0.312</v>
      </c>
      <c r="O28" s="39">
        <f t="shared" si="13"/>
        <v>334150.66339200002</v>
      </c>
      <c r="P28" s="39">
        <f t="shared" si="14"/>
        <v>1186999.2519840002</v>
      </c>
      <c r="Q28" s="39">
        <f t="shared" si="15"/>
        <v>261748.5530016</v>
      </c>
      <c r="R28" s="39">
        <f t="shared" si="16"/>
        <v>9097746.0089504067</v>
      </c>
      <c r="S28" s="37">
        <f t="shared" si="17"/>
        <v>103</v>
      </c>
    </row>
    <row r="29" spans="1:19" x14ac:dyDescent="0.3">
      <c r="A29" s="33">
        <f>25</f>
        <v>25</v>
      </c>
      <c r="B29" s="34">
        <f t="shared" si="0"/>
        <v>47119</v>
      </c>
      <c r="C29" s="33">
        <f t="shared" si="1"/>
        <v>3</v>
      </c>
      <c r="D29" s="33">
        <f t="shared" si="2"/>
        <v>1</v>
      </c>
      <c r="E29" s="35">
        <f t="shared" si="3"/>
        <v>91874.632500000007</v>
      </c>
      <c r="F29" s="35">
        <f t="shared" si="4"/>
        <v>9097746.0089504067</v>
      </c>
      <c r="G29" s="33">
        <f t="shared" si="5"/>
        <v>99</v>
      </c>
      <c r="H29" s="35">
        <f t="shared" si="6"/>
        <v>9095588.6175000016</v>
      </c>
      <c r="I29" s="35">
        <f t="shared" si="7"/>
        <v>2157.3914504051208</v>
      </c>
      <c r="J29" s="35">
        <f t="shared" si="8"/>
        <v>363823.54470000009</v>
      </c>
      <c r="K29" s="35">
        <f t="shared" si="9"/>
        <v>363823.54470000009</v>
      </c>
      <c r="L29" s="35">
        <f t="shared" si="10"/>
        <v>0</v>
      </c>
      <c r="M29" s="35">
        <f t="shared" si="11"/>
        <v>4365882.5364000015</v>
      </c>
      <c r="N29" s="36">
        <f t="shared" si="12"/>
        <v>0.312</v>
      </c>
      <c r="O29" s="35">
        <f t="shared" si="13"/>
        <v>0</v>
      </c>
      <c r="P29" s="35">
        <f t="shared" si="14"/>
        <v>0</v>
      </c>
      <c r="Q29" s="35">
        <f t="shared" si="15"/>
        <v>0</v>
      </c>
      <c r="R29" s="35">
        <f t="shared" si="16"/>
        <v>9461569.5536504071</v>
      </c>
      <c r="S29" s="33">
        <f t="shared" si="17"/>
        <v>102</v>
      </c>
    </row>
    <row r="30" spans="1:19" x14ac:dyDescent="0.3">
      <c r="A30" s="33">
        <f>26</f>
        <v>26</v>
      </c>
      <c r="B30" s="34">
        <f t="shared" si="0"/>
        <v>47150</v>
      </c>
      <c r="C30" s="33">
        <f t="shared" si="1"/>
        <v>3</v>
      </c>
      <c r="D30" s="33">
        <f t="shared" si="2"/>
        <v>2</v>
      </c>
      <c r="E30" s="35">
        <f t="shared" si="3"/>
        <v>91874.632500000007</v>
      </c>
      <c r="F30" s="35">
        <f t="shared" si="4"/>
        <v>9461569.5536504071</v>
      </c>
      <c r="G30" s="33">
        <f t="shared" si="5"/>
        <v>102</v>
      </c>
      <c r="H30" s="35">
        <f t="shared" si="6"/>
        <v>9371212.5150000006</v>
      </c>
      <c r="I30" s="35">
        <f t="shared" si="7"/>
        <v>90357.038650406525</v>
      </c>
      <c r="J30" s="35">
        <f t="shared" si="8"/>
        <v>374848.50060000003</v>
      </c>
      <c r="K30" s="35">
        <f t="shared" si="9"/>
        <v>738672.04530000011</v>
      </c>
      <c r="L30" s="35">
        <f t="shared" si="10"/>
        <v>0</v>
      </c>
      <c r="M30" s="35">
        <f t="shared" si="11"/>
        <v>4432032.2718000002</v>
      </c>
      <c r="N30" s="36">
        <f t="shared" si="12"/>
        <v>0.312</v>
      </c>
      <c r="O30" s="35">
        <f t="shared" si="13"/>
        <v>0</v>
      </c>
      <c r="P30" s="35">
        <f t="shared" si="14"/>
        <v>0</v>
      </c>
      <c r="Q30" s="35">
        <f t="shared" si="15"/>
        <v>0</v>
      </c>
      <c r="R30" s="35">
        <f t="shared" si="16"/>
        <v>9836418.054250408</v>
      </c>
      <c r="S30" s="33">
        <f t="shared" si="17"/>
        <v>107</v>
      </c>
    </row>
    <row r="31" spans="1:19" x14ac:dyDescent="0.3">
      <c r="A31" s="33">
        <f>27</f>
        <v>27</v>
      </c>
      <c r="B31" s="34">
        <f t="shared" si="0"/>
        <v>47178</v>
      </c>
      <c r="C31" s="33">
        <f t="shared" si="1"/>
        <v>3</v>
      </c>
      <c r="D31" s="33">
        <f t="shared" si="2"/>
        <v>3</v>
      </c>
      <c r="E31" s="35">
        <f t="shared" si="3"/>
        <v>91874.632500000007</v>
      </c>
      <c r="F31" s="35">
        <f t="shared" si="4"/>
        <v>9836418.054250408</v>
      </c>
      <c r="G31" s="33">
        <f t="shared" si="5"/>
        <v>107</v>
      </c>
      <c r="H31" s="35">
        <f t="shared" si="6"/>
        <v>9830585.6775000002</v>
      </c>
      <c r="I31" s="35">
        <f t="shared" si="7"/>
        <v>5832.3767504077405</v>
      </c>
      <c r="J31" s="35">
        <f t="shared" si="8"/>
        <v>393223.42710000003</v>
      </c>
      <c r="K31" s="35">
        <f t="shared" si="9"/>
        <v>1131895.4724000001</v>
      </c>
      <c r="L31" s="35">
        <f t="shared" si="10"/>
        <v>1131895.4724000001</v>
      </c>
      <c r="M31" s="35">
        <f t="shared" si="11"/>
        <v>4527581.8896000003</v>
      </c>
      <c r="N31" s="36">
        <f t="shared" si="12"/>
        <v>0.312</v>
      </c>
      <c r="O31" s="35">
        <f t="shared" si="13"/>
        <v>353151.38738880004</v>
      </c>
      <c r="P31" s="35">
        <f t="shared" si="14"/>
        <v>353151.38738880004</v>
      </c>
      <c r="Q31" s="35">
        <f t="shared" si="15"/>
        <v>0</v>
      </c>
      <c r="R31" s="35">
        <f t="shared" si="16"/>
        <v>9876490.0939616095</v>
      </c>
      <c r="S31" s="33">
        <f t="shared" si="17"/>
        <v>107</v>
      </c>
    </row>
    <row r="32" spans="1:19" x14ac:dyDescent="0.3">
      <c r="A32" s="33">
        <f>28</f>
        <v>28</v>
      </c>
      <c r="B32" s="34">
        <f t="shared" si="0"/>
        <v>47209</v>
      </c>
      <c r="C32" s="33">
        <f t="shared" si="1"/>
        <v>3</v>
      </c>
      <c r="D32" s="33">
        <f t="shared" si="2"/>
        <v>4</v>
      </c>
      <c r="E32" s="35">
        <f t="shared" si="3"/>
        <v>91874.632500000007</v>
      </c>
      <c r="F32" s="35">
        <f t="shared" si="4"/>
        <v>9876490.0939616095</v>
      </c>
      <c r="G32" s="33">
        <f t="shared" si="5"/>
        <v>107</v>
      </c>
      <c r="H32" s="35">
        <f t="shared" si="6"/>
        <v>9830585.6775000002</v>
      </c>
      <c r="I32" s="35">
        <f t="shared" si="7"/>
        <v>45904.416461609304</v>
      </c>
      <c r="J32" s="35">
        <f t="shared" si="8"/>
        <v>393223.42710000003</v>
      </c>
      <c r="K32" s="35">
        <f t="shared" si="9"/>
        <v>1525118.8995000001</v>
      </c>
      <c r="L32" s="35">
        <f t="shared" si="10"/>
        <v>0</v>
      </c>
      <c r="M32" s="35">
        <f t="shared" si="11"/>
        <v>4575356.6984999999</v>
      </c>
      <c r="N32" s="36">
        <f t="shared" si="12"/>
        <v>0.312</v>
      </c>
      <c r="O32" s="35">
        <f t="shared" si="13"/>
        <v>0</v>
      </c>
      <c r="P32" s="35">
        <f t="shared" si="14"/>
        <v>353151.38738880004</v>
      </c>
      <c r="Q32" s="35">
        <f t="shared" si="15"/>
        <v>0</v>
      </c>
      <c r="R32" s="35">
        <f t="shared" si="16"/>
        <v>10269713.52106161</v>
      </c>
      <c r="S32" s="33">
        <f t="shared" si="17"/>
        <v>111</v>
      </c>
    </row>
    <row r="33" spans="1:19" x14ac:dyDescent="0.3">
      <c r="A33" s="33">
        <f>29</f>
        <v>29</v>
      </c>
      <c r="B33" s="34">
        <f t="shared" si="0"/>
        <v>47239</v>
      </c>
      <c r="C33" s="33">
        <f t="shared" si="1"/>
        <v>3</v>
      </c>
      <c r="D33" s="33">
        <f t="shared" si="2"/>
        <v>5</v>
      </c>
      <c r="E33" s="35">
        <f t="shared" si="3"/>
        <v>91874.632500000007</v>
      </c>
      <c r="F33" s="35">
        <f t="shared" si="4"/>
        <v>10269713.52106161</v>
      </c>
      <c r="G33" s="33">
        <f t="shared" si="5"/>
        <v>111</v>
      </c>
      <c r="H33" s="35">
        <f t="shared" si="6"/>
        <v>10198084.207500001</v>
      </c>
      <c r="I33" s="35">
        <f t="shared" si="7"/>
        <v>71629.313561609015</v>
      </c>
      <c r="J33" s="35">
        <f t="shared" si="8"/>
        <v>407923.36830000009</v>
      </c>
      <c r="K33" s="35">
        <f t="shared" si="9"/>
        <v>1933042.2678</v>
      </c>
      <c r="L33" s="35">
        <f t="shared" si="10"/>
        <v>0</v>
      </c>
      <c r="M33" s="35">
        <f t="shared" si="11"/>
        <v>4639301.4427200006</v>
      </c>
      <c r="N33" s="36">
        <f t="shared" si="12"/>
        <v>0.312</v>
      </c>
      <c r="O33" s="35">
        <f t="shared" si="13"/>
        <v>0</v>
      </c>
      <c r="P33" s="35">
        <f t="shared" si="14"/>
        <v>353151.38738880004</v>
      </c>
      <c r="Q33" s="35">
        <f t="shared" si="15"/>
        <v>0</v>
      </c>
      <c r="R33" s="35">
        <f t="shared" si="16"/>
        <v>10677636.889361611</v>
      </c>
      <c r="S33" s="33">
        <f t="shared" si="17"/>
        <v>116</v>
      </c>
    </row>
    <row r="34" spans="1:19" x14ac:dyDescent="0.3">
      <c r="A34" s="33">
        <f>30</f>
        <v>30</v>
      </c>
      <c r="B34" s="34">
        <f t="shared" si="0"/>
        <v>47270</v>
      </c>
      <c r="C34" s="33">
        <f t="shared" si="1"/>
        <v>3</v>
      </c>
      <c r="D34" s="33">
        <f t="shared" si="2"/>
        <v>6</v>
      </c>
      <c r="E34" s="35">
        <f t="shared" si="3"/>
        <v>91874.632500000007</v>
      </c>
      <c r="F34" s="35">
        <f t="shared" si="4"/>
        <v>10677636.889361611</v>
      </c>
      <c r="G34" s="33">
        <f t="shared" si="5"/>
        <v>116</v>
      </c>
      <c r="H34" s="35">
        <f t="shared" si="6"/>
        <v>10657457.370000001</v>
      </c>
      <c r="I34" s="35">
        <f t="shared" si="7"/>
        <v>20179.519361609593</v>
      </c>
      <c r="J34" s="35">
        <f t="shared" si="8"/>
        <v>426298.29480000003</v>
      </c>
      <c r="K34" s="35">
        <f t="shared" si="9"/>
        <v>2359340.5625999998</v>
      </c>
      <c r="L34" s="35">
        <f t="shared" si="10"/>
        <v>1227445.0902000002</v>
      </c>
      <c r="M34" s="35">
        <f t="shared" si="11"/>
        <v>4718681.1251999997</v>
      </c>
      <c r="N34" s="36">
        <f t="shared" si="12"/>
        <v>0.312</v>
      </c>
      <c r="O34" s="35">
        <f t="shared" si="13"/>
        <v>382962.86814240005</v>
      </c>
      <c r="P34" s="35">
        <f t="shared" si="14"/>
        <v>736114.25553120009</v>
      </c>
      <c r="Q34" s="35">
        <f t="shared" si="15"/>
        <v>0</v>
      </c>
      <c r="R34" s="35">
        <f t="shared" si="16"/>
        <v>10720972.316019211</v>
      </c>
      <c r="S34" s="33">
        <f t="shared" si="17"/>
        <v>116</v>
      </c>
    </row>
    <row r="35" spans="1:19" x14ac:dyDescent="0.3">
      <c r="A35" s="33">
        <f>31</f>
        <v>31</v>
      </c>
      <c r="B35" s="34">
        <f t="shared" si="0"/>
        <v>47300</v>
      </c>
      <c r="C35" s="33">
        <f t="shared" si="1"/>
        <v>3</v>
      </c>
      <c r="D35" s="33">
        <f t="shared" si="2"/>
        <v>7</v>
      </c>
      <c r="E35" s="35">
        <f t="shared" si="3"/>
        <v>91874.632500000007</v>
      </c>
      <c r="F35" s="35">
        <f t="shared" si="4"/>
        <v>10720972.316019211</v>
      </c>
      <c r="G35" s="33">
        <f t="shared" si="5"/>
        <v>116</v>
      </c>
      <c r="H35" s="35">
        <f t="shared" si="6"/>
        <v>10657457.370000001</v>
      </c>
      <c r="I35" s="35">
        <f t="shared" si="7"/>
        <v>63514.946019209921</v>
      </c>
      <c r="J35" s="35">
        <f t="shared" si="8"/>
        <v>426298.29480000003</v>
      </c>
      <c r="K35" s="35">
        <f t="shared" si="9"/>
        <v>2785638.8574000001</v>
      </c>
      <c r="L35" s="35">
        <f t="shared" si="10"/>
        <v>0</v>
      </c>
      <c r="M35" s="35">
        <f t="shared" si="11"/>
        <v>4775380.8984000003</v>
      </c>
      <c r="N35" s="36">
        <f t="shared" si="12"/>
        <v>0.312</v>
      </c>
      <c r="O35" s="35">
        <f t="shared" si="13"/>
        <v>0</v>
      </c>
      <c r="P35" s="35">
        <f t="shared" si="14"/>
        <v>736114.25553120009</v>
      </c>
      <c r="Q35" s="35">
        <f t="shared" si="15"/>
        <v>0</v>
      </c>
      <c r="R35" s="35">
        <f t="shared" si="16"/>
        <v>11147270.610819211</v>
      </c>
      <c r="S35" s="33">
        <f t="shared" si="17"/>
        <v>121</v>
      </c>
    </row>
    <row r="36" spans="1:19" x14ac:dyDescent="0.3">
      <c r="A36" s="33">
        <f>32</f>
        <v>32</v>
      </c>
      <c r="B36" s="34">
        <f t="shared" si="0"/>
        <v>47331</v>
      </c>
      <c r="C36" s="33">
        <f t="shared" si="1"/>
        <v>3</v>
      </c>
      <c r="D36" s="33">
        <f t="shared" si="2"/>
        <v>8</v>
      </c>
      <c r="E36" s="35">
        <f t="shared" si="3"/>
        <v>91874.632500000007</v>
      </c>
      <c r="F36" s="35">
        <f t="shared" si="4"/>
        <v>11147270.610819211</v>
      </c>
      <c r="G36" s="33">
        <f t="shared" si="5"/>
        <v>121</v>
      </c>
      <c r="H36" s="35">
        <f t="shared" si="6"/>
        <v>11116830.532500001</v>
      </c>
      <c r="I36" s="35">
        <f t="shared" si="7"/>
        <v>30440.078319210559</v>
      </c>
      <c r="J36" s="35">
        <f t="shared" si="8"/>
        <v>444673.22130000003</v>
      </c>
      <c r="K36" s="35">
        <f t="shared" si="9"/>
        <v>3230312.0787</v>
      </c>
      <c r="L36" s="35">
        <f t="shared" si="10"/>
        <v>0</v>
      </c>
      <c r="M36" s="35">
        <f t="shared" si="11"/>
        <v>4845468.1180499997</v>
      </c>
      <c r="N36" s="36">
        <f t="shared" si="12"/>
        <v>0.312</v>
      </c>
      <c r="O36" s="35">
        <f t="shared" si="13"/>
        <v>0</v>
      </c>
      <c r="P36" s="35">
        <f t="shared" si="14"/>
        <v>736114.25553120009</v>
      </c>
      <c r="Q36" s="35">
        <f t="shared" si="15"/>
        <v>0</v>
      </c>
      <c r="R36" s="35">
        <f t="shared" si="16"/>
        <v>11591943.832119212</v>
      </c>
      <c r="S36" s="33">
        <f t="shared" si="17"/>
        <v>126</v>
      </c>
    </row>
    <row r="37" spans="1:19" x14ac:dyDescent="0.3">
      <c r="A37" s="33">
        <f>33</f>
        <v>33</v>
      </c>
      <c r="B37" s="34">
        <f t="shared" si="0"/>
        <v>47362</v>
      </c>
      <c r="C37" s="33">
        <f t="shared" si="1"/>
        <v>3</v>
      </c>
      <c r="D37" s="33">
        <f t="shared" si="2"/>
        <v>9</v>
      </c>
      <c r="E37" s="35">
        <f t="shared" si="3"/>
        <v>91874.632500000007</v>
      </c>
      <c r="F37" s="35">
        <f t="shared" si="4"/>
        <v>11591943.832119212</v>
      </c>
      <c r="G37" s="33">
        <f t="shared" si="5"/>
        <v>126</v>
      </c>
      <c r="H37" s="35">
        <f t="shared" si="6"/>
        <v>11576203.695</v>
      </c>
      <c r="I37" s="35">
        <f t="shared" si="7"/>
        <v>15740.137119211257</v>
      </c>
      <c r="J37" s="35">
        <f t="shared" si="8"/>
        <v>463048.14780000004</v>
      </c>
      <c r="K37" s="35">
        <f t="shared" si="9"/>
        <v>3693360.2264999999</v>
      </c>
      <c r="L37" s="35">
        <f t="shared" si="10"/>
        <v>1334019.6639</v>
      </c>
      <c r="M37" s="35">
        <f t="shared" si="11"/>
        <v>4924480.3019999992</v>
      </c>
      <c r="N37" s="36">
        <f t="shared" si="12"/>
        <v>0.312</v>
      </c>
      <c r="O37" s="35">
        <f t="shared" si="13"/>
        <v>416214.1351368</v>
      </c>
      <c r="P37" s="35">
        <f t="shared" si="14"/>
        <v>1152328.3906680001</v>
      </c>
      <c r="Q37" s="35">
        <f t="shared" si="15"/>
        <v>0</v>
      </c>
      <c r="R37" s="35">
        <f t="shared" si="16"/>
        <v>11638777.844782412</v>
      </c>
      <c r="S37" s="33">
        <f t="shared" si="17"/>
        <v>126</v>
      </c>
    </row>
    <row r="38" spans="1:19" x14ac:dyDescent="0.3">
      <c r="A38" s="33">
        <f>34</f>
        <v>34</v>
      </c>
      <c r="B38" s="34">
        <f t="shared" si="0"/>
        <v>47392</v>
      </c>
      <c r="C38" s="33">
        <f t="shared" si="1"/>
        <v>3</v>
      </c>
      <c r="D38" s="33">
        <f t="shared" si="2"/>
        <v>10</v>
      </c>
      <c r="E38" s="35">
        <f t="shared" si="3"/>
        <v>91874.632500000007</v>
      </c>
      <c r="F38" s="35">
        <f t="shared" si="4"/>
        <v>11638777.844782412</v>
      </c>
      <c r="G38" s="33">
        <f t="shared" si="5"/>
        <v>126</v>
      </c>
      <c r="H38" s="35">
        <f t="shared" si="6"/>
        <v>11576203.695</v>
      </c>
      <c r="I38" s="35">
        <f t="shared" si="7"/>
        <v>62574.149782411754</v>
      </c>
      <c r="J38" s="35">
        <f t="shared" si="8"/>
        <v>463048.14780000004</v>
      </c>
      <c r="K38" s="35">
        <f t="shared" si="9"/>
        <v>4156408.3742999998</v>
      </c>
      <c r="L38" s="35">
        <f t="shared" si="10"/>
        <v>0</v>
      </c>
      <c r="M38" s="35">
        <f t="shared" si="11"/>
        <v>4987690.0491599999</v>
      </c>
      <c r="N38" s="36">
        <f t="shared" si="12"/>
        <v>0.312</v>
      </c>
      <c r="O38" s="35">
        <f t="shared" si="13"/>
        <v>0</v>
      </c>
      <c r="P38" s="35">
        <f t="shared" si="14"/>
        <v>1152328.3906680001</v>
      </c>
      <c r="Q38" s="35">
        <f t="shared" si="15"/>
        <v>0</v>
      </c>
      <c r="R38" s="35">
        <f t="shared" si="16"/>
        <v>12101825.992582412</v>
      </c>
      <c r="S38" s="33">
        <f t="shared" si="17"/>
        <v>131</v>
      </c>
    </row>
    <row r="39" spans="1:19" x14ac:dyDescent="0.3">
      <c r="A39" s="33">
        <f>35</f>
        <v>35</v>
      </c>
      <c r="B39" s="34">
        <f t="shared" si="0"/>
        <v>47423</v>
      </c>
      <c r="C39" s="33">
        <f t="shared" si="1"/>
        <v>3</v>
      </c>
      <c r="D39" s="33">
        <f t="shared" si="2"/>
        <v>11</v>
      </c>
      <c r="E39" s="35">
        <f t="shared" si="3"/>
        <v>91874.632500000007</v>
      </c>
      <c r="F39" s="35">
        <f t="shared" si="4"/>
        <v>12101825.992582412</v>
      </c>
      <c r="G39" s="33">
        <f t="shared" si="5"/>
        <v>131</v>
      </c>
      <c r="H39" s="35">
        <f t="shared" si="6"/>
        <v>12035576.857500002</v>
      </c>
      <c r="I39" s="35">
        <f t="shared" si="7"/>
        <v>66249.135082410648</v>
      </c>
      <c r="J39" s="35">
        <f t="shared" si="8"/>
        <v>481423.07430000009</v>
      </c>
      <c r="K39" s="35">
        <f t="shared" si="9"/>
        <v>4637831.4485999998</v>
      </c>
      <c r="L39" s="35">
        <f t="shared" si="10"/>
        <v>0</v>
      </c>
      <c r="M39" s="35">
        <f t="shared" si="11"/>
        <v>5059452.4893818181</v>
      </c>
      <c r="N39" s="36">
        <f t="shared" si="12"/>
        <v>0.34320000000000001</v>
      </c>
      <c r="O39" s="35">
        <f t="shared" si="13"/>
        <v>0</v>
      </c>
      <c r="P39" s="35">
        <f t="shared" si="14"/>
        <v>1152328.3906680001</v>
      </c>
      <c r="Q39" s="35">
        <f t="shared" si="15"/>
        <v>0</v>
      </c>
      <c r="R39" s="35">
        <f t="shared" si="16"/>
        <v>12583249.066882413</v>
      </c>
      <c r="S39" s="33">
        <f t="shared" si="17"/>
        <v>136</v>
      </c>
    </row>
    <row r="40" spans="1:19" x14ac:dyDescent="0.3">
      <c r="A40" s="37">
        <f>36</f>
        <v>36</v>
      </c>
      <c r="B40" s="38">
        <f t="shared" si="0"/>
        <v>47453</v>
      </c>
      <c r="C40" s="37">
        <f t="shared" si="1"/>
        <v>3</v>
      </c>
      <c r="D40" s="37">
        <f t="shared" si="2"/>
        <v>12</v>
      </c>
      <c r="E40" s="39">
        <f t="shared" si="3"/>
        <v>91874.632500000007</v>
      </c>
      <c r="F40" s="39">
        <f t="shared" si="4"/>
        <v>12583249.066882413</v>
      </c>
      <c r="G40" s="37">
        <f t="shared" si="5"/>
        <v>136</v>
      </c>
      <c r="H40" s="39">
        <f t="shared" si="6"/>
        <v>12494950.020000001</v>
      </c>
      <c r="I40" s="39">
        <f t="shared" si="7"/>
        <v>88299.046882411465</v>
      </c>
      <c r="J40" s="39">
        <f t="shared" si="8"/>
        <v>499798.00080000004</v>
      </c>
      <c r="K40" s="39">
        <f t="shared" si="9"/>
        <v>5137629.4494000003</v>
      </c>
      <c r="L40" s="39">
        <f t="shared" si="10"/>
        <v>1444269.2229000002</v>
      </c>
      <c r="M40" s="39">
        <f t="shared" si="11"/>
        <v>5137629.4494000003</v>
      </c>
      <c r="N40" s="40">
        <f t="shared" si="12"/>
        <v>0.34320000000000001</v>
      </c>
      <c r="O40" s="39">
        <f t="shared" si="13"/>
        <v>495673.19729928009</v>
      </c>
      <c r="P40" s="39">
        <f t="shared" si="14"/>
        <v>1648001.5879672803</v>
      </c>
      <c r="Q40" s="39">
        <f t="shared" si="15"/>
        <v>348962.78614327201</v>
      </c>
      <c r="R40" s="39">
        <f t="shared" si="16"/>
        <v>12238411.084239863</v>
      </c>
      <c r="S40" s="37">
        <f t="shared" si="17"/>
        <v>133</v>
      </c>
    </row>
    <row r="41" spans="1:19" x14ac:dyDescent="0.3">
      <c r="A41" s="33">
        <f>37</f>
        <v>37</v>
      </c>
      <c r="B41" s="34">
        <f t="shared" si="0"/>
        <v>47484</v>
      </c>
      <c r="C41" s="33">
        <f t="shared" si="1"/>
        <v>4</v>
      </c>
      <c r="D41" s="33">
        <f t="shared" si="2"/>
        <v>1</v>
      </c>
      <c r="E41" s="35">
        <f t="shared" si="3"/>
        <v>96468.364125000007</v>
      </c>
      <c r="F41" s="35">
        <f t="shared" si="4"/>
        <v>12238411.084239863</v>
      </c>
      <c r="G41" s="33">
        <f t="shared" si="5"/>
        <v>126</v>
      </c>
      <c r="H41" s="35">
        <f t="shared" si="6"/>
        <v>12155013.87975</v>
      </c>
      <c r="I41" s="35">
        <f t="shared" si="7"/>
        <v>83397.204489862546</v>
      </c>
      <c r="J41" s="35">
        <f t="shared" si="8"/>
        <v>486200.55519000004</v>
      </c>
      <c r="K41" s="35">
        <f t="shared" si="9"/>
        <v>486200.55519000004</v>
      </c>
      <c r="L41" s="35">
        <f t="shared" si="10"/>
        <v>0</v>
      </c>
      <c r="M41" s="35">
        <f t="shared" si="11"/>
        <v>5834406.6622800007</v>
      </c>
      <c r="N41" s="36">
        <f t="shared" si="12"/>
        <v>0.34320000000000001</v>
      </c>
      <c r="O41" s="35">
        <f t="shared" si="13"/>
        <v>0</v>
      </c>
      <c r="P41" s="35">
        <f t="shared" si="14"/>
        <v>0</v>
      </c>
      <c r="Q41" s="35">
        <f t="shared" si="15"/>
        <v>0</v>
      </c>
      <c r="R41" s="35">
        <f t="shared" si="16"/>
        <v>12724611.639429864</v>
      </c>
      <c r="S41" s="33">
        <f t="shared" si="17"/>
        <v>131</v>
      </c>
    </row>
    <row r="42" spans="1:19" x14ac:dyDescent="0.3">
      <c r="A42" s="33">
        <f>38</f>
        <v>38</v>
      </c>
      <c r="B42" s="34">
        <f t="shared" si="0"/>
        <v>47515</v>
      </c>
      <c r="C42" s="33">
        <f t="shared" si="1"/>
        <v>4</v>
      </c>
      <c r="D42" s="33">
        <f t="shared" si="2"/>
        <v>2</v>
      </c>
      <c r="E42" s="35">
        <f t="shared" si="3"/>
        <v>96468.364125000007</v>
      </c>
      <c r="F42" s="35">
        <f t="shared" si="4"/>
        <v>12724611.639429864</v>
      </c>
      <c r="G42" s="33">
        <f t="shared" si="5"/>
        <v>131</v>
      </c>
      <c r="H42" s="35">
        <f t="shared" si="6"/>
        <v>12637355.700375002</v>
      </c>
      <c r="I42" s="35">
        <f t="shared" si="7"/>
        <v>87255.939054861665</v>
      </c>
      <c r="J42" s="35">
        <f t="shared" si="8"/>
        <v>505494.22801500006</v>
      </c>
      <c r="K42" s="35">
        <f t="shared" si="9"/>
        <v>991694.7832050001</v>
      </c>
      <c r="L42" s="35">
        <f t="shared" si="10"/>
        <v>0</v>
      </c>
      <c r="M42" s="35">
        <f t="shared" si="11"/>
        <v>5950168.6992300004</v>
      </c>
      <c r="N42" s="36">
        <f t="shared" si="12"/>
        <v>0.34320000000000001</v>
      </c>
      <c r="O42" s="35">
        <f t="shared" si="13"/>
        <v>0</v>
      </c>
      <c r="P42" s="35">
        <f t="shared" si="14"/>
        <v>0</v>
      </c>
      <c r="Q42" s="35">
        <f t="shared" si="15"/>
        <v>0</v>
      </c>
      <c r="R42" s="35">
        <f t="shared" si="16"/>
        <v>13230105.867444864</v>
      </c>
      <c r="S42" s="33">
        <f t="shared" si="17"/>
        <v>137</v>
      </c>
    </row>
    <row r="43" spans="1:19" x14ac:dyDescent="0.3">
      <c r="A43" s="33">
        <f>39</f>
        <v>39</v>
      </c>
      <c r="B43" s="34">
        <f t="shared" si="0"/>
        <v>47543</v>
      </c>
      <c r="C43" s="33">
        <f t="shared" si="1"/>
        <v>4</v>
      </c>
      <c r="D43" s="33">
        <f t="shared" si="2"/>
        <v>3</v>
      </c>
      <c r="E43" s="35">
        <f t="shared" si="3"/>
        <v>96468.364125000007</v>
      </c>
      <c r="F43" s="35">
        <f t="shared" si="4"/>
        <v>13230105.867444864</v>
      </c>
      <c r="G43" s="33">
        <f t="shared" si="5"/>
        <v>137</v>
      </c>
      <c r="H43" s="35">
        <f t="shared" si="6"/>
        <v>13216165.885125002</v>
      </c>
      <c r="I43" s="35">
        <f t="shared" si="7"/>
        <v>13939.98231986165</v>
      </c>
      <c r="J43" s="35">
        <f t="shared" si="8"/>
        <v>528646.63540500007</v>
      </c>
      <c r="K43" s="35">
        <f t="shared" si="9"/>
        <v>1520341.4186100001</v>
      </c>
      <c r="L43" s="35">
        <f t="shared" si="10"/>
        <v>1520341.4186100001</v>
      </c>
      <c r="M43" s="35">
        <f t="shared" si="11"/>
        <v>6081365.6744400002</v>
      </c>
      <c r="N43" s="36">
        <f t="shared" si="12"/>
        <v>0.34320000000000001</v>
      </c>
      <c r="O43" s="35">
        <f t="shared" si="13"/>
        <v>521781.174866952</v>
      </c>
      <c r="P43" s="35">
        <f t="shared" si="14"/>
        <v>521781.174866952</v>
      </c>
      <c r="Q43" s="35">
        <f t="shared" si="15"/>
        <v>0</v>
      </c>
      <c r="R43" s="35">
        <f t="shared" si="16"/>
        <v>13236971.327982912</v>
      </c>
      <c r="S43" s="33">
        <f t="shared" si="17"/>
        <v>137</v>
      </c>
    </row>
    <row r="44" spans="1:19" x14ac:dyDescent="0.3">
      <c r="A44" s="33">
        <f>40</f>
        <v>40</v>
      </c>
      <c r="B44" s="34">
        <f t="shared" si="0"/>
        <v>47574</v>
      </c>
      <c r="C44" s="33">
        <f t="shared" si="1"/>
        <v>4</v>
      </c>
      <c r="D44" s="33">
        <f t="shared" si="2"/>
        <v>4</v>
      </c>
      <c r="E44" s="35">
        <f t="shared" si="3"/>
        <v>96468.364125000007</v>
      </c>
      <c r="F44" s="35">
        <f t="shared" si="4"/>
        <v>13236971.327982912</v>
      </c>
      <c r="G44" s="33">
        <f t="shared" si="5"/>
        <v>137</v>
      </c>
      <c r="H44" s="35">
        <f t="shared" si="6"/>
        <v>13216165.885125002</v>
      </c>
      <c r="I44" s="35">
        <f t="shared" si="7"/>
        <v>20805.442857909948</v>
      </c>
      <c r="J44" s="35">
        <f t="shared" si="8"/>
        <v>528646.63540500007</v>
      </c>
      <c r="K44" s="35">
        <f t="shared" si="9"/>
        <v>2048988.0540150001</v>
      </c>
      <c r="L44" s="35">
        <f t="shared" si="10"/>
        <v>0</v>
      </c>
      <c r="M44" s="35">
        <f t="shared" si="11"/>
        <v>6146964.1620450001</v>
      </c>
      <c r="N44" s="36">
        <f t="shared" si="12"/>
        <v>0.34320000000000001</v>
      </c>
      <c r="O44" s="35">
        <f t="shared" si="13"/>
        <v>0</v>
      </c>
      <c r="P44" s="35">
        <f t="shared" si="14"/>
        <v>521781.174866952</v>
      </c>
      <c r="Q44" s="35">
        <f t="shared" si="15"/>
        <v>0</v>
      </c>
      <c r="R44" s="35">
        <f t="shared" si="16"/>
        <v>13765617.963387912</v>
      </c>
      <c r="S44" s="33">
        <f t="shared" si="17"/>
        <v>142</v>
      </c>
    </row>
    <row r="45" spans="1:19" x14ac:dyDescent="0.3">
      <c r="A45" s="33">
        <f>41</f>
        <v>41</v>
      </c>
      <c r="B45" s="34">
        <f t="shared" si="0"/>
        <v>47604</v>
      </c>
      <c r="C45" s="33">
        <f t="shared" si="1"/>
        <v>4</v>
      </c>
      <c r="D45" s="33">
        <f t="shared" si="2"/>
        <v>5</v>
      </c>
      <c r="E45" s="35">
        <f t="shared" si="3"/>
        <v>96468.364125000007</v>
      </c>
      <c r="F45" s="35">
        <f t="shared" si="4"/>
        <v>13765617.963387912</v>
      </c>
      <c r="G45" s="33">
        <f t="shared" si="5"/>
        <v>142</v>
      </c>
      <c r="H45" s="35">
        <f t="shared" si="6"/>
        <v>13698507.705750002</v>
      </c>
      <c r="I45" s="35">
        <f t="shared" si="7"/>
        <v>67110.257637910545</v>
      </c>
      <c r="J45" s="35">
        <f t="shared" si="8"/>
        <v>547940.30823000008</v>
      </c>
      <c r="K45" s="35">
        <f t="shared" si="9"/>
        <v>2596928.362245</v>
      </c>
      <c r="L45" s="35">
        <f t="shared" si="10"/>
        <v>0</v>
      </c>
      <c r="M45" s="35">
        <f t="shared" si="11"/>
        <v>6232628.0693880003</v>
      </c>
      <c r="N45" s="36">
        <f t="shared" si="12"/>
        <v>0.34320000000000001</v>
      </c>
      <c r="O45" s="35">
        <f t="shared" si="13"/>
        <v>0</v>
      </c>
      <c r="P45" s="35">
        <f t="shared" si="14"/>
        <v>521781.174866952</v>
      </c>
      <c r="Q45" s="35">
        <f t="shared" si="15"/>
        <v>0</v>
      </c>
      <c r="R45" s="35">
        <f t="shared" si="16"/>
        <v>14313558.271617912</v>
      </c>
      <c r="S45" s="33">
        <f t="shared" si="17"/>
        <v>148</v>
      </c>
    </row>
    <row r="46" spans="1:19" x14ac:dyDescent="0.3">
      <c r="A46" s="33">
        <f>42</f>
        <v>42</v>
      </c>
      <c r="B46" s="34">
        <f t="shared" si="0"/>
        <v>47635</v>
      </c>
      <c r="C46" s="33">
        <f t="shared" si="1"/>
        <v>4</v>
      </c>
      <c r="D46" s="33">
        <f t="shared" si="2"/>
        <v>6</v>
      </c>
      <c r="E46" s="35">
        <f t="shared" si="3"/>
        <v>96468.364125000007</v>
      </c>
      <c r="F46" s="35">
        <f t="shared" si="4"/>
        <v>14313558.271617912</v>
      </c>
      <c r="G46" s="33">
        <f t="shared" si="5"/>
        <v>148</v>
      </c>
      <c r="H46" s="35">
        <f t="shared" si="6"/>
        <v>14277317.890500002</v>
      </c>
      <c r="I46" s="35">
        <f t="shared" si="7"/>
        <v>36240.381117910147</v>
      </c>
      <c r="J46" s="35">
        <f t="shared" si="8"/>
        <v>571092.71562000003</v>
      </c>
      <c r="K46" s="35">
        <f t="shared" si="9"/>
        <v>3168021.0778649999</v>
      </c>
      <c r="L46" s="35">
        <f t="shared" si="10"/>
        <v>1647679.6592550003</v>
      </c>
      <c r="M46" s="35">
        <f t="shared" si="11"/>
        <v>6336042.1557299988</v>
      </c>
      <c r="N46" s="36">
        <f t="shared" si="12"/>
        <v>0.34320000000000001</v>
      </c>
      <c r="O46" s="35">
        <f t="shared" si="13"/>
        <v>565483.65905631613</v>
      </c>
      <c r="P46" s="35">
        <f t="shared" si="14"/>
        <v>1087264.8339232681</v>
      </c>
      <c r="Q46" s="35">
        <f t="shared" si="15"/>
        <v>0</v>
      </c>
      <c r="R46" s="35">
        <f t="shared" si="16"/>
        <v>14319167.328181595</v>
      </c>
      <c r="S46" s="33">
        <f t="shared" si="17"/>
        <v>148</v>
      </c>
    </row>
    <row r="47" spans="1:19" x14ac:dyDescent="0.3">
      <c r="A47" s="33">
        <f>43</f>
        <v>43</v>
      </c>
      <c r="B47" s="34">
        <f t="shared" si="0"/>
        <v>47665</v>
      </c>
      <c r="C47" s="33">
        <f t="shared" si="1"/>
        <v>4</v>
      </c>
      <c r="D47" s="33">
        <f t="shared" si="2"/>
        <v>7</v>
      </c>
      <c r="E47" s="35">
        <f t="shared" si="3"/>
        <v>96468.364125000007</v>
      </c>
      <c r="F47" s="35">
        <f t="shared" si="4"/>
        <v>14319167.328181595</v>
      </c>
      <c r="G47" s="33">
        <f t="shared" si="5"/>
        <v>148</v>
      </c>
      <c r="H47" s="35">
        <f t="shared" si="6"/>
        <v>14277317.890500002</v>
      </c>
      <c r="I47" s="35">
        <f t="shared" si="7"/>
        <v>41849.437681593001</v>
      </c>
      <c r="J47" s="35">
        <f t="shared" si="8"/>
        <v>571092.71562000003</v>
      </c>
      <c r="K47" s="35">
        <f t="shared" si="9"/>
        <v>3739113.7934849998</v>
      </c>
      <c r="L47" s="35">
        <f t="shared" si="10"/>
        <v>0</v>
      </c>
      <c r="M47" s="35">
        <f t="shared" si="11"/>
        <v>6409909.3602599995</v>
      </c>
      <c r="N47" s="36">
        <f t="shared" si="12"/>
        <v>0.34320000000000001</v>
      </c>
      <c r="O47" s="35">
        <f t="shared" si="13"/>
        <v>0</v>
      </c>
      <c r="P47" s="35">
        <f t="shared" si="14"/>
        <v>1087264.8339232681</v>
      </c>
      <c r="Q47" s="35">
        <f t="shared" si="15"/>
        <v>0</v>
      </c>
      <c r="R47" s="35">
        <f t="shared" si="16"/>
        <v>14890260.043801595</v>
      </c>
      <c r="S47" s="33">
        <f t="shared" si="17"/>
        <v>154</v>
      </c>
    </row>
    <row r="48" spans="1:19" x14ac:dyDescent="0.3">
      <c r="A48" s="33">
        <f>44</f>
        <v>44</v>
      </c>
      <c r="B48" s="34">
        <f t="shared" si="0"/>
        <v>47696</v>
      </c>
      <c r="C48" s="33">
        <f t="shared" si="1"/>
        <v>4</v>
      </c>
      <c r="D48" s="33">
        <f t="shared" si="2"/>
        <v>8</v>
      </c>
      <c r="E48" s="35">
        <f t="shared" si="3"/>
        <v>96468.364125000007</v>
      </c>
      <c r="F48" s="35">
        <f t="shared" si="4"/>
        <v>14890260.043801595</v>
      </c>
      <c r="G48" s="33">
        <f t="shared" si="5"/>
        <v>154</v>
      </c>
      <c r="H48" s="35">
        <f t="shared" si="6"/>
        <v>14856128.075250002</v>
      </c>
      <c r="I48" s="35">
        <f t="shared" si="7"/>
        <v>34131.968551592901</v>
      </c>
      <c r="J48" s="35">
        <f t="shared" si="8"/>
        <v>594245.1230100001</v>
      </c>
      <c r="K48" s="35">
        <f t="shared" si="9"/>
        <v>4333358.916495</v>
      </c>
      <c r="L48" s="35">
        <f t="shared" si="10"/>
        <v>0</v>
      </c>
      <c r="M48" s="35">
        <f t="shared" si="11"/>
        <v>6500038.3747425005</v>
      </c>
      <c r="N48" s="36">
        <f t="shared" si="12"/>
        <v>0.34320000000000001</v>
      </c>
      <c r="O48" s="35">
        <f t="shared" si="13"/>
        <v>0</v>
      </c>
      <c r="P48" s="35">
        <f t="shared" si="14"/>
        <v>1087264.8339232681</v>
      </c>
      <c r="Q48" s="35">
        <f t="shared" si="15"/>
        <v>0</v>
      </c>
      <c r="R48" s="35">
        <f t="shared" si="16"/>
        <v>15484505.166811595</v>
      </c>
      <c r="S48" s="33">
        <f t="shared" si="17"/>
        <v>160</v>
      </c>
    </row>
    <row r="49" spans="1:19" x14ac:dyDescent="0.3">
      <c r="A49" s="33">
        <f>45</f>
        <v>45</v>
      </c>
      <c r="B49" s="34">
        <f t="shared" si="0"/>
        <v>47727</v>
      </c>
      <c r="C49" s="33">
        <f t="shared" si="1"/>
        <v>4</v>
      </c>
      <c r="D49" s="33">
        <f t="shared" si="2"/>
        <v>9</v>
      </c>
      <c r="E49" s="35">
        <f t="shared" si="3"/>
        <v>96468.364125000007</v>
      </c>
      <c r="F49" s="35">
        <f t="shared" si="4"/>
        <v>15484505.166811595</v>
      </c>
      <c r="G49" s="33">
        <f t="shared" si="5"/>
        <v>160</v>
      </c>
      <c r="H49" s="35">
        <f t="shared" si="6"/>
        <v>15434938.260000002</v>
      </c>
      <c r="I49" s="35">
        <f t="shared" si="7"/>
        <v>49566.9068115931</v>
      </c>
      <c r="J49" s="35">
        <f t="shared" si="8"/>
        <v>617397.53040000005</v>
      </c>
      <c r="K49" s="35">
        <f t="shared" si="9"/>
        <v>4950756.4468949996</v>
      </c>
      <c r="L49" s="35">
        <f t="shared" si="10"/>
        <v>1782735.3690300002</v>
      </c>
      <c r="M49" s="35">
        <f t="shared" si="11"/>
        <v>6601008.5958599998</v>
      </c>
      <c r="N49" s="36">
        <f t="shared" si="12"/>
        <v>0.34320000000000001</v>
      </c>
      <c r="O49" s="35">
        <f t="shared" si="13"/>
        <v>611834.77865109604</v>
      </c>
      <c r="P49" s="35">
        <f t="shared" si="14"/>
        <v>1699099.6125743641</v>
      </c>
      <c r="Q49" s="35">
        <f t="shared" si="15"/>
        <v>0</v>
      </c>
      <c r="R49" s="35">
        <f t="shared" si="16"/>
        <v>15490067.918560499</v>
      </c>
      <c r="S49" s="33">
        <f t="shared" si="17"/>
        <v>160</v>
      </c>
    </row>
    <row r="50" spans="1:19" x14ac:dyDescent="0.3">
      <c r="A50" s="33">
        <f>46</f>
        <v>46</v>
      </c>
      <c r="B50" s="34">
        <f t="shared" si="0"/>
        <v>47757</v>
      </c>
      <c r="C50" s="33">
        <f t="shared" si="1"/>
        <v>4</v>
      </c>
      <c r="D50" s="33">
        <f t="shared" si="2"/>
        <v>10</v>
      </c>
      <c r="E50" s="35">
        <f t="shared" si="3"/>
        <v>96468.364125000007</v>
      </c>
      <c r="F50" s="35">
        <f t="shared" si="4"/>
        <v>15490067.918560499</v>
      </c>
      <c r="G50" s="33">
        <f t="shared" si="5"/>
        <v>160</v>
      </c>
      <c r="H50" s="35">
        <f t="shared" si="6"/>
        <v>15434938.260000002</v>
      </c>
      <c r="I50" s="35">
        <f t="shared" si="7"/>
        <v>55129.658560497686</v>
      </c>
      <c r="J50" s="35">
        <f t="shared" si="8"/>
        <v>617397.53040000005</v>
      </c>
      <c r="K50" s="35">
        <f t="shared" si="9"/>
        <v>5568153.9772950001</v>
      </c>
      <c r="L50" s="35">
        <f t="shared" si="10"/>
        <v>0</v>
      </c>
      <c r="M50" s="35">
        <f t="shared" si="11"/>
        <v>6681784.7727540005</v>
      </c>
      <c r="N50" s="36">
        <f t="shared" si="12"/>
        <v>0.34320000000000001</v>
      </c>
      <c r="O50" s="35">
        <f t="shared" si="13"/>
        <v>0</v>
      </c>
      <c r="P50" s="35">
        <f t="shared" si="14"/>
        <v>1699099.6125743641</v>
      </c>
      <c r="Q50" s="35">
        <f t="shared" si="15"/>
        <v>0</v>
      </c>
      <c r="R50" s="35">
        <f t="shared" si="16"/>
        <v>16107465.4489605</v>
      </c>
      <c r="S50" s="33">
        <f t="shared" si="17"/>
        <v>166</v>
      </c>
    </row>
    <row r="51" spans="1:19" x14ac:dyDescent="0.3">
      <c r="A51" s="33">
        <f>47</f>
        <v>47</v>
      </c>
      <c r="B51" s="34">
        <f t="shared" si="0"/>
        <v>47788</v>
      </c>
      <c r="C51" s="33">
        <f t="shared" si="1"/>
        <v>4</v>
      </c>
      <c r="D51" s="33">
        <f t="shared" si="2"/>
        <v>11</v>
      </c>
      <c r="E51" s="35">
        <f t="shared" si="3"/>
        <v>96468.364125000007</v>
      </c>
      <c r="F51" s="35">
        <f t="shared" si="4"/>
        <v>16107465.4489605</v>
      </c>
      <c r="G51" s="33">
        <f t="shared" si="5"/>
        <v>166</v>
      </c>
      <c r="H51" s="35">
        <f t="shared" si="6"/>
        <v>16013748.444750002</v>
      </c>
      <c r="I51" s="35">
        <f t="shared" si="7"/>
        <v>93717.004210498184</v>
      </c>
      <c r="J51" s="35">
        <f t="shared" si="8"/>
        <v>640549.93779000011</v>
      </c>
      <c r="K51" s="35">
        <f t="shared" si="9"/>
        <v>6208703.915085</v>
      </c>
      <c r="L51" s="35">
        <f t="shared" si="10"/>
        <v>0</v>
      </c>
      <c r="M51" s="35">
        <f t="shared" si="11"/>
        <v>6773131.5437290911</v>
      </c>
      <c r="N51" s="36">
        <f t="shared" si="12"/>
        <v>0.34320000000000001</v>
      </c>
      <c r="O51" s="35">
        <f t="shared" si="13"/>
        <v>0</v>
      </c>
      <c r="P51" s="35">
        <f t="shared" si="14"/>
        <v>1699099.6125743641</v>
      </c>
      <c r="Q51" s="35">
        <f t="shared" si="15"/>
        <v>0</v>
      </c>
      <c r="R51" s="35">
        <f t="shared" si="16"/>
        <v>16748015.386750501</v>
      </c>
      <c r="S51" s="33">
        <f t="shared" si="17"/>
        <v>173</v>
      </c>
    </row>
    <row r="52" spans="1:19" x14ac:dyDescent="0.3">
      <c r="A52" s="37">
        <f>48</f>
        <v>48</v>
      </c>
      <c r="B52" s="38">
        <f t="shared" si="0"/>
        <v>47818</v>
      </c>
      <c r="C52" s="37">
        <f t="shared" si="1"/>
        <v>4</v>
      </c>
      <c r="D52" s="37">
        <f t="shared" si="2"/>
        <v>12</v>
      </c>
      <c r="E52" s="39">
        <f t="shared" si="3"/>
        <v>96468.364125000007</v>
      </c>
      <c r="F52" s="39">
        <f t="shared" si="4"/>
        <v>16748015.386750501</v>
      </c>
      <c r="G52" s="37">
        <f t="shared" si="5"/>
        <v>173</v>
      </c>
      <c r="H52" s="39">
        <f t="shared" si="6"/>
        <v>16689026.993625002</v>
      </c>
      <c r="I52" s="39">
        <f t="shared" si="7"/>
        <v>58988.393125498667</v>
      </c>
      <c r="J52" s="39">
        <f t="shared" si="8"/>
        <v>667561.07974500011</v>
      </c>
      <c r="K52" s="39">
        <f t="shared" si="9"/>
        <v>6876264.9948300002</v>
      </c>
      <c r="L52" s="39">
        <f t="shared" si="10"/>
        <v>1925508.5479350002</v>
      </c>
      <c r="M52" s="39">
        <f t="shared" si="11"/>
        <v>6876264.9948300002</v>
      </c>
      <c r="N52" s="40">
        <f t="shared" si="12"/>
        <v>0.34320000000000001</v>
      </c>
      <c r="O52" s="39">
        <f t="shared" si="13"/>
        <v>660834.53365129209</v>
      </c>
      <c r="P52" s="39">
        <f t="shared" si="14"/>
        <v>2359934.1462256564</v>
      </c>
      <c r="Q52" s="39">
        <f t="shared" si="15"/>
        <v>451633.08486043441</v>
      </c>
      <c r="R52" s="39">
        <f t="shared" si="16"/>
        <v>16303108.847983772</v>
      </c>
      <c r="S52" s="37">
        <f t="shared" si="17"/>
        <v>168</v>
      </c>
    </row>
    <row r="53" spans="1:19" x14ac:dyDescent="0.3">
      <c r="A53" s="33">
        <f>49</f>
        <v>49</v>
      </c>
      <c r="B53" s="34">
        <f t="shared" si="0"/>
        <v>47849</v>
      </c>
      <c r="C53" s="33">
        <f t="shared" si="1"/>
        <v>5</v>
      </c>
      <c r="D53" s="33">
        <f t="shared" si="2"/>
        <v>1</v>
      </c>
      <c r="E53" s="35">
        <f t="shared" si="3"/>
        <v>101291.78233125</v>
      </c>
      <c r="F53" s="35">
        <f t="shared" si="4"/>
        <v>16303108.847983772</v>
      </c>
      <c r="G53" s="33">
        <f t="shared" si="5"/>
        <v>160</v>
      </c>
      <c r="H53" s="35">
        <f t="shared" si="6"/>
        <v>16206685.173</v>
      </c>
      <c r="I53" s="35">
        <f t="shared" si="7"/>
        <v>96423.674983771518</v>
      </c>
      <c r="J53" s="35">
        <f t="shared" si="8"/>
        <v>648267.40691999998</v>
      </c>
      <c r="K53" s="35">
        <f t="shared" si="9"/>
        <v>648267.40691999998</v>
      </c>
      <c r="L53" s="35">
        <f t="shared" si="10"/>
        <v>0</v>
      </c>
      <c r="M53" s="35">
        <f t="shared" si="11"/>
        <v>7779208.8830399998</v>
      </c>
      <c r="N53" s="36">
        <f t="shared" si="12"/>
        <v>0.34320000000000001</v>
      </c>
      <c r="O53" s="35">
        <f t="shared" si="13"/>
        <v>0</v>
      </c>
      <c r="P53" s="35">
        <f t="shared" si="14"/>
        <v>0</v>
      </c>
      <c r="Q53" s="35">
        <f t="shared" si="15"/>
        <v>0</v>
      </c>
      <c r="R53" s="35">
        <f t="shared" si="16"/>
        <v>16951376.254903771</v>
      </c>
      <c r="S53" s="33">
        <f t="shared" si="17"/>
        <v>167</v>
      </c>
    </row>
    <row r="54" spans="1:19" x14ac:dyDescent="0.3">
      <c r="A54" s="33">
        <f>50</f>
        <v>50</v>
      </c>
      <c r="B54" s="34">
        <f t="shared" si="0"/>
        <v>47880</v>
      </c>
      <c r="C54" s="33">
        <f t="shared" si="1"/>
        <v>5</v>
      </c>
      <c r="D54" s="33">
        <f t="shared" si="2"/>
        <v>2</v>
      </c>
      <c r="E54" s="35">
        <f t="shared" si="3"/>
        <v>101291.78233125</v>
      </c>
      <c r="F54" s="35">
        <f t="shared" si="4"/>
        <v>16951376.254903771</v>
      </c>
      <c r="G54" s="33">
        <f t="shared" si="5"/>
        <v>167</v>
      </c>
      <c r="H54" s="35">
        <f t="shared" si="6"/>
        <v>16915727.649318751</v>
      </c>
      <c r="I54" s="35">
        <f t="shared" si="7"/>
        <v>35648.605585020036</v>
      </c>
      <c r="J54" s="35">
        <f t="shared" si="8"/>
        <v>676629.10597275</v>
      </c>
      <c r="K54" s="35">
        <f t="shared" si="9"/>
        <v>1324896.5128927501</v>
      </c>
      <c r="L54" s="35">
        <f t="shared" si="10"/>
        <v>0</v>
      </c>
      <c r="M54" s="35">
        <f t="shared" si="11"/>
        <v>7949379.0773565006</v>
      </c>
      <c r="N54" s="36">
        <f t="shared" si="12"/>
        <v>0.34320000000000001</v>
      </c>
      <c r="O54" s="35">
        <f t="shared" si="13"/>
        <v>0</v>
      </c>
      <c r="P54" s="35">
        <f t="shared" si="14"/>
        <v>0</v>
      </c>
      <c r="Q54" s="35">
        <f t="shared" si="15"/>
        <v>0</v>
      </c>
      <c r="R54" s="35">
        <f t="shared" si="16"/>
        <v>17628005.360876519</v>
      </c>
      <c r="S54" s="33">
        <f t="shared" si="17"/>
        <v>174</v>
      </c>
    </row>
    <row r="55" spans="1:19" x14ac:dyDescent="0.3">
      <c r="A55" s="33">
        <f>51</f>
        <v>51</v>
      </c>
      <c r="B55" s="34">
        <f t="shared" si="0"/>
        <v>47908</v>
      </c>
      <c r="C55" s="33">
        <f t="shared" si="1"/>
        <v>5</v>
      </c>
      <c r="D55" s="33">
        <f t="shared" si="2"/>
        <v>3</v>
      </c>
      <c r="E55" s="35">
        <f t="shared" si="3"/>
        <v>101291.78233125</v>
      </c>
      <c r="F55" s="35">
        <f t="shared" si="4"/>
        <v>17628005.360876519</v>
      </c>
      <c r="G55" s="33">
        <f t="shared" si="5"/>
        <v>174</v>
      </c>
      <c r="H55" s="35">
        <f t="shared" si="6"/>
        <v>17624770.125637498</v>
      </c>
      <c r="I55" s="35">
        <f t="shared" si="7"/>
        <v>3235.2352390214801</v>
      </c>
      <c r="J55" s="35">
        <f t="shared" si="8"/>
        <v>704990.8050254999</v>
      </c>
      <c r="K55" s="35">
        <f t="shared" si="9"/>
        <v>2029887.3179182499</v>
      </c>
      <c r="L55" s="35">
        <f t="shared" si="10"/>
        <v>2029887.3179182499</v>
      </c>
      <c r="M55" s="35">
        <f t="shared" si="11"/>
        <v>8119549.2716729986</v>
      </c>
      <c r="N55" s="36">
        <f t="shared" si="12"/>
        <v>0.34320000000000001</v>
      </c>
      <c r="O55" s="35">
        <f t="shared" si="13"/>
        <v>696657.32750954339</v>
      </c>
      <c r="P55" s="35">
        <f t="shared" si="14"/>
        <v>696657.32750954339</v>
      </c>
      <c r="Q55" s="35">
        <f t="shared" si="15"/>
        <v>0</v>
      </c>
      <c r="R55" s="35">
        <f t="shared" si="16"/>
        <v>17636338.838392474</v>
      </c>
      <c r="S55" s="33">
        <f t="shared" si="17"/>
        <v>174</v>
      </c>
    </row>
    <row r="56" spans="1:19" x14ac:dyDescent="0.3">
      <c r="A56" s="33">
        <f>52</f>
        <v>52</v>
      </c>
      <c r="B56" s="34">
        <f t="shared" si="0"/>
        <v>47939</v>
      </c>
      <c r="C56" s="33">
        <f t="shared" si="1"/>
        <v>5</v>
      </c>
      <c r="D56" s="33">
        <f t="shared" si="2"/>
        <v>4</v>
      </c>
      <c r="E56" s="35">
        <f t="shared" si="3"/>
        <v>101291.78233125</v>
      </c>
      <c r="F56" s="35">
        <f t="shared" si="4"/>
        <v>17636338.838392474</v>
      </c>
      <c r="G56" s="33">
        <f t="shared" si="5"/>
        <v>174</v>
      </c>
      <c r="H56" s="35">
        <f t="shared" si="6"/>
        <v>17624770.125637498</v>
      </c>
      <c r="I56" s="35">
        <f t="shared" si="7"/>
        <v>11568.712754976004</v>
      </c>
      <c r="J56" s="35">
        <f t="shared" si="8"/>
        <v>704990.8050254999</v>
      </c>
      <c r="K56" s="35">
        <f t="shared" si="9"/>
        <v>2734878.1229437497</v>
      </c>
      <c r="L56" s="35">
        <f t="shared" si="10"/>
        <v>0</v>
      </c>
      <c r="M56" s="35">
        <f t="shared" si="11"/>
        <v>8204634.368831249</v>
      </c>
      <c r="N56" s="36">
        <f t="shared" si="12"/>
        <v>0.34320000000000001</v>
      </c>
      <c r="O56" s="35">
        <f t="shared" si="13"/>
        <v>0</v>
      </c>
      <c r="P56" s="35">
        <f t="shared" si="14"/>
        <v>696657.32750954339</v>
      </c>
      <c r="Q56" s="35">
        <f t="shared" si="15"/>
        <v>0</v>
      </c>
      <c r="R56" s="35">
        <f t="shared" si="16"/>
        <v>18341329.643417973</v>
      </c>
      <c r="S56" s="33">
        <f t="shared" si="17"/>
        <v>181</v>
      </c>
    </row>
    <row r="57" spans="1:19" x14ac:dyDescent="0.3">
      <c r="A57" s="33">
        <f>53</f>
        <v>53</v>
      </c>
      <c r="B57" s="34">
        <f t="shared" si="0"/>
        <v>47969</v>
      </c>
      <c r="C57" s="33">
        <f t="shared" si="1"/>
        <v>5</v>
      </c>
      <c r="D57" s="33">
        <f t="shared" si="2"/>
        <v>5</v>
      </c>
      <c r="E57" s="35">
        <f t="shared" si="3"/>
        <v>101291.78233125</v>
      </c>
      <c r="F57" s="35">
        <f t="shared" si="4"/>
        <v>18341329.643417973</v>
      </c>
      <c r="G57" s="33">
        <f t="shared" si="5"/>
        <v>181</v>
      </c>
      <c r="H57" s="35">
        <f t="shared" si="6"/>
        <v>18333812.601956248</v>
      </c>
      <c r="I57" s="35">
        <f t="shared" si="7"/>
        <v>7517.041461724788</v>
      </c>
      <c r="J57" s="35">
        <f t="shared" si="8"/>
        <v>733352.50407824991</v>
      </c>
      <c r="K57" s="35">
        <f t="shared" si="9"/>
        <v>3468230.6270219996</v>
      </c>
      <c r="L57" s="35">
        <f t="shared" si="10"/>
        <v>0</v>
      </c>
      <c r="M57" s="35">
        <f t="shared" si="11"/>
        <v>8323753.5048527988</v>
      </c>
      <c r="N57" s="36">
        <f t="shared" si="12"/>
        <v>0.34320000000000001</v>
      </c>
      <c r="O57" s="35">
        <f t="shared" si="13"/>
        <v>0</v>
      </c>
      <c r="P57" s="35">
        <f t="shared" si="14"/>
        <v>696657.32750954339</v>
      </c>
      <c r="Q57" s="35">
        <f t="shared" si="15"/>
        <v>0</v>
      </c>
      <c r="R57" s="35">
        <f t="shared" si="16"/>
        <v>19074682.147496223</v>
      </c>
      <c r="S57" s="33">
        <f t="shared" si="17"/>
        <v>188</v>
      </c>
    </row>
    <row r="58" spans="1:19" x14ac:dyDescent="0.3">
      <c r="A58" s="33">
        <f>54</f>
        <v>54</v>
      </c>
      <c r="B58" s="34">
        <f t="shared" si="0"/>
        <v>48000</v>
      </c>
      <c r="C58" s="33">
        <f t="shared" si="1"/>
        <v>5</v>
      </c>
      <c r="D58" s="33">
        <f t="shared" si="2"/>
        <v>6</v>
      </c>
      <c r="E58" s="35">
        <f t="shared" si="3"/>
        <v>101291.78233125</v>
      </c>
      <c r="F58" s="35">
        <f t="shared" si="4"/>
        <v>19074682.147496223</v>
      </c>
      <c r="G58" s="33">
        <f t="shared" si="5"/>
        <v>188</v>
      </c>
      <c r="H58" s="35">
        <f t="shared" si="6"/>
        <v>19042855.078274999</v>
      </c>
      <c r="I58" s="35">
        <f t="shared" si="7"/>
        <v>31827.069221224636</v>
      </c>
      <c r="J58" s="35">
        <f t="shared" si="8"/>
        <v>761714.20313099993</v>
      </c>
      <c r="K58" s="35">
        <f t="shared" si="9"/>
        <v>4229944.8301529996</v>
      </c>
      <c r="L58" s="35">
        <f t="shared" si="10"/>
        <v>2200057.5122347497</v>
      </c>
      <c r="M58" s="35">
        <f t="shared" si="11"/>
        <v>8459889.6603059992</v>
      </c>
      <c r="N58" s="36">
        <f t="shared" si="12"/>
        <v>0.34320000000000001</v>
      </c>
      <c r="O58" s="35">
        <f t="shared" si="13"/>
        <v>755059.73819896614</v>
      </c>
      <c r="P58" s="35">
        <f t="shared" si="14"/>
        <v>1451717.0657085096</v>
      </c>
      <c r="Q58" s="35">
        <f t="shared" si="15"/>
        <v>0</v>
      </c>
      <c r="R58" s="35">
        <f t="shared" si="16"/>
        <v>19081336.612428259</v>
      </c>
      <c r="S58" s="33">
        <f t="shared" si="17"/>
        <v>188</v>
      </c>
    </row>
    <row r="59" spans="1:19" x14ac:dyDescent="0.3">
      <c r="A59" s="33">
        <f>55</f>
        <v>55</v>
      </c>
      <c r="B59" s="34">
        <f t="shared" si="0"/>
        <v>48030</v>
      </c>
      <c r="C59" s="33">
        <f t="shared" si="1"/>
        <v>5</v>
      </c>
      <c r="D59" s="33">
        <f t="shared" si="2"/>
        <v>7</v>
      </c>
      <c r="E59" s="35">
        <f t="shared" si="3"/>
        <v>101291.78233125</v>
      </c>
      <c r="F59" s="35">
        <f t="shared" si="4"/>
        <v>19081336.612428259</v>
      </c>
      <c r="G59" s="33">
        <f t="shared" si="5"/>
        <v>188</v>
      </c>
      <c r="H59" s="35">
        <f t="shared" si="6"/>
        <v>19042855.078274999</v>
      </c>
      <c r="I59" s="35">
        <f t="shared" si="7"/>
        <v>38481.534153260291</v>
      </c>
      <c r="J59" s="35">
        <f t="shared" si="8"/>
        <v>761714.20313099993</v>
      </c>
      <c r="K59" s="35">
        <f t="shared" si="9"/>
        <v>4991659.0332839992</v>
      </c>
      <c r="L59" s="35">
        <f t="shared" si="10"/>
        <v>0</v>
      </c>
      <c r="M59" s="35">
        <f t="shared" si="11"/>
        <v>8557129.7713439986</v>
      </c>
      <c r="N59" s="36">
        <f t="shared" si="12"/>
        <v>0.34320000000000001</v>
      </c>
      <c r="O59" s="35">
        <f t="shared" si="13"/>
        <v>0</v>
      </c>
      <c r="P59" s="35">
        <f t="shared" si="14"/>
        <v>1451717.0657085096</v>
      </c>
      <c r="Q59" s="35">
        <f t="shared" si="15"/>
        <v>0</v>
      </c>
      <c r="R59" s="35">
        <f t="shared" si="16"/>
        <v>19843050.815559261</v>
      </c>
      <c r="S59" s="33">
        <f t="shared" si="17"/>
        <v>195</v>
      </c>
    </row>
    <row r="60" spans="1:19" x14ac:dyDescent="0.3">
      <c r="A60" s="33">
        <f>56</f>
        <v>56</v>
      </c>
      <c r="B60" s="34">
        <f t="shared" si="0"/>
        <v>48061</v>
      </c>
      <c r="C60" s="33">
        <f t="shared" si="1"/>
        <v>5</v>
      </c>
      <c r="D60" s="33">
        <f t="shared" si="2"/>
        <v>8</v>
      </c>
      <c r="E60" s="35">
        <f t="shared" si="3"/>
        <v>101291.78233125</v>
      </c>
      <c r="F60" s="35">
        <f t="shared" si="4"/>
        <v>19843050.815559261</v>
      </c>
      <c r="G60" s="33">
        <f t="shared" si="5"/>
        <v>195</v>
      </c>
      <c r="H60" s="35">
        <f t="shared" si="6"/>
        <v>19751897.554593749</v>
      </c>
      <c r="I60" s="35">
        <f t="shared" si="7"/>
        <v>91153.260965511203</v>
      </c>
      <c r="J60" s="35">
        <f t="shared" si="8"/>
        <v>790075.90218374995</v>
      </c>
      <c r="K60" s="35">
        <f t="shared" si="9"/>
        <v>5781734.9354677489</v>
      </c>
      <c r="L60" s="35">
        <f t="shared" si="10"/>
        <v>0</v>
      </c>
      <c r="M60" s="35">
        <f t="shared" si="11"/>
        <v>8672602.4032016229</v>
      </c>
      <c r="N60" s="36">
        <f t="shared" si="12"/>
        <v>0.34320000000000001</v>
      </c>
      <c r="O60" s="35">
        <f t="shared" si="13"/>
        <v>0</v>
      </c>
      <c r="P60" s="35">
        <f t="shared" si="14"/>
        <v>1451717.0657085096</v>
      </c>
      <c r="Q60" s="35">
        <f t="shared" si="15"/>
        <v>0</v>
      </c>
      <c r="R60" s="35">
        <f t="shared" si="16"/>
        <v>20633126.717743009</v>
      </c>
      <c r="S60" s="33">
        <f t="shared" si="17"/>
        <v>203</v>
      </c>
    </row>
    <row r="61" spans="1:19" x14ac:dyDescent="0.3">
      <c r="A61" s="33">
        <f>57</f>
        <v>57</v>
      </c>
      <c r="B61" s="34">
        <f t="shared" si="0"/>
        <v>48092</v>
      </c>
      <c r="C61" s="33">
        <f t="shared" si="1"/>
        <v>5</v>
      </c>
      <c r="D61" s="33">
        <f t="shared" si="2"/>
        <v>9</v>
      </c>
      <c r="E61" s="35">
        <f t="shared" si="3"/>
        <v>101291.78233125</v>
      </c>
      <c r="F61" s="35">
        <f t="shared" si="4"/>
        <v>20633126.717743009</v>
      </c>
      <c r="G61" s="33">
        <f t="shared" si="5"/>
        <v>203</v>
      </c>
      <c r="H61" s="35">
        <f t="shared" si="6"/>
        <v>20562231.81324375</v>
      </c>
      <c r="I61" s="35">
        <f t="shared" si="7"/>
        <v>70894.904499258846</v>
      </c>
      <c r="J61" s="35">
        <f t="shared" si="8"/>
        <v>822489.27252975001</v>
      </c>
      <c r="K61" s="35">
        <f t="shared" si="9"/>
        <v>6604224.207997499</v>
      </c>
      <c r="L61" s="35">
        <f t="shared" si="10"/>
        <v>2374279.3778444999</v>
      </c>
      <c r="M61" s="35">
        <f t="shared" si="11"/>
        <v>8805632.2773299981</v>
      </c>
      <c r="N61" s="36">
        <f t="shared" si="12"/>
        <v>0.34320000000000001</v>
      </c>
      <c r="O61" s="35">
        <f t="shared" si="13"/>
        <v>814852.68247623241</v>
      </c>
      <c r="P61" s="35">
        <f t="shared" si="14"/>
        <v>2266569.7481847419</v>
      </c>
      <c r="Q61" s="35">
        <f t="shared" si="15"/>
        <v>0</v>
      </c>
      <c r="R61" s="35">
        <f t="shared" si="16"/>
        <v>20640763.307796527</v>
      </c>
      <c r="S61" s="33">
        <f t="shared" si="17"/>
        <v>203</v>
      </c>
    </row>
    <row r="62" spans="1:19" x14ac:dyDescent="0.3">
      <c r="A62" s="33">
        <f>58</f>
        <v>58</v>
      </c>
      <c r="B62" s="34">
        <f t="shared" si="0"/>
        <v>48122</v>
      </c>
      <c r="C62" s="33">
        <f t="shared" si="1"/>
        <v>5</v>
      </c>
      <c r="D62" s="33">
        <f t="shared" si="2"/>
        <v>10</v>
      </c>
      <c r="E62" s="35">
        <f t="shared" si="3"/>
        <v>101291.78233125</v>
      </c>
      <c r="F62" s="35">
        <f t="shared" si="4"/>
        <v>20640763.307796527</v>
      </c>
      <c r="G62" s="33">
        <f t="shared" si="5"/>
        <v>203</v>
      </c>
      <c r="H62" s="35">
        <f t="shared" si="6"/>
        <v>20562231.81324375</v>
      </c>
      <c r="I62" s="35">
        <f t="shared" si="7"/>
        <v>78531.494552776217</v>
      </c>
      <c r="J62" s="35">
        <f t="shared" si="8"/>
        <v>822489.27252975001</v>
      </c>
      <c r="K62" s="35">
        <f t="shared" si="9"/>
        <v>7426713.4805272492</v>
      </c>
      <c r="L62" s="35">
        <f t="shared" si="10"/>
        <v>0</v>
      </c>
      <c r="M62" s="35">
        <f t="shared" si="11"/>
        <v>8912056.1766326986</v>
      </c>
      <c r="N62" s="36">
        <f t="shared" si="12"/>
        <v>0.34320000000000001</v>
      </c>
      <c r="O62" s="35">
        <f t="shared" si="13"/>
        <v>0</v>
      </c>
      <c r="P62" s="35">
        <f t="shared" si="14"/>
        <v>2266569.7481847419</v>
      </c>
      <c r="Q62" s="35">
        <f t="shared" si="15"/>
        <v>0</v>
      </c>
      <c r="R62" s="35">
        <f t="shared" si="16"/>
        <v>21463252.580326278</v>
      </c>
      <c r="S62" s="33">
        <f t="shared" si="17"/>
        <v>211</v>
      </c>
    </row>
    <row r="63" spans="1:19" x14ac:dyDescent="0.3">
      <c r="A63" s="33">
        <f>59</f>
        <v>59</v>
      </c>
      <c r="B63" s="34">
        <f t="shared" si="0"/>
        <v>48153</v>
      </c>
      <c r="C63" s="33">
        <f t="shared" si="1"/>
        <v>5</v>
      </c>
      <c r="D63" s="33">
        <f t="shared" si="2"/>
        <v>11</v>
      </c>
      <c r="E63" s="35">
        <f t="shared" si="3"/>
        <v>101291.78233125</v>
      </c>
      <c r="F63" s="35">
        <f t="shared" si="4"/>
        <v>21463252.580326278</v>
      </c>
      <c r="G63" s="33">
        <f t="shared" si="5"/>
        <v>211</v>
      </c>
      <c r="H63" s="35">
        <f t="shared" si="6"/>
        <v>21372566.071893748</v>
      </c>
      <c r="I63" s="35">
        <f t="shared" si="7"/>
        <v>90686.508432529867</v>
      </c>
      <c r="J63" s="35">
        <f t="shared" si="8"/>
        <v>854902.64287574997</v>
      </c>
      <c r="K63" s="35">
        <f t="shared" si="9"/>
        <v>8281616.1234029988</v>
      </c>
      <c r="L63" s="35">
        <f t="shared" si="10"/>
        <v>0</v>
      </c>
      <c r="M63" s="35">
        <f t="shared" si="11"/>
        <v>9034490.3164396361</v>
      </c>
      <c r="N63" s="36">
        <f t="shared" si="12"/>
        <v>0.34320000000000001</v>
      </c>
      <c r="O63" s="35">
        <f t="shared" si="13"/>
        <v>0</v>
      </c>
      <c r="P63" s="35">
        <f t="shared" si="14"/>
        <v>2266569.7481847419</v>
      </c>
      <c r="Q63" s="35">
        <f t="shared" si="15"/>
        <v>0</v>
      </c>
      <c r="R63" s="35">
        <f t="shared" si="16"/>
        <v>22318155.223202027</v>
      </c>
      <c r="S63" s="33">
        <f t="shared" si="17"/>
        <v>220</v>
      </c>
    </row>
    <row r="64" spans="1:19" x14ac:dyDescent="0.3">
      <c r="A64" s="37">
        <f>60</f>
        <v>60</v>
      </c>
      <c r="B64" s="38">
        <f t="shared" si="0"/>
        <v>48183</v>
      </c>
      <c r="C64" s="37">
        <f t="shared" si="1"/>
        <v>5</v>
      </c>
      <c r="D64" s="37">
        <f t="shared" si="2"/>
        <v>12</v>
      </c>
      <c r="E64" s="39">
        <f t="shared" si="3"/>
        <v>101291.78233125</v>
      </c>
      <c r="F64" s="39">
        <f t="shared" si="4"/>
        <v>22318155.223202027</v>
      </c>
      <c r="G64" s="37">
        <f t="shared" si="5"/>
        <v>220</v>
      </c>
      <c r="H64" s="39">
        <f t="shared" si="6"/>
        <v>22284192.112875</v>
      </c>
      <c r="I64" s="39">
        <f t="shared" si="7"/>
        <v>33963.110327027738</v>
      </c>
      <c r="J64" s="39">
        <f t="shared" si="8"/>
        <v>891367.68451499997</v>
      </c>
      <c r="K64" s="39">
        <f t="shared" si="9"/>
        <v>9172983.8079179991</v>
      </c>
      <c r="L64" s="39">
        <f t="shared" si="10"/>
        <v>2568759.5999205001</v>
      </c>
      <c r="M64" s="39">
        <f t="shared" si="11"/>
        <v>9172983.8079179991</v>
      </c>
      <c r="N64" s="40">
        <f t="shared" si="12"/>
        <v>0.34320000000000001</v>
      </c>
      <c r="O64" s="39">
        <f t="shared" si="13"/>
        <v>881598.29469271563</v>
      </c>
      <c r="P64" s="39">
        <f t="shared" si="14"/>
        <v>3148168.0428774576</v>
      </c>
      <c r="Q64" s="39">
        <f t="shared" si="15"/>
        <v>602481.57650405413</v>
      </c>
      <c r="R64" s="39">
        <f t="shared" si="16"/>
        <v>21725443.036520254</v>
      </c>
      <c r="S64" s="37">
        <f t="shared" si="17"/>
        <v>214</v>
      </c>
    </row>
    <row r="65" spans="1:19" x14ac:dyDescent="0.3">
      <c r="A65" s="33">
        <f>61</f>
        <v>61</v>
      </c>
      <c r="B65" s="34">
        <f t="shared" si="0"/>
        <v>48214</v>
      </c>
      <c r="C65" s="33">
        <f t="shared" si="1"/>
        <v>6</v>
      </c>
      <c r="D65" s="33">
        <f t="shared" si="2"/>
        <v>1</v>
      </c>
      <c r="E65" s="35">
        <f t="shared" si="3"/>
        <v>106356.3714478125</v>
      </c>
      <c r="F65" s="35">
        <f t="shared" si="4"/>
        <v>21725443.036520254</v>
      </c>
      <c r="G65" s="33">
        <f t="shared" si="5"/>
        <v>204</v>
      </c>
      <c r="H65" s="35">
        <f t="shared" si="6"/>
        <v>21696699.775353752</v>
      </c>
      <c r="I65" s="35">
        <f t="shared" si="7"/>
        <v>28743.26116650179</v>
      </c>
      <c r="J65" s="35">
        <f t="shared" si="8"/>
        <v>867867.99101415009</v>
      </c>
      <c r="K65" s="35">
        <f t="shared" si="9"/>
        <v>867867.99101415009</v>
      </c>
      <c r="L65" s="35">
        <f t="shared" si="10"/>
        <v>0</v>
      </c>
      <c r="M65" s="35">
        <f t="shared" si="11"/>
        <v>10414415.892169802</v>
      </c>
      <c r="N65" s="36">
        <f t="shared" si="12"/>
        <v>0.35880000000000001</v>
      </c>
      <c r="O65" s="35">
        <f t="shared" si="13"/>
        <v>0</v>
      </c>
      <c r="P65" s="35">
        <f t="shared" si="14"/>
        <v>0</v>
      </c>
      <c r="Q65" s="35">
        <f t="shared" si="15"/>
        <v>0</v>
      </c>
      <c r="R65" s="35">
        <f t="shared" si="16"/>
        <v>22593311.027534403</v>
      </c>
      <c r="S65" s="33">
        <f t="shared" si="17"/>
        <v>212</v>
      </c>
    </row>
    <row r="66" spans="1:19" x14ac:dyDescent="0.3">
      <c r="A66" s="33">
        <f>62</f>
        <v>62</v>
      </c>
      <c r="B66" s="34">
        <f t="shared" si="0"/>
        <v>48245</v>
      </c>
      <c r="C66" s="33">
        <f t="shared" si="1"/>
        <v>6</v>
      </c>
      <c r="D66" s="33">
        <f t="shared" si="2"/>
        <v>2</v>
      </c>
      <c r="E66" s="35">
        <f t="shared" si="3"/>
        <v>106356.3714478125</v>
      </c>
      <c r="F66" s="35">
        <f t="shared" si="4"/>
        <v>22593311.027534403</v>
      </c>
      <c r="G66" s="33">
        <f t="shared" si="5"/>
        <v>212</v>
      </c>
      <c r="H66" s="35">
        <f t="shared" si="6"/>
        <v>22547550.74693625</v>
      </c>
      <c r="I66" s="35">
        <f t="shared" si="7"/>
        <v>45760.280598152429</v>
      </c>
      <c r="J66" s="35">
        <f t="shared" si="8"/>
        <v>901902.02987745008</v>
      </c>
      <c r="K66" s="35">
        <f t="shared" si="9"/>
        <v>1769770.0208916003</v>
      </c>
      <c r="L66" s="35">
        <f t="shared" si="10"/>
        <v>0</v>
      </c>
      <c r="M66" s="35">
        <f t="shared" si="11"/>
        <v>10618620.125349602</v>
      </c>
      <c r="N66" s="36">
        <f t="shared" si="12"/>
        <v>0.35880000000000001</v>
      </c>
      <c r="O66" s="35">
        <f t="shared" si="13"/>
        <v>0</v>
      </c>
      <c r="P66" s="35">
        <f t="shared" si="14"/>
        <v>0</v>
      </c>
      <c r="Q66" s="35">
        <f t="shared" si="15"/>
        <v>0</v>
      </c>
      <c r="R66" s="35">
        <f t="shared" si="16"/>
        <v>23495213.057411853</v>
      </c>
      <c r="S66" s="33">
        <f t="shared" si="17"/>
        <v>220</v>
      </c>
    </row>
    <row r="67" spans="1:19" x14ac:dyDescent="0.3">
      <c r="A67" s="33">
        <f>63</f>
        <v>63</v>
      </c>
      <c r="B67" s="34">
        <f t="shared" si="0"/>
        <v>48274</v>
      </c>
      <c r="C67" s="33">
        <f t="shared" si="1"/>
        <v>6</v>
      </c>
      <c r="D67" s="33">
        <f t="shared" si="2"/>
        <v>3</v>
      </c>
      <c r="E67" s="35">
        <f t="shared" si="3"/>
        <v>106356.3714478125</v>
      </c>
      <c r="F67" s="35">
        <f t="shared" si="4"/>
        <v>23495213.057411853</v>
      </c>
      <c r="G67" s="33">
        <f t="shared" si="5"/>
        <v>220</v>
      </c>
      <c r="H67" s="35">
        <f t="shared" si="6"/>
        <v>23398401.718518753</v>
      </c>
      <c r="I67" s="35">
        <f t="shared" si="7"/>
        <v>96811.338893100619</v>
      </c>
      <c r="J67" s="35">
        <f t="shared" si="8"/>
        <v>935936.06874075008</v>
      </c>
      <c r="K67" s="35">
        <f t="shared" si="9"/>
        <v>2705706.0896323505</v>
      </c>
      <c r="L67" s="35">
        <f t="shared" si="10"/>
        <v>2705706.0896323505</v>
      </c>
      <c r="M67" s="35">
        <f t="shared" si="11"/>
        <v>10822824.358529402</v>
      </c>
      <c r="N67" s="36">
        <f t="shared" si="12"/>
        <v>0.35880000000000001</v>
      </c>
      <c r="O67" s="35">
        <f t="shared" si="13"/>
        <v>970807.34496008733</v>
      </c>
      <c r="P67" s="35">
        <f t="shared" si="14"/>
        <v>970807.34496008733</v>
      </c>
      <c r="Q67" s="35">
        <f t="shared" si="15"/>
        <v>0</v>
      </c>
      <c r="R67" s="35">
        <f t="shared" si="16"/>
        <v>23460341.781192519</v>
      </c>
      <c r="S67" s="33">
        <f t="shared" si="17"/>
        <v>220</v>
      </c>
    </row>
    <row r="68" spans="1:19" x14ac:dyDescent="0.3">
      <c r="A68" s="33">
        <f>64</f>
        <v>64</v>
      </c>
      <c r="B68" s="34">
        <f t="shared" si="0"/>
        <v>48305</v>
      </c>
      <c r="C68" s="33">
        <f t="shared" si="1"/>
        <v>6</v>
      </c>
      <c r="D68" s="33">
        <f t="shared" si="2"/>
        <v>4</v>
      </c>
      <c r="E68" s="35">
        <f t="shared" si="3"/>
        <v>106356.3714478125</v>
      </c>
      <c r="F68" s="35">
        <f t="shared" si="4"/>
        <v>23460341.781192519</v>
      </c>
      <c r="G68" s="33">
        <f t="shared" si="5"/>
        <v>220</v>
      </c>
      <c r="H68" s="35">
        <f t="shared" si="6"/>
        <v>23398401.718518753</v>
      </c>
      <c r="I68" s="35">
        <f t="shared" si="7"/>
        <v>61940.062673766166</v>
      </c>
      <c r="J68" s="35">
        <f t="shared" si="8"/>
        <v>935936.06874075008</v>
      </c>
      <c r="K68" s="35">
        <f t="shared" si="9"/>
        <v>3641642.1583731007</v>
      </c>
      <c r="L68" s="35">
        <f t="shared" si="10"/>
        <v>0</v>
      </c>
      <c r="M68" s="35">
        <f t="shared" si="11"/>
        <v>10924926.475119302</v>
      </c>
      <c r="N68" s="36">
        <f t="shared" si="12"/>
        <v>0.35880000000000001</v>
      </c>
      <c r="O68" s="35">
        <f t="shared" si="13"/>
        <v>0</v>
      </c>
      <c r="P68" s="35">
        <f t="shared" si="14"/>
        <v>970807.34496008733</v>
      </c>
      <c r="Q68" s="35">
        <f t="shared" si="15"/>
        <v>0</v>
      </c>
      <c r="R68" s="35">
        <f t="shared" si="16"/>
        <v>24396277.84993327</v>
      </c>
      <c r="S68" s="33">
        <f t="shared" si="17"/>
        <v>229</v>
      </c>
    </row>
    <row r="69" spans="1:19" x14ac:dyDescent="0.3">
      <c r="A69" s="33">
        <f>65</f>
        <v>65</v>
      </c>
      <c r="B69" s="34">
        <f t="shared" ref="B69:B132" si="18">IF($A69&gt;NYears*12,"",EDATE(StartMonth,$A69-1))</f>
        <v>48335</v>
      </c>
      <c r="C69" s="33">
        <f t="shared" ref="C69:C132" si="19">IF($A69&gt;NYears*12,"",INT(($A69-1)/12)+1)</f>
        <v>6</v>
      </c>
      <c r="D69" s="33">
        <f t="shared" ref="D69:D132" si="20">IF($A69&gt;NYears*12,"",MOD($A69-1,12)+1)</f>
        <v>5</v>
      </c>
      <c r="E69" s="35">
        <f t="shared" ref="E69:E132" si="21">IF($A69&gt;NYears*12,"",LotValue0*(1+LotGrowth)^($C69-1))</f>
        <v>106356.3714478125</v>
      </c>
      <c r="F69" s="35">
        <f t="shared" ref="F69:F132" si="22">IF($A69&gt;NYears*12,"",IF($A69=1,InitInvest,$R68))</f>
        <v>24396277.84993327</v>
      </c>
      <c r="G69" s="33">
        <f t="shared" ref="G69:G132" si="23">IF($A69&gt;NYears*12,"",INT($F69/$E69))</f>
        <v>229</v>
      </c>
      <c r="H69" s="35">
        <f t="shared" ref="H69:H132" si="24">IF($A69&gt;NYears*12,"",$G69*$E69)</f>
        <v>24355609.061549064</v>
      </c>
      <c r="I69" s="35">
        <f t="shared" ref="I69:I132" si="25">IF($A69&gt;NYears*12,"",$F69-$H69)</f>
        <v>40668.788384206593</v>
      </c>
      <c r="J69" s="35">
        <f t="shared" ref="J69:J132" si="26">IF($A69&gt;NYears*12,"",$H69*RateD)</f>
        <v>974224.36246196262</v>
      </c>
      <c r="K69" s="35">
        <f t="shared" ref="K69:K132" si="27">IF($A69&gt;NYears*12,"",IF($D69=1,$J69,$K68+$J69))</f>
        <v>4615866.5208350634</v>
      </c>
      <c r="L69" s="35">
        <f t="shared" ref="L69:L132" si="28">IF($A69&gt;NYears*12,"",IF(MOD($D69,3)=0,SUM($J67:$J69),0))</f>
        <v>0</v>
      </c>
      <c r="M69" s="35">
        <f t="shared" ref="M69:M132" si="29">IF($A69&gt;NYears*12,"",IF(TaxFreq="Quarterly",$K69*12/$D69,$K69))</f>
        <v>11078079.650004152</v>
      </c>
      <c r="N69" s="36">
        <f t="shared" ref="N69:N132" si="30">IF($A69&gt;NYears*12,"",LOOKUP($M69,TaxLower,TaxRate))</f>
        <v>0.35880000000000001</v>
      </c>
      <c r="O69" s="35">
        <f t="shared" ref="O69:O132" si="31">IF($A69&gt;NYears*12,"",IF(TaxFreq="Quarterly",IF(MOD($D69,3)=0,$L69*$N69,0),IF($D69=12,$K69*$N69,0)))</f>
        <v>0</v>
      </c>
      <c r="P69" s="35">
        <f t="shared" ref="P69:P132" si="32">IF($A69&gt;NYears*12,"",IF($D69=1,$O69,$P68+$O69))</f>
        <v>970807.34496008733</v>
      </c>
      <c r="Q69" s="35">
        <f t="shared" ref="Q69:Q132" si="33">IF($A69&gt;NYears*12,"",IF($D69=12,MIN(WdrPct*IF(WdrBase="Post-tax profit",$K69-$P69,$K69),WdrCap),0))</f>
        <v>0</v>
      </c>
      <c r="R69" s="35">
        <f t="shared" ref="R69:R132" si="34">IF($A69&gt;NYears*12,"",$F69+$J69-$O69-$Q69)</f>
        <v>25370502.212395232</v>
      </c>
      <c r="S69" s="33">
        <f t="shared" ref="S69:S132" si="35">IF($A69&gt;NYears*12,"",INT($R69/$E69))</f>
        <v>238</v>
      </c>
    </row>
    <row r="70" spans="1:19" x14ac:dyDescent="0.3">
      <c r="A70" s="33">
        <f>66</f>
        <v>66</v>
      </c>
      <c r="B70" s="34">
        <f t="shared" si="18"/>
        <v>48366</v>
      </c>
      <c r="C70" s="33">
        <f t="shared" si="19"/>
        <v>6</v>
      </c>
      <c r="D70" s="33">
        <f t="shared" si="20"/>
        <v>6</v>
      </c>
      <c r="E70" s="35">
        <f t="shared" si="21"/>
        <v>106356.3714478125</v>
      </c>
      <c r="F70" s="35">
        <f t="shared" si="22"/>
        <v>25370502.212395232</v>
      </c>
      <c r="G70" s="33">
        <f t="shared" si="23"/>
        <v>238</v>
      </c>
      <c r="H70" s="35">
        <f t="shared" si="24"/>
        <v>25312816.404579375</v>
      </c>
      <c r="I70" s="35">
        <f t="shared" si="25"/>
        <v>57685.807815857232</v>
      </c>
      <c r="J70" s="35">
        <f t="shared" si="26"/>
        <v>1012512.656183175</v>
      </c>
      <c r="K70" s="35">
        <f t="shared" si="27"/>
        <v>5628379.1770182382</v>
      </c>
      <c r="L70" s="35">
        <f t="shared" si="28"/>
        <v>2922673.0873858877</v>
      </c>
      <c r="M70" s="35">
        <f t="shared" si="29"/>
        <v>11256758.354036475</v>
      </c>
      <c r="N70" s="36">
        <f t="shared" si="30"/>
        <v>0.35880000000000001</v>
      </c>
      <c r="O70" s="35">
        <f t="shared" si="31"/>
        <v>1048655.1037540566</v>
      </c>
      <c r="P70" s="35">
        <f t="shared" si="32"/>
        <v>2019462.4487141441</v>
      </c>
      <c r="Q70" s="35">
        <f t="shared" si="33"/>
        <v>0</v>
      </c>
      <c r="R70" s="35">
        <f t="shared" si="34"/>
        <v>25334359.764824353</v>
      </c>
      <c r="S70" s="33">
        <f t="shared" si="35"/>
        <v>238</v>
      </c>
    </row>
    <row r="71" spans="1:19" x14ac:dyDescent="0.3">
      <c r="A71" s="33">
        <f>67</f>
        <v>67</v>
      </c>
      <c r="B71" s="34">
        <f t="shared" si="18"/>
        <v>48396</v>
      </c>
      <c r="C71" s="33">
        <f t="shared" si="19"/>
        <v>6</v>
      </c>
      <c r="D71" s="33">
        <f t="shared" si="20"/>
        <v>7</v>
      </c>
      <c r="E71" s="35">
        <f t="shared" si="21"/>
        <v>106356.3714478125</v>
      </c>
      <c r="F71" s="35">
        <f t="shared" si="22"/>
        <v>25334359.764824353</v>
      </c>
      <c r="G71" s="33">
        <f t="shared" si="23"/>
        <v>238</v>
      </c>
      <c r="H71" s="35">
        <f t="shared" si="24"/>
        <v>25312816.404579375</v>
      </c>
      <c r="I71" s="35">
        <f t="shared" si="25"/>
        <v>21543.360244978219</v>
      </c>
      <c r="J71" s="35">
        <f t="shared" si="26"/>
        <v>1012512.656183175</v>
      </c>
      <c r="K71" s="35">
        <f t="shared" si="27"/>
        <v>6640891.833201413</v>
      </c>
      <c r="L71" s="35">
        <f t="shared" si="28"/>
        <v>0</v>
      </c>
      <c r="M71" s="35">
        <f t="shared" si="29"/>
        <v>11384385.999773851</v>
      </c>
      <c r="N71" s="36">
        <f t="shared" si="30"/>
        <v>0.35880000000000001</v>
      </c>
      <c r="O71" s="35">
        <f t="shared" si="31"/>
        <v>0</v>
      </c>
      <c r="P71" s="35">
        <f t="shared" si="32"/>
        <v>2019462.4487141441</v>
      </c>
      <c r="Q71" s="35">
        <f t="shared" si="33"/>
        <v>0</v>
      </c>
      <c r="R71" s="35">
        <f t="shared" si="34"/>
        <v>26346872.421007529</v>
      </c>
      <c r="S71" s="33">
        <f t="shared" si="35"/>
        <v>247</v>
      </c>
    </row>
    <row r="72" spans="1:19" x14ac:dyDescent="0.3">
      <c r="A72" s="33">
        <f>68</f>
        <v>68</v>
      </c>
      <c r="B72" s="34">
        <f t="shared" si="18"/>
        <v>48427</v>
      </c>
      <c r="C72" s="33">
        <f t="shared" si="19"/>
        <v>6</v>
      </c>
      <c r="D72" s="33">
        <f t="shared" si="20"/>
        <v>8</v>
      </c>
      <c r="E72" s="35">
        <f t="shared" si="21"/>
        <v>106356.3714478125</v>
      </c>
      <c r="F72" s="35">
        <f t="shared" si="22"/>
        <v>26346872.421007529</v>
      </c>
      <c r="G72" s="33">
        <f t="shared" si="23"/>
        <v>247</v>
      </c>
      <c r="H72" s="35">
        <f t="shared" si="24"/>
        <v>26270023.74760969</v>
      </c>
      <c r="I72" s="35">
        <f t="shared" si="25"/>
        <v>76848.673397839069</v>
      </c>
      <c r="J72" s="35">
        <f t="shared" si="26"/>
        <v>1050800.9499043876</v>
      </c>
      <c r="K72" s="35">
        <f t="shared" si="27"/>
        <v>7691692.7831058009</v>
      </c>
      <c r="L72" s="35">
        <f t="shared" si="28"/>
        <v>0</v>
      </c>
      <c r="M72" s="35">
        <f t="shared" si="29"/>
        <v>11537539.174658701</v>
      </c>
      <c r="N72" s="36">
        <f t="shared" si="30"/>
        <v>0.35880000000000001</v>
      </c>
      <c r="O72" s="35">
        <f t="shared" si="31"/>
        <v>0</v>
      </c>
      <c r="P72" s="35">
        <f t="shared" si="32"/>
        <v>2019462.4487141441</v>
      </c>
      <c r="Q72" s="35">
        <f t="shared" si="33"/>
        <v>0</v>
      </c>
      <c r="R72" s="35">
        <f t="shared" si="34"/>
        <v>27397673.370911915</v>
      </c>
      <c r="S72" s="33">
        <f t="shared" si="35"/>
        <v>257</v>
      </c>
    </row>
    <row r="73" spans="1:19" x14ac:dyDescent="0.3">
      <c r="A73" s="33">
        <f>69</f>
        <v>69</v>
      </c>
      <c r="B73" s="34">
        <f t="shared" si="18"/>
        <v>48458</v>
      </c>
      <c r="C73" s="33">
        <f t="shared" si="19"/>
        <v>6</v>
      </c>
      <c r="D73" s="33">
        <f t="shared" si="20"/>
        <v>9</v>
      </c>
      <c r="E73" s="35">
        <f t="shared" si="21"/>
        <v>106356.3714478125</v>
      </c>
      <c r="F73" s="35">
        <f t="shared" si="22"/>
        <v>27397673.370911915</v>
      </c>
      <c r="G73" s="33">
        <f t="shared" si="23"/>
        <v>257</v>
      </c>
      <c r="H73" s="35">
        <f t="shared" si="24"/>
        <v>27333587.462087814</v>
      </c>
      <c r="I73" s="35">
        <f t="shared" si="25"/>
        <v>64085.90882410109</v>
      </c>
      <c r="J73" s="35">
        <f t="shared" si="26"/>
        <v>1093343.4984835126</v>
      </c>
      <c r="K73" s="35">
        <f t="shared" si="27"/>
        <v>8785036.2815893143</v>
      </c>
      <c r="L73" s="35">
        <f t="shared" si="28"/>
        <v>3156657.1045710752</v>
      </c>
      <c r="M73" s="35">
        <f t="shared" si="29"/>
        <v>11713381.708785752</v>
      </c>
      <c r="N73" s="36">
        <f t="shared" si="30"/>
        <v>0.35880000000000001</v>
      </c>
      <c r="O73" s="35">
        <f t="shared" si="31"/>
        <v>1132608.5691201019</v>
      </c>
      <c r="P73" s="35">
        <f t="shared" si="32"/>
        <v>3152071.0178342462</v>
      </c>
      <c r="Q73" s="35">
        <f t="shared" si="33"/>
        <v>0</v>
      </c>
      <c r="R73" s="35">
        <f t="shared" si="34"/>
        <v>27358408.300275326</v>
      </c>
      <c r="S73" s="33">
        <f t="shared" si="35"/>
        <v>257</v>
      </c>
    </row>
    <row r="74" spans="1:19" x14ac:dyDescent="0.3">
      <c r="A74" s="33">
        <f>70</f>
        <v>70</v>
      </c>
      <c r="B74" s="34">
        <f t="shared" si="18"/>
        <v>48488</v>
      </c>
      <c r="C74" s="33">
        <f t="shared" si="19"/>
        <v>6</v>
      </c>
      <c r="D74" s="33">
        <f t="shared" si="20"/>
        <v>10</v>
      </c>
      <c r="E74" s="35">
        <f t="shared" si="21"/>
        <v>106356.3714478125</v>
      </c>
      <c r="F74" s="35">
        <f t="shared" si="22"/>
        <v>27358408.300275326</v>
      </c>
      <c r="G74" s="33">
        <f t="shared" si="23"/>
        <v>257</v>
      </c>
      <c r="H74" s="35">
        <f t="shared" si="24"/>
        <v>27333587.462087814</v>
      </c>
      <c r="I74" s="35">
        <f t="shared" si="25"/>
        <v>24820.83818751201</v>
      </c>
      <c r="J74" s="35">
        <f t="shared" si="26"/>
        <v>1093343.4984835126</v>
      </c>
      <c r="K74" s="35">
        <f t="shared" si="27"/>
        <v>9878379.7800728269</v>
      </c>
      <c r="L74" s="35">
        <f t="shared" si="28"/>
        <v>0</v>
      </c>
      <c r="M74" s="35">
        <f t="shared" si="29"/>
        <v>11854055.736087393</v>
      </c>
      <c r="N74" s="36">
        <f t="shared" si="30"/>
        <v>0.35880000000000001</v>
      </c>
      <c r="O74" s="35">
        <f t="shared" si="31"/>
        <v>0</v>
      </c>
      <c r="P74" s="35">
        <f t="shared" si="32"/>
        <v>3152071.0178342462</v>
      </c>
      <c r="Q74" s="35">
        <f t="shared" si="33"/>
        <v>0</v>
      </c>
      <c r="R74" s="35">
        <f t="shared" si="34"/>
        <v>28451751.798758838</v>
      </c>
      <c r="S74" s="33">
        <f t="shared" si="35"/>
        <v>267</v>
      </c>
    </row>
    <row r="75" spans="1:19" x14ac:dyDescent="0.3">
      <c r="A75" s="33">
        <f>71</f>
        <v>71</v>
      </c>
      <c r="B75" s="34">
        <f t="shared" si="18"/>
        <v>48519</v>
      </c>
      <c r="C75" s="33">
        <f t="shared" si="19"/>
        <v>6</v>
      </c>
      <c r="D75" s="33">
        <f t="shared" si="20"/>
        <v>11</v>
      </c>
      <c r="E75" s="35">
        <f t="shared" si="21"/>
        <v>106356.3714478125</v>
      </c>
      <c r="F75" s="35">
        <f t="shared" si="22"/>
        <v>28451751.798758838</v>
      </c>
      <c r="G75" s="33">
        <f t="shared" si="23"/>
        <v>267</v>
      </c>
      <c r="H75" s="35">
        <f t="shared" si="24"/>
        <v>28397151.176565938</v>
      </c>
      <c r="I75" s="35">
        <f t="shared" si="25"/>
        <v>54600.622192900628</v>
      </c>
      <c r="J75" s="35">
        <f t="shared" si="26"/>
        <v>1135886.0470626375</v>
      </c>
      <c r="K75" s="35">
        <f t="shared" si="27"/>
        <v>11014265.827135464</v>
      </c>
      <c r="L75" s="35">
        <f t="shared" si="28"/>
        <v>0</v>
      </c>
      <c r="M75" s="35">
        <f t="shared" si="29"/>
        <v>12015562.720511414</v>
      </c>
      <c r="N75" s="36">
        <f t="shared" si="30"/>
        <v>0.35880000000000001</v>
      </c>
      <c r="O75" s="35">
        <f t="shared" si="31"/>
        <v>0</v>
      </c>
      <c r="P75" s="35">
        <f t="shared" si="32"/>
        <v>3152071.0178342462</v>
      </c>
      <c r="Q75" s="35">
        <f t="shared" si="33"/>
        <v>0</v>
      </c>
      <c r="R75" s="35">
        <f t="shared" si="34"/>
        <v>29587637.845821477</v>
      </c>
      <c r="S75" s="33">
        <f t="shared" si="35"/>
        <v>278</v>
      </c>
    </row>
    <row r="76" spans="1:19" x14ac:dyDescent="0.3">
      <c r="A76" s="37">
        <f>72</f>
        <v>72</v>
      </c>
      <c r="B76" s="38">
        <f t="shared" si="18"/>
        <v>48549</v>
      </c>
      <c r="C76" s="37">
        <f t="shared" si="19"/>
        <v>6</v>
      </c>
      <c r="D76" s="37">
        <f t="shared" si="20"/>
        <v>12</v>
      </c>
      <c r="E76" s="39">
        <f t="shared" si="21"/>
        <v>106356.3714478125</v>
      </c>
      <c r="F76" s="39">
        <f t="shared" si="22"/>
        <v>29587637.845821477</v>
      </c>
      <c r="G76" s="37">
        <f t="shared" si="23"/>
        <v>278</v>
      </c>
      <c r="H76" s="39">
        <f t="shared" si="24"/>
        <v>29567071.262491874</v>
      </c>
      <c r="I76" s="39">
        <f t="shared" si="25"/>
        <v>20566.583329603076</v>
      </c>
      <c r="J76" s="39">
        <f t="shared" si="26"/>
        <v>1182682.8504996749</v>
      </c>
      <c r="K76" s="39">
        <f t="shared" si="27"/>
        <v>12196948.677635139</v>
      </c>
      <c r="L76" s="39">
        <f t="shared" si="28"/>
        <v>3411912.3960458245</v>
      </c>
      <c r="M76" s="39">
        <f t="shared" si="29"/>
        <v>12196948.677635139</v>
      </c>
      <c r="N76" s="40">
        <f t="shared" si="30"/>
        <v>0.35880000000000001</v>
      </c>
      <c r="O76" s="39">
        <f t="shared" si="31"/>
        <v>1224194.1677012418</v>
      </c>
      <c r="P76" s="39">
        <f t="shared" si="32"/>
        <v>4376265.1855354877</v>
      </c>
      <c r="Q76" s="39">
        <f t="shared" si="33"/>
        <v>782068.34920996521</v>
      </c>
      <c r="R76" s="39">
        <f t="shared" si="34"/>
        <v>28764058.179409947</v>
      </c>
      <c r="S76" s="37">
        <f t="shared" si="35"/>
        <v>270</v>
      </c>
    </row>
    <row r="77" spans="1:19" x14ac:dyDescent="0.3">
      <c r="A77" s="33">
        <f>73</f>
        <v>73</v>
      </c>
      <c r="B77" s="34">
        <f t="shared" si="18"/>
        <v>48580</v>
      </c>
      <c r="C77" s="33">
        <f t="shared" si="19"/>
        <v>7</v>
      </c>
      <c r="D77" s="33">
        <f t="shared" si="20"/>
        <v>1</v>
      </c>
      <c r="E77" s="35">
        <f t="shared" si="21"/>
        <v>111674.19002020312</v>
      </c>
      <c r="F77" s="35">
        <f t="shared" si="22"/>
        <v>28764058.179409947</v>
      </c>
      <c r="G77" s="33">
        <f t="shared" si="23"/>
        <v>257</v>
      </c>
      <c r="H77" s="35">
        <f t="shared" si="24"/>
        <v>28700266.835192204</v>
      </c>
      <c r="I77" s="35">
        <f t="shared" si="25"/>
        <v>63791.344217743725</v>
      </c>
      <c r="J77" s="35">
        <f t="shared" si="26"/>
        <v>1148010.6734076883</v>
      </c>
      <c r="K77" s="35">
        <f t="shared" si="27"/>
        <v>1148010.6734076883</v>
      </c>
      <c r="L77" s="35">
        <f t="shared" si="28"/>
        <v>0</v>
      </c>
      <c r="M77" s="35">
        <f t="shared" si="29"/>
        <v>13776128.080892259</v>
      </c>
      <c r="N77" s="36">
        <f t="shared" si="30"/>
        <v>0.35880000000000001</v>
      </c>
      <c r="O77" s="35">
        <f t="shared" si="31"/>
        <v>0</v>
      </c>
      <c r="P77" s="35">
        <f t="shared" si="32"/>
        <v>0</v>
      </c>
      <c r="Q77" s="35">
        <f t="shared" si="33"/>
        <v>0</v>
      </c>
      <c r="R77" s="35">
        <f t="shared" si="34"/>
        <v>29912068.852817636</v>
      </c>
      <c r="S77" s="33">
        <f t="shared" si="35"/>
        <v>267</v>
      </c>
    </row>
    <row r="78" spans="1:19" x14ac:dyDescent="0.3">
      <c r="A78" s="33">
        <f>74</f>
        <v>74</v>
      </c>
      <c r="B78" s="34">
        <f t="shared" si="18"/>
        <v>48611</v>
      </c>
      <c r="C78" s="33">
        <f t="shared" si="19"/>
        <v>7</v>
      </c>
      <c r="D78" s="33">
        <f t="shared" si="20"/>
        <v>2</v>
      </c>
      <c r="E78" s="35">
        <f t="shared" si="21"/>
        <v>111674.19002020312</v>
      </c>
      <c r="F78" s="35">
        <f t="shared" si="22"/>
        <v>29912068.852817636</v>
      </c>
      <c r="G78" s="33">
        <f t="shared" si="23"/>
        <v>267</v>
      </c>
      <c r="H78" s="35">
        <f t="shared" si="24"/>
        <v>29817008.735394236</v>
      </c>
      <c r="I78" s="35">
        <f t="shared" si="25"/>
        <v>95060.117423400283</v>
      </c>
      <c r="J78" s="35">
        <f t="shared" si="26"/>
        <v>1192680.3494157696</v>
      </c>
      <c r="K78" s="35">
        <f t="shared" si="27"/>
        <v>2340691.0228234576</v>
      </c>
      <c r="L78" s="35">
        <f t="shared" si="28"/>
        <v>0</v>
      </c>
      <c r="M78" s="35">
        <f t="shared" si="29"/>
        <v>14044146.136940746</v>
      </c>
      <c r="N78" s="36">
        <f t="shared" si="30"/>
        <v>0.35880000000000001</v>
      </c>
      <c r="O78" s="35">
        <f t="shared" si="31"/>
        <v>0</v>
      </c>
      <c r="P78" s="35">
        <f t="shared" si="32"/>
        <v>0</v>
      </c>
      <c r="Q78" s="35">
        <f t="shared" si="33"/>
        <v>0</v>
      </c>
      <c r="R78" s="35">
        <f t="shared" si="34"/>
        <v>31104749.202233404</v>
      </c>
      <c r="S78" s="33">
        <f t="shared" si="35"/>
        <v>278</v>
      </c>
    </row>
    <row r="79" spans="1:19" x14ac:dyDescent="0.3">
      <c r="A79" s="33">
        <f>75</f>
        <v>75</v>
      </c>
      <c r="B79" s="34">
        <f t="shared" si="18"/>
        <v>48639</v>
      </c>
      <c r="C79" s="33">
        <f t="shared" si="19"/>
        <v>7</v>
      </c>
      <c r="D79" s="33">
        <f t="shared" si="20"/>
        <v>3</v>
      </c>
      <c r="E79" s="35">
        <f t="shared" si="21"/>
        <v>111674.19002020312</v>
      </c>
      <c r="F79" s="35">
        <f t="shared" si="22"/>
        <v>31104749.202233404</v>
      </c>
      <c r="G79" s="33">
        <f t="shared" si="23"/>
        <v>278</v>
      </c>
      <c r="H79" s="35">
        <f t="shared" si="24"/>
        <v>31045424.825616468</v>
      </c>
      <c r="I79" s="35">
        <f t="shared" si="25"/>
        <v>59324.376616936177</v>
      </c>
      <c r="J79" s="35">
        <f t="shared" si="26"/>
        <v>1241816.9930246586</v>
      </c>
      <c r="K79" s="35">
        <f t="shared" si="27"/>
        <v>3582508.015848116</v>
      </c>
      <c r="L79" s="35">
        <f t="shared" si="28"/>
        <v>3582508.015848116</v>
      </c>
      <c r="M79" s="35">
        <f t="shared" si="29"/>
        <v>14330032.063392466</v>
      </c>
      <c r="N79" s="36">
        <f t="shared" si="30"/>
        <v>0.35880000000000001</v>
      </c>
      <c r="O79" s="35">
        <f t="shared" si="31"/>
        <v>1285403.876086304</v>
      </c>
      <c r="P79" s="35">
        <f t="shared" si="32"/>
        <v>1285403.876086304</v>
      </c>
      <c r="Q79" s="35">
        <f t="shared" si="33"/>
        <v>0</v>
      </c>
      <c r="R79" s="35">
        <f t="shared" si="34"/>
        <v>31061162.319171757</v>
      </c>
      <c r="S79" s="33">
        <f t="shared" si="35"/>
        <v>278</v>
      </c>
    </row>
    <row r="80" spans="1:19" x14ac:dyDescent="0.3">
      <c r="A80" s="33">
        <f>76</f>
        <v>76</v>
      </c>
      <c r="B80" s="34">
        <f t="shared" si="18"/>
        <v>48670</v>
      </c>
      <c r="C80" s="33">
        <f t="shared" si="19"/>
        <v>7</v>
      </c>
      <c r="D80" s="33">
        <f t="shared" si="20"/>
        <v>4</v>
      </c>
      <c r="E80" s="35">
        <f t="shared" si="21"/>
        <v>111674.19002020312</v>
      </c>
      <c r="F80" s="35">
        <f t="shared" si="22"/>
        <v>31061162.319171757</v>
      </c>
      <c r="G80" s="33">
        <f t="shared" si="23"/>
        <v>278</v>
      </c>
      <c r="H80" s="35">
        <f t="shared" si="24"/>
        <v>31045424.825616468</v>
      </c>
      <c r="I80" s="35">
        <f t="shared" si="25"/>
        <v>15737.493555288762</v>
      </c>
      <c r="J80" s="35">
        <f t="shared" si="26"/>
        <v>1241816.9930246586</v>
      </c>
      <c r="K80" s="35">
        <f t="shared" si="27"/>
        <v>4824325.0088727744</v>
      </c>
      <c r="L80" s="35">
        <f t="shared" si="28"/>
        <v>0</v>
      </c>
      <c r="M80" s="35">
        <f t="shared" si="29"/>
        <v>14472975.026618324</v>
      </c>
      <c r="N80" s="36">
        <f t="shared" si="30"/>
        <v>0.35880000000000001</v>
      </c>
      <c r="O80" s="35">
        <f t="shared" si="31"/>
        <v>0</v>
      </c>
      <c r="P80" s="35">
        <f t="shared" si="32"/>
        <v>1285403.876086304</v>
      </c>
      <c r="Q80" s="35">
        <f t="shared" si="33"/>
        <v>0</v>
      </c>
      <c r="R80" s="35">
        <f t="shared" si="34"/>
        <v>32302979.312196415</v>
      </c>
      <c r="S80" s="33">
        <f t="shared" si="35"/>
        <v>289</v>
      </c>
    </row>
    <row r="81" spans="1:19" x14ac:dyDescent="0.3">
      <c r="A81" s="33">
        <f>77</f>
        <v>77</v>
      </c>
      <c r="B81" s="34">
        <f t="shared" si="18"/>
        <v>48700</v>
      </c>
      <c r="C81" s="33">
        <f t="shared" si="19"/>
        <v>7</v>
      </c>
      <c r="D81" s="33">
        <f t="shared" si="20"/>
        <v>5</v>
      </c>
      <c r="E81" s="35">
        <f t="shared" si="21"/>
        <v>111674.19002020312</v>
      </c>
      <c r="F81" s="35">
        <f t="shared" si="22"/>
        <v>32302979.312196415</v>
      </c>
      <c r="G81" s="33">
        <f t="shared" si="23"/>
        <v>289</v>
      </c>
      <c r="H81" s="35">
        <f t="shared" si="24"/>
        <v>32273840.915838704</v>
      </c>
      <c r="I81" s="35">
        <f t="shared" si="25"/>
        <v>29138.396357711405</v>
      </c>
      <c r="J81" s="35">
        <f t="shared" si="26"/>
        <v>1290953.6366335482</v>
      </c>
      <c r="K81" s="35">
        <f t="shared" si="27"/>
        <v>6115278.6455063224</v>
      </c>
      <c r="L81" s="35">
        <f t="shared" si="28"/>
        <v>0</v>
      </c>
      <c r="M81" s="35">
        <f t="shared" si="29"/>
        <v>14676668.749215174</v>
      </c>
      <c r="N81" s="36">
        <f t="shared" si="30"/>
        <v>0.35880000000000001</v>
      </c>
      <c r="O81" s="35">
        <f t="shared" si="31"/>
        <v>0</v>
      </c>
      <c r="P81" s="35">
        <f t="shared" si="32"/>
        <v>1285403.876086304</v>
      </c>
      <c r="Q81" s="35">
        <f t="shared" si="33"/>
        <v>0</v>
      </c>
      <c r="R81" s="35">
        <f t="shared" si="34"/>
        <v>33593932.948829964</v>
      </c>
      <c r="S81" s="33">
        <f t="shared" si="35"/>
        <v>300</v>
      </c>
    </row>
    <row r="82" spans="1:19" x14ac:dyDescent="0.3">
      <c r="A82" s="33">
        <f>78</f>
        <v>78</v>
      </c>
      <c r="B82" s="34">
        <f t="shared" si="18"/>
        <v>48731</v>
      </c>
      <c r="C82" s="33">
        <f t="shared" si="19"/>
        <v>7</v>
      </c>
      <c r="D82" s="33">
        <f t="shared" si="20"/>
        <v>6</v>
      </c>
      <c r="E82" s="35">
        <f t="shared" si="21"/>
        <v>111674.19002020312</v>
      </c>
      <c r="F82" s="35">
        <f t="shared" si="22"/>
        <v>33593932.948829964</v>
      </c>
      <c r="G82" s="33">
        <f t="shared" si="23"/>
        <v>300</v>
      </c>
      <c r="H82" s="35">
        <f t="shared" si="24"/>
        <v>33502257.006060936</v>
      </c>
      <c r="I82" s="35">
        <f t="shared" si="25"/>
        <v>91675.942769028246</v>
      </c>
      <c r="J82" s="35">
        <f t="shared" si="26"/>
        <v>1340090.2802424375</v>
      </c>
      <c r="K82" s="35">
        <f t="shared" si="27"/>
        <v>7455368.9257487599</v>
      </c>
      <c r="L82" s="35">
        <f t="shared" si="28"/>
        <v>3872860.9099006443</v>
      </c>
      <c r="M82" s="35">
        <f t="shared" si="29"/>
        <v>14910737.851497522</v>
      </c>
      <c r="N82" s="36">
        <f t="shared" si="30"/>
        <v>0.35880000000000001</v>
      </c>
      <c r="O82" s="35">
        <f t="shared" si="31"/>
        <v>1389582.4944723512</v>
      </c>
      <c r="P82" s="35">
        <f t="shared" si="32"/>
        <v>2674986.3705586549</v>
      </c>
      <c r="Q82" s="35">
        <f t="shared" si="33"/>
        <v>0</v>
      </c>
      <c r="R82" s="35">
        <f t="shared" si="34"/>
        <v>33544440.734600049</v>
      </c>
      <c r="S82" s="33">
        <f t="shared" si="35"/>
        <v>300</v>
      </c>
    </row>
    <row r="83" spans="1:19" x14ac:dyDescent="0.3">
      <c r="A83" s="33">
        <f>79</f>
        <v>79</v>
      </c>
      <c r="B83" s="34">
        <f t="shared" si="18"/>
        <v>48761</v>
      </c>
      <c r="C83" s="33">
        <f t="shared" si="19"/>
        <v>7</v>
      </c>
      <c r="D83" s="33">
        <f t="shared" si="20"/>
        <v>7</v>
      </c>
      <c r="E83" s="35">
        <f t="shared" si="21"/>
        <v>111674.19002020312</v>
      </c>
      <c r="F83" s="35">
        <f t="shared" si="22"/>
        <v>33544440.734600049</v>
      </c>
      <c r="G83" s="33">
        <f t="shared" si="23"/>
        <v>300</v>
      </c>
      <c r="H83" s="35">
        <f t="shared" si="24"/>
        <v>33502257.006060936</v>
      </c>
      <c r="I83" s="35">
        <f t="shared" si="25"/>
        <v>42183.728539112955</v>
      </c>
      <c r="J83" s="35">
        <f t="shared" si="26"/>
        <v>1340090.2802424375</v>
      </c>
      <c r="K83" s="35">
        <f t="shared" si="27"/>
        <v>8795459.2059911974</v>
      </c>
      <c r="L83" s="35">
        <f t="shared" si="28"/>
        <v>0</v>
      </c>
      <c r="M83" s="35">
        <f t="shared" si="29"/>
        <v>15077930.067413481</v>
      </c>
      <c r="N83" s="36">
        <f t="shared" si="30"/>
        <v>0.35880000000000001</v>
      </c>
      <c r="O83" s="35">
        <f t="shared" si="31"/>
        <v>0</v>
      </c>
      <c r="P83" s="35">
        <f t="shared" si="32"/>
        <v>2674986.3705586549</v>
      </c>
      <c r="Q83" s="35">
        <f t="shared" si="33"/>
        <v>0</v>
      </c>
      <c r="R83" s="35">
        <f t="shared" si="34"/>
        <v>34884531.014842488</v>
      </c>
      <c r="S83" s="33">
        <f t="shared" si="35"/>
        <v>312</v>
      </c>
    </row>
    <row r="84" spans="1:19" x14ac:dyDescent="0.3">
      <c r="A84" s="33">
        <f>80</f>
        <v>80</v>
      </c>
      <c r="B84" s="34">
        <f t="shared" si="18"/>
        <v>48792</v>
      </c>
      <c r="C84" s="33">
        <f t="shared" si="19"/>
        <v>7</v>
      </c>
      <c r="D84" s="33">
        <f t="shared" si="20"/>
        <v>8</v>
      </c>
      <c r="E84" s="35">
        <f t="shared" si="21"/>
        <v>111674.19002020312</v>
      </c>
      <c r="F84" s="35">
        <f t="shared" si="22"/>
        <v>34884531.014842488</v>
      </c>
      <c r="G84" s="33">
        <f t="shared" si="23"/>
        <v>312</v>
      </c>
      <c r="H84" s="35">
        <f t="shared" si="24"/>
        <v>34842347.286303371</v>
      </c>
      <c r="I84" s="35">
        <f t="shared" si="25"/>
        <v>42183.728539116681</v>
      </c>
      <c r="J84" s="35">
        <f t="shared" si="26"/>
        <v>1393693.8914521348</v>
      </c>
      <c r="K84" s="35">
        <f t="shared" si="27"/>
        <v>10189153.097443333</v>
      </c>
      <c r="L84" s="35">
        <f t="shared" si="28"/>
        <v>0</v>
      </c>
      <c r="M84" s="35">
        <f t="shared" si="29"/>
        <v>15283729.646164998</v>
      </c>
      <c r="N84" s="36">
        <f t="shared" si="30"/>
        <v>0.35880000000000001</v>
      </c>
      <c r="O84" s="35">
        <f t="shared" si="31"/>
        <v>0</v>
      </c>
      <c r="P84" s="35">
        <f t="shared" si="32"/>
        <v>2674986.3705586549</v>
      </c>
      <c r="Q84" s="35">
        <f t="shared" si="33"/>
        <v>0</v>
      </c>
      <c r="R84" s="35">
        <f t="shared" si="34"/>
        <v>36278224.906294622</v>
      </c>
      <c r="S84" s="33">
        <f t="shared" si="35"/>
        <v>324</v>
      </c>
    </row>
    <row r="85" spans="1:19" x14ac:dyDescent="0.3">
      <c r="A85" s="33">
        <f>81</f>
        <v>81</v>
      </c>
      <c r="B85" s="34">
        <f t="shared" si="18"/>
        <v>48823</v>
      </c>
      <c r="C85" s="33">
        <f t="shared" si="19"/>
        <v>7</v>
      </c>
      <c r="D85" s="33">
        <f t="shared" si="20"/>
        <v>9</v>
      </c>
      <c r="E85" s="35">
        <f t="shared" si="21"/>
        <v>111674.19002020312</v>
      </c>
      <c r="F85" s="35">
        <f t="shared" si="22"/>
        <v>36278224.906294622</v>
      </c>
      <c r="G85" s="33">
        <f t="shared" si="23"/>
        <v>324</v>
      </c>
      <c r="H85" s="35">
        <f t="shared" si="24"/>
        <v>36182437.566545814</v>
      </c>
      <c r="I85" s="35">
        <f t="shared" si="25"/>
        <v>95787.339748807251</v>
      </c>
      <c r="J85" s="35">
        <f t="shared" si="26"/>
        <v>1447297.5026618326</v>
      </c>
      <c r="K85" s="35">
        <f t="shared" si="27"/>
        <v>11636450.600105166</v>
      </c>
      <c r="L85" s="35">
        <f t="shared" si="28"/>
        <v>4181081.6743564047</v>
      </c>
      <c r="M85" s="35">
        <f t="shared" si="29"/>
        <v>15515267.466806889</v>
      </c>
      <c r="N85" s="36">
        <f t="shared" si="30"/>
        <v>0.35880000000000001</v>
      </c>
      <c r="O85" s="35">
        <f t="shared" si="31"/>
        <v>1500172.104759078</v>
      </c>
      <c r="P85" s="35">
        <f t="shared" si="32"/>
        <v>4175158.4753177329</v>
      </c>
      <c r="Q85" s="35">
        <f t="shared" si="33"/>
        <v>0</v>
      </c>
      <c r="R85" s="35">
        <f t="shared" si="34"/>
        <v>36225350.304197378</v>
      </c>
      <c r="S85" s="33">
        <f t="shared" si="35"/>
        <v>324</v>
      </c>
    </row>
    <row r="86" spans="1:19" x14ac:dyDescent="0.3">
      <c r="A86" s="33">
        <f>82</f>
        <v>82</v>
      </c>
      <c r="B86" s="34">
        <f t="shared" si="18"/>
        <v>48853</v>
      </c>
      <c r="C86" s="33">
        <f t="shared" si="19"/>
        <v>7</v>
      </c>
      <c r="D86" s="33">
        <f t="shared" si="20"/>
        <v>10</v>
      </c>
      <c r="E86" s="35">
        <f t="shared" si="21"/>
        <v>111674.19002020312</v>
      </c>
      <c r="F86" s="35">
        <f t="shared" si="22"/>
        <v>36225350.304197378</v>
      </c>
      <c r="G86" s="33">
        <f t="shared" si="23"/>
        <v>324</v>
      </c>
      <c r="H86" s="35">
        <f t="shared" si="24"/>
        <v>36182437.566545814</v>
      </c>
      <c r="I86" s="35">
        <f t="shared" si="25"/>
        <v>42912.737651564181</v>
      </c>
      <c r="J86" s="35">
        <f t="shared" si="26"/>
        <v>1447297.5026618326</v>
      </c>
      <c r="K86" s="35">
        <f t="shared" si="27"/>
        <v>13083748.102766998</v>
      </c>
      <c r="L86" s="35">
        <f t="shared" si="28"/>
        <v>0</v>
      </c>
      <c r="M86" s="35">
        <f t="shared" si="29"/>
        <v>15700497.723320398</v>
      </c>
      <c r="N86" s="36">
        <f t="shared" si="30"/>
        <v>0.35880000000000001</v>
      </c>
      <c r="O86" s="35">
        <f t="shared" si="31"/>
        <v>0</v>
      </c>
      <c r="P86" s="35">
        <f t="shared" si="32"/>
        <v>4175158.4753177329</v>
      </c>
      <c r="Q86" s="35">
        <f t="shared" si="33"/>
        <v>0</v>
      </c>
      <c r="R86" s="35">
        <f t="shared" si="34"/>
        <v>37672647.80685921</v>
      </c>
      <c r="S86" s="33">
        <f t="shared" si="35"/>
        <v>337</v>
      </c>
    </row>
    <row r="87" spans="1:19" x14ac:dyDescent="0.3">
      <c r="A87" s="33">
        <f>83</f>
        <v>83</v>
      </c>
      <c r="B87" s="34">
        <f t="shared" si="18"/>
        <v>48884</v>
      </c>
      <c r="C87" s="33">
        <f t="shared" si="19"/>
        <v>7</v>
      </c>
      <c r="D87" s="33">
        <f t="shared" si="20"/>
        <v>11</v>
      </c>
      <c r="E87" s="35">
        <f t="shared" si="21"/>
        <v>111674.19002020312</v>
      </c>
      <c r="F87" s="35">
        <f t="shared" si="22"/>
        <v>37672647.80685921</v>
      </c>
      <c r="G87" s="33">
        <f t="shared" si="23"/>
        <v>337</v>
      </c>
      <c r="H87" s="35">
        <f t="shared" si="24"/>
        <v>37634202.036808454</v>
      </c>
      <c r="I87" s="35">
        <f t="shared" si="25"/>
        <v>38445.770050756633</v>
      </c>
      <c r="J87" s="35">
        <f t="shared" si="26"/>
        <v>1505368.0814723382</v>
      </c>
      <c r="K87" s="35">
        <f t="shared" si="27"/>
        <v>14589116.184239335</v>
      </c>
      <c r="L87" s="35">
        <f t="shared" si="28"/>
        <v>0</v>
      </c>
      <c r="M87" s="35">
        <f t="shared" si="29"/>
        <v>15915399.473715639</v>
      </c>
      <c r="N87" s="36">
        <f t="shared" si="30"/>
        <v>0.35880000000000001</v>
      </c>
      <c r="O87" s="35">
        <f t="shared" si="31"/>
        <v>0</v>
      </c>
      <c r="P87" s="35">
        <f t="shared" si="32"/>
        <v>4175158.4753177329</v>
      </c>
      <c r="Q87" s="35">
        <f t="shared" si="33"/>
        <v>0</v>
      </c>
      <c r="R87" s="35">
        <f t="shared" si="34"/>
        <v>39178015.888331547</v>
      </c>
      <c r="S87" s="33">
        <f t="shared" si="35"/>
        <v>350</v>
      </c>
    </row>
    <row r="88" spans="1:19" x14ac:dyDescent="0.3">
      <c r="A88" s="37">
        <f>84</f>
        <v>84</v>
      </c>
      <c r="B88" s="38">
        <f t="shared" si="18"/>
        <v>48914</v>
      </c>
      <c r="C88" s="37">
        <f t="shared" si="19"/>
        <v>7</v>
      </c>
      <c r="D88" s="37">
        <f t="shared" si="20"/>
        <v>12</v>
      </c>
      <c r="E88" s="39">
        <f t="shared" si="21"/>
        <v>111674.19002020312</v>
      </c>
      <c r="F88" s="39">
        <f t="shared" si="22"/>
        <v>39178015.888331547</v>
      </c>
      <c r="G88" s="37">
        <f t="shared" si="23"/>
        <v>350</v>
      </c>
      <c r="H88" s="39">
        <f t="shared" si="24"/>
        <v>39085966.507071093</v>
      </c>
      <c r="I88" s="39">
        <f t="shared" si="25"/>
        <v>92049.381260454655</v>
      </c>
      <c r="J88" s="39">
        <f t="shared" si="26"/>
        <v>1563438.6602828437</v>
      </c>
      <c r="K88" s="39">
        <f t="shared" si="27"/>
        <v>16152554.844522178</v>
      </c>
      <c r="L88" s="39">
        <f t="shared" si="28"/>
        <v>4516104.2444170145</v>
      </c>
      <c r="M88" s="39">
        <f t="shared" si="29"/>
        <v>16152554.844522178</v>
      </c>
      <c r="N88" s="40">
        <f t="shared" si="30"/>
        <v>0.35880000000000001</v>
      </c>
      <c r="O88" s="39">
        <f t="shared" si="31"/>
        <v>1620378.2028968248</v>
      </c>
      <c r="P88" s="39">
        <f t="shared" si="32"/>
        <v>5795536.6782145575</v>
      </c>
      <c r="Q88" s="39">
        <f t="shared" si="33"/>
        <v>1035701.8166307621</v>
      </c>
      <c r="R88" s="39">
        <f t="shared" si="34"/>
        <v>38085374.529086798</v>
      </c>
      <c r="S88" s="37">
        <f t="shared" si="35"/>
        <v>341</v>
      </c>
    </row>
    <row r="89" spans="1:19" x14ac:dyDescent="0.3">
      <c r="A89" s="33">
        <f>85</f>
        <v>85</v>
      </c>
      <c r="B89" s="34">
        <f t="shared" si="18"/>
        <v>48945</v>
      </c>
      <c r="C89" s="33">
        <f t="shared" si="19"/>
        <v>8</v>
      </c>
      <c r="D89" s="33">
        <f t="shared" si="20"/>
        <v>1</v>
      </c>
      <c r="E89" s="35">
        <f t="shared" si="21"/>
        <v>117257.8995212133</v>
      </c>
      <c r="F89" s="35">
        <f t="shared" si="22"/>
        <v>38085374.529086798</v>
      </c>
      <c r="G89" s="33">
        <f t="shared" si="23"/>
        <v>324</v>
      </c>
      <c r="H89" s="35">
        <f t="shared" si="24"/>
        <v>37991559.444873109</v>
      </c>
      <c r="I89" s="35">
        <f t="shared" si="25"/>
        <v>93815.08421368897</v>
      </c>
      <c r="J89" s="35">
        <f t="shared" si="26"/>
        <v>1519662.3777949244</v>
      </c>
      <c r="K89" s="35">
        <f t="shared" si="27"/>
        <v>1519662.3777949244</v>
      </c>
      <c r="L89" s="35">
        <f t="shared" si="28"/>
        <v>0</v>
      </c>
      <c r="M89" s="35">
        <f t="shared" si="29"/>
        <v>18235948.533539094</v>
      </c>
      <c r="N89" s="36">
        <f t="shared" si="30"/>
        <v>0.35880000000000001</v>
      </c>
      <c r="O89" s="35">
        <f t="shared" si="31"/>
        <v>0</v>
      </c>
      <c r="P89" s="35">
        <f t="shared" si="32"/>
        <v>0</v>
      </c>
      <c r="Q89" s="35">
        <f t="shared" si="33"/>
        <v>0</v>
      </c>
      <c r="R89" s="35">
        <f t="shared" si="34"/>
        <v>39605036.90688172</v>
      </c>
      <c r="S89" s="33">
        <f t="shared" si="35"/>
        <v>337</v>
      </c>
    </row>
    <row r="90" spans="1:19" x14ac:dyDescent="0.3">
      <c r="A90" s="33">
        <f>86</f>
        <v>86</v>
      </c>
      <c r="B90" s="34">
        <f t="shared" si="18"/>
        <v>48976</v>
      </c>
      <c r="C90" s="33">
        <f t="shared" si="19"/>
        <v>8</v>
      </c>
      <c r="D90" s="33">
        <f t="shared" si="20"/>
        <v>2</v>
      </c>
      <c r="E90" s="35">
        <f t="shared" si="21"/>
        <v>117257.8995212133</v>
      </c>
      <c r="F90" s="35">
        <f t="shared" si="22"/>
        <v>39605036.90688172</v>
      </c>
      <c r="G90" s="33">
        <f t="shared" si="23"/>
        <v>337</v>
      </c>
      <c r="H90" s="35">
        <f t="shared" si="24"/>
        <v>39515912.138648883</v>
      </c>
      <c r="I90" s="35">
        <f t="shared" si="25"/>
        <v>89124.768232837319</v>
      </c>
      <c r="J90" s="35">
        <f t="shared" si="26"/>
        <v>1580636.4855459554</v>
      </c>
      <c r="K90" s="35">
        <f t="shared" si="27"/>
        <v>3100298.8633408798</v>
      </c>
      <c r="L90" s="35">
        <f t="shared" si="28"/>
        <v>0</v>
      </c>
      <c r="M90" s="35">
        <f t="shared" si="29"/>
        <v>18601793.180045277</v>
      </c>
      <c r="N90" s="36">
        <f t="shared" si="30"/>
        <v>0.35880000000000001</v>
      </c>
      <c r="O90" s="35">
        <f t="shared" si="31"/>
        <v>0</v>
      </c>
      <c r="P90" s="35">
        <f t="shared" si="32"/>
        <v>0</v>
      </c>
      <c r="Q90" s="35">
        <f t="shared" si="33"/>
        <v>0</v>
      </c>
      <c r="R90" s="35">
        <f t="shared" si="34"/>
        <v>41185673.392427675</v>
      </c>
      <c r="S90" s="33">
        <f t="shared" si="35"/>
        <v>351</v>
      </c>
    </row>
    <row r="91" spans="1:19" x14ac:dyDescent="0.3">
      <c r="A91" s="33">
        <f>87</f>
        <v>87</v>
      </c>
      <c r="B91" s="34">
        <f t="shared" si="18"/>
        <v>49004</v>
      </c>
      <c r="C91" s="33">
        <f t="shared" si="19"/>
        <v>8</v>
      </c>
      <c r="D91" s="33">
        <f t="shared" si="20"/>
        <v>3</v>
      </c>
      <c r="E91" s="35">
        <f t="shared" si="21"/>
        <v>117257.8995212133</v>
      </c>
      <c r="F91" s="35">
        <f t="shared" si="22"/>
        <v>41185673.392427675</v>
      </c>
      <c r="G91" s="33">
        <f t="shared" si="23"/>
        <v>351</v>
      </c>
      <c r="H91" s="35">
        <f t="shared" si="24"/>
        <v>41157522.731945872</v>
      </c>
      <c r="I91" s="35">
        <f t="shared" si="25"/>
        <v>28150.660481803119</v>
      </c>
      <c r="J91" s="35">
        <f t="shared" si="26"/>
        <v>1646300.9092778349</v>
      </c>
      <c r="K91" s="35">
        <f t="shared" si="27"/>
        <v>4746599.7726187147</v>
      </c>
      <c r="L91" s="35">
        <f t="shared" si="28"/>
        <v>4746599.7726187147</v>
      </c>
      <c r="M91" s="35">
        <f t="shared" si="29"/>
        <v>18986399.090474859</v>
      </c>
      <c r="N91" s="36">
        <f t="shared" si="30"/>
        <v>0.35880000000000001</v>
      </c>
      <c r="O91" s="35">
        <f t="shared" si="31"/>
        <v>1703079.9984155949</v>
      </c>
      <c r="P91" s="35">
        <f t="shared" si="32"/>
        <v>1703079.9984155949</v>
      </c>
      <c r="Q91" s="35">
        <f t="shared" si="33"/>
        <v>0</v>
      </c>
      <c r="R91" s="35">
        <f t="shared" si="34"/>
        <v>41128894.303289913</v>
      </c>
      <c r="S91" s="33">
        <f t="shared" si="35"/>
        <v>350</v>
      </c>
    </row>
    <row r="92" spans="1:19" x14ac:dyDescent="0.3">
      <c r="A92" s="33">
        <f>88</f>
        <v>88</v>
      </c>
      <c r="B92" s="34">
        <f t="shared" si="18"/>
        <v>49035</v>
      </c>
      <c r="C92" s="33">
        <f t="shared" si="19"/>
        <v>8</v>
      </c>
      <c r="D92" s="33">
        <f t="shared" si="20"/>
        <v>4</v>
      </c>
      <c r="E92" s="35">
        <f t="shared" si="21"/>
        <v>117257.8995212133</v>
      </c>
      <c r="F92" s="35">
        <f t="shared" si="22"/>
        <v>41128894.303289913</v>
      </c>
      <c r="G92" s="33">
        <f t="shared" si="23"/>
        <v>350</v>
      </c>
      <c r="H92" s="35">
        <f t="shared" si="24"/>
        <v>41040264.832424656</v>
      </c>
      <c r="I92" s="35">
        <f t="shared" si="25"/>
        <v>88629.470865257084</v>
      </c>
      <c r="J92" s="35">
        <f t="shared" si="26"/>
        <v>1641610.5932969863</v>
      </c>
      <c r="K92" s="35">
        <f t="shared" si="27"/>
        <v>6388210.3659157008</v>
      </c>
      <c r="L92" s="35">
        <f t="shared" si="28"/>
        <v>0</v>
      </c>
      <c r="M92" s="35">
        <f t="shared" si="29"/>
        <v>19164631.097747102</v>
      </c>
      <c r="N92" s="36">
        <f t="shared" si="30"/>
        <v>0.35880000000000001</v>
      </c>
      <c r="O92" s="35">
        <f t="shared" si="31"/>
        <v>0</v>
      </c>
      <c r="P92" s="35">
        <f t="shared" si="32"/>
        <v>1703079.9984155949</v>
      </c>
      <c r="Q92" s="35">
        <f t="shared" si="33"/>
        <v>0</v>
      </c>
      <c r="R92" s="35">
        <f t="shared" si="34"/>
        <v>42770504.896586902</v>
      </c>
      <c r="S92" s="33">
        <f t="shared" si="35"/>
        <v>364</v>
      </c>
    </row>
    <row r="93" spans="1:19" x14ac:dyDescent="0.3">
      <c r="A93" s="33">
        <f>89</f>
        <v>89</v>
      </c>
      <c r="B93" s="34">
        <f t="shared" si="18"/>
        <v>49065</v>
      </c>
      <c r="C93" s="33">
        <f t="shared" si="19"/>
        <v>8</v>
      </c>
      <c r="D93" s="33">
        <f t="shared" si="20"/>
        <v>5</v>
      </c>
      <c r="E93" s="35">
        <f t="shared" si="21"/>
        <v>117257.8995212133</v>
      </c>
      <c r="F93" s="35">
        <f t="shared" si="22"/>
        <v>42770504.896586902</v>
      </c>
      <c r="G93" s="33">
        <f t="shared" si="23"/>
        <v>364</v>
      </c>
      <c r="H93" s="35">
        <f t="shared" si="24"/>
        <v>42681875.425721645</v>
      </c>
      <c r="I93" s="35">
        <f t="shared" si="25"/>
        <v>88629.470865257084</v>
      </c>
      <c r="J93" s="35">
        <f t="shared" si="26"/>
        <v>1707275.0170288659</v>
      </c>
      <c r="K93" s="35">
        <f t="shared" si="27"/>
        <v>8095485.3829445671</v>
      </c>
      <c r="L93" s="35">
        <f t="shared" si="28"/>
        <v>0</v>
      </c>
      <c r="M93" s="35">
        <f t="shared" si="29"/>
        <v>19429164.919066958</v>
      </c>
      <c r="N93" s="36">
        <f t="shared" si="30"/>
        <v>0.35880000000000001</v>
      </c>
      <c r="O93" s="35">
        <f t="shared" si="31"/>
        <v>0</v>
      </c>
      <c r="P93" s="35">
        <f t="shared" si="32"/>
        <v>1703079.9984155949</v>
      </c>
      <c r="Q93" s="35">
        <f t="shared" si="33"/>
        <v>0</v>
      </c>
      <c r="R93" s="35">
        <f t="shared" si="34"/>
        <v>44477779.913615771</v>
      </c>
      <c r="S93" s="33">
        <f t="shared" si="35"/>
        <v>379</v>
      </c>
    </row>
    <row r="94" spans="1:19" x14ac:dyDescent="0.3">
      <c r="A94" s="33">
        <f>90</f>
        <v>90</v>
      </c>
      <c r="B94" s="34">
        <f t="shared" si="18"/>
        <v>49096</v>
      </c>
      <c r="C94" s="33">
        <f t="shared" si="19"/>
        <v>8</v>
      </c>
      <c r="D94" s="33">
        <f t="shared" si="20"/>
        <v>6</v>
      </c>
      <c r="E94" s="35">
        <f t="shared" si="21"/>
        <v>117257.8995212133</v>
      </c>
      <c r="F94" s="35">
        <f t="shared" si="22"/>
        <v>44477779.913615771</v>
      </c>
      <c r="G94" s="33">
        <f t="shared" si="23"/>
        <v>379</v>
      </c>
      <c r="H94" s="35">
        <f t="shared" si="24"/>
        <v>44440743.918539844</v>
      </c>
      <c r="I94" s="35">
        <f t="shared" si="25"/>
        <v>37035.995075926185</v>
      </c>
      <c r="J94" s="35">
        <f t="shared" si="26"/>
        <v>1777629.7567415938</v>
      </c>
      <c r="K94" s="35">
        <f t="shared" si="27"/>
        <v>9873115.1396861617</v>
      </c>
      <c r="L94" s="35">
        <f t="shared" si="28"/>
        <v>5126515.367067446</v>
      </c>
      <c r="M94" s="35">
        <f t="shared" si="29"/>
        <v>19746230.279372323</v>
      </c>
      <c r="N94" s="36">
        <f t="shared" si="30"/>
        <v>0.35880000000000001</v>
      </c>
      <c r="O94" s="35">
        <f t="shared" si="31"/>
        <v>1839393.7137037998</v>
      </c>
      <c r="P94" s="35">
        <f t="shared" si="32"/>
        <v>3542473.7121193949</v>
      </c>
      <c r="Q94" s="35">
        <f t="shared" si="33"/>
        <v>0</v>
      </c>
      <c r="R94" s="35">
        <f t="shared" si="34"/>
        <v>44416015.956653565</v>
      </c>
      <c r="S94" s="33">
        <f t="shared" si="35"/>
        <v>378</v>
      </c>
    </row>
    <row r="95" spans="1:19" x14ac:dyDescent="0.3">
      <c r="A95" s="33">
        <f>91</f>
        <v>91</v>
      </c>
      <c r="B95" s="34">
        <f t="shared" si="18"/>
        <v>49126</v>
      </c>
      <c r="C95" s="33">
        <f t="shared" si="19"/>
        <v>8</v>
      </c>
      <c r="D95" s="33">
        <f t="shared" si="20"/>
        <v>7</v>
      </c>
      <c r="E95" s="35">
        <f t="shared" si="21"/>
        <v>117257.8995212133</v>
      </c>
      <c r="F95" s="35">
        <f t="shared" si="22"/>
        <v>44416015.956653565</v>
      </c>
      <c r="G95" s="33">
        <f t="shared" si="23"/>
        <v>378</v>
      </c>
      <c r="H95" s="35">
        <f t="shared" si="24"/>
        <v>44323486.019018628</v>
      </c>
      <c r="I95" s="35">
        <f t="shared" si="25"/>
        <v>92529.937634937465</v>
      </c>
      <c r="J95" s="35">
        <f t="shared" si="26"/>
        <v>1772939.4407607452</v>
      </c>
      <c r="K95" s="35">
        <f t="shared" si="27"/>
        <v>11646054.580446906</v>
      </c>
      <c r="L95" s="35">
        <f t="shared" si="28"/>
        <v>0</v>
      </c>
      <c r="M95" s="35">
        <f t="shared" si="29"/>
        <v>19964664.995051838</v>
      </c>
      <c r="N95" s="36">
        <f t="shared" si="30"/>
        <v>0.35880000000000001</v>
      </c>
      <c r="O95" s="35">
        <f t="shared" si="31"/>
        <v>0</v>
      </c>
      <c r="P95" s="35">
        <f t="shared" si="32"/>
        <v>3542473.7121193949</v>
      </c>
      <c r="Q95" s="35">
        <f t="shared" si="33"/>
        <v>0</v>
      </c>
      <c r="R95" s="35">
        <f t="shared" si="34"/>
        <v>46188955.397414312</v>
      </c>
      <c r="S95" s="33">
        <f t="shared" si="35"/>
        <v>393</v>
      </c>
    </row>
    <row r="96" spans="1:19" x14ac:dyDescent="0.3">
      <c r="A96" s="33">
        <f>92</f>
        <v>92</v>
      </c>
      <c r="B96" s="34">
        <f t="shared" si="18"/>
        <v>49157</v>
      </c>
      <c r="C96" s="33">
        <f t="shared" si="19"/>
        <v>8</v>
      </c>
      <c r="D96" s="33">
        <f t="shared" si="20"/>
        <v>8</v>
      </c>
      <c r="E96" s="35">
        <f t="shared" si="21"/>
        <v>117257.8995212133</v>
      </c>
      <c r="F96" s="35">
        <f t="shared" si="22"/>
        <v>46188955.397414312</v>
      </c>
      <c r="G96" s="33">
        <f t="shared" si="23"/>
        <v>393</v>
      </c>
      <c r="H96" s="35">
        <f t="shared" si="24"/>
        <v>46082354.511836827</v>
      </c>
      <c r="I96" s="35">
        <f t="shared" si="25"/>
        <v>106600.88557748497</v>
      </c>
      <c r="J96" s="35">
        <f t="shared" si="26"/>
        <v>1843294.1804734732</v>
      </c>
      <c r="K96" s="35">
        <f t="shared" si="27"/>
        <v>13489348.760920379</v>
      </c>
      <c r="L96" s="35">
        <f t="shared" si="28"/>
        <v>0</v>
      </c>
      <c r="M96" s="35">
        <f t="shared" si="29"/>
        <v>20234023.141380571</v>
      </c>
      <c r="N96" s="36">
        <f t="shared" si="30"/>
        <v>0.39</v>
      </c>
      <c r="O96" s="35">
        <f t="shared" si="31"/>
        <v>0</v>
      </c>
      <c r="P96" s="35">
        <f t="shared" si="32"/>
        <v>3542473.7121193949</v>
      </c>
      <c r="Q96" s="35">
        <f t="shared" si="33"/>
        <v>0</v>
      </c>
      <c r="R96" s="35">
        <f t="shared" si="34"/>
        <v>48032249.577887788</v>
      </c>
      <c r="S96" s="33">
        <f t="shared" si="35"/>
        <v>409</v>
      </c>
    </row>
    <row r="97" spans="1:19" x14ac:dyDescent="0.3">
      <c r="A97" s="33">
        <f>93</f>
        <v>93</v>
      </c>
      <c r="B97" s="34">
        <f t="shared" si="18"/>
        <v>49188</v>
      </c>
      <c r="C97" s="33">
        <f t="shared" si="19"/>
        <v>8</v>
      </c>
      <c r="D97" s="33">
        <f t="shared" si="20"/>
        <v>9</v>
      </c>
      <c r="E97" s="35">
        <f t="shared" si="21"/>
        <v>117257.8995212133</v>
      </c>
      <c r="F97" s="35">
        <f t="shared" si="22"/>
        <v>48032249.577887788</v>
      </c>
      <c r="G97" s="33">
        <f t="shared" si="23"/>
        <v>409</v>
      </c>
      <c r="H97" s="35">
        <f t="shared" si="24"/>
        <v>47958480.904176243</v>
      </c>
      <c r="I97" s="35">
        <f t="shared" si="25"/>
        <v>73768.673711545765</v>
      </c>
      <c r="J97" s="35">
        <f t="shared" si="26"/>
        <v>1918339.2361670497</v>
      </c>
      <c r="K97" s="35">
        <f t="shared" si="27"/>
        <v>15407687.997087428</v>
      </c>
      <c r="L97" s="35">
        <f t="shared" si="28"/>
        <v>5534572.8574012686</v>
      </c>
      <c r="M97" s="35">
        <f t="shared" si="29"/>
        <v>20543583.996116571</v>
      </c>
      <c r="N97" s="36">
        <f t="shared" si="30"/>
        <v>0.39</v>
      </c>
      <c r="O97" s="35">
        <f t="shared" si="31"/>
        <v>2158483.414386495</v>
      </c>
      <c r="P97" s="35">
        <f t="shared" si="32"/>
        <v>5700957.1265058899</v>
      </c>
      <c r="Q97" s="35">
        <f t="shared" si="33"/>
        <v>0</v>
      </c>
      <c r="R97" s="35">
        <f t="shared" si="34"/>
        <v>47792105.399668343</v>
      </c>
      <c r="S97" s="33">
        <f t="shared" si="35"/>
        <v>407</v>
      </c>
    </row>
    <row r="98" spans="1:19" x14ac:dyDescent="0.3">
      <c r="A98" s="33">
        <f>94</f>
        <v>94</v>
      </c>
      <c r="B98" s="34">
        <f t="shared" si="18"/>
        <v>49218</v>
      </c>
      <c r="C98" s="33">
        <f t="shared" si="19"/>
        <v>8</v>
      </c>
      <c r="D98" s="33">
        <f t="shared" si="20"/>
        <v>10</v>
      </c>
      <c r="E98" s="35">
        <f t="shared" si="21"/>
        <v>117257.8995212133</v>
      </c>
      <c r="F98" s="35">
        <f t="shared" si="22"/>
        <v>47792105.399668343</v>
      </c>
      <c r="G98" s="33">
        <f t="shared" si="23"/>
        <v>407</v>
      </c>
      <c r="H98" s="35">
        <f t="shared" si="24"/>
        <v>47723965.105133817</v>
      </c>
      <c r="I98" s="35">
        <f t="shared" si="25"/>
        <v>68140.294534526765</v>
      </c>
      <c r="J98" s="35">
        <f t="shared" si="26"/>
        <v>1908958.6042053527</v>
      </c>
      <c r="K98" s="35">
        <f t="shared" si="27"/>
        <v>17316646.601292782</v>
      </c>
      <c r="L98" s="35">
        <f t="shared" si="28"/>
        <v>0</v>
      </c>
      <c r="M98" s="35">
        <f t="shared" si="29"/>
        <v>20779975.921551339</v>
      </c>
      <c r="N98" s="36">
        <f t="shared" si="30"/>
        <v>0.39</v>
      </c>
      <c r="O98" s="35">
        <f t="shared" si="31"/>
        <v>0</v>
      </c>
      <c r="P98" s="35">
        <f t="shared" si="32"/>
        <v>5700957.1265058899</v>
      </c>
      <c r="Q98" s="35">
        <f t="shared" si="33"/>
        <v>0</v>
      </c>
      <c r="R98" s="35">
        <f t="shared" si="34"/>
        <v>49701064.003873698</v>
      </c>
      <c r="S98" s="33">
        <f t="shared" si="35"/>
        <v>423</v>
      </c>
    </row>
    <row r="99" spans="1:19" x14ac:dyDescent="0.3">
      <c r="A99" s="33">
        <f>95</f>
        <v>95</v>
      </c>
      <c r="B99" s="34">
        <f t="shared" si="18"/>
        <v>49249</v>
      </c>
      <c r="C99" s="33">
        <f t="shared" si="19"/>
        <v>8</v>
      </c>
      <c r="D99" s="33">
        <f t="shared" si="20"/>
        <v>11</v>
      </c>
      <c r="E99" s="35">
        <f t="shared" si="21"/>
        <v>117257.8995212133</v>
      </c>
      <c r="F99" s="35">
        <f t="shared" si="22"/>
        <v>49701064.003873698</v>
      </c>
      <c r="G99" s="33">
        <f t="shared" si="23"/>
        <v>423</v>
      </c>
      <c r="H99" s="35">
        <f t="shared" si="24"/>
        <v>49600091.497473225</v>
      </c>
      <c r="I99" s="35">
        <f t="shared" si="25"/>
        <v>100972.50640047342</v>
      </c>
      <c r="J99" s="35">
        <f t="shared" si="26"/>
        <v>1984003.6598989291</v>
      </c>
      <c r="K99" s="35">
        <f t="shared" si="27"/>
        <v>19300650.261191711</v>
      </c>
      <c r="L99" s="35">
        <f t="shared" si="28"/>
        <v>0</v>
      </c>
      <c r="M99" s="35">
        <f t="shared" si="29"/>
        <v>21055254.830390956</v>
      </c>
      <c r="N99" s="36">
        <f t="shared" si="30"/>
        <v>0.39</v>
      </c>
      <c r="O99" s="35">
        <f t="shared" si="31"/>
        <v>0</v>
      </c>
      <c r="P99" s="35">
        <f t="shared" si="32"/>
        <v>5700957.1265058899</v>
      </c>
      <c r="Q99" s="35">
        <f t="shared" si="33"/>
        <v>0</v>
      </c>
      <c r="R99" s="35">
        <f t="shared" si="34"/>
        <v>51685067.663772628</v>
      </c>
      <c r="S99" s="33">
        <f t="shared" si="35"/>
        <v>440</v>
      </c>
    </row>
    <row r="100" spans="1:19" x14ac:dyDescent="0.3">
      <c r="A100" s="37">
        <f>96</f>
        <v>96</v>
      </c>
      <c r="B100" s="38">
        <f t="shared" si="18"/>
        <v>49279</v>
      </c>
      <c r="C100" s="37">
        <f t="shared" si="19"/>
        <v>8</v>
      </c>
      <c r="D100" s="37">
        <f t="shared" si="20"/>
        <v>12</v>
      </c>
      <c r="E100" s="39">
        <f t="shared" si="21"/>
        <v>117257.8995212133</v>
      </c>
      <c r="F100" s="39">
        <f t="shared" si="22"/>
        <v>51685067.663772628</v>
      </c>
      <c r="G100" s="37">
        <f t="shared" si="23"/>
        <v>440</v>
      </c>
      <c r="H100" s="39">
        <f t="shared" si="24"/>
        <v>51593475.78933385</v>
      </c>
      <c r="I100" s="39">
        <f t="shared" si="25"/>
        <v>91591.874438777566</v>
      </c>
      <c r="J100" s="39">
        <f t="shared" si="26"/>
        <v>2063739.031573354</v>
      </c>
      <c r="K100" s="39">
        <f t="shared" si="27"/>
        <v>21364389.292765066</v>
      </c>
      <c r="L100" s="39">
        <f t="shared" si="28"/>
        <v>5956701.2956776358</v>
      </c>
      <c r="M100" s="39">
        <f t="shared" si="29"/>
        <v>21364389.292765066</v>
      </c>
      <c r="N100" s="40">
        <f t="shared" si="30"/>
        <v>0.39</v>
      </c>
      <c r="O100" s="39">
        <f t="shared" si="31"/>
        <v>2323113.505314278</v>
      </c>
      <c r="P100" s="39">
        <f t="shared" si="32"/>
        <v>8024070.6318201683</v>
      </c>
      <c r="Q100" s="39">
        <f t="shared" si="33"/>
        <v>1334031.8660944898</v>
      </c>
      <c r="R100" s="39">
        <f t="shared" si="34"/>
        <v>50091661.323937215</v>
      </c>
      <c r="S100" s="37">
        <f t="shared" si="35"/>
        <v>427</v>
      </c>
    </row>
    <row r="101" spans="1:19" x14ac:dyDescent="0.3">
      <c r="A101" s="33">
        <f>97</f>
        <v>97</v>
      </c>
      <c r="B101" s="34">
        <f t="shared" si="18"/>
        <v>49310</v>
      </c>
      <c r="C101" s="33">
        <f t="shared" si="19"/>
        <v>9</v>
      </c>
      <c r="D101" s="33">
        <f t="shared" si="20"/>
        <v>1</v>
      </c>
      <c r="E101" s="35">
        <f t="shared" si="21"/>
        <v>123120.79449727395</v>
      </c>
      <c r="F101" s="35">
        <f t="shared" si="22"/>
        <v>50091661.323937215</v>
      </c>
      <c r="G101" s="33">
        <f t="shared" si="23"/>
        <v>406</v>
      </c>
      <c r="H101" s="35">
        <f t="shared" si="24"/>
        <v>49987042.565893225</v>
      </c>
      <c r="I101" s="35">
        <f t="shared" si="25"/>
        <v>104618.75804398954</v>
      </c>
      <c r="J101" s="35">
        <f t="shared" si="26"/>
        <v>1999481.702635729</v>
      </c>
      <c r="K101" s="35">
        <f t="shared" si="27"/>
        <v>1999481.702635729</v>
      </c>
      <c r="L101" s="35">
        <f t="shared" si="28"/>
        <v>0</v>
      </c>
      <c r="M101" s="35">
        <f t="shared" si="29"/>
        <v>23993780.431628749</v>
      </c>
      <c r="N101" s="36">
        <f t="shared" si="30"/>
        <v>0.39</v>
      </c>
      <c r="O101" s="35">
        <f t="shared" si="31"/>
        <v>0</v>
      </c>
      <c r="P101" s="35">
        <f t="shared" si="32"/>
        <v>0</v>
      </c>
      <c r="Q101" s="35">
        <f t="shared" si="33"/>
        <v>0</v>
      </c>
      <c r="R101" s="35">
        <f t="shared" si="34"/>
        <v>52091143.026572943</v>
      </c>
      <c r="S101" s="33">
        <f t="shared" si="35"/>
        <v>423</v>
      </c>
    </row>
    <row r="102" spans="1:19" x14ac:dyDescent="0.3">
      <c r="A102" s="33">
        <f>98</f>
        <v>98</v>
      </c>
      <c r="B102" s="34">
        <f t="shared" si="18"/>
        <v>49341</v>
      </c>
      <c r="C102" s="33">
        <f t="shared" si="19"/>
        <v>9</v>
      </c>
      <c r="D102" s="33">
        <f t="shared" si="20"/>
        <v>2</v>
      </c>
      <c r="E102" s="35">
        <f t="shared" si="21"/>
        <v>123120.79449727395</v>
      </c>
      <c r="F102" s="35">
        <f t="shared" si="22"/>
        <v>52091143.026572943</v>
      </c>
      <c r="G102" s="33">
        <f t="shared" si="23"/>
        <v>423</v>
      </c>
      <c r="H102" s="35">
        <f t="shared" si="24"/>
        <v>52080096.072346881</v>
      </c>
      <c r="I102" s="35">
        <f t="shared" si="25"/>
        <v>11046.954226061702</v>
      </c>
      <c r="J102" s="35">
        <f t="shared" si="26"/>
        <v>2083203.8428938752</v>
      </c>
      <c r="K102" s="35">
        <f t="shared" si="27"/>
        <v>4082685.545529604</v>
      </c>
      <c r="L102" s="35">
        <f t="shared" si="28"/>
        <v>0</v>
      </c>
      <c r="M102" s="35">
        <f t="shared" si="29"/>
        <v>24496113.273177624</v>
      </c>
      <c r="N102" s="36">
        <f t="shared" si="30"/>
        <v>0.39</v>
      </c>
      <c r="O102" s="35">
        <f t="shared" si="31"/>
        <v>0</v>
      </c>
      <c r="P102" s="35">
        <f t="shared" si="32"/>
        <v>0</v>
      </c>
      <c r="Q102" s="35">
        <f t="shared" si="33"/>
        <v>0</v>
      </c>
      <c r="R102" s="35">
        <f t="shared" si="34"/>
        <v>54174346.869466819</v>
      </c>
      <c r="S102" s="33">
        <f t="shared" si="35"/>
        <v>440</v>
      </c>
    </row>
    <row r="103" spans="1:19" x14ac:dyDescent="0.3">
      <c r="A103" s="33">
        <f>99</f>
        <v>99</v>
      </c>
      <c r="B103" s="34">
        <f t="shared" si="18"/>
        <v>49369</v>
      </c>
      <c r="C103" s="33">
        <f t="shared" si="19"/>
        <v>9</v>
      </c>
      <c r="D103" s="33">
        <f t="shared" si="20"/>
        <v>3</v>
      </c>
      <c r="E103" s="35">
        <f t="shared" si="21"/>
        <v>123120.79449727395</v>
      </c>
      <c r="F103" s="35">
        <f t="shared" si="22"/>
        <v>54174346.869466819</v>
      </c>
      <c r="G103" s="33">
        <f t="shared" si="23"/>
        <v>440</v>
      </c>
      <c r="H103" s="35">
        <f t="shared" si="24"/>
        <v>54173149.578800537</v>
      </c>
      <c r="I103" s="35">
        <f t="shared" si="25"/>
        <v>1197.290666282177</v>
      </c>
      <c r="J103" s="35">
        <f t="shared" si="26"/>
        <v>2166925.9831520217</v>
      </c>
      <c r="K103" s="35">
        <f t="shared" si="27"/>
        <v>6249611.5286816256</v>
      </c>
      <c r="L103" s="35">
        <f t="shared" si="28"/>
        <v>6249611.5286816256</v>
      </c>
      <c r="M103" s="35">
        <f t="shared" si="29"/>
        <v>24998446.114726502</v>
      </c>
      <c r="N103" s="36">
        <f t="shared" si="30"/>
        <v>0.39</v>
      </c>
      <c r="O103" s="35">
        <f t="shared" si="31"/>
        <v>2437348.4961858341</v>
      </c>
      <c r="P103" s="35">
        <f t="shared" si="32"/>
        <v>2437348.4961858341</v>
      </c>
      <c r="Q103" s="35">
        <f t="shared" si="33"/>
        <v>0</v>
      </c>
      <c r="R103" s="35">
        <f t="shared" si="34"/>
        <v>53903924.356433012</v>
      </c>
      <c r="S103" s="33">
        <f t="shared" si="35"/>
        <v>437</v>
      </c>
    </row>
    <row r="104" spans="1:19" x14ac:dyDescent="0.3">
      <c r="A104" s="33">
        <f>100</f>
        <v>100</v>
      </c>
      <c r="B104" s="34">
        <f t="shared" si="18"/>
        <v>49400</v>
      </c>
      <c r="C104" s="33">
        <f t="shared" si="19"/>
        <v>9</v>
      </c>
      <c r="D104" s="33">
        <f t="shared" si="20"/>
        <v>4</v>
      </c>
      <c r="E104" s="35">
        <f t="shared" si="21"/>
        <v>123120.79449727395</v>
      </c>
      <c r="F104" s="35">
        <f t="shared" si="22"/>
        <v>53903924.356433012</v>
      </c>
      <c r="G104" s="33">
        <f t="shared" si="23"/>
        <v>437</v>
      </c>
      <c r="H104" s="35">
        <f t="shared" si="24"/>
        <v>53803787.195308715</v>
      </c>
      <c r="I104" s="35">
        <f t="shared" si="25"/>
        <v>100137.16112429649</v>
      </c>
      <c r="J104" s="35">
        <f t="shared" si="26"/>
        <v>2152151.4878123486</v>
      </c>
      <c r="K104" s="35">
        <f t="shared" si="27"/>
        <v>8401763.0164939743</v>
      </c>
      <c r="L104" s="35">
        <f t="shared" si="28"/>
        <v>0</v>
      </c>
      <c r="M104" s="35">
        <f t="shared" si="29"/>
        <v>25205289.049481921</v>
      </c>
      <c r="N104" s="36">
        <f t="shared" si="30"/>
        <v>0.39</v>
      </c>
      <c r="O104" s="35">
        <f t="shared" si="31"/>
        <v>0</v>
      </c>
      <c r="P104" s="35">
        <f t="shared" si="32"/>
        <v>2437348.4961858341</v>
      </c>
      <c r="Q104" s="35">
        <f t="shared" si="33"/>
        <v>0</v>
      </c>
      <c r="R104" s="35">
        <f t="shared" si="34"/>
        <v>56056075.844245359</v>
      </c>
      <c r="S104" s="33">
        <f t="shared" si="35"/>
        <v>455</v>
      </c>
    </row>
    <row r="105" spans="1:19" x14ac:dyDescent="0.3">
      <c r="A105" s="33">
        <f>101</f>
        <v>101</v>
      </c>
      <c r="B105" s="34">
        <f t="shared" si="18"/>
        <v>49430</v>
      </c>
      <c r="C105" s="33">
        <f t="shared" si="19"/>
        <v>9</v>
      </c>
      <c r="D105" s="33">
        <f t="shared" si="20"/>
        <v>5</v>
      </c>
      <c r="E105" s="35">
        <f t="shared" si="21"/>
        <v>123120.79449727395</v>
      </c>
      <c r="F105" s="35">
        <f t="shared" si="22"/>
        <v>56056075.844245359</v>
      </c>
      <c r="G105" s="33">
        <f t="shared" si="23"/>
        <v>455</v>
      </c>
      <c r="H105" s="35">
        <f t="shared" si="24"/>
        <v>56019961.496259645</v>
      </c>
      <c r="I105" s="35">
        <f t="shared" si="25"/>
        <v>36114.347985714674</v>
      </c>
      <c r="J105" s="35">
        <f t="shared" si="26"/>
        <v>2240798.4598503858</v>
      </c>
      <c r="K105" s="35">
        <f t="shared" si="27"/>
        <v>10642561.47634436</v>
      </c>
      <c r="L105" s="35">
        <f t="shared" si="28"/>
        <v>0</v>
      </c>
      <c r="M105" s="35">
        <f t="shared" si="29"/>
        <v>25542147.543226462</v>
      </c>
      <c r="N105" s="36">
        <f t="shared" si="30"/>
        <v>0.39</v>
      </c>
      <c r="O105" s="35">
        <f t="shared" si="31"/>
        <v>0</v>
      </c>
      <c r="P105" s="35">
        <f t="shared" si="32"/>
        <v>2437348.4961858341</v>
      </c>
      <c r="Q105" s="35">
        <f t="shared" si="33"/>
        <v>0</v>
      </c>
      <c r="R105" s="35">
        <f t="shared" si="34"/>
        <v>58296874.304095745</v>
      </c>
      <c r="S105" s="33">
        <f t="shared" si="35"/>
        <v>473</v>
      </c>
    </row>
    <row r="106" spans="1:19" x14ac:dyDescent="0.3">
      <c r="A106" s="33">
        <f>102</f>
        <v>102</v>
      </c>
      <c r="B106" s="34">
        <f t="shared" si="18"/>
        <v>49461</v>
      </c>
      <c r="C106" s="33">
        <f t="shared" si="19"/>
        <v>9</v>
      </c>
      <c r="D106" s="33">
        <f t="shared" si="20"/>
        <v>6</v>
      </c>
      <c r="E106" s="35">
        <f t="shared" si="21"/>
        <v>123120.79449727395</v>
      </c>
      <c r="F106" s="35">
        <f t="shared" si="22"/>
        <v>58296874.304095745</v>
      </c>
      <c r="G106" s="33">
        <f t="shared" si="23"/>
        <v>473</v>
      </c>
      <c r="H106" s="35">
        <f t="shared" si="24"/>
        <v>58236135.797210582</v>
      </c>
      <c r="I106" s="35">
        <f t="shared" si="25"/>
        <v>60738.506885163486</v>
      </c>
      <c r="J106" s="35">
        <f t="shared" si="26"/>
        <v>2329445.4318884234</v>
      </c>
      <c r="K106" s="35">
        <f t="shared" si="27"/>
        <v>12972006.908232784</v>
      </c>
      <c r="L106" s="35">
        <f t="shared" si="28"/>
        <v>6722395.3795511574</v>
      </c>
      <c r="M106" s="35">
        <f t="shared" si="29"/>
        <v>25944013.816465568</v>
      </c>
      <c r="N106" s="36">
        <f t="shared" si="30"/>
        <v>0.39</v>
      </c>
      <c r="O106" s="35">
        <f t="shared" si="31"/>
        <v>2621734.1980249514</v>
      </c>
      <c r="P106" s="35">
        <f t="shared" si="32"/>
        <v>5059082.6942107854</v>
      </c>
      <c r="Q106" s="35">
        <f t="shared" si="33"/>
        <v>0</v>
      </c>
      <c r="R106" s="35">
        <f t="shared" si="34"/>
        <v>58004585.537959218</v>
      </c>
      <c r="S106" s="33">
        <f t="shared" si="35"/>
        <v>471</v>
      </c>
    </row>
    <row r="107" spans="1:19" x14ac:dyDescent="0.3">
      <c r="A107" s="33">
        <f>103</f>
        <v>103</v>
      </c>
      <c r="B107" s="34">
        <f t="shared" si="18"/>
        <v>49491</v>
      </c>
      <c r="C107" s="33">
        <f t="shared" si="19"/>
        <v>9</v>
      </c>
      <c r="D107" s="33">
        <f t="shared" si="20"/>
        <v>7</v>
      </c>
      <c r="E107" s="35">
        <f t="shared" si="21"/>
        <v>123120.79449727395</v>
      </c>
      <c r="F107" s="35">
        <f t="shared" si="22"/>
        <v>58004585.537959218</v>
      </c>
      <c r="G107" s="33">
        <f t="shared" si="23"/>
        <v>471</v>
      </c>
      <c r="H107" s="35">
        <f t="shared" si="24"/>
        <v>57989894.208216034</v>
      </c>
      <c r="I107" s="35">
        <f t="shared" si="25"/>
        <v>14691.329743184149</v>
      </c>
      <c r="J107" s="35">
        <f t="shared" si="26"/>
        <v>2319595.7683286415</v>
      </c>
      <c r="K107" s="35">
        <f t="shared" si="27"/>
        <v>15291602.676561426</v>
      </c>
      <c r="L107" s="35">
        <f t="shared" si="28"/>
        <v>0</v>
      </c>
      <c r="M107" s="35">
        <f t="shared" si="29"/>
        <v>26214176.016962443</v>
      </c>
      <c r="N107" s="36">
        <f t="shared" si="30"/>
        <v>0.39</v>
      </c>
      <c r="O107" s="35">
        <f t="shared" si="31"/>
        <v>0</v>
      </c>
      <c r="P107" s="35">
        <f t="shared" si="32"/>
        <v>5059082.6942107854</v>
      </c>
      <c r="Q107" s="35">
        <f t="shared" si="33"/>
        <v>0</v>
      </c>
      <c r="R107" s="35">
        <f t="shared" si="34"/>
        <v>60324181.306287862</v>
      </c>
      <c r="S107" s="33">
        <f t="shared" si="35"/>
        <v>489</v>
      </c>
    </row>
    <row r="108" spans="1:19" x14ac:dyDescent="0.3">
      <c r="A108" s="33">
        <f>104</f>
        <v>104</v>
      </c>
      <c r="B108" s="34">
        <f t="shared" si="18"/>
        <v>49522</v>
      </c>
      <c r="C108" s="33">
        <f t="shared" si="19"/>
        <v>9</v>
      </c>
      <c r="D108" s="33">
        <f t="shared" si="20"/>
        <v>8</v>
      </c>
      <c r="E108" s="35">
        <f t="shared" si="21"/>
        <v>123120.79449727395</v>
      </c>
      <c r="F108" s="35">
        <f t="shared" si="22"/>
        <v>60324181.306287862</v>
      </c>
      <c r="G108" s="33">
        <f t="shared" si="23"/>
        <v>489</v>
      </c>
      <c r="H108" s="35">
        <f t="shared" si="24"/>
        <v>60206068.509166963</v>
      </c>
      <c r="I108" s="35">
        <f t="shared" si="25"/>
        <v>118112.79712089896</v>
      </c>
      <c r="J108" s="35">
        <f t="shared" si="26"/>
        <v>2408242.7403666787</v>
      </c>
      <c r="K108" s="35">
        <f t="shared" si="27"/>
        <v>17699845.416928105</v>
      </c>
      <c r="L108" s="35">
        <f t="shared" si="28"/>
        <v>0</v>
      </c>
      <c r="M108" s="35">
        <f t="shared" si="29"/>
        <v>26549768.125392158</v>
      </c>
      <c r="N108" s="36">
        <f t="shared" si="30"/>
        <v>0.39</v>
      </c>
      <c r="O108" s="35">
        <f t="shared" si="31"/>
        <v>0</v>
      </c>
      <c r="P108" s="35">
        <f t="shared" si="32"/>
        <v>5059082.6942107854</v>
      </c>
      <c r="Q108" s="35">
        <f t="shared" si="33"/>
        <v>0</v>
      </c>
      <c r="R108" s="35">
        <f t="shared" si="34"/>
        <v>62732424.046654537</v>
      </c>
      <c r="S108" s="33">
        <f t="shared" si="35"/>
        <v>509</v>
      </c>
    </row>
    <row r="109" spans="1:19" x14ac:dyDescent="0.3">
      <c r="A109" s="33">
        <f>105</f>
        <v>105</v>
      </c>
      <c r="B109" s="34">
        <f t="shared" si="18"/>
        <v>49553</v>
      </c>
      <c r="C109" s="33">
        <f t="shared" si="19"/>
        <v>9</v>
      </c>
      <c r="D109" s="33">
        <f t="shared" si="20"/>
        <v>9</v>
      </c>
      <c r="E109" s="35">
        <f t="shared" si="21"/>
        <v>123120.79449727395</v>
      </c>
      <c r="F109" s="35">
        <f t="shared" si="22"/>
        <v>62732424.046654537</v>
      </c>
      <c r="G109" s="33">
        <f t="shared" si="23"/>
        <v>509</v>
      </c>
      <c r="H109" s="35">
        <f t="shared" si="24"/>
        <v>62668484.399112441</v>
      </c>
      <c r="I109" s="35">
        <f t="shared" si="25"/>
        <v>63939.647542096674</v>
      </c>
      <c r="J109" s="35">
        <f t="shared" si="26"/>
        <v>2506739.3759644977</v>
      </c>
      <c r="K109" s="35">
        <f t="shared" si="27"/>
        <v>20206584.792892601</v>
      </c>
      <c r="L109" s="35">
        <f t="shared" si="28"/>
        <v>7234577.8846598174</v>
      </c>
      <c r="M109" s="35">
        <f t="shared" si="29"/>
        <v>26942113.057190135</v>
      </c>
      <c r="N109" s="36">
        <f t="shared" si="30"/>
        <v>0.39</v>
      </c>
      <c r="O109" s="35">
        <f t="shared" si="31"/>
        <v>2821485.3750173291</v>
      </c>
      <c r="P109" s="35">
        <f t="shared" si="32"/>
        <v>7880568.0692281146</v>
      </c>
      <c r="Q109" s="35">
        <f t="shared" si="33"/>
        <v>0</v>
      </c>
      <c r="R109" s="35">
        <f t="shared" si="34"/>
        <v>62417678.047601707</v>
      </c>
      <c r="S109" s="33">
        <f t="shared" si="35"/>
        <v>506</v>
      </c>
    </row>
    <row r="110" spans="1:19" x14ac:dyDescent="0.3">
      <c r="A110" s="33">
        <f>106</f>
        <v>106</v>
      </c>
      <c r="B110" s="34">
        <f t="shared" si="18"/>
        <v>49583</v>
      </c>
      <c r="C110" s="33">
        <f t="shared" si="19"/>
        <v>9</v>
      </c>
      <c r="D110" s="33">
        <f t="shared" si="20"/>
        <v>10</v>
      </c>
      <c r="E110" s="35">
        <f t="shared" si="21"/>
        <v>123120.79449727395</v>
      </c>
      <c r="F110" s="35">
        <f t="shared" si="22"/>
        <v>62417678.047601707</v>
      </c>
      <c r="G110" s="33">
        <f t="shared" si="23"/>
        <v>506</v>
      </c>
      <c r="H110" s="35">
        <f t="shared" si="24"/>
        <v>62299122.015620619</v>
      </c>
      <c r="I110" s="35">
        <f t="shared" si="25"/>
        <v>118556.03198108822</v>
      </c>
      <c r="J110" s="35">
        <f t="shared" si="26"/>
        <v>2491964.8806248247</v>
      </c>
      <c r="K110" s="35">
        <f t="shared" si="27"/>
        <v>22698549.673517425</v>
      </c>
      <c r="L110" s="35">
        <f t="shared" si="28"/>
        <v>0</v>
      </c>
      <c r="M110" s="35">
        <f t="shared" si="29"/>
        <v>27238259.608220913</v>
      </c>
      <c r="N110" s="36">
        <f t="shared" si="30"/>
        <v>0.39</v>
      </c>
      <c r="O110" s="35">
        <f t="shared" si="31"/>
        <v>0</v>
      </c>
      <c r="P110" s="35">
        <f t="shared" si="32"/>
        <v>7880568.0692281146</v>
      </c>
      <c r="Q110" s="35">
        <f t="shared" si="33"/>
        <v>0</v>
      </c>
      <c r="R110" s="35">
        <f t="shared" si="34"/>
        <v>64909642.928226531</v>
      </c>
      <c r="S110" s="33">
        <f t="shared" si="35"/>
        <v>527</v>
      </c>
    </row>
    <row r="111" spans="1:19" x14ac:dyDescent="0.3">
      <c r="A111" s="33">
        <f>107</f>
        <v>107</v>
      </c>
      <c r="B111" s="34">
        <f t="shared" si="18"/>
        <v>49614</v>
      </c>
      <c r="C111" s="33">
        <f t="shared" si="19"/>
        <v>9</v>
      </c>
      <c r="D111" s="33">
        <f t="shared" si="20"/>
        <v>11</v>
      </c>
      <c r="E111" s="35">
        <f t="shared" si="21"/>
        <v>123120.79449727395</v>
      </c>
      <c r="F111" s="35">
        <f t="shared" si="22"/>
        <v>64909642.928226531</v>
      </c>
      <c r="G111" s="33">
        <f t="shared" si="23"/>
        <v>527</v>
      </c>
      <c r="H111" s="35">
        <f t="shared" si="24"/>
        <v>64884658.70006337</v>
      </c>
      <c r="I111" s="35">
        <f t="shared" si="25"/>
        <v>24984.228163160384</v>
      </c>
      <c r="J111" s="35">
        <f t="shared" si="26"/>
        <v>2595386.3480025348</v>
      </c>
      <c r="K111" s="35">
        <f t="shared" si="27"/>
        <v>25293936.021519959</v>
      </c>
      <c r="L111" s="35">
        <f t="shared" si="28"/>
        <v>0</v>
      </c>
      <c r="M111" s="35">
        <f t="shared" si="29"/>
        <v>27593384.750749048</v>
      </c>
      <c r="N111" s="36">
        <f t="shared" si="30"/>
        <v>0.39</v>
      </c>
      <c r="O111" s="35">
        <f t="shared" si="31"/>
        <v>0</v>
      </c>
      <c r="P111" s="35">
        <f t="shared" si="32"/>
        <v>7880568.0692281146</v>
      </c>
      <c r="Q111" s="35">
        <f t="shared" si="33"/>
        <v>0</v>
      </c>
      <c r="R111" s="35">
        <f t="shared" si="34"/>
        <v>67505029.276229069</v>
      </c>
      <c r="S111" s="33">
        <f t="shared" si="35"/>
        <v>548</v>
      </c>
    </row>
    <row r="112" spans="1:19" x14ac:dyDescent="0.3">
      <c r="A112" s="37">
        <f>108</f>
        <v>108</v>
      </c>
      <c r="B112" s="38">
        <f t="shared" si="18"/>
        <v>49644</v>
      </c>
      <c r="C112" s="37">
        <f t="shared" si="19"/>
        <v>9</v>
      </c>
      <c r="D112" s="37">
        <f t="shared" si="20"/>
        <v>12</v>
      </c>
      <c r="E112" s="39">
        <f t="shared" si="21"/>
        <v>123120.79449727395</v>
      </c>
      <c r="F112" s="39">
        <f t="shared" si="22"/>
        <v>67505029.276229069</v>
      </c>
      <c r="G112" s="37">
        <f t="shared" si="23"/>
        <v>548</v>
      </c>
      <c r="H112" s="39">
        <f t="shared" si="24"/>
        <v>67470195.384506121</v>
      </c>
      <c r="I112" s="39">
        <f t="shared" si="25"/>
        <v>34833.891722947359</v>
      </c>
      <c r="J112" s="39">
        <f t="shared" si="26"/>
        <v>2698807.815380245</v>
      </c>
      <c r="K112" s="39">
        <f t="shared" si="27"/>
        <v>27992743.836900204</v>
      </c>
      <c r="L112" s="39">
        <f t="shared" si="28"/>
        <v>7786159.0440076049</v>
      </c>
      <c r="M112" s="39">
        <f t="shared" si="29"/>
        <v>27992743.836900204</v>
      </c>
      <c r="N112" s="40">
        <f t="shared" si="30"/>
        <v>0.39</v>
      </c>
      <c r="O112" s="39">
        <f t="shared" si="31"/>
        <v>3036602.0271629659</v>
      </c>
      <c r="P112" s="39">
        <f t="shared" si="32"/>
        <v>10917170.09639108</v>
      </c>
      <c r="Q112" s="39">
        <f t="shared" si="33"/>
        <v>1707557.3740509124</v>
      </c>
      <c r="R112" s="39">
        <f t="shared" si="34"/>
        <v>65459677.69039543</v>
      </c>
      <c r="S112" s="37">
        <f t="shared" si="35"/>
        <v>531</v>
      </c>
    </row>
    <row r="113" spans="1:19" x14ac:dyDescent="0.3">
      <c r="A113" s="33">
        <f>109</f>
        <v>109</v>
      </c>
      <c r="B113" s="34">
        <f t="shared" si="18"/>
        <v>49675</v>
      </c>
      <c r="C113" s="33">
        <f t="shared" si="19"/>
        <v>10</v>
      </c>
      <c r="D113" s="33">
        <f t="shared" si="20"/>
        <v>1</v>
      </c>
      <c r="E113" s="35">
        <f t="shared" si="21"/>
        <v>129276.83422213765</v>
      </c>
      <c r="F113" s="35">
        <f t="shared" si="22"/>
        <v>65459677.69039543</v>
      </c>
      <c r="G113" s="33">
        <f t="shared" si="23"/>
        <v>506</v>
      </c>
      <c r="H113" s="35">
        <f t="shared" si="24"/>
        <v>65414078.11640165</v>
      </c>
      <c r="I113" s="35">
        <f t="shared" si="25"/>
        <v>45599.573993779719</v>
      </c>
      <c r="J113" s="35">
        <f t="shared" si="26"/>
        <v>2616563.1246560658</v>
      </c>
      <c r="K113" s="35">
        <f t="shared" si="27"/>
        <v>2616563.1246560658</v>
      </c>
      <c r="L113" s="35">
        <f t="shared" si="28"/>
        <v>0</v>
      </c>
      <c r="M113" s="35">
        <f t="shared" si="29"/>
        <v>31398757.495872788</v>
      </c>
      <c r="N113" s="36">
        <f t="shared" si="30"/>
        <v>0.39</v>
      </c>
      <c r="O113" s="35">
        <f t="shared" si="31"/>
        <v>0</v>
      </c>
      <c r="P113" s="35">
        <f t="shared" si="32"/>
        <v>0</v>
      </c>
      <c r="Q113" s="35">
        <f t="shared" si="33"/>
        <v>0</v>
      </c>
      <c r="R113" s="35">
        <f t="shared" si="34"/>
        <v>68076240.815051496</v>
      </c>
      <c r="S113" s="33">
        <f t="shared" si="35"/>
        <v>526</v>
      </c>
    </row>
    <row r="114" spans="1:19" x14ac:dyDescent="0.3">
      <c r="A114" s="33">
        <f>110</f>
        <v>110</v>
      </c>
      <c r="B114" s="34">
        <f t="shared" si="18"/>
        <v>49706</v>
      </c>
      <c r="C114" s="33">
        <f t="shared" si="19"/>
        <v>10</v>
      </c>
      <c r="D114" s="33">
        <f t="shared" si="20"/>
        <v>2</v>
      </c>
      <c r="E114" s="35">
        <f t="shared" si="21"/>
        <v>129276.83422213765</v>
      </c>
      <c r="F114" s="35">
        <f t="shared" si="22"/>
        <v>68076240.815051496</v>
      </c>
      <c r="G114" s="33">
        <f t="shared" si="23"/>
        <v>526</v>
      </c>
      <c r="H114" s="35">
        <f t="shared" si="24"/>
        <v>67999614.800844401</v>
      </c>
      <c r="I114" s="35">
        <f t="shared" si="25"/>
        <v>76626.014207094908</v>
      </c>
      <c r="J114" s="35">
        <f t="shared" si="26"/>
        <v>2719984.592033776</v>
      </c>
      <c r="K114" s="35">
        <f t="shared" si="27"/>
        <v>5336547.7166898418</v>
      </c>
      <c r="L114" s="35">
        <f t="shared" si="28"/>
        <v>0</v>
      </c>
      <c r="M114" s="35">
        <f t="shared" si="29"/>
        <v>32019286.300139051</v>
      </c>
      <c r="N114" s="36">
        <f t="shared" si="30"/>
        <v>0.39</v>
      </c>
      <c r="O114" s="35">
        <f t="shared" si="31"/>
        <v>0</v>
      </c>
      <c r="P114" s="35">
        <f t="shared" si="32"/>
        <v>0</v>
      </c>
      <c r="Q114" s="35">
        <f t="shared" si="33"/>
        <v>0</v>
      </c>
      <c r="R114" s="35">
        <f t="shared" si="34"/>
        <v>70796225.40708527</v>
      </c>
      <c r="S114" s="33">
        <f t="shared" si="35"/>
        <v>547</v>
      </c>
    </row>
    <row r="115" spans="1:19" x14ac:dyDescent="0.3">
      <c r="A115" s="33">
        <f>111</f>
        <v>111</v>
      </c>
      <c r="B115" s="34">
        <f t="shared" si="18"/>
        <v>49735</v>
      </c>
      <c r="C115" s="33">
        <f t="shared" si="19"/>
        <v>10</v>
      </c>
      <c r="D115" s="33">
        <f t="shared" si="20"/>
        <v>3</v>
      </c>
      <c r="E115" s="35">
        <f t="shared" si="21"/>
        <v>129276.83422213765</v>
      </c>
      <c r="F115" s="35">
        <f t="shared" si="22"/>
        <v>70796225.40708527</v>
      </c>
      <c r="G115" s="33">
        <f t="shared" si="23"/>
        <v>547</v>
      </c>
      <c r="H115" s="35">
        <f t="shared" si="24"/>
        <v>70714428.319509298</v>
      </c>
      <c r="I115" s="35">
        <f t="shared" si="25"/>
        <v>81797.08757597208</v>
      </c>
      <c r="J115" s="35">
        <f t="shared" si="26"/>
        <v>2828577.1327803722</v>
      </c>
      <c r="K115" s="35">
        <f t="shared" si="27"/>
        <v>8165124.849470214</v>
      </c>
      <c r="L115" s="35">
        <f t="shared" si="28"/>
        <v>8165124.849470214</v>
      </c>
      <c r="M115" s="35">
        <f t="shared" si="29"/>
        <v>32660499.397880856</v>
      </c>
      <c r="N115" s="36">
        <f t="shared" si="30"/>
        <v>0.39</v>
      </c>
      <c r="O115" s="35">
        <f t="shared" si="31"/>
        <v>3184398.6912933835</v>
      </c>
      <c r="P115" s="35">
        <f t="shared" si="32"/>
        <v>3184398.6912933835</v>
      </c>
      <c r="Q115" s="35">
        <f t="shared" si="33"/>
        <v>0</v>
      </c>
      <c r="R115" s="35">
        <f t="shared" si="34"/>
        <v>70440403.848572254</v>
      </c>
      <c r="S115" s="33">
        <f t="shared" si="35"/>
        <v>544</v>
      </c>
    </row>
    <row r="116" spans="1:19" x14ac:dyDescent="0.3">
      <c r="A116" s="33">
        <f>112</f>
        <v>112</v>
      </c>
      <c r="B116" s="34">
        <f t="shared" si="18"/>
        <v>49766</v>
      </c>
      <c r="C116" s="33">
        <f t="shared" si="19"/>
        <v>10</v>
      </c>
      <c r="D116" s="33">
        <f t="shared" si="20"/>
        <v>4</v>
      </c>
      <c r="E116" s="35">
        <f t="shared" si="21"/>
        <v>129276.83422213765</v>
      </c>
      <c r="F116" s="35">
        <f t="shared" si="22"/>
        <v>70440403.848572254</v>
      </c>
      <c r="G116" s="33">
        <f t="shared" si="23"/>
        <v>544</v>
      </c>
      <c r="H116" s="35">
        <f t="shared" si="24"/>
        <v>70326597.816842884</v>
      </c>
      <c r="I116" s="35">
        <f t="shared" si="25"/>
        <v>113806.03172937036</v>
      </c>
      <c r="J116" s="35">
        <f t="shared" si="26"/>
        <v>2813063.9126737155</v>
      </c>
      <c r="K116" s="35">
        <f t="shared" si="27"/>
        <v>10978188.762143929</v>
      </c>
      <c r="L116" s="35">
        <f t="shared" si="28"/>
        <v>0</v>
      </c>
      <c r="M116" s="35">
        <f t="shared" si="29"/>
        <v>32934566.286431786</v>
      </c>
      <c r="N116" s="36">
        <f t="shared" si="30"/>
        <v>0.39</v>
      </c>
      <c r="O116" s="35">
        <f t="shared" si="31"/>
        <v>0</v>
      </c>
      <c r="P116" s="35">
        <f t="shared" si="32"/>
        <v>3184398.6912933835</v>
      </c>
      <c r="Q116" s="35">
        <f t="shared" si="33"/>
        <v>0</v>
      </c>
      <c r="R116" s="35">
        <f t="shared" si="34"/>
        <v>73253467.761245966</v>
      </c>
      <c r="S116" s="33">
        <f t="shared" si="35"/>
        <v>566</v>
      </c>
    </row>
    <row r="117" spans="1:19" x14ac:dyDescent="0.3">
      <c r="A117" s="33">
        <f>113</f>
        <v>113</v>
      </c>
      <c r="B117" s="34">
        <f t="shared" si="18"/>
        <v>49796</v>
      </c>
      <c r="C117" s="33">
        <f t="shared" si="19"/>
        <v>10</v>
      </c>
      <c r="D117" s="33">
        <f t="shared" si="20"/>
        <v>5</v>
      </c>
      <c r="E117" s="35">
        <f t="shared" si="21"/>
        <v>129276.83422213765</v>
      </c>
      <c r="F117" s="35">
        <f t="shared" si="22"/>
        <v>73253467.761245966</v>
      </c>
      <c r="G117" s="33">
        <f t="shared" si="23"/>
        <v>566</v>
      </c>
      <c r="H117" s="35">
        <f t="shared" si="24"/>
        <v>73170688.169729903</v>
      </c>
      <c r="I117" s="35">
        <f t="shared" si="25"/>
        <v>82779.591516062617</v>
      </c>
      <c r="J117" s="35">
        <f t="shared" si="26"/>
        <v>2926827.5267891963</v>
      </c>
      <c r="K117" s="35">
        <f t="shared" si="27"/>
        <v>13905016.288933124</v>
      </c>
      <c r="L117" s="35">
        <f t="shared" si="28"/>
        <v>0</v>
      </c>
      <c r="M117" s="35">
        <f t="shared" si="29"/>
        <v>33372039.093439497</v>
      </c>
      <c r="N117" s="36">
        <f t="shared" si="30"/>
        <v>0.39</v>
      </c>
      <c r="O117" s="35">
        <f t="shared" si="31"/>
        <v>0</v>
      </c>
      <c r="P117" s="35">
        <f t="shared" si="32"/>
        <v>3184398.6912933835</v>
      </c>
      <c r="Q117" s="35">
        <f t="shared" si="33"/>
        <v>0</v>
      </c>
      <c r="R117" s="35">
        <f t="shared" si="34"/>
        <v>76180295.288035169</v>
      </c>
      <c r="S117" s="33">
        <f t="shared" si="35"/>
        <v>589</v>
      </c>
    </row>
    <row r="118" spans="1:19" x14ac:dyDescent="0.3">
      <c r="A118" s="33">
        <f>114</f>
        <v>114</v>
      </c>
      <c r="B118" s="34">
        <f t="shared" si="18"/>
        <v>49827</v>
      </c>
      <c r="C118" s="33">
        <f t="shared" si="19"/>
        <v>10</v>
      </c>
      <c r="D118" s="33">
        <f t="shared" si="20"/>
        <v>6</v>
      </c>
      <c r="E118" s="35">
        <f t="shared" si="21"/>
        <v>129276.83422213765</v>
      </c>
      <c r="F118" s="35">
        <f t="shared" si="22"/>
        <v>76180295.288035169</v>
      </c>
      <c r="G118" s="33">
        <f t="shared" si="23"/>
        <v>589</v>
      </c>
      <c r="H118" s="35">
        <f t="shared" si="24"/>
        <v>76144055.356839076</v>
      </c>
      <c r="I118" s="35">
        <f t="shared" si="25"/>
        <v>36239.931196093559</v>
      </c>
      <c r="J118" s="35">
        <f t="shared" si="26"/>
        <v>3045762.2142735631</v>
      </c>
      <c r="K118" s="35">
        <f t="shared" si="27"/>
        <v>16950778.503206689</v>
      </c>
      <c r="L118" s="35">
        <f t="shared" si="28"/>
        <v>8785653.653736474</v>
      </c>
      <c r="M118" s="35">
        <f t="shared" si="29"/>
        <v>33901557.006413378</v>
      </c>
      <c r="N118" s="36">
        <f t="shared" si="30"/>
        <v>0.39</v>
      </c>
      <c r="O118" s="35">
        <f t="shared" si="31"/>
        <v>3426404.9249572251</v>
      </c>
      <c r="P118" s="35">
        <f t="shared" si="32"/>
        <v>6610803.6162506081</v>
      </c>
      <c r="Q118" s="35">
        <f t="shared" si="33"/>
        <v>0</v>
      </c>
      <c r="R118" s="35">
        <f t="shared" si="34"/>
        <v>75799652.577351496</v>
      </c>
      <c r="S118" s="33">
        <f t="shared" si="35"/>
        <v>586</v>
      </c>
    </row>
    <row r="119" spans="1:19" x14ac:dyDescent="0.3">
      <c r="A119" s="33">
        <f>115</f>
        <v>115</v>
      </c>
      <c r="B119" s="34">
        <f t="shared" si="18"/>
        <v>49857</v>
      </c>
      <c r="C119" s="33">
        <f t="shared" si="19"/>
        <v>10</v>
      </c>
      <c r="D119" s="33">
        <f t="shared" si="20"/>
        <v>7</v>
      </c>
      <c r="E119" s="35">
        <f t="shared" si="21"/>
        <v>129276.83422213765</v>
      </c>
      <c r="F119" s="35">
        <f t="shared" si="22"/>
        <v>75799652.577351496</v>
      </c>
      <c r="G119" s="33">
        <f t="shared" si="23"/>
        <v>586</v>
      </c>
      <c r="H119" s="35">
        <f t="shared" si="24"/>
        <v>75756224.854172662</v>
      </c>
      <c r="I119" s="35">
        <f t="shared" si="25"/>
        <v>43427.723178833723</v>
      </c>
      <c r="J119" s="35">
        <f t="shared" si="26"/>
        <v>3030248.9941669065</v>
      </c>
      <c r="K119" s="35">
        <f t="shared" si="27"/>
        <v>19981027.497373596</v>
      </c>
      <c r="L119" s="35">
        <f t="shared" si="28"/>
        <v>0</v>
      </c>
      <c r="M119" s="35">
        <f t="shared" si="29"/>
        <v>34253189.995497592</v>
      </c>
      <c r="N119" s="36">
        <f t="shared" si="30"/>
        <v>0.39</v>
      </c>
      <c r="O119" s="35">
        <f t="shared" si="31"/>
        <v>0</v>
      </c>
      <c r="P119" s="35">
        <f t="shared" si="32"/>
        <v>6610803.6162506081</v>
      </c>
      <c r="Q119" s="35">
        <f t="shared" si="33"/>
        <v>0</v>
      </c>
      <c r="R119" s="35">
        <f t="shared" si="34"/>
        <v>78829901.571518406</v>
      </c>
      <c r="S119" s="33">
        <f t="shared" si="35"/>
        <v>609</v>
      </c>
    </row>
    <row r="120" spans="1:19" x14ac:dyDescent="0.3">
      <c r="A120" s="33">
        <f>116</f>
        <v>116</v>
      </c>
      <c r="B120" s="34">
        <f t="shared" si="18"/>
        <v>49888</v>
      </c>
      <c r="C120" s="33">
        <f t="shared" si="19"/>
        <v>10</v>
      </c>
      <c r="D120" s="33">
        <f t="shared" si="20"/>
        <v>8</v>
      </c>
      <c r="E120" s="35">
        <f t="shared" si="21"/>
        <v>129276.83422213765</v>
      </c>
      <c r="F120" s="35">
        <f t="shared" si="22"/>
        <v>78829901.571518406</v>
      </c>
      <c r="G120" s="33">
        <f t="shared" si="23"/>
        <v>609</v>
      </c>
      <c r="H120" s="35">
        <f t="shared" si="24"/>
        <v>78729592.041281834</v>
      </c>
      <c r="I120" s="35">
        <f t="shared" si="25"/>
        <v>100309.53023657203</v>
      </c>
      <c r="J120" s="35">
        <f t="shared" si="26"/>
        <v>3149183.6816512733</v>
      </c>
      <c r="K120" s="35">
        <f t="shared" si="27"/>
        <v>23130211.179024868</v>
      </c>
      <c r="L120" s="35">
        <f t="shared" si="28"/>
        <v>0</v>
      </c>
      <c r="M120" s="35">
        <f t="shared" si="29"/>
        <v>34695316.768537298</v>
      </c>
      <c r="N120" s="36">
        <f t="shared" si="30"/>
        <v>0.39</v>
      </c>
      <c r="O120" s="35">
        <f t="shared" si="31"/>
        <v>0</v>
      </c>
      <c r="P120" s="35">
        <f t="shared" si="32"/>
        <v>6610803.6162506081</v>
      </c>
      <c r="Q120" s="35">
        <f t="shared" si="33"/>
        <v>0</v>
      </c>
      <c r="R120" s="35">
        <f t="shared" si="34"/>
        <v>81979085.253169686</v>
      </c>
      <c r="S120" s="33">
        <f t="shared" si="35"/>
        <v>634</v>
      </c>
    </row>
    <row r="121" spans="1:19" x14ac:dyDescent="0.3">
      <c r="A121" s="33">
        <f>117</f>
        <v>117</v>
      </c>
      <c r="B121" s="34">
        <f t="shared" si="18"/>
        <v>49919</v>
      </c>
      <c r="C121" s="33">
        <f t="shared" si="19"/>
        <v>10</v>
      </c>
      <c r="D121" s="33">
        <f t="shared" si="20"/>
        <v>9</v>
      </c>
      <c r="E121" s="35">
        <f t="shared" si="21"/>
        <v>129276.83422213765</v>
      </c>
      <c r="F121" s="35">
        <f t="shared" si="22"/>
        <v>81979085.253169686</v>
      </c>
      <c r="G121" s="33">
        <f t="shared" si="23"/>
        <v>634</v>
      </c>
      <c r="H121" s="35">
        <f t="shared" si="24"/>
        <v>81961512.896835268</v>
      </c>
      <c r="I121" s="35">
        <f t="shared" si="25"/>
        <v>17572.356334418058</v>
      </c>
      <c r="J121" s="35">
        <f t="shared" si="26"/>
        <v>3278460.5158734107</v>
      </c>
      <c r="K121" s="35">
        <f t="shared" si="27"/>
        <v>26408671.694898278</v>
      </c>
      <c r="L121" s="35">
        <f t="shared" si="28"/>
        <v>9457893.1916915905</v>
      </c>
      <c r="M121" s="35">
        <f t="shared" si="29"/>
        <v>35211562.259864368</v>
      </c>
      <c r="N121" s="36">
        <f t="shared" si="30"/>
        <v>0.39</v>
      </c>
      <c r="O121" s="35">
        <f t="shared" si="31"/>
        <v>3688578.3447597204</v>
      </c>
      <c r="P121" s="35">
        <f t="shared" si="32"/>
        <v>10299381.961010329</v>
      </c>
      <c r="Q121" s="35">
        <f t="shared" si="33"/>
        <v>0</v>
      </c>
      <c r="R121" s="35">
        <f t="shared" si="34"/>
        <v>81568967.424283385</v>
      </c>
      <c r="S121" s="33">
        <f t="shared" si="35"/>
        <v>630</v>
      </c>
    </row>
    <row r="122" spans="1:19" x14ac:dyDescent="0.3">
      <c r="A122" s="33">
        <f>118</f>
        <v>118</v>
      </c>
      <c r="B122" s="34">
        <f t="shared" si="18"/>
        <v>49949</v>
      </c>
      <c r="C122" s="33">
        <f t="shared" si="19"/>
        <v>10</v>
      </c>
      <c r="D122" s="33">
        <f t="shared" si="20"/>
        <v>10</v>
      </c>
      <c r="E122" s="35">
        <f t="shared" si="21"/>
        <v>129276.83422213765</v>
      </c>
      <c r="F122" s="35">
        <f t="shared" si="22"/>
        <v>81568967.424283385</v>
      </c>
      <c r="G122" s="33">
        <f t="shared" si="23"/>
        <v>630</v>
      </c>
      <c r="H122" s="35">
        <f t="shared" si="24"/>
        <v>81444405.559946716</v>
      </c>
      <c r="I122" s="35">
        <f t="shared" si="25"/>
        <v>124561.86433666945</v>
      </c>
      <c r="J122" s="35">
        <f t="shared" si="26"/>
        <v>3257776.2223978685</v>
      </c>
      <c r="K122" s="35">
        <f t="shared" si="27"/>
        <v>29666447.917296145</v>
      </c>
      <c r="L122" s="35">
        <f t="shared" si="28"/>
        <v>0</v>
      </c>
      <c r="M122" s="35">
        <f t="shared" si="29"/>
        <v>35599737.500755377</v>
      </c>
      <c r="N122" s="36">
        <f t="shared" si="30"/>
        <v>0.39</v>
      </c>
      <c r="O122" s="35">
        <f t="shared" si="31"/>
        <v>0</v>
      </c>
      <c r="P122" s="35">
        <f t="shared" si="32"/>
        <v>10299381.961010329</v>
      </c>
      <c r="Q122" s="35">
        <f t="shared" si="33"/>
        <v>0</v>
      </c>
      <c r="R122" s="35">
        <f t="shared" si="34"/>
        <v>84826743.646681249</v>
      </c>
      <c r="S122" s="33">
        <f t="shared" si="35"/>
        <v>656</v>
      </c>
    </row>
    <row r="123" spans="1:19" x14ac:dyDescent="0.3">
      <c r="A123" s="33">
        <f>119</f>
        <v>119</v>
      </c>
      <c r="B123" s="34">
        <f t="shared" si="18"/>
        <v>49980</v>
      </c>
      <c r="C123" s="33">
        <f t="shared" si="19"/>
        <v>10</v>
      </c>
      <c r="D123" s="33">
        <f t="shared" si="20"/>
        <v>11</v>
      </c>
      <c r="E123" s="35">
        <f t="shared" si="21"/>
        <v>129276.83422213765</v>
      </c>
      <c r="F123" s="35">
        <f t="shared" si="22"/>
        <v>84826743.646681249</v>
      </c>
      <c r="G123" s="33">
        <f t="shared" si="23"/>
        <v>656</v>
      </c>
      <c r="H123" s="35">
        <f t="shared" si="24"/>
        <v>84805603.249722302</v>
      </c>
      <c r="I123" s="35">
        <f t="shared" si="25"/>
        <v>21140.396958947182</v>
      </c>
      <c r="J123" s="35">
        <f t="shared" si="26"/>
        <v>3392224.129988892</v>
      </c>
      <c r="K123" s="35">
        <f t="shared" si="27"/>
        <v>33058672.047285035</v>
      </c>
      <c r="L123" s="35">
        <f t="shared" si="28"/>
        <v>0</v>
      </c>
      <c r="M123" s="35">
        <f t="shared" si="29"/>
        <v>36064005.86976549</v>
      </c>
      <c r="N123" s="36">
        <f t="shared" si="30"/>
        <v>0.39</v>
      </c>
      <c r="O123" s="35">
        <f t="shared" si="31"/>
        <v>0</v>
      </c>
      <c r="P123" s="35">
        <f t="shared" si="32"/>
        <v>10299381.961010329</v>
      </c>
      <c r="Q123" s="35">
        <f t="shared" si="33"/>
        <v>0</v>
      </c>
      <c r="R123" s="35">
        <f t="shared" si="34"/>
        <v>88218967.776670143</v>
      </c>
      <c r="S123" s="33">
        <f t="shared" si="35"/>
        <v>682</v>
      </c>
    </row>
    <row r="124" spans="1:19" x14ac:dyDescent="0.3">
      <c r="A124" s="37">
        <f>120</f>
        <v>120</v>
      </c>
      <c r="B124" s="38">
        <f t="shared" si="18"/>
        <v>50010</v>
      </c>
      <c r="C124" s="37">
        <f t="shared" si="19"/>
        <v>10</v>
      </c>
      <c r="D124" s="37">
        <f t="shared" si="20"/>
        <v>12</v>
      </c>
      <c r="E124" s="39">
        <f t="shared" si="21"/>
        <v>129276.83422213765</v>
      </c>
      <c r="F124" s="39">
        <f t="shared" si="22"/>
        <v>88218967.776670143</v>
      </c>
      <c r="G124" s="37">
        <f t="shared" si="23"/>
        <v>682</v>
      </c>
      <c r="H124" s="39">
        <f t="shared" si="24"/>
        <v>88166800.939497873</v>
      </c>
      <c r="I124" s="39">
        <f t="shared" si="25"/>
        <v>52166.837172269821</v>
      </c>
      <c r="J124" s="39">
        <f t="shared" si="26"/>
        <v>3526672.037579915</v>
      </c>
      <c r="K124" s="39">
        <f t="shared" si="27"/>
        <v>36585344.084864952</v>
      </c>
      <c r="L124" s="39">
        <f t="shared" si="28"/>
        <v>10176672.389966676</v>
      </c>
      <c r="M124" s="39">
        <f t="shared" si="29"/>
        <v>36585344.084864952</v>
      </c>
      <c r="N124" s="40">
        <f t="shared" si="30"/>
        <v>0.39</v>
      </c>
      <c r="O124" s="39">
        <f t="shared" si="31"/>
        <v>3968902.232087004</v>
      </c>
      <c r="P124" s="39">
        <f t="shared" si="32"/>
        <v>14268284.193097334</v>
      </c>
      <c r="Q124" s="39">
        <f t="shared" si="33"/>
        <v>2231705.9891767618</v>
      </c>
      <c r="R124" s="39">
        <f t="shared" si="34"/>
        <v>85545031.592986286</v>
      </c>
      <c r="S124" s="37">
        <f t="shared" si="35"/>
        <v>661</v>
      </c>
    </row>
    <row r="125" spans="1:19" x14ac:dyDescent="0.3">
      <c r="A125" s="33">
        <f>121</f>
        <v>121</v>
      </c>
      <c r="B125" s="34">
        <f t="shared" si="18"/>
        <v>50041</v>
      </c>
      <c r="C125" s="33">
        <f t="shared" si="19"/>
        <v>11</v>
      </c>
      <c r="D125" s="33">
        <f t="shared" si="20"/>
        <v>1</v>
      </c>
      <c r="E125" s="35">
        <f t="shared" si="21"/>
        <v>135740.67593324455</v>
      </c>
      <c r="F125" s="35">
        <f t="shared" si="22"/>
        <v>85545031.592986286</v>
      </c>
      <c r="G125" s="33">
        <f t="shared" si="23"/>
        <v>630</v>
      </c>
      <c r="H125" s="35">
        <f t="shared" si="24"/>
        <v>85516625.837944061</v>
      </c>
      <c r="I125" s="35">
        <f t="shared" si="25"/>
        <v>28405.755042225122</v>
      </c>
      <c r="J125" s="35">
        <f t="shared" si="26"/>
        <v>3420665.0335177626</v>
      </c>
      <c r="K125" s="35">
        <f t="shared" si="27"/>
        <v>3420665.0335177626</v>
      </c>
      <c r="L125" s="35">
        <f t="shared" si="28"/>
        <v>0</v>
      </c>
      <c r="M125" s="35">
        <f t="shared" si="29"/>
        <v>41047980.402213149</v>
      </c>
      <c r="N125" s="36">
        <f t="shared" si="30"/>
        <v>0.39</v>
      </c>
      <c r="O125" s="35">
        <f t="shared" si="31"/>
        <v>0</v>
      </c>
      <c r="P125" s="35">
        <f t="shared" si="32"/>
        <v>0</v>
      </c>
      <c r="Q125" s="35">
        <f t="shared" si="33"/>
        <v>0</v>
      </c>
      <c r="R125" s="35">
        <f t="shared" si="34"/>
        <v>88965696.626504049</v>
      </c>
      <c r="S125" s="33">
        <f t="shared" si="35"/>
        <v>655</v>
      </c>
    </row>
    <row r="126" spans="1:19" x14ac:dyDescent="0.3">
      <c r="A126" s="33">
        <f>122</f>
        <v>122</v>
      </c>
      <c r="B126" s="34">
        <f t="shared" si="18"/>
        <v>50072</v>
      </c>
      <c r="C126" s="33">
        <f t="shared" si="19"/>
        <v>11</v>
      </c>
      <c r="D126" s="33">
        <f t="shared" si="20"/>
        <v>2</v>
      </c>
      <c r="E126" s="35">
        <f t="shared" si="21"/>
        <v>135740.67593324455</v>
      </c>
      <c r="F126" s="35">
        <f t="shared" si="22"/>
        <v>88965696.626504049</v>
      </c>
      <c r="G126" s="33">
        <f t="shared" si="23"/>
        <v>655</v>
      </c>
      <c r="H126" s="35">
        <f t="shared" si="24"/>
        <v>88910142.736275181</v>
      </c>
      <c r="I126" s="35">
        <f t="shared" si="25"/>
        <v>55553.890228867531</v>
      </c>
      <c r="J126" s="35">
        <f t="shared" si="26"/>
        <v>3556405.7094510072</v>
      </c>
      <c r="K126" s="35">
        <f t="shared" si="27"/>
        <v>6977070.7429687697</v>
      </c>
      <c r="L126" s="35">
        <f t="shared" si="28"/>
        <v>0</v>
      </c>
      <c r="M126" s="35">
        <f t="shared" si="29"/>
        <v>41862424.457812622</v>
      </c>
      <c r="N126" s="36">
        <f t="shared" si="30"/>
        <v>0.39</v>
      </c>
      <c r="O126" s="35">
        <f t="shared" si="31"/>
        <v>0</v>
      </c>
      <c r="P126" s="35">
        <f t="shared" si="32"/>
        <v>0</v>
      </c>
      <c r="Q126" s="35">
        <f t="shared" si="33"/>
        <v>0</v>
      </c>
      <c r="R126" s="35">
        <f t="shared" si="34"/>
        <v>92522102.335955054</v>
      </c>
      <c r="S126" s="33">
        <f t="shared" si="35"/>
        <v>681</v>
      </c>
    </row>
    <row r="127" spans="1:19" x14ac:dyDescent="0.3">
      <c r="A127" s="33">
        <f>123</f>
        <v>123</v>
      </c>
      <c r="B127" s="34">
        <f t="shared" si="18"/>
        <v>50100</v>
      </c>
      <c r="C127" s="33">
        <f t="shared" si="19"/>
        <v>11</v>
      </c>
      <c r="D127" s="33">
        <f t="shared" si="20"/>
        <v>3</v>
      </c>
      <c r="E127" s="35">
        <f t="shared" si="21"/>
        <v>135740.67593324455</v>
      </c>
      <c r="F127" s="35">
        <f t="shared" si="22"/>
        <v>92522102.335955054</v>
      </c>
      <c r="G127" s="33">
        <f t="shared" si="23"/>
        <v>681</v>
      </c>
      <c r="H127" s="35">
        <f t="shared" si="24"/>
        <v>92439400.310539544</v>
      </c>
      <c r="I127" s="35">
        <f t="shared" si="25"/>
        <v>82702.025415509939</v>
      </c>
      <c r="J127" s="35">
        <f t="shared" si="26"/>
        <v>3697576.0124215819</v>
      </c>
      <c r="K127" s="35">
        <f t="shared" si="27"/>
        <v>10674646.755390352</v>
      </c>
      <c r="L127" s="35">
        <f t="shared" si="28"/>
        <v>10674646.755390352</v>
      </c>
      <c r="M127" s="35">
        <f t="shared" si="29"/>
        <v>42698587.021561407</v>
      </c>
      <c r="N127" s="36">
        <f t="shared" si="30"/>
        <v>0.39</v>
      </c>
      <c r="O127" s="35">
        <f t="shared" si="31"/>
        <v>4163112.2346022371</v>
      </c>
      <c r="P127" s="35">
        <f t="shared" si="32"/>
        <v>4163112.2346022371</v>
      </c>
      <c r="Q127" s="35">
        <f t="shared" si="33"/>
        <v>0</v>
      </c>
      <c r="R127" s="35">
        <f t="shared" si="34"/>
        <v>92056566.113774389</v>
      </c>
      <c r="S127" s="33">
        <f t="shared" si="35"/>
        <v>678</v>
      </c>
    </row>
    <row r="128" spans="1:19" x14ac:dyDescent="0.3">
      <c r="A128" s="33">
        <f>124</f>
        <v>124</v>
      </c>
      <c r="B128" s="34">
        <f t="shared" si="18"/>
        <v>50131</v>
      </c>
      <c r="C128" s="33">
        <f t="shared" si="19"/>
        <v>11</v>
      </c>
      <c r="D128" s="33">
        <f t="shared" si="20"/>
        <v>4</v>
      </c>
      <c r="E128" s="35">
        <f t="shared" si="21"/>
        <v>135740.67593324455</v>
      </c>
      <c r="F128" s="35">
        <f t="shared" si="22"/>
        <v>92056566.113774389</v>
      </c>
      <c r="G128" s="33">
        <f t="shared" si="23"/>
        <v>678</v>
      </c>
      <c r="H128" s="35">
        <f t="shared" si="24"/>
        <v>92032178.282739803</v>
      </c>
      <c r="I128" s="35">
        <f t="shared" si="25"/>
        <v>24387.831034585834</v>
      </c>
      <c r="J128" s="35">
        <f t="shared" si="26"/>
        <v>3681287.1313095922</v>
      </c>
      <c r="K128" s="35">
        <f t="shared" si="27"/>
        <v>14355933.886699945</v>
      </c>
      <c r="L128" s="35">
        <f t="shared" si="28"/>
        <v>0</v>
      </c>
      <c r="M128" s="35">
        <f t="shared" si="29"/>
        <v>43067801.660099834</v>
      </c>
      <c r="N128" s="36">
        <f t="shared" si="30"/>
        <v>0.39</v>
      </c>
      <c r="O128" s="35">
        <f t="shared" si="31"/>
        <v>0</v>
      </c>
      <c r="P128" s="35">
        <f t="shared" si="32"/>
        <v>4163112.2346022371</v>
      </c>
      <c r="Q128" s="35">
        <f t="shared" si="33"/>
        <v>0</v>
      </c>
      <c r="R128" s="35">
        <f t="shared" si="34"/>
        <v>95737853.245083988</v>
      </c>
      <c r="S128" s="33">
        <f t="shared" si="35"/>
        <v>705</v>
      </c>
    </row>
    <row r="129" spans="1:19" x14ac:dyDescent="0.3">
      <c r="A129" s="33">
        <f>125</f>
        <v>125</v>
      </c>
      <c r="B129" s="34">
        <f t="shared" si="18"/>
        <v>50161</v>
      </c>
      <c r="C129" s="33">
        <f t="shared" si="19"/>
        <v>11</v>
      </c>
      <c r="D129" s="33">
        <f t="shared" si="20"/>
        <v>5</v>
      </c>
      <c r="E129" s="35">
        <f t="shared" si="21"/>
        <v>135740.67593324455</v>
      </c>
      <c r="F129" s="35">
        <f t="shared" si="22"/>
        <v>95737853.245083988</v>
      </c>
      <c r="G129" s="33">
        <f t="shared" si="23"/>
        <v>705</v>
      </c>
      <c r="H129" s="35">
        <f t="shared" si="24"/>
        <v>95697176.532937407</v>
      </c>
      <c r="I129" s="35">
        <f t="shared" si="25"/>
        <v>40676.712146580219</v>
      </c>
      <c r="J129" s="35">
        <f t="shared" si="26"/>
        <v>3827887.0613174965</v>
      </c>
      <c r="K129" s="35">
        <f t="shared" si="27"/>
        <v>18183820.948017441</v>
      </c>
      <c r="L129" s="35">
        <f t="shared" si="28"/>
        <v>0</v>
      </c>
      <c r="M129" s="35">
        <f t="shared" si="29"/>
        <v>43641170.275241859</v>
      </c>
      <c r="N129" s="36">
        <f t="shared" si="30"/>
        <v>0.39</v>
      </c>
      <c r="O129" s="35">
        <f t="shared" si="31"/>
        <v>0</v>
      </c>
      <c r="P129" s="35">
        <f t="shared" si="32"/>
        <v>4163112.2346022371</v>
      </c>
      <c r="Q129" s="35">
        <f t="shared" si="33"/>
        <v>0</v>
      </c>
      <c r="R129" s="35">
        <f t="shared" si="34"/>
        <v>99565740.306401491</v>
      </c>
      <c r="S129" s="33">
        <f t="shared" si="35"/>
        <v>733</v>
      </c>
    </row>
    <row r="130" spans="1:19" x14ac:dyDescent="0.3">
      <c r="A130" s="33">
        <f>126</f>
        <v>126</v>
      </c>
      <c r="B130" s="34">
        <f t="shared" si="18"/>
        <v>50192</v>
      </c>
      <c r="C130" s="33">
        <f t="shared" si="19"/>
        <v>11</v>
      </c>
      <c r="D130" s="33">
        <f t="shared" si="20"/>
        <v>6</v>
      </c>
      <c r="E130" s="35">
        <f t="shared" si="21"/>
        <v>135740.67593324455</v>
      </c>
      <c r="F130" s="35">
        <f t="shared" si="22"/>
        <v>99565740.306401491</v>
      </c>
      <c r="G130" s="33">
        <f t="shared" si="23"/>
        <v>733</v>
      </c>
      <c r="H130" s="35">
        <f t="shared" si="24"/>
        <v>99497915.459068254</v>
      </c>
      <c r="I130" s="35">
        <f t="shared" si="25"/>
        <v>67824.847333237529</v>
      </c>
      <c r="J130" s="35">
        <f t="shared" si="26"/>
        <v>3979916.6183627304</v>
      </c>
      <c r="K130" s="35">
        <f t="shared" si="27"/>
        <v>22163737.566380173</v>
      </c>
      <c r="L130" s="35">
        <f t="shared" si="28"/>
        <v>11489090.810989819</v>
      </c>
      <c r="M130" s="35">
        <f t="shared" si="29"/>
        <v>44327475.132760346</v>
      </c>
      <c r="N130" s="36">
        <f t="shared" si="30"/>
        <v>0.39</v>
      </c>
      <c r="O130" s="35">
        <f t="shared" si="31"/>
        <v>4480745.4162860299</v>
      </c>
      <c r="P130" s="35">
        <f t="shared" si="32"/>
        <v>8643857.6508882679</v>
      </c>
      <c r="Q130" s="35">
        <f t="shared" si="33"/>
        <v>0</v>
      </c>
      <c r="R130" s="35">
        <f t="shared" si="34"/>
        <v>99064911.50847818</v>
      </c>
      <c r="S130" s="33">
        <f t="shared" si="35"/>
        <v>729</v>
      </c>
    </row>
    <row r="131" spans="1:19" x14ac:dyDescent="0.3">
      <c r="A131" s="33">
        <f>127</f>
        <v>127</v>
      </c>
      <c r="B131" s="34">
        <f t="shared" si="18"/>
        <v>50222</v>
      </c>
      <c r="C131" s="33">
        <f t="shared" si="19"/>
        <v>11</v>
      </c>
      <c r="D131" s="33">
        <f t="shared" si="20"/>
        <v>7</v>
      </c>
      <c r="E131" s="35">
        <f t="shared" si="21"/>
        <v>135740.67593324455</v>
      </c>
      <c r="F131" s="35">
        <f t="shared" si="22"/>
        <v>99064911.50847818</v>
      </c>
      <c r="G131" s="33">
        <f t="shared" si="23"/>
        <v>729</v>
      </c>
      <c r="H131" s="35">
        <f t="shared" si="24"/>
        <v>98954952.755335271</v>
      </c>
      <c r="I131" s="35">
        <f t="shared" si="25"/>
        <v>109958.75314290822</v>
      </c>
      <c r="J131" s="35">
        <f t="shared" si="26"/>
        <v>3958198.110213411</v>
      </c>
      <c r="K131" s="35">
        <f t="shared" si="27"/>
        <v>26121935.676593583</v>
      </c>
      <c r="L131" s="35">
        <f t="shared" si="28"/>
        <v>0</v>
      </c>
      <c r="M131" s="35">
        <f t="shared" si="29"/>
        <v>44780461.159874715</v>
      </c>
      <c r="N131" s="36">
        <f t="shared" si="30"/>
        <v>0.39</v>
      </c>
      <c r="O131" s="35">
        <f t="shared" si="31"/>
        <v>0</v>
      </c>
      <c r="P131" s="35">
        <f t="shared" si="32"/>
        <v>8643857.6508882679</v>
      </c>
      <c r="Q131" s="35">
        <f t="shared" si="33"/>
        <v>0</v>
      </c>
      <c r="R131" s="35">
        <f t="shared" si="34"/>
        <v>103023109.61869159</v>
      </c>
      <c r="S131" s="33">
        <f t="shared" si="35"/>
        <v>758</v>
      </c>
    </row>
    <row r="132" spans="1:19" x14ac:dyDescent="0.3">
      <c r="A132" s="33">
        <f>128</f>
        <v>128</v>
      </c>
      <c r="B132" s="34">
        <f t="shared" si="18"/>
        <v>50253</v>
      </c>
      <c r="C132" s="33">
        <f t="shared" si="19"/>
        <v>11</v>
      </c>
      <c r="D132" s="33">
        <f t="shared" si="20"/>
        <v>8</v>
      </c>
      <c r="E132" s="35">
        <f t="shared" si="21"/>
        <v>135740.67593324455</v>
      </c>
      <c r="F132" s="35">
        <f t="shared" si="22"/>
        <v>103023109.61869159</v>
      </c>
      <c r="G132" s="33">
        <f t="shared" si="23"/>
        <v>758</v>
      </c>
      <c r="H132" s="35">
        <f t="shared" si="24"/>
        <v>102891432.35739937</v>
      </c>
      <c r="I132" s="35">
        <f t="shared" si="25"/>
        <v>131677.26129221916</v>
      </c>
      <c r="J132" s="35">
        <f t="shared" si="26"/>
        <v>4115657.294295975</v>
      </c>
      <c r="K132" s="35">
        <f t="shared" si="27"/>
        <v>30237592.970889557</v>
      </c>
      <c r="L132" s="35">
        <f t="shared" si="28"/>
        <v>0</v>
      </c>
      <c r="M132" s="35">
        <f t="shared" si="29"/>
        <v>45356389.456334338</v>
      </c>
      <c r="N132" s="36">
        <f t="shared" si="30"/>
        <v>0.39</v>
      </c>
      <c r="O132" s="35">
        <f t="shared" si="31"/>
        <v>0</v>
      </c>
      <c r="P132" s="35">
        <f t="shared" si="32"/>
        <v>8643857.6508882679</v>
      </c>
      <c r="Q132" s="35">
        <f t="shared" si="33"/>
        <v>0</v>
      </c>
      <c r="R132" s="35">
        <f t="shared" si="34"/>
        <v>107138766.91298757</v>
      </c>
      <c r="S132" s="33">
        <f t="shared" si="35"/>
        <v>789</v>
      </c>
    </row>
    <row r="133" spans="1:19" x14ac:dyDescent="0.3">
      <c r="A133" s="33">
        <f>129</f>
        <v>129</v>
      </c>
      <c r="B133" s="34">
        <f t="shared" ref="B133:B196" si="36">IF($A133&gt;NYears*12,"",EDATE(StartMonth,$A133-1))</f>
        <v>50284</v>
      </c>
      <c r="C133" s="33">
        <f t="shared" ref="C133:C196" si="37">IF($A133&gt;NYears*12,"",INT(($A133-1)/12)+1)</f>
        <v>11</v>
      </c>
      <c r="D133" s="33">
        <f t="shared" ref="D133:D196" si="38">IF($A133&gt;NYears*12,"",MOD($A133-1,12)+1)</f>
        <v>9</v>
      </c>
      <c r="E133" s="35">
        <f t="shared" ref="E133:E196" si="39">IF($A133&gt;NYears*12,"",LotValue0*(1+LotGrowth)^($C133-1))</f>
        <v>135740.67593324455</v>
      </c>
      <c r="F133" s="35">
        <f t="shared" ref="F133:F196" si="40">IF($A133&gt;NYears*12,"",IF($A133=1,InitInvest,$R132))</f>
        <v>107138766.91298757</v>
      </c>
      <c r="G133" s="33">
        <f t="shared" ref="G133:G196" si="41">IF($A133&gt;NYears*12,"",INT($F133/$E133))</f>
        <v>789</v>
      </c>
      <c r="H133" s="35">
        <f t="shared" ref="H133:H196" si="42">IF($A133&gt;NYears*12,"",$G133*$E133)</f>
        <v>107099393.31132995</v>
      </c>
      <c r="I133" s="35">
        <f t="shared" ref="I133:I196" si="43">IF($A133&gt;NYears*12,"",$F133-$H133)</f>
        <v>39373.601657629013</v>
      </c>
      <c r="J133" s="35">
        <f t="shared" ref="J133:J196" si="44">IF($A133&gt;NYears*12,"",$H133*RateD)</f>
        <v>4283975.7324531982</v>
      </c>
      <c r="K133" s="35">
        <f t="shared" ref="K133:K196" si="45">IF($A133&gt;NYears*12,"",IF($D133=1,$J133,$K132+$J133))</f>
        <v>34521568.703342758</v>
      </c>
      <c r="L133" s="35">
        <f t="shared" ref="L133:L196" si="46">IF($A133&gt;NYears*12,"",IF(MOD($D133,3)=0,SUM($J131:$J133),0))</f>
        <v>12357831.136962585</v>
      </c>
      <c r="M133" s="35">
        <f t="shared" ref="M133:M196" si="47">IF($A133&gt;NYears*12,"",IF(TaxFreq="Quarterly",$K133*12/$D133,$K133))</f>
        <v>46028758.271123677</v>
      </c>
      <c r="N133" s="36">
        <f t="shared" ref="N133:N196" si="48">IF($A133&gt;NYears*12,"",LOOKUP($M133,TaxLower,TaxRate))</f>
        <v>0.39</v>
      </c>
      <c r="O133" s="35">
        <f t="shared" ref="O133:O196" si="49">IF($A133&gt;NYears*12,"",IF(TaxFreq="Quarterly",IF(MOD($D133,3)=0,$L133*$N133,0),IF($D133=12,$K133*$N133,0)))</f>
        <v>4819554.1434154082</v>
      </c>
      <c r="P133" s="35">
        <f t="shared" ref="P133:P196" si="50">IF($A133&gt;NYears*12,"",IF($D133=1,$O133,$P132+$O133))</f>
        <v>13463411.794303676</v>
      </c>
      <c r="Q133" s="35">
        <f t="shared" ref="Q133:Q196" si="51">IF($A133&gt;NYears*12,"",IF($D133=12,MIN(WdrPct*IF(WdrBase="Post-tax profit",$K133-$P133,$K133),WdrCap),0))</f>
        <v>0</v>
      </c>
      <c r="R133" s="35">
        <f t="shared" ref="R133:R196" si="52">IF($A133&gt;NYears*12,"",$F133+$J133-$O133-$Q133)</f>
        <v>106603188.50202537</v>
      </c>
      <c r="S133" s="33">
        <f t="shared" ref="S133:S196" si="53">IF($A133&gt;NYears*12,"",INT($R133/$E133))</f>
        <v>785</v>
      </c>
    </row>
    <row r="134" spans="1:19" x14ac:dyDescent="0.3">
      <c r="A134" s="33">
        <f>130</f>
        <v>130</v>
      </c>
      <c r="B134" s="34">
        <f t="shared" si="36"/>
        <v>50314</v>
      </c>
      <c r="C134" s="33">
        <f t="shared" si="37"/>
        <v>11</v>
      </c>
      <c r="D134" s="33">
        <f t="shared" si="38"/>
        <v>10</v>
      </c>
      <c r="E134" s="35">
        <f t="shared" si="39"/>
        <v>135740.67593324455</v>
      </c>
      <c r="F134" s="35">
        <f t="shared" si="40"/>
        <v>106603188.50202537</v>
      </c>
      <c r="G134" s="33">
        <f t="shared" si="41"/>
        <v>785</v>
      </c>
      <c r="H134" s="35">
        <f t="shared" si="42"/>
        <v>106556430.60759698</v>
      </c>
      <c r="I134" s="35">
        <f t="shared" si="43"/>
        <v>46757.894428387284</v>
      </c>
      <c r="J134" s="35">
        <f t="shared" si="44"/>
        <v>4262257.2243038788</v>
      </c>
      <c r="K134" s="35">
        <f t="shared" si="45"/>
        <v>38783825.927646637</v>
      </c>
      <c r="L134" s="35">
        <f t="shared" si="46"/>
        <v>0</v>
      </c>
      <c r="M134" s="35">
        <f t="shared" si="47"/>
        <v>46540591.113175966</v>
      </c>
      <c r="N134" s="36">
        <f t="shared" si="48"/>
        <v>0.39</v>
      </c>
      <c r="O134" s="35">
        <f t="shared" si="49"/>
        <v>0</v>
      </c>
      <c r="P134" s="35">
        <f t="shared" si="50"/>
        <v>13463411.794303676</v>
      </c>
      <c r="Q134" s="35">
        <f t="shared" si="51"/>
        <v>0</v>
      </c>
      <c r="R134" s="35">
        <f t="shared" si="52"/>
        <v>110865445.72632924</v>
      </c>
      <c r="S134" s="33">
        <f t="shared" si="53"/>
        <v>816</v>
      </c>
    </row>
    <row r="135" spans="1:19" x14ac:dyDescent="0.3">
      <c r="A135" s="33">
        <f>131</f>
        <v>131</v>
      </c>
      <c r="B135" s="34">
        <f t="shared" si="36"/>
        <v>50345</v>
      </c>
      <c r="C135" s="33">
        <f t="shared" si="37"/>
        <v>11</v>
      </c>
      <c r="D135" s="33">
        <f t="shared" si="38"/>
        <v>11</v>
      </c>
      <c r="E135" s="35">
        <f t="shared" si="39"/>
        <v>135740.67593324455</v>
      </c>
      <c r="F135" s="35">
        <f t="shared" si="40"/>
        <v>110865445.72632924</v>
      </c>
      <c r="G135" s="33">
        <f t="shared" si="41"/>
        <v>816</v>
      </c>
      <c r="H135" s="35">
        <f t="shared" si="42"/>
        <v>110764391.56152755</v>
      </c>
      <c r="I135" s="35">
        <f t="shared" si="43"/>
        <v>101054.164801687</v>
      </c>
      <c r="J135" s="35">
        <f t="shared" si="44"/>
        <v>4430575.662461102</v>
      </c>
      <c r="K135" s="35">
        <f t="shared" si="45"/>
        <v>43214401.590107739</v>
      </c>
      <c r="L135" s="35">
        <f t="shared" si="46"/>
        <v>0</v>
      </c>
      <c r="M135" s="35">
        <f t="shared" si="47"/>
        <v>47142983.552844808</v>
      </c>
      <c r="N135" s="36">
        <f t="shared" si="48"/>
        <v>0.39</v>
      </c>
      <c r="O135" s="35">
        <f t="shared" si="49"/>
        <v>0</v>
      </c>
      <c r="P135" s="35">
        <f t="shared" si="50"/>
        <v>13463411.794303676</v>
      </c>
      <c r="Q135" s="35">
        <f t="shared" si="51"/>
        <v>0</v>
      </c>
      <c r="R135" s="35">
        <f t="shared" si="52"/>
        <v>115296021.38879034</v>
      </c>
      <c r="S135" s="33">
        <f t="shared" si="53"/>
        <v>849</v>
      </c>
    </row>
    <row r="136" spans="1:19" x14ac:dyDescent="0.3">
      <c r="A136" s="37">
        <f>132</f>
        <v>132</v>
      </c>
      <c r="B136" s="38">
        <f t="shared" si="36"/>
        <v>50375</v>
      </c>
      <c r="C136" s="37">
        <f t="shared" si="37"/>
        <v>11</v>
      </c>
      <c r="D136" s="37">
        <f t="shared" si="38"/>
        <v>12</v>
      </c>
      <c r="E136" s="39">
        <f t="shared" si="39"/>
        <v>135740.67593324455</v>
      </c>
      <c r="F136" s="39">
        <f t="shared" si="40"/>
        <v>115296021.38879034</v>
      </c>
      <c r="G136" s="37">
        <f t="shared" si="41"/>
        <v>849</v>
      </c>
      <c r="H136" s="39">
        <f t="shared" si="42"/>
        <v>115243833.86732462</v>
      </c>
      <c r="I136" s="39">
        <f t="shared" si="43"/>
        <v>52187.521465718746</v>
      </c>
      <c r="J136" s="39">
        <f t="shared" si="44"/>
        <v>4609753.3546929853</v>
      </c>
      <c r="K136" s="39">
        <f t="shared" si="45"/>
        <v>47824154.944800727</v>
      </c>
      <c r="L136" s="39">
        <f t="shared" si="46"/>
        <v>13302586.241457965</v>
      </c>
      <c r="M136" s="39">
        <f t="shared" si="47"/>
        <v>47824154.944800727</v>
      </c>
      <c r="N136" s="40">
        <f t="shared" si="48"/>
        <v>0.39</v>
      </c>
      <c r="O136" s="39">
        <f t="shared" si="49"/>
        <v>5188008.6341686063</v>
      </c>
      <c r="P136" s="39">
        <f t="shared" si="50"/>
        <v>18651420.428472281</v>
      </c>
      <c r="Q136" s="39">
        <f t="shared" si="51"/>
        <v>2917273.4516328447</v>
      </c>
      <c r="R136" s="39">
        <f t="shared" si="52"/>
        <v>111800492.65768187</v>
      </c>
      <c r="S136" s="37">
        <f t="shared" si="53"/>
        <v>823</v>
      </c>
    </row>
    <row r="137" spans="1:19" x14ac:dyDescent="0.3">
      <c r="A137" s="33">
        <f>133</f>
        <v>133</v>
      </c>
      <c r="B137" s="34">
        <f t="shared" si="36"/>
        <v>50406</v>
      </c>
      <c r="C137" s="33">
        <f t="shared" si="37"/>
        <v>12</v>
      </c>
      <c r="D137" s="33">
        <f t="shared" si="38"/>
        <v>1</v>
      </c>
      <c r="E137" s="35">
        <f t="shared" si="39"/>
        <v>142527.70972990678</v>
      </c>
      <c r="F137" s="35">
        <f t="shared" si="40"/>
        <v>111800492.65768187</v>
      </c>
      <c r="G137" s="33">
        <f t="shared" si="41"/>
        <v>784</v>
      </c>
      <c r="H137" s="35">
        <f t="shared" si="42"/>
        <v>111741724.42824692</v>
      </c>
      <c r="I137" s="35">
        <f t="shared" si="43"/>
        <v>58768.22943495214</v>
      </c>
      <c r="J137" s="35">
        <f t="shared" si="44"/>
        <v>4469668.9771298766</v>
      </c>
      <c r="K137" s="35">
        <f t="shared" si="45"/>
        <v>4469668.9771298766</v>
      </c>
      <c r="L137" s="35">
        <f t="shared" si="46"/>
        <v>0</v>
      </c>
      <c r="M137" s="35">
        <f t="shared" si="47"/>
        <v>53636027.725558519</v>
      </c>
      <c r="N137" s="36">
        <f t="shared" si="48"/>
        <v>0.39</v>
      </c>
      <c r="O137" s="35">
        <f t="shared" si="49"/>
        <v>0</v>
      </c>
      <c r="P137" s="35">
        <f t="shared" si="50"/>
        <v>0</v>
      </c>
      <c r="Q137" s="35">
        <f t="shared" si="51"/>
        <v>0</v>
      </c>
      <c r="R137" s="35">
        <f t="shared" si="52"/>
        <v>116270161.63481174</v>
      </c>
      <c r="S137" s="33">
        <f t="shared" si="53"/>
        <v>815</v>
      </c>
    </row>
    <row r="138" spans="1:19" x14ac:dyDescent="0.3">
      <c r="A138" s="33">
        <f>134</f>
        <v>134</v>
      </c>
      <c r="B138" s="34">
        <f t="shared" si="36"/>
        <v>50437</v>
      </c>
      <c r="C138" s="33">
        <f t="shared" si="37"/>
        <v>12</v>
      </c>
      <c r="D138" s="33">
        <f t="shared" si="38"/>
        <v>2</v>
      </c>
      <c r="E138" s="35">
        <f t="shared" si="39"/>
        <v>142527.70972990678</v>
      </c>
      <c r="F138" s="35">
        <f t="shared" si="40"/>
        <v>116270161.63481174</v>
      </c>
      <c r="G138" s="33">
        <f t="shared" si="41"/>
        <v>815</v>
      </c>
      <c r="H138" s="35">
        <f t="shared" si="42"/>
        <v>116160083.42987403</v>
      </c>
      <c r="I138" s="35">
        <f t="shared" si="43"/>
        <v>110078.20493771136</v>
      </c>
      <c r="J138" s="35">
        <f t="shared" si="44"/>
        <v>4646403.3371949615</v>
      </c>
      <c r="K138" s="35">
        <f t="shared" si="45"/>
        <v>9116072.3143248372</v>
      </c>
      <c r="L138" s="35">
        <f t="shared" si="46"/>
        <v>0</v>
      </c>
      <c r="M138" s="35">
        <f t="shared" si="47"/>
        <v>54696433.885949023</v>
      </c>
      <c r="N138" s="36">
        <f t="shared" si="48"/>
        <v>0.39</v>
      </c>
      <c r="O138" s="35">
        <f t="shared" si="49"/>
        <v>0</v>
      </c>
      <c r="P138" s="35">
        <f t="shared" si="50"/>
        <v>0</v>
      </c>
      <c r="Q138" s="35">
        <f t="shared" si="51"/>
        <v>0</v>
      </c>
      <c r="R138" s="35">
        <f t="shared" si="52"/>
        <v>120916564.97200671</v>
      </c>
      <c r="S138" s="33">
        <f t="shared" si="53"/>
        <v>848</v>
      </c>
    </row>
    <row r="139" spans="1:19" x14ac:dyDescent="0.3">
      <c r="A139" s="33">
        <f>135</f>
        <v>135</v>
      </c>
      <c r="B139" s="34">
        <f t="shared" si="36"/>
        <v>50465</v>
      </c>
      <c r="C139" s="33">
        <f t="shared" si="37"/>
        <v>12</v>
      </c>
      <c r="D139" s="33">
        <f t="shared" si="38"/>
        <v>3</v>
      </c>
      <c r="E139" s="35">
        <f t="shared" si="39"/>
        <v>142527.70972990678</v>
      </c>
      <c r="F139" s="35">
        <f t="shared" si="40"/>
        <v>120916564.97200671</v>
      </c>
      <c r="G139" s="33">
        <f t="shared" si="41"/>
        <v>848</v>
      </c>
      <c r="H139" s="35">
        <f t="shared" si="42"/>
        <v>120863497.85096096</v>
      </c>
      <c r="I139" s="35">
        <f t="shared" si="43"/>
        <v>53067.12104575336</v>
      </c>
      <c r="J139" s="35">
        <f t="shared" si="44"/>
        <v>4834539.9140384383</v>
      </c>
      <c r="K139" s="35">
        <f t="shared" si="45"/>
        <v>13950612.228363276</v>
      </c>
      <c r="L139" s="35">
        <f t="shared" si="46"/>
        <v>13950612.228363276</v>
      </c>
      <c r="M139" s="35">
        <f t="shared" si="47"/>
        <v>55802448.913453102</v>
      </c>
      <c r="N139" s="36">
        <f t="shared" si="48"/>
        <v>0.39</v>
      </c>
      <c r="O139" s="35">
        <f t="shared" si="49"/>
        <v>5440738.7690616781</v>
      </c>
      <c r="P139" s="35">
        <f t="shared" si="50"/>
        <v>5440738.7690616781</v>
      </c>
      <c r="Q139" s="35">
        <f t="shared" si="51"/>
        <v>0</v>
      </c>
      <c r="R139" s="35">
        <f t="shared" si="52"/>
        <v>120310366.11698346</v>
      </c>
      <c r="S139" s="33">
        <f t="shared" si="53"/>
        <v>844</v>
      </c>
    </row>
    <row r="140" spans="1:19" x14ac:dyDescent="0.3">
      <c r="A140" s="33">
        <f>136</f>
        <v>136</v>
      </c>
      <c r="B140" s="34">
        <f t="shared" si="36"/>
        <v>50496</v>
      </c>
      <c r="C140" s="33">
        <f t="shared" si="37"/>
        <v>12</v>
      </c>
      <c r="D140" s="33">
        <f t="shared" si="38"/>
        <v>4</v>
      </c>
      <c r="E140" s="35">
        <f t="shared" si="39"/>
        <v>142527.70972990678</v>
      </c>
      <c r="F140" s="35">
        <f t="shared" si="40"/>
        <v>120310366.11698346</v>
      </c>
      <c r="G140" s="33">
        <f t="shared" si="41"/>
        <v>844</v>
      </c>
      <c r="H140" s="35">
        <f t="shared" si="42"/>
        <v>120293387.01204133</v>
      </c>
      <c r="I140" s="35">
        <f t="shared" si="43"/>
        <v>16979.104942128062</v>
      </c>
      <c r="J140" s="35">
        <f t="shared" si="44"/>
        <v>4811735.4804816535</v>
      </c>
      <c r="K140" s="35">
        <f t="shared" si="45"/>
        <v>18762347.70884493</v>
      </c>
      <c r="L140" s="35">
        <f t="shared" si="46"/>
        <v>0</v>
      </c>
      <c r="M140" s="35">
        <f t="shared" si="47"/>
        <v>56287043.12653479</v>
      </c>
      <c r="N140" s="36">
        <f t="shared" si="48"/>
        <v>0.39</v>
      </c>
      <c r="O140" s="35">
        <f t="shared" si="49"/>
        <v>0</v>
      </c>
      <c r="P140" s="35">
        <f t="shared" si="50"/>
        <v>5440738.7690616781</v>
      </c>
      <c r="Q140" s="35">
        <f t="shared" si="51"/>
        <v>0</v>
      </c>
      <c r="R140" s="35">
        <f t="shared" si="52"/>
        <v>125122101.59746511</v>
      </c>
      <c r="S140" s="33">
        <f t="shared" si="53"/>
        <v>877</v>
      </c>
    </row>
    <row r="141" spans="1:19" x14ac:dyDescent="0.3">
      <c r="A141" s="33">
        <f>137</f>
        <v>137</v>
      </c>
      <c r="B141" s="34">
        <f t="shared" si="36"/>
        <v>50526</v>
      </c>
      <c r="C141" s="33">
        <f t="shared" si="37"/>
        <v>12</v>
      </c>
      <c r="D141" s="33">
        <f t="shared" si="38"/>
        <v>5</v>
      </c>
      <c r="E141" s="35">
        <f t="shared" si="39"/>
        <v>142527.70972990678</v>
      </c>
      <c r="F141" s="35">
        <f t="shared" si="40"/>
        <v>125122101.59746511</v>
      </c>
      <c r="G141" s="33">
        <f t="shared" si="41"/>
        <v>877</v>
      </c>
      <c r="H141" s="35">
        <f t="shared" si="42"/>
        <v>124996801.43312825</v>
      </c>
      <c r="I141" s="35">
        <f t="shared" si="43"/>
        <v>125300.16433686018</v>
      </c>
      <c r="J141" s="35">
        <f t="shared" si="44"/>
        <v>4999872.0573251303</v>
      </c>
      <c r="K141" s="35">
        <f t="shared" si="45"/>
        <v>23762219.766170062</v>
      </c>
      <c r="L141" s="35">
        <f t="shared" si="46"/>
        <v>0</v>
      </c>
      <c r="M141" s="35">
        <f t="shared" si="47"/>
        <v>57029327.438808158</v>
      </c>
      <c r="N141" s="36">
        <f t="shared" si="48"/>
        <v>0.39</v>
      </c>
      <c r="O141" s="35">
        <f t="shared" si="49"/>
        <v>0</v>
      </c>
      <c r="P141" s="35">
        <f t="shared" si="50"/>
        <v>5440738.7690616781</v>
      </c>
      <c r="Q141" s="35">
        <f t="shared" si="51"/>
        <v>0</v>
      </c>
      <c r="R141" s="35">
        <f t="shared" si="52"/>
        <v>130121973.65479024</v>
      </c>
      <c r="S141" s="33">
        <f t="shared" si="53"/>
        <v>912</v>
      </c>
    </row>
    <row r="142" spans="1:19" x14ac:dyDescent="0.3">
      <c r="A142" s="33">
        <f>138</f>
        <v>138</v>
      </c>
      <c r="B142" s="34">
        <f t="shared" si="36"/>
        <v>50557</v>
      </c>
      <c r="C142" s="33">
        <f t="shared" si="37"/>
        <v>12</v>
      </c>
      <c r="D142" s="33">
        <f t="shared" si="38"/>
        <v>6</v>
      </c>
      <c r="E142" s="35">
        <f t="shared" si="39"/>
        <v>142527.70972990678</v>
      </c>
      <c r="F142" s="35">
        <f t="shared" si="40"/>
        <v>130121973.65479024</v>
      </c>
      <c r="G142" s="33">
        <f t="shared" si="41"/>
        <v>912</v>
      </c>
      <c r="H142" s="35">
        <f t="shared" si="42"/>
        <v>129985271.27367498</v>
      </c>
      <c r="I142" s="35">
        <f t="shared" si="43"/>
        <v>136702.38111525774</v>
      </c>
      <c r="J142" s="35">
        <f t="shared" si="44"/>
        <v>5199410.8509469992</v>
      </c>
      <c r="K142" s="35">
        <f t="shared" si="45"/>
        <v>28961630.617117062</v>
      </c>
      <c r="L142" s="35">
        <f t="shared" si="46"/>
        <v>15011018.388753783</v>
      </c>
      <c r="M142" s="35">
        <f t="shared" si="47"/>
        <v>57923261.234234124</v>
      </c>
      <c r="N142" s="36">
        <f t="shared" si="48"/>
        <v>0.39</v>
      </c>
      <c r="O142" s="35">
        <f t="shared" si="49"/>
        <v>5854297.1716139754</v>
      </c>
      <c r="P142" s="35">
        <f t="shared" si="50"/>
        <v>11295035.940675654</v>
      </c>
      <c r="Q142" s="35">
        <f t="shared" si="51"/>
        <v>0</v>
      </c>
      <c r="R142" s="35">
        <f t="shared" si="52"/>
        <v>129467087.33412327</v>
      </c>
      <c r="S142" s="33">
        <f t="shared" si="53"/>
        <v>908</v>
      </c>
    </row>
    <row r="143" spans="1:19" x14ac:dyDescent="0.3">
      <c r="A143" s="33">
        <f>139</f>
        <v>139</v>
      </c>
      <c r="B143" s="34">
        <f t="shared" si="36"/>
        <v>50587</v>
      </c>
      <c r="C143" s="33">
        <f t="shared" si="37"/>
        <v>12</v>
      </c>
      <c r="D143" s="33">
        <f t="shared" si="38"/>
        <v>7</v>
      </c>
      <c r="E143" s="35">
        <f t="shared" si="39"/>
        <v>142527.70972990678</v>
      </c>
      <c r="F143" s="35">
        <f t="shared" si="40"/>
        <v>129467087.33412327</v>
      </c>
      <c r="G143" s="33">
        <f t="shared" si="41"/>
        <v>908</v>
      </c>
      <c r="H143" s="35">
        <f t="shared" si="42"/>
        <v>129415160.43475536</v>
      </c>
      <c r="I143" s="35">
        <f t="shared" si="43"/>
        <v>51926.899367913604</v>
      </c>
      <c r="J143" s="35">
        <f t="shared" si="44"/>
        <v>5176606.4173902143</v>
      </c>
      <c r="K143" s="35">
        <f t="shared" si="45"/>
        <v>34138237.034507275</v>
      </c>
      <c r="L143" s="35">
        <f t="shared" si="46"/>
        <v>0</v>
      </c>
      <c r="M143" s="35">
        <f t="shared" si="47"/>
        <v>58522692.05915533</v>
      </c>
      <c r="N143" s="36">
        <f t="shared" si="48"/>
        <v>0.39</v>
      </c>
      <c r="O143" s="35">
        <f t="shared" si="49"/>
        <v>0</v>
      </c>
      <c r="P143" s="35">
        <f t="shared" si="50"/>
        <v>11295035.940675654</v>
      </c>
      <c r="Q143" s="35">
        <f t="shared" si="51"/>
        <v>0</v>
      </c>
      <c r="R143" s="35">
        <f t="shared" si="52"/>
        <v>134643693.75151348</v>
      </c>
      <c r="S143" s="33">
        <f t="shared" si="53"/>
        <v>944</v>
      </c>
    </row>
    <row r="144" spans="1:19" x14ac:dyDescent="0.3">
      <c r="A144" s="33">
        <f>140</f>
        <v>140</v>
      </c>
      <c r="B144" s="34">
        <f t="shared" si="36"/>
        <v>50618</v>
      </c>
      <c r="C144" s="33">
        <f t="shared" si="37"/>
        <v>12</v>
      </c>
      <c r="D144" s="33">
        <f t="shared" si="38"/>
        <v>8</v>
      </c>
      <c r="E144" s="35">
        <f t="shared" si="39"/>
        <v>142527.70972990678</v>
      </c>
      <c r="F144" s="35">
        <f t="shared" si="40"/>
        <v>134643693.75151348</v>
      </c>
      <c r="G144" s="33">
        <f t="shared" si="41"/>
        <v>944</v>
      </c>
      <c r="H144" s="35">
        <f t="shared" si="42"/>
        <v>134546157.98503199</v>
      </c>
      <c r="I144" s="35">
        <f t="shared" si="43"/>
        <v>97535.766481488943</v>
      </c>
      <c r="J144" s="35">
        <f t="shared" si="44"/>
        <v>5381846.31940128</v>
      </c>
      <c r="K144" s="35">
        <f t="shared" si="45"/>
        <v>39520083.353908554</v>
      </c>
      <c r="L144" s="35">
        <f t="shared" si="46"/>
        <v>0</v>
      </c>
      <c r="M144" s="35">
        <f t="shared" si="47"/>
        <v>59280125.030862831</v>
      </c>
      <c r="N144" s="36">
        <f t="shared" si="48"/>
        <v>0.39</v>
      </c>
      <c r="O144" s="35">
        <f t="shared" si="49"/>
        <v>0</v>
      </c>
      <c r="P144" s="35">
        <f t="shared" si="50"/>
        <v>11295035.940675654</v>
      </c>
      <c r="Q144" s="35">
        <f t="shared" si="51"/>
        <v>0</v>
      </c>
      <c r="R144" s="35">
        <f t="shared" si="52"/>
        <v>140025540.07091478</v>
      </c>
      <c r="S144" s="33">
        <f t="shared" si="53"/>
        <v>982</v>
      </c>
    </row>
    <row r="145" spans="1:19" x14ac:dyDescent="0.3">
      <c r="A145" s="33">
        <f>141</f>
        <v>141</v>
      </c>
      <c r="B145" s="34">
        <f t="shared" si="36"/>
        <v>50649</v>
      </c>
      <c r="C145" s="33">
        <f t="shared" si="37"/>
        <v>12</v>
      </c>
      <c r="D145" s="33">
        <f t="shared" si="38"/>
        <v>9</v>
      </c>
      <c r="E145" s="35">
        <f t="shared" si="39"/>
        <v>142527.70972990678</v>
      </c>
      <c r="F145" s="35">
        <f t="shared" si="40"/>
        <v>140025540.07091478</v>
      </c>
      <c r="G145" s="33">
        <f t="shared" si="41"/>
        <v>982</v>
      </c>
      <c r="H145" s="35">
        <f t="shared" si="42"/>
        <v>139962210.95476845</v>
      </c>
      <c r="I145" s="35">
        <f t="shared" si="43"/>
        <v>63329.116146326065</v>
      </c>
      <c r="J145" s="35">
        <f t="shared" si="44"/>
        <v>5598488.4381907377</v>
      </c>
      <c r="K145" s="35">
        <f t="shared" si="45"/>
        <v>45118571.79209929</v>
      </c>
      <c r="L145" s="35">
        <f t="shared" si="46"/>
        <v>16156941.174982233</v>
      </c>
      <c r="M145" s="35">
        <f t="shared" si="47"/>
        <v>60158095.722799048</v>
      </c>
      <c r="N145" s="36">
        <f t="shared" si="48"/>
        <v>0.39</v>
      </c>
      <c r="O145" s="35">
        <f t="shared" si="49"/>
        <v>6301207.0582430707</v>
      </c>
      <c r="P145" s="35">
        <f t="shared" si="50"/>
        <v>17596242.998918723</v>
      </c>
      <c r="Q145" s="35">
        <f t="shared" si="51"/>
        <v>0</v>
      </c>
      <c r="R145" s="35">
        <f t="shared" si="52"/>
        <v>139322821.45086244</v>
      </c>
      <c r="S145" s="33">
        <f t="shared" si="53"/>
        <v>977</v>
      </c>
    </row>
    <row r="146" spans="1:19" x14ac:dyDescent="0.3">
      <c r="A146" s="33">
        <f>142</f>
        <v>142</v>
      </c>
      <c r="B146" s="34">
        <f t="shared" si="36"/>
        <v>50679</v>
      </c>
      <c r="C146" s="33">
        <f t="shared" si="37"/>
        <v>12</v>
      </c>
      <c r="D146" s="33">
        <f t="shared" si="38"/>
        <v>10</v>
      </c>
      <c r="E146" s="35">
        <f t="shared" si="39"/>
        <v>142527.70972990678</v>
      </c>
      <c r="F146" s="35">
        <f t="shared" si="40"/>
        <v>139322821.45086244</v>
      </c>
      <c r="G146" s="33">
        <f t="shared" si="41"/>
        <v>977</v>
      </c>
      <c r="H146" s="35">
        <f t="shared" si="42"/>
        <v>139249572.40611893</v>
      </c>
      <c r="I146" s="35">
        <f t="shared" si="43"/>
        <v>73249.044743508101</v>
      </c>
      <c r="J146" s="35">
        <f t="shared" si="44"/>
        <v>5569982.8962447569</v>
      </c>
      <c r="K146" s="35">
        <f t="shared" si="45"/>
        <v>50688554.688344046</v>
      </c>
      <c r="L146" s="35">
        <f t="shared" si="46"/>
        <v>0</v>
      </c>
      <c r="M146" s="35">
        <f t="shared" si="47"/>
        <v>60826265.626012847</v>
      </c>
      <c r="N146" s="36">
        <f t="shared" si="48"/>
        <v>0.39</v>
      </c>
      <c r="O146" s="35">
        <f t="shared" si="49"/>
        <v>0</v>
      </c>
      <c r="P146" s="35">
        <f t="shared" si="50"/>
        <v>17596242.998918723</v>
      </c>
      <c r="Q146" s="35">
        <f t="shared" si="51"/>
        <v>0</v>
      </c>
      <c r="R146" s="35">
        <f t="shared" si="52"/>
        <v>144892804.3471072</v>
      </c>
      <c r="S146" s="33">
        <f t="shared" si="53"/>
        <v>1016</v>
      </c>
    </row>
    <row r="147" spans="1:19" x14ac:dyDescent="0.3">
      <c r="A147" s="33">
        <f>143</f>
        <v>143</v>
      </c>
      <c r="B147" s="34">
        <f t="shared" si="36"/>
        <v>50710</v>
      </c>
      <c r="C147" s="33">
        <f t="shared" si="37"/>
        <v>12</v>
      </c>
      <c r="D147" s="33">
        <f t="shared" si="38"/>
        <v>11</v>
      </c>
      <c r="E147" s="35">
        <f t="shared" si="39"/>
        <v>142527.70972990678</v>
      </c>
      <c r="F147" s="35">
        <f t="shared" si="40"/>
        <v>144892804.3471072</v>
      </c>
      <c r="G147" s="33">
        <f t="shared" si="41"/>
        <v>1016</v>
      </c>
      <c r="H147" s="35">
        <f t="shared" si="42"/>
        <v>144808153.0855853</v>
      </c>
      <c r="I147" s="35">
        <f t="shared" si="43"/>
        <v>84651.261521905661</v>
      </c>
      <c r="J147" s="35">
        <f t="shared" si="44"/>
        <v>5792326.1234234115</v>
      </c>
      <c r="K147" s="35">
        <f t="shared" si="45"/>
        <v>56480880.811767459</v>
      </c>
      <c r="L147" s="35">
        <f t="shared" si="46"/>
        <v>0</v>
      </c>
      <c r="M147" s="35">
        <f t="shared" si="47"/>
        <v>61615506.340109952</v>
      </c>
      <c r="N147" s="36">
        <f t="shared" si="48"/>
        <v>0.39</v>
      </c>
      <c r="O147" s="35">
        <f t="shared" si="49"/>
        <v>0</v>
      </c>
      <c r="P147" s="35">
        <f t="shared" si="50"/>
        <v>17596242.998918723</v>
      </c>
      <c r="Q147" s="35">
        <f t="shared" si="51"/>
        <v>0</v>
      </c>
      <c r="R147" s="35">
        <f t="shared" si="52"/>
        <v>150685130.4705306</v>
      </c>
      <c r="S147" s="33">
        <f t="shared" si="53"/>
        <v>1057</v>
      </c>
    </row>
    <row r="148" spans="1:19" x14ac:dyDescent="0.3">
      <c r="A148" s="37">
        <f>144</f>
        <v>144</v>
      </c>
      <c r="B148" s="38">
        <f t="shared" si="36"/>
        <v>50740</v>
      </c>
      <c r="C148" s="37">
        <f t="shared" si="37"/>
        <v>12</v>
      </c>
      <c r="D148" s="37">
        <f t="shared" si="38"/>
        <v>12</v>
      </c>
      <c r="E148" s="39">
        <f t="shared" si="39"/>
        <v>142527.70972990678</v>
      </c>
      <c r="F148" s="39">
        <f t="shared" si="40"/>
        <v>150685130.4705306</v>
      </c>
      <c r="G148" s="37">
        <f t="shared" si="41"/>
        <v>1057</v>
      </c>
      <c r="H148" s="39">
        <f t="shared" si="42"/>
        <v>150651789.18451148</v>
      </c>
      <c r="I148" s="39">
        <f t="shared" si="43"/>
        <v>33341.28601911664</v>
      </c>
      <c r="J148" s="39">
        <f t="shared" si="44"/>
        <v>6026071.567380459</v>
      </c>
      <c r="K148" s="39">
        <f t="shared" si="45"/>
        <v>62506952.379147917</v>
      </c>
      <c r="L148" s="39">
        <f t="shared" si="46"/>
        <v>17388380.587048627</v>
      </c>
      <c r="M148" s="39">
        <f t="shared" si="47"/>
        <v>62506952.379147917</v>
      </c>
      <c r="N148" s="40">
        <f t="shared" si="48"/>
        <v>0.39</v>
      </c>
      <c r="O148" s="39">
        <f t="shared" si="49"/>
        <v>6781468.4289489649</v>
      </c>
      <c r="P148" s="39">
        <f t="shared" si="50"/>
        <v>24377711.427867688</v>
      </c>
      <c r="Q148" s="39">
        <f t="shared" si="51"/>
        <v>3812924.0951280231</v>
      </c>
      <c r="R148" s="39">
        <f t="shared" si="52"/>
        <v>146116809.51383406</v>
      </c>
      <c r="S148" s="37">
        <f t="shared" si="53"/>
        <v>1025</v>
      </c>
    </row>
    <row r="149" spans="1:19" x14ac:dyDescent="0.3">
      <c r="A149" s="33">
        <f>145</f>
        <v>145</v>
      </c>
      <c r="B149" s="34" t="str">
        <f t="shared" si="36"/>
        <v/>
      </c>
      <c r="C149" s="33" t="str">
        <f t="shared" si="37"/>
        <v/>
      </c>
      <c r="D149" s="33" t="str">
        <f t="shared" si="38"/>
        <v/>
      </c>
      <c r="E149" s="35" t="str">
        <f t="shared" si="39"/>
        <v/>
      </c>
      <c r="F149" s="35" t="str">
        <f t="shared" si="40"/>
        <v/>
      </c>
      <c r="G149" s="33" t="str">
        <f t="shared" si="41"/>
        <v/>
      </c>
      <c r="H149" s="35" t="str">
        <f t="shared" si="42"/>
        <v/>
      </c>
      <c r="I149" s="35" t="str">
        <f t="shared" si="43"/>
        <v/>
      </c>
      <c r="J149" s="35" t="str">
        <f t="shared" si="44"/>
        <v/>
      </c>
      <c r="K149" s="35" t="str">
        <f t="shared" si="45"/>
        <v/>
      </c>
      <c r="L149" s="35" t="str">
        <f t="shared" si="46"/>
        <v/>
      </c>
      <c r="M149" s="35" t="str">
        <f t="shared" si="47"/>
        <v/>
      </c>
      <c r="N149" s="36" t="str">
        <f t="shared" si="48"/>
        <v/>
      </c>
      <c r="O149" s="35" t="str">
        <f t="shared" si="49"/>
        <v/>
      </c>
      <c r="P149" s="35" t="str">
        <f t="shared" si="50"/>
        <v/>
      </c>
      <c r="Q149" s="35" t="str">
        <f t="shared" si="51"/>
        <v/>
      </c>
      <c r="R149" s="35" t="str">
        <f t="shared" si="52"/>
        <v/>
      </c>
      <c r="S149" s="33" t="str">
        <f t="shared" si="53"/>
        <v/>
      </c>
    </row>
    <row r="150" spans="1:19" x14ac:dyDescent="0.3">
      <c r="A150" s="33">
        <f>146</f>
        <v>146</v>
      </c>
      <c r="B150" s="34" t="str">
        <f t="shared" si="36"/>
        <v/>
      </c>
      <c r="C150" s="33" t="str">
        <f t="shared" si="37"/>
        <v/>
      </c>
      <c r="D150" s="33" t="str">
        <f t="shared" si="38"/>
        <v/>
      </c>
      <c r="E150" s="35" t="str">
        <f t="shared" si="39"/>
        <v/>
      </c>
      <c r="F150" s="35" t="str">
        <f t="shared" si="40"/>
        <v/>
      </c>
      <c r="G150" s="33" t="str">
        <f t="shared" si="41"/>
        <v/>
      </c>
      <c r="H150" s="35" t="str">
        <f t="shared" si="42"/>
        <v/>
      </c>
      <c r="I150" s="35" t="str">
        <f t="shared" si="43"/>
        <v/>
      </c>
      <c r="J150" s="35" t="str">
        <f t="shared" si="44"/>
        <v/>
      </c>
      <c r="K150" s="35" t="str">
        <f t="shared" si="45"/>
        <v/>
      </c>
      <c r="L150" s="35" t="str">
        <f t="shared" si="46"/>
        <v/>
      </c>
      <c r="M150" s="35" t="str">
        <f t="shared" si="47"/>
        <v/>
      </c>
      <c r="N150" s="36" t="str">
        <f t="shared" si="48"/>
        <v/>
      </c>
      <c r="O150" s="35" t="str">
        <f t="shared" si="49"/>
        <v/>
      </c>
      <c r="P150" s="35" t="str">
        <f t="shared" si="50"/>
        <v/>
      </c>
      <c r="Q150" s="35" t="str">
        <f t="shared" si="51"/>
        <v/>
      </c>
      <c r="R150" s="35" t="str">
        <f t="shared" si="52"/>
        <v/>
      </c>
      <c r="S150" s="33" t="str">
        <f t="shared" si="53"/>
        <v/>
      </c>
    </row>
    <row r="151" spans="1:19" x14ac:dyDescent="0.3">
      <c r="A151" s="33">
        <f>147</f>
        <v>147</v>
      </c>
      <c r="B151" s="34" t="str">
        <f t="shared" si="36"/>
        <v/>
      </c>
      <c r="C151" s="33" t="str">
        <f t="shared" si="37"/>
        <v/>
      </c>
      <c r="D151" s="33" t="str">
        <f t="shared" si="38"/>
        <v/>
      </c>
      <c r="E151" s="35" t="str">
        <f t="shared" si="39"/>
        <v/>
      </c>
      <c r="F151" s="35" t="str">
        <f t="shared" si="40"/>
        <v/>
      </c>
      <c r="G151" s="33" t="str">
        <f t="shared" si="41"/>
        <v/>
      </c>
      <c r="H151" s="35" t="str">
        <f t="shared" si="42"/>
        <v/>
      </c>
      <c r="I151" s="35" t="str">
        <f t="shared" si="43"/>
        <v/>
      </c>
      <c r="J151" s="35" t="str">
        <f t="shared" si="44"/>
        <v/>
      </c>
      <c r="K151" s="35" t="str">
        <f t="shared" si="45"/>
        <v/>
      </c>
      <c r="L151" s="35" t="str">
        <f t="shared" si="46"/>
        <v/>
      </c>
      <c r="M151" s="35" t="str">
        <f t="shared" si="47"/>
        <v/>
      </c>
      <c r="N151" s="36" t="str">
        <f t="shared" si="48"/>
        <v/>
      </c>
      <c r="O151" s="35" t="str">
        <f t="shared" si="49"/>
        <v/>
      </c>
      <c r="P151" s="35" t="str">
        <f t="shared" si="50"/>
        <v/>
      </c>
      <c r="Q151" s="35" t="str">
        <f t="shared" si="51"/>
        <v/>
      </c>
      <c r="R151" s="35" t="str">
        <f t="shared" si="52"/>
        <v/>
      </c>
      <c r="S151" s="33" t="str">
        <f t="shared" si="53"/>
        <v/>
      </c>
    </row>
    <row r="152" spans="1:19" x14ac:dyDescent="0.3">
      <c r="A152" s="33">
        <f>148</f>
        <v>148</v>
      </c>
      <c r="B152" s="34" t="str">
        <f t="shared" si="36"/>
        <v/>
      </c>
      <c r="C152" s="33" t="str">
        <f t="shared" si="37"/>
        <v/>
      </c>
      <c r="D152" s="33" t="str">
        <f t="shared" si="38"/>
        <v/>
      </c>
      <c r="E152" s="35" t="str">
        <f t="shared" si="39"/>
        <v/>
      </c>
      <c r="F152" s="35" t="str">
        <f t="shared" si="40"/>
        <v/>
      </c>
      <c r="G152" s="33" t="str">
        <f t="shared" si="41"/>
        <v/>
      </c>
      <c r="H152" s="35" t="str">
        <f t="shared" si="42"/>
        <v/>
      </c>
      <c r="I152" s="35" t="str">
        <f t="shared" si="43"/>
        <v/>
      </c>
      <c r="J152" s="35" t="str">
        <f t="shared" si="44"/>
        <v/>
      </c>
      <c r="K152" s="35" t="str">
        <f t="shared" si="45"/>
        <v/>
      </c>
      <c r="L152" s="35" t="str">
        <f t="shared" si="46"/>
        <v/>
      </c>
      <c r="M152" s="35" t="str">
        <f t="shared" si="47"/>
        <v/>
      </c>
      <c r="N152" s="36" t="str">
        <f t="shared" si="48"/>
        <v/>
      </c>
      <c r="O152" s="35" t="str">
        <f t="shared" si="49"/>
        <v/>
      </c>
      <c r="P152" s="35" t="str">
        <f t="shared" si="50"/>
        <v/>
      </c>
      <c r="Q152" s="35" t="str">
        <f t="shared" si="51"/>
        <v/>
      </c>
      <c r="R152" s="35" t="str">
        <f t="shared" si="52"/>
        <v/>
      </c>
      <c r="S152" s="33" t="str">
        <f t="shared" si="53"/>
        <v/>
      </c>
    </row>
    <row r="153" spans="1:19" x14ac:dyDescent="0.3">
      <c r="A153" s="33">
        <f>149</f>
        <v>149</v>
      </c>
      <c r="B153" s="34" t="str">
        <f t="shared" si="36"/>
        <v/>
      </c>
      <c r="C153" s="33" t="str">
        <f t="shared" si="37"/>
        <v/>
      </c>
      <c r="D153" s="33" t="str">
        <f t="shared" si="38"/>
        <v/>
      </c>
      <c r="E153" s="35" t="str">
        <f t="shared" si="39"/>
        <v/>
      </c>
      <c r="F153" s="35" t="str">
        <f t="shared" si="40"/>
        <v/>
      </c>
      <c r="G153" s="33" t="str">
        <f t="shared" si="41"/>
        <v/>
      </c>
      <c r="H153" s="35" t="str">
        <f t="shared" si="42"/>
        <v/>
      </c>
      <c r="I153" s="35" t="str">
        <f t="shared" si="43"/>
        <v/>
      </c>
      <c r="J153" s="35" t="str">
        <f t="shared" si="44"/>
        <v/>
      </c>
      <c r="K153" s="35" t="str">
        <f t="shared" si="45"/>
        <v/>
      </c>
      <c r="L153" s="35" t="str">
        <f t="shared" si="46"/>
        <v/>
      </c>
      <c r="M153" s="35" t="str">
        <f t="shared" si="47"/>
        <v/>
      </c>
      <c r="N153" s="36" t="str">
        <f t="shared" si="48"/>
        <v/>
      </c>
      <c r="O153" s="35" t="str">
        <f t="shared" si="49"/>
        <v/>
      </c>
      <c r="P153" s="35" t="str">
        <f t="shared" si="50"/>
        <v/>
      </c>
      <c r="Q153" s="35" t="str">
        <f t="shared" si="51"/>
        <v/>
      </c>
      <c r="R153" s="35" t="str">
        <f t="shared" si="52"/>
        <v/>
      </c>
      <c r="S153" s="33" t="str">
        <f t="shared" si="53"/>
        <v/>
      </c>
    </row>
    <row r="154" spans="1:19" x14ac:dyDescent="0.3">
      <c r="A154" s="33">
        <f>150</f>
        <v>150</v>
      </c>
      <c r="B154" s="34" t="str">
        <f t="shared" si="36"/>
        <v/>
      </c>
      <c r="C154" s="33" t="str">
        <f t="shared" si="37"/>
        <v/>
      </c>
      <c r="D154" s="33" t="str">
        <f t="shared" si="38"/>
        <v/>
      </c>
      <c r="E154" s="35" t="str">
        <f t="shared" si="39"/>
        <v/>
      </c>
      <c r="F154" s="35" t="str">
        <f t="shared" si="40"/>
        <v/>
      </c>
      <c r="G154" s="33" t="str">
        <f t="shared" si="41"/>
        <v/>
      </c>
      <c r="H154" s="35" t="str">
        <f t="shared" si="42"/>
        <v/>
      </c>
      <c r="I154" s="35" t="str">
        <f t="shared" si="43"/>
        <v/>
      </c>
      <c r="J154" s="35" t="str">
        <f t="shared" si="44"/>
        <v/>
      </c>
      <c r="K154" s="35" t="str">
        <f t="shared" si="45"/>
        <v/>
      </c>
      <c r="L154" s="35" t="str">
        <f t="shared" si="46"/>
        <v/>
      </c>
      <c r="M154" s="35" t="str">
        <f t="shared" si="47"/>
        <v/>
      </c>
      <c r="N154" s="36" t="str">
        <f t="shared" si="48"/>
        <v/>
      </c>
      <c r="O154" s="35" t="str">
        <f t="shared" si="49"/>
        <v/>
      </c>
      <c r="P154" s="35" t="str">
        <f t="shared" si="50"/>
        <v/>
      </c>
      <c r="Q154" s="35" t="str">
        <f t="shared" si="51"/>
        <v/>
      </c>
      <c r="R154" s="35" t="str">
        <f t="shared" si="52"/>
        <v/>
      </c>
      <c r="S154" s="33" t="str">
        <f t="shared" si="53"/>
        <v/>
      </c>
    </row>
    <row r="155" spans="1:19" x14ac:dyDescent="0.3">
      <c r="A155" s="33">
        <f>151</f>
        <v>151</v>
      </c>
      <c r="B155" s="34" t="str">
        <f t="shared" si="36"/>
        <v/>
      </c>
      <c r="C155" s="33" t="str">
        <f t="shared" si="37"/>
        <v/>
      </c>
      <c r="D155" s="33" t="str">
        <f t="shared" si="38"/>
        <v/>
      </c>
      <c r="E155" s="35" t="str">
        <f t="shared" si="39"/>
        <v/>
      </c>
      <c r="F155" s="35" t="str">
        <f t="shared" si="40"/>
        <v/>
      </c>
      <c r="G155" s="33" t="str">
        <f t="shared" si="41"/>
        <v/>
      </c>
      <c r="H155" s="35" t="str">
        <f t="shared" si="42"/>
        <v/>
      </c>
      <c r="I155" s="35" t="str">
        <f t="shared" si="43"/>
        <v/>
      </c>
      <c r="J155" s="35" t="str">
        <f t="shared" si="44"/>
        <v/>
      </c>
      <c r="K155" s="35" t="str">
        <f t="shared" si="45"/>
        <v/>
      </c>
      <c r="L155" s="35" t="str">
        <f t="shared" si="46"/>
        <v/>
      </c>
      <c r="M155" s="35" t="str">
        <f t="shared" si="47"/>
        <v/>
      </c>
      <c r="N155" s="36" t="str">
        <f t="shared" si="48"/>
        <v/>
      </c>
      <c r="O155" s="35" t="str">
        <f t="shared" si="49"/>
        <v/>
      </c>
      <c r="P155" s="35" t="str">
        <f t="shared" si="50"/>
        <v/>
      </c>
      <c r="Q155" s="35" t="str">
        <f t="shared" si="51"/>
        <v/>
      </c>
      <c r="R155" s="35" t="str">
        <f t="shared" si="52"/>
        <v/>
      </c>
      <c r="S155" s="33" t="str">
        <f t="shared" si="53"/>
        <v/>
      </c>
    </row>
    <row r="156" spans="1:19" x14ac:dyDescent="0.3">
      <c r="A156" s="33">
        <f>152</f>
        <v>152</v>
      </c>
      <c r="B156" s="34" t="str">
        <f t="shared" si="36"/>
        <v/>
      </c>
      <c r="C156" s="33" t="str">
        <f t="shared" si="37"/>
        <v/>
      </c>
      <c r="D156" s="33" t="str">
        <f t="shared" si="38"/>
        <v/>
      </c>
      <c r="E156" s="35" t="str">
        <f t="shared" si="39"/>
        <v/>
      </c>
      <c r="F156" s="35" t="str">
        <f t="shared" si="40"/>
        <v/>
      </c>
      <c r="G156" s="33" t="str">
        <f t="shared" si="41"/>
        <v/>
      </c>
      <c r="H156" s="35" t="str">
        <f t="shared" si="42"/>
        <v/>
      </c>
      <c r="I156" s="35" t="str">
        <f t="shared" si="43"/>
        <v/>
      </c>
      <c r="J156" s="35" t="str">
        <f t="shared" si="44"/>
        <v/>
      </c>
      <c r="K156" s="35" t="str">
        <f t="shared" si="45"/>
        <v/>
      </c>
      <c r="L156" s="35" t="str">
        <f t="shared" si="46"/>
        <v/>
      </c>
      <c r="M156" s="35" t="str">
        <f t="shared" si="47"/>
        <v/>
      </c>
      <c r="N156" s="36" t="str">
        <f t="shared" si="48"/>
        <v/>
      </c>
      <c r="O156" s="35" t="str">
        <f t="shared" si="49"/>
        <v/>
      </c>
      <c r="P156" s="35" t="str">
        <f t="shared" si="50"/>
        <v/>
      </c>
      <c r="Q156" s="35" t="str">
        <f t="shared" si="51"/>
        <v/>
      </c>
      <c r="R156" s="35" t="str">
        <f t="shared" si="52"/>
        <v/>
      </c>
      <c r="S156" s="33" t="str">
        <f t="shared" si="53"/>
        <v/>
      </c>
    </row>
    <row r="157" spans="1:19" x14ac:dyDescent="0.3">
      <c r="A157" s="33">
        <f>153</f>
        <v>153</v>
      </c>
      <c r="B157" s="34" t="str">
        <f t="shared" si="36"/>
        <v/>
      </c>
      <c r="C157" s="33" t="str">
        <f t="shared" si="37"/>
        <v/>
      </c>
      <c r="D157" s="33" t="str">
        <f t="shared" si="38"/>
        <v/>
      </c>
      <c r="E157" s="35" t="str">
        <f t="shared" si="39"/>
        <v/>
      </c>
      <c r="F157" s="35" t="str">
        <f t="shared" si="40"/>
        <v/>
      </c>
      <c r="G157" s="33" t="str">
        <f t="shared" si="41"/>
        <v/>
      </c>
      <c r="H157" s="35" t="str">
        <f t="shared" si="42"/>
        <v/>
      </c>
      <c r="I157" s="35" t="str">
        <f t="shared" si="43"/>
        <v/>
      </c>
      <c r="J157" s="35" t="str">
        <f t="shared" si="44"/>
        <v/>
      </c>
      <c r="K157" s="35" t="str">
        <f t="shared" si="45"/>
        <v/>
      </c>
      <c r="L157" s="35" t="str">
        <f t="shared" si="46"/>
        <v/>
      </c>
      <c r="M157" s="35" t="str">
        <f t="shared" si="47"/>
        <v/>
      </c>
      <c r="N157" s="36" t="str">
        <f t="shared" si="48"/>
        <v/>
      </c>
      <c r="O157" s="35" t="str">
        <f t="shared" si="49"/>
        <v/>
      </c>
      <c r="P157" s="35" t="str">
        <f t="shared" si="50"/>
        <v/>
      </c>
      <c r="Q157" s="35" t="str">
        <f t="shared" si="51"/>
        <v/>
      </c>
      <c r="R157" s="35" t="str">
        <f t="shared" si="52"/>
        <v/>
      </c>
      <c r="S157" s="33" t="str">
        <f t="shared" si="53"/>
        <v/>
      </c>
    </row>
    <row r="158" spans="1:19" x14ac:dyDescent="0.3">
      <c r="A158" s="33">
        <f>154</f>
        <v>154</v>
      </c>
      <c r="B158" s="34" t="str">
        <f t="shared" si="36"/>
        <v/>
      </c>
      <c r="C158" s="33" t="str">
        <f t="shared" si="37"/>
        <v/>
      </c>
      <c r="D158" s="33" t="str">
        <f t="shared" si="38"/>
        <v/>
      </c>
      <c r="E158" s="35" t="str">
        <f t="shared" si="39"/>
        <v/>
      </c>
      <c r="F158" s="35" t="str">
        <f t="shared" si="40"/>
        <v/>
      </c>
      <c r="G158" s="33" t="str">
        <f t="shared" si="41"/>
        <v/>
      </c>
      <c r="H158" s="35" t="str">
        <f t="shared" si="42"/>
        <v/>
      </c>
      <c r="I158" s="35" t="str">
        <f t="shared" si="43"/>
        <v/>
      </c>
      <c r="J158" s="35" t="str">
        <f t="shared" si="44"/>
        <v/>
      </c>
      <c r="K158" s="35" t="str">
        <f t="shared" si="45"/>
        <v/>
      </c>
      <c r="L158" s="35" t="str">
        <f t="shared" si="46"/>
        <v/>
      </c>
      <c r="M158" s="35" t="str">
        <f t="shared" si="47"/>
        <v/>
      </c>
      <c r="N158" s="36" t="str">
        <f t="shared" si="48"/>
        <v/>
      </c>
      <c r="O158" s="35" t="str">
        <f t="shared" si="49"/>
        <v/>
      </c>
      <c r="P158" s="35" t="str">
        <f t="shared" si="50"/>
        <v/>
      </c>
      <c r="Q158" s="35" t="str">
        <f t="shared" si="51"/>
        <v/>
      </c>
      <c r="R158" s="35" t="str">
        <f t="shared" si="52"/>
        <v/>
      </c>
      <c r="S158" s="33" t="str">
        <f t="shared" si="53"/>
        <v/>
      </c>
    </row>
    <row r="159" spans="1:19" x14ac:dyDescent="0.3">
      <c r="A159" s="33">
        <f>155</f>
        <v>155</v>
      </c>
      <c r="B159" s="34" t="str">
        <f t="shared" si="36"/>
        <v/>
      </c>
      <c r="C159" s="33" t="str">
        <f t="shared" si="37"/>
        <v/>
      </c>
      <c r="D159" s="33" t="str">
        <f t="shared" si="38"/>
        <v/>
      </c>
      <c r="E159" s="35" t="str">
        <f t="shared" si="39"/>
        <v/>
      </c>
      <c r="F159" s="35" t="str">
        <f t="shared" si="40"/>
        <v/>
      </c>
      <c r="G159" s="33" t="str">
        <f t="shared" si="41"/>
        <v/>
      </c>
      <c r="H159" s="35" t="str">
        <f t="shared" si="42"/>
        <v/>
      </c>
      <c r="I159" s="35" t="str">
        <f t="shared" si="43"/>
        <v/>
      </c>
      <c r="J159" s="35" t="str">
        <f t="shared" si="44"/>
        <v/>
      </c>
      <c r="K159" s="35" t="str">
        <f t="shared" si="45"/>
        <v/>
      </c>
      <c r="L159" s="35" t="str">
        <f t="shared" si="46"/>
        <v/>
      </c>
      <c r="M159" s="35" t="str">
        <f t="shared" si="47"/>
        <v/>
      </c>
      <c r="N159" s="36" t="str">
        <f t="shared" si="48"/>
        <v/>
      </c>
      <c r="O159" s="35" t="str">
        <f t="shared" si="49"/>
        <v/>
      </c>
      <c r="P159" s="35" t="str">
        <f t="shared" si="50"/>
        <v/>
      </c>
      <c r="Q159" s="35" t="str">
        <f t="shared" si="51"/>
        <v/>
      </c>
      <c r="R159" s="35" t="str">
        <f t="shared" si="52"/>
        <v/>
      </c>
      <c r="S159" s="33" t="str">
        <f t="shared" si="53"/>
        <v/>
      </c>
    </row>
    <row r="160" spans="1:19" x14ac:dyDescent="0.3">
      <c r="A160" s="37">
        <f>156</f>
        <v>156</v>
      </c>
      <c r="B160" s="38" t="str">
        <f t="shared" si="36"/>
        <v/>
      </c>
      <c r="C160" s="37" t="str">
        <f t="shared" si="37"/>
        <v/>
      </c>
      <c r="D160" s="37" t="str">
        <f t="shared" si="38"/>
        <v/>
      </c>
      <c r="E160" s="39" t="str">
        <f t="shared" si="39"/>
        <v/>
      </c>
      <c r="F160" s="39" t="str">
        <f t="shared" si="40"/>
        <v/>
      </c>
      <c r="G160" s="37" t="str">
        <f t="shared" si="41"/>
        <v/>
      </c>
      <c r="H160" s="39" t="str">
        <f t="shared" si="42"/>
        <v/>
      </c>
      <c r="I160" s="39" t="str">
        <f t="shared" si="43"/>
        <v/>
      </c>
      <c r="J160" s="39" t="str">
        <f t="shared" si="44"/>
        <v/>
      </c>
      <c r="K160" s="39" t="str">
        <f t="shared" si="45"/>
        <v/>
      </c>
      <c r="L160" s="39" t="str">
        <f t="shared" si="46"/>
        <v/>
      </c>
      <c r="M160" s="39" t="str">
        <f t="shared" si="47"/>
        <v/>
      </c>
      <c r="N160" s="40" t="str">
        <f t="shared" si="48"/>
        <v/>
      </c>
      <c r="O160" s="39" t="str">
        <f t="shared" si="49"/>
        <v/>
      </c>
      <c r="P160" s="39" t="str">
        <f t="shared" si="50"/>
        <v/>
      </c>
      <c r="Q160" s="39" t="str">
        <f t="shared" si="51"/>
        <v/>
      </c>
      <c r="R160" s="39" t="str">
        <f t="shared" si="52"/>
        <v/>
      </c>
      <c r="S160" s="37" t="str">
        <f t="shared" si="53"/>
        <v/>
      </c>
    </row>
    <row r="161" spans="1:19" x14ac:dyDescent="0.3">
      <c r="A161" s="33">
        <f>157</f>
        <v>157</v>
      </c>
      <c r="B161" s="34" t="str">
        <f t="shared" si="36"/>
        <v/>
      </c>
      <c r="C161" s="33" t="str">
        <f t="shared" si="37"/>
        <v/>
      </c>
      <c r="D161" s="33" t="str">
        <f t="shared" si="38"/>
        <v/>
      </c>
      <c r="E161" s="35" t="str">
        <f t="shared" si="39"/>
        <v/>
      </c>
      <c r="F161" s="35" t="str">
        <f t="shared" si="40"/>
        <v/>
      </c>
      <c r="G161" s="33" t="str">
        <f t="shared" si="41"/>
        <v/>
      </c>
      <c r="H161" s="35" t="str">
        <f t="shared" si="42"/>
        <v/>
      </c>
      <c r="I161" s="35" t="str">
        <f t="shared" si="43"/>
        <v/>
      </c>
      <c r="J161" s="35" t="str">
        <f t="shared" si="44"/>
        <v/>
      </c>
      <c r="K161" s="35" t="str">
        <f t="shared" si="45"/>
        <v/>
      </c>
      <c r="L161" s="35" t="str">
        <f t="shared" si="46"/>
        <v/>
      </c>
      <c r="M161" s="35" t="str">
        <f t="shared" si="47"/>
        <v/>
      </c>
      <c r="N161" s="36" t="str">
        <f t="shared" si="48"/>
        <v/>
      </c>
      <c r="O161" s="35" t="str">
        <f t="shared" si="49"/>
        <v/>
      </c>
      <c r="P161" s="35" t="str">
        <f t="shared" si="50"/>
        <v/>
      </c>
      <c r="Q161" s="35" t="str">
        <f t="shared" si="51"/>
        <v/>
      </c>
      <c r="R161" s="35" t="str">
        <f t="shared" si="52"/>
        <v/>
      </c>
      <c r="S161" s="33" t="str">
        <f t="shared" si="53"/>
        <v/>
      </c>
    </row>
    <row r="162" spans="1:19" x14ac:dyDescent="0.3">
      <c r="A162" s="33">
        <f>158</f>
        <v>158</v>
      </c>
      <c r="B162" s="34" t="str">
        <f t="shared" si="36"/>
        <v/>
      </c>
      <c r="C162" s="33" t="str">
        <f t="shared" si="37"/>
        <v/>
      </c>
      <c r="D162" s="33" t="str">
        <f t="shared" si="38"/>
        <v/>
      </c>
      <c r="E162" s="35" t="str">
        <f t="shared" si="39"/>
        <v/>
      </c>
      <c r="F162" s="35" t="str">
        <f t="shared" si="40"/>
        <v/>
      </c>
      <c r="G162" s="33" t="str">
        <f t="shared" si="41"/>
        <v/>
      </c>
      <c r="H162" s="35" t="str">
        <f t="shared" si="42"/>
        <v/>
      </c>
      <c r="I162" s="35" t="str">
        <f t="shared" si="43"/>
        <v/>
      </c>
      <c r="J162" s="35" t="str">
        <f t="shared" si="44"/>
        <v/>
      </c>
      <c r="K162" s="35" t="str">
        <f t="shared" si="45"/>
        <v/>
      </c>
      <c r="L162" s="35" t="str">
        <f t="shared" si="46"/>
        <v/>
      </c>
      <c r="M162" s="35" t="str">
        <f t="shared" si="47"/>
        <v/>
      </c>
      <c r="N162" s="36" t="str">
        <f t="shared" si="48"/>
        <v/>
      </c>
      <c r="O162" s="35" t="str">
        <f t="shared" si="49"/>
        <v/>
      </c>
      <c r="P162" s="35" t="str">
        <f t="shared" si="50"/>
        <v/>
      </c>
      <c r="Q162" s="35" t="str">
        <f t="shared" si="51"/>
        <v/>
      </c>
      <c r="R162" s="35" t="str">
        <f t="shared" si="52"/>
        <v/>
      </c>
      <c r="S162" s="33" t="str">
        <f t="shared" si="53"/>
        <v/>
      </c>
    </row>
    <row r="163" spans="1:19" x14ac:dyDescent="0.3">
      <c r="A163" s="33">
        <f>159</f>
        <v>159</v>
      </c>
      <c r="B163" s="34" t="str">
        <f t="shared" si="36"/>
        <v/>
      </c>
      <c r="C163" s="33" t="str">
        <f t="shared" si="37"/>
        <v/>
      </c>
      <c r="D163" s="33" t="str">
        <f t="shared" si="38"/>
        <v/>
      </c>
      <c r="E163" s="35" t="str">
        <f t="shared" si="39"/>
        <v/>
      </c>
      <c r="F163" s="35" t="str">
        <f t="shared" si="40"/>
        <v/>
      </c>
      <c r="G163" s="33" t="str">
        <f t="shared" si="41"/>
        <v/>
      </c>
      <c r="H163" s="35" t="str">
        <f t="shared" si="42"/>
        <v/>
      </c>
      <c r="I163" s="35" t="str">
        <f t="shared" si="43"/>
        <v/>
      </c>
      <c r="J163" s="35" t="str">
        <f t="shared" si="44"/>
        <v/>
      </c>
      <c r="K163" s="35" t="str">
        <f t="shared" si="45"/>
        <v/>
      </c>
      <c r="L163" s="35" t="str">
        <f t="shared" si="46"/>
        <v/>
      </c>
      <c r="M163" s="35" t="str">
        <f t="shared" si="47"/>
        <v/>
      </c>
      <c r="N163" s="36" t="str">
        <f t="shared" si="48"/>
        <v/>
      </c>
      <c r="O163" s="35" t="str">
        <f t="shared" si="49"/>
        <v/>
      </c>
      <c r="P163" s="35" t="str">
        <f t="shared" si="50"/>
        <v/>
      </c>
      <c r="Q163" s="35" t="str">
        <f t="shared" si="51"/>
        <v/>
      </c>
      <c r="R163" s="35" t="str">
        <f t="shared" si="52"/>
        <v/>
      </c>
      <c r="S163" s="33" t="str">
        <f t="shared" si="53"/>
        <v/>
      </c>
    </row>
    <row r="164" spans="1:19" x14ac:dyDescent="0.3">
      <c r="A164" s="33">
        <f>160</f>
        <v>160</v>
      </c>
      <c r="B164" s="34" t="str">
        <f t="shared" si="36"/>
        <v/>
      </c>
      <c r="C164" s="33" t="str">
        <f t="shared" si="37"/>
        <v/>
      </c>
      <c r="D164" s="33" t="str">
        <f t="shared" si="38"/>
        <v/>
      </c>
      <c r="E164" s="35" t="str">
        <f t="shared" si="39"/>
        <v/>
      </c>
      <c r="F164" s="35" t="str">
        <f t="shared" si="40"/>
        <v/>
      </c>
      <c r="G164" s="33" t="str">
        <f t="shared" si="41"/>
        <v/>
      </c>
      <c r="H164" s="35" t="str">
        <f t="shared" si="42"/>
        <v/>
      </c>
      <c r="I164" s="35" t="str">
        <f t="shared" si="43"/>
        <v/>
      </c>
      <c r="J164" s="35" t="str">
        <f t="shared" si="44"/>
        <v/>
      </c>
      <c r="K164" s="35" t="str">
        <f t="shared" si="45"/>
        <v/>
      </c>
      <c r="L164" s="35" t="str">
        <f t="shared" si="46"/>
        <v/>
      </c>
      <c r="M164" s="35" t="str">
        <f t="shared" si="47"/>
        <v/>
      </c>
      <c r="N164" s="36" t="str">
        <f t="shared" si="48"/>
        <v/>
      </c>
      <c r="O164" s="35" t="str">
        <f t="shared" si="49"/>
        <v/>
      </c>
      <c r="P164" s="35" t="str">
        <f t="shared" si="50"/>
        <v/>
      </c>
      <c r="Q164" s="35" t="str">
        <f t="shared" si="51"/>
        <v/>
      </c>
      <c r="R164" s="35" t="str">
        <f t="shared" si="52"/>
        <v/>
      </c>
      <c r="S164" s="33" t="str">
        <f t="shared" si="53"/>
        <v/>
      </c>
    </row>
    <row r="165" spans="1:19" x14ac:dyDescent="0.3">
      <c r="A165" s="33">
        <f>161</f>
        <v>161</v>
      </c>
      <c r="B165" s="34" t="str">
        <f t="shared" si="36"/>
        <v/>
      </c>
      <c r="C165" s="33" t="str">
        <f t="shared" si="37"/>
        <v/>
      </c>
      <c r="D165" s="33" t="str">
        <f t="shared" si="38"/>
        <v/>
      </c>
      <c r="E165" s="35" t="str">
        <f t="shared" si="39"/>
        <v/>
      </c>
      <c r="F165" s="35" t="str">
        <f t="shared" si="40"/>
        <v/>
      </c>
      <c r="G165" s="33" t="str">
        <f t="shared" si="41"/>
        <v/>
      </c>
      <c r="H165" s="35" t="str">
        <f t="shared" si="42"/>
        <v/>
      </c>
      <c r="I165" s="35" t="str">
        <f t="shared" si="43"/>
        <v/>
      </c>
      <c r="J165" s="35" t="str">
        <f t="shared" si="44"/>
        <v/>
      </c>
      <c r="K165" s="35" t="str">
        <f t="shared" si="45"/>
        <v/>
      </c>
      <c r="L165" s="35" t="str">
        <f t="shared" si="46"/>
        <v/>
      </c>
      <c r="M165" s="35" t="str">
        <f t="shared" si="47"/>
        <v/>
      </c>
      <c r="N165" s="36" t="str">
        <f t="shared" si="48"/>
        <v/>
      </c>
      <c r="O165" s="35" t="str">
        <f t="shared" si="49"/>
        <v/>
      </c>
      <c r="P165" s="35" t="str">
        <f t="shared" si="50"/>
        <v/>
      </c>
      <c r="Q165" s="35" t="str">
        <f t="shared" si="51"/>
        <v/>
      </c>
      <c r="R165" s="35" t="str">
        <f t="shared" si="52"/>
        <v/>
      </c>
      <c r="S165" s="33" t="str">
        <f t="shared" si="53"/>
        <v/>
      </c>
    </row>
    <row r="166" spans="1:19" x14ac:dyDescent="0.3">
      <c r="A166" s="33">
        <f>162</f>
        <v>162</v>
      </c>
      <c r="B166" s="34" t="str">
        <f t="shared" si="36"/>
        <v/>
      </c>
      <c r="C166" s="33" t="str">
        <f t="shared" si="37"/>
        <v/>
      </c>
      <c r="D166" s="33" t="str">
        <f t="shared" si="38"/>
        <v/>
      </c>
      <c r="E166" s="35" t="str">
        <f t="shared" si="39"/>
        <v/>
      </c>
      <c r="F166" s="35" t="str">
        <f t="shared" si="40"/>
        <v/>
      </c>
      <c r="G166" s="33" t="str">
        <f t="shared" si="41"/>
        <v/>
      </c>
      <c r="H166" s="35" t="str">
        <f t="shared" si="42"/>
        <v/>
      </c>
      <c r="I166" s="35" t="str">
        <f t="shared" si="43"/>
        <v/>
      </c>
      <c r="J166" s="35" t="str">
        <f t="shared" si="44"/>
        <v/>
      </c>
      <c r="K166" s="35" t="str">
        <f t="shared" si="45"/>
        <v/>
      </c>
      <c r="L166" s="35" t="str">
        <f t="shared" si="46"/>
        <v/>
      </c>
      <c r="M166" s="35" t="str">
        <f t="shared" si="47"/>
        <v/>
      </c>
      <c r="N166" s="36" t="str">
        <f t="shared" si="48"/>
        <v/>
      </c>
      <c r="O166" s="35" t="str">
        <f t="shared" si="49"/>
        <v/>
      </c>
      <c r="P166" s="35" t="str">
        <f t="shared" si="50"/>
        <v/>
      </c>
      <c r="Q166" s="35" t="str">
        <f t="shared" si="51"/>
        <v/>
      </c>
      <c r="R166" s="35" t="str">
        <f t="shared" si="52"/>
        <v/>
      </c>
      <c r="S166" s="33" t="str">
        <f t="shared" si="53"/>
        <v/>
      </c>
    </row>
    <row r="167" spans="1:19" x14ac:dyDescent="0.3">
      <c r="A167" s="33">
        <f>163</f>
        <v>163</v>
      </c>
      <c r="B167" s="34" t="str">
        <f t="shared" si="36"/>
        <v/>
      </c>
      <c r="C167" s="33" t="str">
        <f t="shared" si="37"/>
        <v/>
      </c>
      <c r="D167" s="33" t="str">
        <f t="shared" si="38"/>
        <v/>
      </c>
      <c r="E167" s="35" t="str">
        <f t="shared" si="39"/>
        <v/>
      </c>
      <c r="F167" s="35" t="str">
        <f t="shared" si="40"/>
        <v/>
      </c>
      <c r="G167" s="33" t="str">
        <f t="shared" si="41"/>
        <v/>
      </c>
      <c r="H167" s="35" t="str">
        <f t="shared" si="42"/>
        <v/>
      </c>
      <c r="I167" s="35" t="str">
        <f t="shared" si="43"/>
        <v/>
      </c>
      <c r="J167" s="35" t="str">
        <f t="shared" si="44"/>
        <v/>
      </c>
      <c r="K167" s="35" t="str">
        <f t="shared" si="45"/>
        <v/>
      </c>
      <c r="L167" s="35" t="str">
        <f t="shared" si="46"/>
        <v/>
      </c>
      <c r="M167" s="35" t="str">
        <f t="shared" si="47"/>
        <v/>
      </c>
      <c r="N167" s="36" t="str">
        <f t="shared" si="48"/>
        <v/>
      </c>
      <c r="O167" s="35" t="str">
        <f t="shared" si="49"/>
        <v/>
      </c>
      <c r="P167" s="35" t="str">
        <f t="shared" si="50"/>
        <v/>
      </c>
      <c r="Q167" s="35" t="str">
        <f t="shared" si="51"/>
        <v/>
      </c>
      <c r="R167" s="35" t="str">
        <f t="shared" si="52"/>
        <v/>
      </c>
      <c r="S167" s="33" t="str">
        <f t="shared" si="53"/>
        <v/>
      </c>
    </row>
    <row r="168" spans="1:19" x14ac:dyDescent="0.3">
      <c r="A168" s="33">
        <f>164</f>
        <v>164</v>
      </c>
      <c r="B168" s="34" t="str">
        <f t="shared" si="36"/>
        <v/>
      </c>
      <c r="C168" s="33" t="str">
        <f t="shared" si="37"/>
        <v/>
      </c>
      <c r="D168" s="33" t="str">
        <f t="shared" si="38"/>
        <v/>
      </c>
      <c r="E168" s="35" t="str">
        <f t="shared" si="39"/>
        <v/>
      </c>
      <c r="F168" s="35" t="str">
        <f t="shared" si="40"/>
        <v/>
      </c>
      <c r="G168" s="33" t="str">
        <f t="shared" si="41"/>
        <v/>
      </c>
      <c r="H168" s="35" t="str">
        <f t="shared" si="42"/>
        <v/>
      </c>
      <c r="I168" s="35" t="str">
        <f t="shared" si="43"/>
        <v/>
      </c>
      <c r="J168" s="35" t="str">
        <f t="shared" si="44"/>
        <v/>
      </c>
      <c r="K168" s="35" t="str">
        <f t="shared" si="45"/>
        <v/>
      </c>
      <c r="L168" s="35" t="str">
        <f t="shared" si="46"/>
        <v/>
      </c>
      <c r="M168" s="35" t="str">
        <f t="shared" si="47"/>
        <v/>
      </c>
      <c r="N168" s="36" t="str">
        <f t="shared" si="48"/>
        <v/>
      </c>
      <c r="O168" s="35" t="str">
        <f t="shared" si="49"/>
        <v/>
      </c>
      <c r="P168" s="35" t="str">
        <f t="shared" si="50"/>
        <v/>
      </c>
      <c r="Q168" s="35" t="str">
        <f t="shared" si="51"/>
        <v/>
      </c>
      <c r="R168" s="35" t="str">
        <f t="shared" si="52"/>
        <v/>
      </c>
      <c r="S168" s="33" t="str">
        <f t="shared" si="53"/>
        <v/>
      </c>
    </row>
    <row r="169" spans="1:19" x14ac:dyDescent="0.3">
      <c r="A169" s="33">
        <f>165</f>
        <v>165</v>
      </c>
      <c r="B169" s="34" t="str">
        <f t="shared" si="36"/>
        <v/>
      </c>
      <c r="C169" s="33" t="str">
        <f t="shared" si="37"/>
        <v/>
      </c>
      <c r="D169" s="33" t="str">
        <f t="shared" si="38"/>
        <v/>
      </c>
      <c r="E169" s="35" t="str">
        <f t="shared" si="39"/>
        <v/>
      </c>
      <c r="F169" s="35" t="str">
        <f t="shared" si="40"/>
        <v/>
      </c>
      <c r="G169" s="33" t="str">
        <f t="shared" si="41"/>
        <v/>
      </c>
      <c r="H169" s="35" t="str">
        <f t="shared" si="42"/>
        <v/>
      </c>
      <c r="I169" s="35" t="str">
        <f t="shared" si="43"/>
        <v/>
      </c>
      <c r="J169" s="35" t="str">
        <f t="shared" si="44"/>
        <v/>
      </c>
      <c r="K169" s="35" t="str">
        <f t="shared" si="45"/>
        <v/>
      </c>
      <c r="L169" s="35" t="str">
        <f t="shared" si="46"/>
        <v/>
      </c>
      <c r="M169" s="35" t="str">
        <f t="shared" si="47"/>
        <v/>
      </c>
      <c r="N169" s="36" t="str">
        <f t="shared" si="48"/>
        <v/>
      </c>
      <c r="O169" s="35" t="str">
        <f t="shared" si="49"/>
        <v/>
      </c>
      <c r="P169" s="35" t="str">
        <f t="shared" si="50"/>
        <v/>
      </c>
      <c r="Q169" s="35" t="str">
        <f t="shared" si="51"/>
        <v/>
      </c>
      <c r="R169" s="35" t="str">
        <f t="shared" si="52"/>
        <v/>
      </c>
      <c r="S169" s="33" t="str">
        <f t="shared" si="53"/>
        <v/>
      </c>
    </row>
    <row r="170" spans="1:19" x14ac:dyDescent="0.3">
      <c r="A170" s="33">
        <f>166</f>
        <v>166</v>
      </c>
      <c r="B170" s="34" t="str">
        <f t="shared" si="36"/>
        <v/>
      </c>
      <c r="C170" s="33" t="str">
        <f t="shared" si="37"/>
        <v/>
      </c>
      <c r="D170" s="33" t="str">
        <f t="shared" si="38"/>
        <v/>
      </c>
      <c r="E170" s="35" t="str">
        <f t="shared" si="39"/>
        <v/>
      </c>
      <c r="F170" s="35" t="str">
        <f t="shared" si="40"/>
        <v/>
      </c>
      <c r="G170" s="33" t="str">
        <f t="shared" si="41"/>
        <v/>
      </c>
      <c r="H170" s="35" t="str">
        <f t="shared" si="42"/>
        <v/>
      </c>
      <c r="I170" s="35" t="str">
        <f t="shared" si="43"/>
        <v/>
      </c>
      <c r="J170" s="35" t="str">
        <f t="shared" si="44"/>
        <v/>
      </c>
      <c r="K170" s="35" t="str">
        <f t="shared" si="45"/>
        <v/>
      </c>
      <c r="L170" s="35" t="str">
        <f t="shared" si="46"/>
        <v/>
      </c>
      <c r="M170" s="35" t="str">
        <f t="shared" si="47"/>
        <v/>
      </c>
      <c r="N170" s="36" t="str">
        <f t="shared" si="48"/>
        <v/>
      </c>
      <c r="O170" s="35" t="str">
        <f t="shared" si="49"/>
        <v/>
      </c>
      <c r="P170" s="35" t="str">
        <f t="shared" si="50"/>
        <v/>
      </c>
      <c r="Q170" s="35" t="str">
        <f t="shared" si="51"/>
        <v/>
      </c>
      <c r="R170" s="35" t="str">
        <f t="shared" si="52"/>
        <v/>
      </c>
      <c r="S170" s="33" t="str">
        <f t="shared" si="53"/>
        <v/>
      </c>
    </row>
    <row r="171" spans="1:19" x14ac:dyDescent="0.3">
      <c r="A171" s="33">
        <f>167</f>
        <v>167</v>
      </c>
      <c r="B171" s="34" t="str">
        <f t="shared" si="36"/>
        <v/>
      </c>
      <c r="C171" s="33" t="str">
        <f t="shared" si="37"/>
        <v/>
      </c>
      <c r="D171" s="33" t="str">
        <f t="shared" si="38"/>
        <v/>
      </c>
      <c r="E171" s="35" t="str">
        <f t="shared" si="39"/>
        <v/>
      </c>
      <c r="F171" s="35" t="str">
        <f t="shared" si="40"/>
        <v/>
      </c>
      <c r="G171" s="33" t="str">
        <f t="shared" si="41"/>
        <v/>
      </c>
      <c r="H171" s="35" t="str">
        <f t="shared" si="42"/>
        <v/>
      </c>
      <c r="I171" s="35" t="str">
        <f t="shared" si="43"/>
        <v/>
      </c>
      <c r="J171" s="35" t="str">
        <f t="shared" si="44"/>
        <v/>
      </c>
      <c r="K171" s="35" t="str">
        <f t="shared" si="45"/>
        <v/>
      </c>
      <c r="L171" s="35" t="str">
        <f t="shared" si="46"/>
        <v/>
      </c>
      <c r="M171" s="35" t="str">
        <f t="shared" si="47"/>
        <v/>
      </c>
      <c r="N171" s="36" t="str">
        <f t="shared" si="48"/>
        <v/>
      </c>
      <c r="O171" s="35" t="str">
        <f t="shared" si="49"/>
        <v/>
      </c>
      <c r="P171" s="35" t="str">
        <f t="shared" si="50"/>
        <v/>
      </c>
      <c r="Q171" s="35" t="str">
        <f t="shared" si="51"/>
        <v/>
      </c>
      <c r="R171" s="35" t="str">
        <f t="shared" si="52"/>
        <v/>
      </c>
      <c r="S171" s="33" t="str">
        <f t="shared" si="53"/>
        <v/>
      </c>
    </row>
    <row r="172" spans="1:19" x14ac:dyDescent="0.3">
      <c r="A172" s="37">
        <f>168</f>
        <v>168</v>
      </c>
      <c r="B172" s="38" t="str">
        <f t="shared" si="36"/>
        <v/>
      </c>
      <c r="C172" s="37" t="str">
        <f t="shared" si="37"/>
        <v/>
      </c>
      <c r="D172" s="37" t="str">
        <f t="shared" si="38"/>
        <v/>
      </c>
      <c r="E172" s="39" t="str">
        <f t="shared" si="39"/>
        <v/>
      </c>
      <c r="F172" s="39" t="str">
        <f t="shared" si="40"/>
        <v/>
      </c>
      <c r="G172" s="37" t="str">
        <f t="shared" si="41"/>
        <v/>
      </c>
      <c r="H172" s="39" t="str">
        <f t="shared" si="42"/>
        <v/>
      </c>
      <c r="I172" s="39" t="str">
        <f t="shared" si="43"/>
        <v/>
      </c>
      <c r="J172" s="39" t="str">
        <f t="shared" si="44"/>
        <v/>
      </c>
      <c r="K172" s="39" t="str">
        <f t="shared" si="45"/>
        <v/>
      </c>
      <c r="L172" s="39" t="str">
        <f t="shared" si="46"/>
        <v/>
      </c>
      <c r="M172" s="39" t="str">
        <f t="shared" si="47"/>
        <v/>
      </c>
      <c r="N172" s="40" t="str">
        <f t="shared" si="48"/>
        <v/>
      </c>
      <c r="O172" s="39" t="str">
        <f t="shared" si="49"/>
        <v/>
      </c>
      <c r="P172" s="39" t="str">
        <f t="shared" si="50"/>
        <v/>
      </c>
      <c r="Q172" s="39" t="str">
        <f t="shared" si="51"/>
        <v/>
      </c>
      <c r="R172" s="39" t="str">
        <f t="shared" si="52"/>
        <v/>
      </c>
      <c r="S172" s="37" t="str">
        <f t="shared" si="53"/>
        <v/>
      </c>
    </row>
    <row r="173" spans="1:19" x14ac:dyDescent="0.3">
      <c r="A173" s="33">
        <f>169</f>
        <v>169</v>
      </c>
      <c r="B173" s="34" t="str">
        <f t="shared" si="36"/>
        <v/>
      </c>
      <c r="C173" s="33" t="str">
        <f t="shared" si="37"/>
        <v/>
      </c>
      <c r="D173" s="33" t="str">
        <f t="shared" si="38"/>
        <v/>
      </c>
      <c r="E173" s="35" t="str">
        <f t="shared" si="39"/>
        <v/>
      </c>
      <c r="F173" s="35" t="str">
        <f t="shared" si="40"/>
        <v/>
      </c>
      <c r="G173" s="33" t="str">
        <f t="shared" si="41"/>
        <v/>
      </c>
      <c r="H173" s="35" t="str">
        <f t="shared" si="42"/>
        <v/>
      </c>
      <c r="I173" s="35" t="str">
        <f t="shared" si="43"/>
        <v/>
      </c>
      <c r="J173" s="35" t="str">
        <f t="shared" si="44"/>
        <v/>
      </c>
      <c r="K173" s="35" t="str">
        <f t="shared" si="45"/>
        <v/>
      </c>
      <c r="L173" s="35" t="str">
        <f t="shared" si="46"/>
        <v/>
      </c>
      <c r="M173" s="35" t="str">
        <f t="shared" si="47"/>
        <v/>
      </c>
      <c r="N173" s="36" t="str">
        <f t="shared" si="48"/>
        <v/>
      </c>
      <c r="O173" s="35" t="str">
        <f t="shared" si="49"/>
        <v/>
      </c>
      <c r="P173" s="35" t="str">
        <f t="shared" si="50"/>
        <v/>
      </c>
      <c r="Q173" s="35" t="str">
        <f t="shared" si="51"/>
        <v/>
      </c>
      <c r="R173" s="35" t="str">
        <f t="shared" si="52"/>
        <v/>
      </c>
      <c r="S173" s="33" t="str">
        <f t="shared" si="53"/>
        <v/>
      </c>
    </row>
    <row r="174" spans="1:19" x14ac:dyDescent="0.3">
      <c r="A174" s="33">
        <f>170</f>
        <v>170</v>
      </c>
      <c r="B174" s="34" t="str">
        <f t="shared" si="36"/>
        <v/>
      </c>
      <c r="C174" s="33" t="str">
        <f t="shared" si="37"/>
        <v/>
      </c>
      <c r="D174" s="33" t="str">
        <f t="shared" si="38"/>
        <v/>
      </c>
      <c r="E174" s="35" t="str">
        <f t="shared" si="39"/>
        <v/>
      </c>
      <c r="F174" s="35" t="str">
        <f t="shared" si="40"/>
        <v/>
      </c>
      <c r="G174" s="33" t="str">
        <f t="shared" si="41"/>
        <v/>
      </c>
      <c r="H174" s="35" t="str">
        <f t="shared" si="42"/>
        <v/>
      </c>
      <c r="I174" s="35" t="str">
        <f t="shared" si="43"/>
        <v/>
      </c>
      <c r="J174" s="35" t="str">
        <f t="shared" si="44"/>
        <v/>
      </c>
      <c r="K174" s="35" t="str">
        <f t="shared" si="45"/>
        <v/>
      </c>
      <c r="L174" s="35" t="str">
        <f t="shared" si="46"/>
        <v/>
      </c>
      <c r="M174" s="35" t="str">
        <f t="shared" si="47"/>
        <v/>
      </c>
      <c r="N174" s="36" t="str">
        <f t="shared" si="48"/>
        <v/>
      </c>
      <c r="O174" s="35" t="str">
        <f t="shared" si="49"/>
        <v/>
      </c>
      <c r="P174" s="35" t="str">
        <f t="shared" si="50"/>
        <v/>
      </c>
      <c r="Q174" s="35" t="str">
        <f t="shared" si="51"/>
        <v/>
      </c>
      <c r="R174" s="35" t="str">
        <f t="shared" si="52"/>
        <v/>
      </c>
      <c r="S174" s="33" t="str">
        <f t="shared" si="53"/>
        <v/>
      </c>
    </row>
    <row r="175" spans="1:19" x14ac:dyDescent="0.3">
      <c r="A175" s="33">
        <f>171</f>
        <v>171</v>
      </c>
      <c r="B175" s="34" t="str">
        <f t="shared" si="36"/>
        <v/>
      </c>
      <c r="C175" s="33" t="str">
        <f t="shared" si="37"/>
        <v/>
      </c>
      <c r="D175" s="33" t="str">
        <f t="shared" si="38"/>
        <v/>
      </c>
      <c r="E175" s="35" t="str">
        <f t="shared" si="39"/>
        <v/>
      </c>
      <c r="F175" s="35" t="str">
        <f t="shared" si="40"/>
        <v/>
      </c>
      <c r="G175" s="33" t="str">
        <f t="shared" si="41"/>
        <v/>
      </c>
      <c r="H175" s="35" t="str">
        <f t="shared" si="42"/>
        <v/>
      </c>
      <c r="I175" s="35" t="str">
        <f t="shared" si="43"/>
        <v/>
      </c>
      <c r="J175" s="35" t="str">
        <f t="shared" si="44"/>
        <v/>
      </c>
      <c r="K175" s="35" t="str">
        <f t="shared" si="45"/>
        <v/>
      </c>
      <c r="L175" s="35" t="str">
        <f t="shared" si="46"/>
        <v/>
      </c>
      <c r="M175" s="35" t="str">
        <f t="shared" si="47"/>
        <v/>
      </c>
      <c r="N175" s="36" t="str">
        <f t="shared" si="48"/>
        <v/>
      </c>
      <c r="O175" s="35" t="str">
        <f t="shared" si="49"/>
        <v/>
      </c>
      <c r="P175" s="35" t="str">
        <f t="shared" si="50"/>
        <v/>
      </c>
      <c r="Q175" s="35" t="str">
        <f t="shared" si="51"/>
        <v/>
      </c>
      <c r="R175" s="35" t="str">
        <f t="shared" si="52"/>
        <v/>
      </c>
      <c r="S175" s="33" t="str">
        <f t="shared" si="53"/>
        <v/>
      </c>
    </row>
    <row r="176" spans="1:19" x14ac:dyDescent="0.3">
      <c r="A176" s="33">
        <f>172</f>
        <v>172</v>
      </c>
      <c r="B176" s="34" t="str">
        <f t="shared" si="36"/>
        <v/>
      </c>
      <c r="C176" s="33" t="str">
        <f t="shared" si="37"/>
        <v/>
      </c>
      <c r="D176" s="33" t="str">
        <f t="shared" si="38"/>
        <v/>
      </c>
      <c r="E176" s="35" t="str">
        <f t="shared" si="39"/>
        <v/>
      </c>
      <c r="F176" s="35" t="str">
        <f t="shared" si="40"/>
        <v/>
      </c>
      <c r="G176" s="33" t="str">
        <f t="shared" si="41"/>
        <v/>
      </c>
      <c r="H176" s="35" t="str">
        <f t="shared" si="42"/>
        <v/>
      </c>
      <c r="I176" s="35" t="str">
        <f t="shared" si="43"/>
        <v/>
      </c>
      <c r="J176" s="35" t="str">
        <f t="shared" si="44"/>
        <v/>
      </c>
      <c r="K176" s="35" t="str">
        <f t="shared" si="45"/>
        <v/>
      </c>
      <c r="L176" s="35" t="str">
        <f t="shared" si="46"/>
        <v/>
      </c>
      <c r="M176" s="35" t="str">
        <f t="shared" si="47"/>
        <v/>
      </c>
      <c r="N176" s="36" t="str">
        <f t="shared" si="48"/>
        <v/>
      </c>
      <c r="O176" s="35" t="str">
        <f t="shared" si="49"/>
        <v/>
      </c>
      <c r="P176" s="35" t="str">
        <f t="shared" si="50"/>
        <v/>
      </c>
      <c r="Q176" s="35" t="str">
        <f t="shared" si="51"/>
        <v/>
      </c>
      <c r="R176" s="35" t="str">
        <f t="shared" si="52"/>
        <v/>
      </c>
      <c r="S176" s="33" t="str">
        <f t="shared" si="53"/>
        <v/>
      </c>
    </row>
    <row r="177" spans="1:19" x14ac:dyDescent="0.3">
      <c r="A177" s="33">
        <f>173</f>
        <v>173</v>
      </c>
      <c r="B177" s="34" t="str">
        <f t="shared" si="36"/>
        <v/>
      </c>
      <c r="C177" s="33" t="str">
        <f t="shared" si="37"/>
        <v/>
      </c>
      <c r="D177" s="33" t="str">
        <f t="shared" si="38"/>
        <v/>
      </c>
      <c r="E177" s="35" t="str">
        <f t="shared" si="39"/>
        <v/>
      </c>
      <c r="F177" s="35" t="str">
        <f t="shared" si="40"/>
        <v/>
      </c>
      <c r="G177" s="33" t="str">
        <f t="shared" si="41"/>
        <v/>
      </c>
      <c r="H177" s="35" t="str">
        <f t="shared" si="42"/>
        <v/>
      </c>
      <c r="I177" s="35" t="str">
        <f t="shared" si="43"/>
        <v/>
      </c>
      <c r="J177" s="35" t="str">
        <f t="shared" si="44"/>
        <v/>
      </c>
      <c r="K177" s="35" t="str">
        <f t="shared" si="45"/>
        <v/>
      </c>
      <c r="L177" s="35" t="str">
        <f t="shared" si="46"/>
        <v/>
      </c>
      <c r="M177" s="35" t="str">
        <f t="shared" si="47"/>
        <v/>
      </c>
      <c r="N177" s="36" t="str">
        <f t="shared" si="48"/>
        <v/>
      </c>
      <c r="O177" s="35" t="str">
        <f t="shared" si="49"/>
        <v/>
      </c>
      <c r="P177" s="35" t="str">
        <f t="shared" si="50"/>
        <v/>
      </c>
      <c r="Q177" s="35" t="str">
        <f t="shared" si="51"/>
        <v/>
      </c>
      <c r="R177" s="35" t="str">
        <f t="shared" si="52"/>
        <v/>
      </c>
      <c r="S177" s="33" t="str">
        <f t="shared" si="53"/>
        <v/>
      </c>
    </row>
    <row r="178" spans="1:19" x14ac:dyDescent="0.3">
      <c r="A178" s="33">
        <f>174</f>
        <v>174</v>
      </c>
      <c r="B178" s="34" t="str">
        <f t="shared" si="36"/>
        <v/>
      </c>
      <c r="C178" s="33" t="str">
        <f t="shared" si="37"/>
        <v/>
      </c>
      <c r="D178" s="33" t="str">
        <f t="shared" si="38"/>
        <v/>
      </c>
      <c r="E178" s="35" t="str">
        <f t="shared" si="39"/>
        <v/>
      </c>
      <c r="F178" s="35" t="str">
        <f t="shared" si="40"/>
        <v/>
      </c>
      <c r="G178" s="33" t="str">
        <f t="shared" si="41"/>
        <v/>
      </c>
      <c r="H178" s="35" t="str">
        <f t="shared" si="42"/>
        <v/>
      </c>
      <c r="I178" s="35" t="str">
        <f t="shared" si="43"/>
        <v/>
      </c>
      <c r="J178" s="35" t="str">
        <f t="shared" si="44"/>
        <v/>
      </c>
      <c r="K178" s="35" t="str">
        <f t="shared" si="45"/>
        <v/>
      </c>
      <c r="L178" s="35" t="str">
        <f t="shared" si="46"/>
        <v/>
      </c>
      <c r="M178" s="35" t="str">
        <f t="shared" si="47"/>
        <v/>
      </c>
      <c r="N178" s="36" t="str">
        <f t="shared" si="48"/>
        <v/>
      </c>
      <c r="O178" s="35" t="str">
        <f t="shared" si="49"/>
        <v/>
      </c>
      <c r="P178" s="35" t="str">
        <f t="shared" si="50"/>
        <v/>
      </c>
      <c r="Q178" s="35" t="str">
        <f t="shared" si="51"/>
        <v/>
      </c>
      <c r="R178" s="35" t="str">
        <f t="shared" si="52"/>
        <v/>
      </c>
      <c r="S178" s="33" t="str">
        <f t="shared" si="53"/>
        <v/>
      </c>
    </row>
    <row r="179" spans="1:19" x14ac:dyDescent="0.3">
      <c r="A179" s="33">
        <f>175</f>
        <v>175</v>
      </c>
      <c r="B179" s="34" t="str">
        <f t="shared" si="36"/>
        <v/>
      </c>
      <c r="C179" s="33" t="str">
        <f t="shared" si="37"/>
        <v/>
      </c>
      <c r="D179" s="33" t="str">
        <f t="shared" si="38"/>
        <v/>
      </c>
      <c r="E179" s="35" t="str">
        <f t="shared" si="39"/>
        <v/>
      </c>
      <c r="F179" s="35" t="str">
        <f t="shared" si="40"/>
        <v/>
      </c>
      <c r="G179" s="33" t="str">
        <f t="shared" si="41"/>
        <v/>
      </c>
      <c r="H179" s="35" t="str">
        <f t="shared" si="42"/>
        <v/>
      </c>
      <c r="I179" s="35" t="str">
        <f t="shared" si="43"/>
        <v/>
      </c>
      <c r="J179" s="35" t="str">
        <f t="shared" si="44"/>
        <v/>
      </c>
      <c r="K179" s="35" t="str">
        <f t="shared" si="45"/>
        <v/>
      </c>
      <c r="L179" s="35" t="str">
        <f t="shared" si="46"/>
        <v/>
      </c>
      <c r="M179" s="35" t="str">
        <f t="shared" si="47"/>
        <v/>
      </c>
      <c r="N179" s="36" t="str">
        <f t="shared" si="48"/>
        <v/>
      </c>
      <c r="O179" s="35" t="str">
        <f t="shared" si="49"/>
        <v/>
      </c>
      <c r="P179" s="35" t="str">
        <f t="shared" si="50"/>
        <v/>
      </c>
      <c r="Q179" s="35" t="str">
        <f t="shared" si="51"/>
        <v/>
      </c>
      <c r="R179" s="35" t="str">
        <f t="shared" si="52"/>
        <v/>
      </c>
      <c r="S179" s="33" t="str">
        <f t="shared" si="53"/>
        <v/>
      </c>
    </row>
    <row r="180" spans="1:19" x14ac:dyDescent="0.3">
      <c r="A180" s="33">
        <f>176</f>
        <v>176</v>
      </c>
      <c r="B180" s="34" t="str">
        <f t="shared" si="36"/>
        <v/>
      </c>
      <c r="C180" s="33" t="str">
        <f t="shared" si="37"/>
        <v/>
      </c>
      <c r="D180" s="33" t="str">
        <f t="shared" si="38"/>
        <v/>
      </c>
      <c r="E180" s="35" t="str">
        <f t="shared" si="39"/>
        <v/>
      </c>
      <c r="F180" s="35" t="str">
        <f t="shared" si="40"/>
        <v/>
      </c>
      <c r="G180" s="33" t="str">
        <f t="shared" si="41"/>
        <v/>
      </c>
      <c r="H180" s="35" t="str">
        <f t="shared" si="42"/>
        <v/>
      </c>
      <c r="I180" s="35" t="str">
        <f t="shared" si="43"/>
        <v/>
      </c>
      <c r="J180" s="35" t="str">
        <f t="shared" si="44"/>
        <v/>
      </c>
      <c r="K180" s="35" t="str">
        <f t="shared" si="45"/>
        <v/>
      </c>
      <c r="L180" s="35" t="str">
        <f t="shared" si="46"/>
        <v/>
      </c>
      <c r="M180" s="35" t="str">
        <f t="shared" si="47"/>
        <v/>
      </c>
      <c r="N180" s="36" t="str">
        <f t="shared" si="48"/>
        <v/>
      </c>
      <c r="O180" s="35" t="str">
        <f t="shared" si="49"/>
        <v/>
      </c>
      <c r="P180" s="35" t="str">
        <f t="shared" si="50"/>
        <v/>
      </c>
      <c r="Q180" s="35" t="str">
        <f t="shared" si="51"/>
        <v/>
      </c>
      <c r="R180" s="35" t="str">
        <f t="shared" si="52"/>
        <v/>
      </c>
      <c r="S180" s="33" t="str">
        <f t="shared" si="53"/>
        <v/>
      </c>
    </row>
    <row r="181" spans="1:19" x14ac:dyDescent="0.3">
      <c r="A181" s="33">
        <f>177</f>
        <v>177</v>
      </c>
      <c r="B181" s="34" t="str">
        <f t="shared" si="36"/>
        <v/>
      </c>
      <c r="C181" s="33" t="str">
        <f t="shared" si="37"/>
        <v/>
      </c>
      <c r="D181" s="33" t="str">
        <f t="shared" si="38"/>
        <v/>
      </c>
      <c r="E181" s="35" t="str">
        <f t="shared" si="39"/>
        <v/>
      </c>
      <c r="F181" s="35" t="str">
        <f t="shared" si="40"/>
        <v/>
      </c>
      <c r="G181" s="33" t="str">
        <f t="shared" si="41"/>
        <v/>
      </c>
      <c r="H181" s="35" t="str">
        <f t="shared" si="42"/>
        <v/>
      </c>
      <c r="I181" s="35" t="str">
        <f t="shared" si="43"/>
        <v/>
      </c>
      <c r="J181" s="35" t="str">
        <f t="shared" si="44"/>
        <v/>
      </c>
      <c r="K181" s="35" t="str">
        <f t="shared" si="45"/>
        <v/>
      </c>
      <c r="L181" s="35" t="str">
        <f t="shared" si="46"/>
        <v/>
      </c>
      <c r="M181" s="35" t="str">
        <f t="shared" si="47"/>
        <v/>
      </c>
      <c r="N181" s="36" t="str">
        <f t="shared" si="48"/>
        <v/>
      </c>
      <c r="O181" s="35" t="str">
        <f t="shared" si="49"/>
        <v/>
      </c>
      <c r="P181" s="35" t="str">
        <f t="shared" si="50"/>
        <v/>
      </c>
      <c r="Q181" s="35" t="str">
        <f t="shared" si="51"/>
        <v/>
      </c>
      <c r="R181" s="35" t="str">
        <f t="shared" si="52"/>
        <v/>
      </c>
      <c r="S181" s="33" t="str">
        <f t="shared" si="53"/>
        <v/>
      </c>
    </row>
    <row r="182" spans="1:19" x14ac:dyDescent="0.3">
      <c r="A182" s="33">
        <f>178</f>
        <v>178</v>
      </c>
      <c r="B182" s="34" t="str">
        <f t="shared" si="36"/>
        <v/>
      </c>
      <c r="C182" s="33" t="str">
        <f t="shared" si="37"/>
        <v/>
      </c>
      <c r="D182" s="33" t="str">
        <f t="shared" si="38"/>
        <v/>
      </c>
      <c r="E182" s="35" t="str">
        <f t="shared" si="39"/>
        <v/>
      </c>
      <c r="F182" s="35" t="str">
        <f t="shared" si="40"/>
        <v/>
      </c>
      <c r="G182" s="33" t="str">
        <f t="shared" si="41"/>
        <v/>
      </c>
      <c r="H182" s="35" t="str">
        <f t="shared" si="42"/>
        <v/>
      </c>
      <c r="I182" s="35" t="str">
        <f t="shared" si="43"/>
        <v/>
      </c>
      <c r="J182" s="35" t="str">
        <f t="shared" si="44"/>
        <v/>
      </c>
      <c r="K182" s="35" t="str">
        <f t="shared" si="45"/>
        <v/>
      </c>
      <c r="L182" s="35" t="str">
        <f t="shared" si="46"/>
        <v/>
      </c>
      <c r="M182" s="35" t="str">
        <f t="shared" si="47"/>
        <v/>
      </c>
      <c r="N182" s="36" t="str">
        <f t="shared" si="48"/>
        <v/>
      </c>
      <c r="O182" s="35" t="str">
        <f t="shared" si="49"/>
        <v/>
      </c>
      <c r="P182" s="35" t="str">
        <f t="shared" si="50"/>
        <v/>
      </c>
      <c r="Q182" s="35" t="str">
        <f t="shared" si="51"/>
        <v/>
      </c>
      <c r="R182" s="35" t="str">
        <f t="shared" si="52"/>
        <v/>
      </c>
      <c r="S182" s="33" t="str">
        <f t="shared" si="53"/>
        <v/>
      </c>
    </row>
    <row r="183" spans="1:19" x14ac:dyDescent="0.3">
      <c r="A183" s="33">
        <f>179</f>
        <v>179</v>
      </c>
      <c r="B183" s="34" t="str">
        <f t="shared" si="36"/>
        <v/>
      </c>
      <c r="C183" s="33" t="str">
        <f t="shared" si="37"/>
        <v/>
      </c>
      <c r="D183" s="33" t="str">
        <f t="shared" si="38"/>
        <v/>
      </c>
      <c r="E183" s="35" t="str">
        <f t="shared" si="39"/>
        <v/>
      </c>
      <c r="F183" s="35" t="str">
        <f t="shared" si="40"/>
        <v/>
      </c>
      <c r="G183" s="33" t="str">
        <f t="shared" si="41"/>
        <v/>
      </c>
      <c r="H183" s="35" t="str">
        <f t="shared" si="42"/>
        <v/>
      </c>
      <c r="I183" s="35" t="str">
        <f t="shared" si="43"/>
        <v/>
      </c>
      <c r="J183" s="35" t="str">
        <f t="shared" si="44"/>
        <v/>
      </c>
      <c r="K183" s="35" t="str">
        <f t="shared" si="45"/>
        <v/>
      </c>
      <c r="L183" s="35" t="str">
        <f t="shared" si="46"/>
        <v/>
      </c>
      <c r="M183" s="35" t="str">
        <f t="shared" si="47"/>
        <v/>
      </c>
      <c r="N183" s="36" t="str">
        <f t="shared" si="48"/>
        <v/>
      </c>
      <c r="O183" s="35" t="str">
        <f t="shared" si="49"/>
        <v/>
      </c>
      <c r="P183" s="35" t="str">
        <f t="shared" si="50"/>
        <v/>
      </c>
      <c r="Q183" s="35" t="str">
        <f t="shared" si="51"/>
        <v/>
      </c>
      <c r="R183" s="35" t="str">
        <f t="shared" si="52"/>
        <v/>
      </c>
      <c r="S183" s="33" t="str">
        <f t="shared" si="53"/>
        <v/>
      </c>
    </row>
    <row r="184" spans="1:19" x14ac:dyDescent="0.3">
      <c r="A184" s="37">
        <f>180</f>
        <v>180</v>
      </c>
      <c r="B184" s="38" t="str">
        <f t="shared" si="36"/>
        <v/>
      </c>
      <c r="C184" s="37" t="str">
        <f t="shared" si="37"/>
        <v/>
      </c>
      <c r="D184" s="37" t="str">
        <f t="shared" si="38"/>
        <v/>
      </c>
      <c r="E184" s="39" t="str">
        <f t="shared" si="39"/>
        <v/>
      </c>
      <c r="F184" s="39" t="str">
        <f t="shared" si="40"/>
        <v/>
      </c>
      <c r="G184" s="37" t="str">
        <f t="shared" si="41"/>
        <v/>
      </c>
      <c r="H184" s="39" t="str">
        <f t="shared" si="42"/>
        <v/>
      </c>
      <c r="I184" s="39" t="str">
        <f t="shared" si="43"/>
        <v/>
      </c>
      <c r="J184" s="39" t="str">
        <f t="shared" si="44"/>
        <v/>
      </c>
      <c r="K184" s="39" t="str">
        <f t="shared" si="45"/>
        <v/>
      </c>
      <c r="L184" s="39" t="str">
        <f t="shared" si="46"/>
        <v/>
      </c>
      <c r="M184" s="39" t="str">
        <f t="shared" si="47"/>
        <v/>
      </c>
      <c r="N184" s="40" t="str">
        <f t="shared" si="48"/>
        <v/>
      </c>
      <c r="O184" s="39" t="str">
        <f t="shared" si="49"/>
        <v/>
      </c>
      <c r="P184" s="39" t="str">
        <f t="shared" si="50"/>
        <v/>
      </c>
      <c r="Q184" s="39" t="str">
        <f t="shared" si="51"/>
        <v/>
      </c>
      <c r="R184" s="39" t="str">
        <f t="shared" si="52"/>
        <v/>
      </c>
      <c r="S184" s="37" t="str">
        <f t="shared" si="53"/>
        <v/>
      </c>
    </row>
    <row r="185" spans="1:19" x14ac:dyDescent="0.3">
      <c r="A185" s="33">
        <f>181</f>
        <v>181</v>
      </c>
      <c r="B185" s="34" t="str">
        <f t="shared" si="36"/>
        <v/>
      </c>
      <c r="C185" s="33" t="str">
        <f t="shared" si="37"/>
        <v/>
      </c>
      <c r="D185" s="33" t="str">
        <f t="shared" si="38"/>
        <v/>
      </c>
      <c r="E185" s="35" t="str">
        <f t="shared" si="39"/>
        <v/>
      </c>
      <c r="F185" s="35" t="str">
        <f t="shared" si="40"/>
        <v/>
      </c>
      <c r="G185" s="33" t="str">
        <f t="shared" si="41"/>
        <v/>
      </c>
      <c r="H185" s="35" t="str">
        <f t="shared" si="42"/>
        <v/>
      </c>
      <c r="I185" s="35" t="str">
        <f t="shared" si="43"/>
        <v/>
      </c>
      <c r="J185" s="35" t="str">
        <f t="shared" si="44"/>
        <v/>
      </c>
      <c r="K185" s="35" t="str">
        <f t="shared" si="45"/>
        <v/>
      </c>
      <c r="L185" s="35" t="str">
        <f t="shared" si="46"/>
        <v/>
      </c>
      <c r="M185" s="35" t="str">
        <f t="shared" si="47"/>
        <v/>
      </c>
      <c r="N185" s="36" t="str">
        <f t="shared" si="48"/>
        <v/>
      </c>
      <c r="O185" s="35" t="str">
        <f t="shared" si="49"/>
        <v/>
      </c>
      <c r="P185" s="35" t="str">
        <f t="shared" si="50"/>
        <v/>
      </c>
      <c r="Q185" s="35" t="str">
        <f t="shared" si="51"/>
        <v/>
      </c>
      <c r="R185" s="35" t="str">
        <f t="shared" si="52"/>
        <v/>
      </c>
      <c r="S185" s="33" t="str">
        <f t="shared" si="53"/>
        <v/>
      </c>
    </row>
    <row r="186" spans="1:19" x14ac:dyDescent="0.3">
      <c r="A186" s="33">
        <f>182</f>
        <v>182</v>
      </c>
      <c r="B186" s="34" t="str">
        <f t="shared" si="36"/>
        <v/>
      </c>
      <c r="C186" s="33" t="str">
        <f t="shared" si="37"/>
        <v/>
      </c>
      <c r="D186" s="33" t="str">
        <f t="shared" si="38"/>
        <v/>
      </c>
      <c r="E186" s="35" t="str">
        <f t="shared" si="39"/>
        <v/>
      </c>
      <c r="F186" s="35" t="str">
        <f t="shared" si="40"/>
        <v/>
      </c>
      <c r="G186" s="33" t="str">
        <f t="shared" si="41"/>
        <v/>
      </c>
      <c r="H186" s="35" t="str">
        <f t="shared" si="42"/>
        <v/>
      </c>
      <c r="I186" s="35" t="str">
        <f t="shared" si="43"/>
        <v/>
      </c>
      <c r="J186" s="35" t="str">
        <f t="shared" si="44"/>
        <v/>
      </c>
      <c r="K186" s="35" t="str">
        <f t="shared" si="45"/>
        <v/>
      </c>
      <c r="L186" s="35" t="str">
        <f t="shared" si="46"/>
        <v/>
      </c>
      <c r="M186" s="35" t="str">
        <f t="shared" si="47"/>
        <v/>
      </c>
      <c r="N186" s="36" t="str">
        <f t="shared" si="48"/>
        <v/>
      </c>
      <c r="O186" s="35" t="str">
        <f t="shared" si="49"/>
        <v/>
      </c>
      <c r="P186" s="35" t="str">
        <f t="shared" si="50"/>
        <v/>
      </c>
      <c r="Q186" s="35" t="str">
        <f t="shared" si="51"/>
        <v/>
      </c>
      <c r="R186" s="35" t="str">
        <f t="shared" si="52"/>
        <v/>
      </c>
      <c r="S186" s="33" t="str">
        <f t="shared" si="53"/>
        <v/>
      </c>
    </row>
    <row r="187" spans="1:19" x14ac:dyDescent="0.3">
      <c r="A187" s="33">
        <f>183</f>
        <v>183</v>
      </c>
      <c r="B187" s="34" t="str">
        <f t="shared" si="36"/>
        <v/>
      </c>
      <c r="C187" s="33" t="str">
        <f t="shared" si="37"/>
        <v/>
      </c>
      <c r="D187" s="33" t="str">
        <f t="shared" si="38"/>
        <v/>
      </c>
      <c r="E187" s="35" t="str">
        <f t="shared" si="39"/>
        <v/>
      </c>
      <c r="F187" s="35" t="str">
        <f t="shared" si="40"/>
        <v/>
      </c>
      <c r="G187" s="33" t="str">
        <f t="shared" si="41"/>
        <v/>
      </c>
      <c r="H187" s="35" t="str">
        <f t="shared" si="42"/>
        <v/>
      </c>
      <c r="I187" s="35" t="str">
        <f t="shared" si="43"/>
        <v/>
      </c>
      <c r="J187" s="35" t="str">
        <f t="shared" si="44"/>
        <v/>
      </c>
      <c r="K187" s="35" t="str">
        <f t="shared" si="45"/>
        <v/>
      </c>
      <c r="L187" s="35" t="str">
        <f t="shared" si="46"/>
        <v/>
      </c>
      <c r="M187" s="35" t="str">
        <f t="shared" si="47"/>
        <v/>
      </c>
      <c r="N187" s="36" t="str">
        <f t="shared" si="48"/>
        <v/>
      </c>
      <c r="O187" s="35" t="str">
        <f t="shared" si="49"/>
        <v/>
      </c>
      <c r="P187" s="35" t="str">
        <f t="shared" si="50"/>
        <v/>
      </c>
      <c r="Q187" s="35" t="str">
        <f t="shared" si="51"/>
        <v/>
      </c>
      <c r="R187" s="35" t="str">
        <f t="shared" si="52"/>
        <v/>
      </c>
      <c r="S187" s="33" t="str">
        <f t="shared" si="53"/>
        <v/>
      </c>
    </row>
    <row r="188" spans="1:19" x14ac:dyDescent="0.3">
      <c r="A188" s="33">
        <f>184</f>
        <v>184</v>
      </c>
      <c r="B188" s="34" t="str">
        <f t="shared" si="36"/>
        <v/>
      </c>
      <c r="C188" s="33" t="str">
        <f t="shared" si="37"/>
        <v/>
      </c>
      <c r="D188" s="33" t="str">
        <f t="shared" si="38"/>
        <v/>
      </c>
      <c r="E188" s="35" t="str">
        <f t="shared" si="39"/>
        <v/>
      </c>
      <c r="F188" s="35" t="str">
        <f t="shared" si="40"/>
        <v/>
      </c>
      <c r="G188" s="33" t="str">
        <f t="shared" si="41"/>
        <v/>
      </c>
      <c r="H188" s="35" t="str">
        <f t="shared" si="42"/>
        <v/>
      </c>
      <c r="I188" s="35" t="str">
        <f t="shared" si="43"/>
        <v/>
      </c>
      <c r="J188" s="35" t="str">
        <f t="shared" si="44"/>
        <v/>
      </c>
      <c r="K188" s="35" t="str">
        <f t="shared" si="45"/>
        <v/>
      </c>
      <c r="L188" s="35" t="str">
        <f t="shared" si="46"/>
        <v/>
      </c>
      <c r="M188" s="35" t="str">
        <f t="shared" si="47"/>
        <v/>
      </c>
      <c r="N188" s="36" t="str">
        <f t="shared" si="48"/>
        <v/>
      </c>
      <c r="O188" s="35" t="str">
        <f t="shared" si="49"/>
        <v/>
      </c>
      <c r="P188" s="35" t="str">
        <f t="shared" si="50"/>
        <v/>
      </c>
      <c r="Q188" s="35" t="str">
        <f t="shared" si="51"/>
        <v/>
      </c>
      <c r="R188" s="35" t="str">
        <f t="shared" si="52"/>
        <v/>
      </c>
      <c r="S188" s="33" t="str">
        <f t="shared" si="53"/>
        <v/>
      </c>
    </row>
    <row r="189" spans="1:19" x14ac:dyDescent="0.3">
      <c r="A189" s="33">
        <f>185</f>
        <v>185</v>
      </c>
      <c r="B189" s="34" t="str">
        <f t="shared" si="36"/>
        <v/>
      </c>
      <c r="C189" s="33" t="str">
        <f t="shared" si="37"/>
        <v/>
      </c>
      <c r="D189" s="33" t="str">
        <f t="shared" si="38"/>
        <v/>
      </c>
      <c r="E189" s="35" t="str">
        <f t="shared" si="39"/>
        <v/>
      </c>
      <c r="F189" s="35" t="str">
        <f t="shared" si="40"/>
        <v/>
      </c>
      <c r="G189" s="33" t="str">
        <f t="shared" si="41"/>
        <v/>
      </c>
      <c r="H189" s="35" t="str">
        <f t="shared" si="42"/>
        <v/>
      </c>
      <c r="I189" s="35" t="str">
        <f t="shared" si="43"/>
        <v/>
      </c>
      <c r="J189" s="35" t="str">
        <f t="shared" si="44"/>
        <v/>
      </c>
      <c r="K189" s="35" t="str">
        <f t="shared" si="45"/>
        <v/>
      </c>
      <c r="L189" s="35" t="str">
        <f t="shared" si="46"/>
        <v/>
      </c>
      <c r="M189" s="35" t="str">
        <f t="shared" si="47"/>
        <v/>
      </c>
      <c r="N189" s="36" t="str">
        <f t="shared" si="48"/>
        <v/>
      </c>
      <c r="O189" s="35" t="str">
        <f t="shared" si="49"/>
        <v/>
      </c>
      <c r="P189" s="35" t="str">
        <f t="shared" si="50"/>
        <v/>
      </c>
      <c r="Q189" s="35" t="str">
        <f t="shared" si="51"/>
        <v/>
      </c>
      <c r="R189" s="35" t="str">
        <f t="shared" si="52"/>
        <v/>
      </c>
      <c r="S189" s="33" t="str">
        <f t="shared" si="53"/>
        <v/>
      </c>
    </row>
    <row r="190" spans="1:19" x14ac:dyDescent="0.3">
      <c r="A190" s="33">
        <f>186</f>
        <v>186</v>
      </c>
      <c r="B190" s="34" t="str">
        <f t="shared" si="36"/>
        <v/>
      </c>
      <c r="C190" s="33" t="str">
        <f t="shared" si="37"/>
        <v/>
      </c>
      <c r="D190" s="33" t="str">
        <f t="shared" si="38"/>
        <v/>
      </c>
      <c r="E190" s="35" t="str">
        <f t="shared" si="39"/>
        <v/>
      </c>
      <c r="F190" s="35" t="str">
        <f t="shared" si="40"/>
        <v/>
      </c>
      <c r="G190" s="33" t="str">
        <f t="shared" si="41"/>
        <v/>
      </c>
      <c r="H190" s="35" t="str">
        <f t="shared" si="42"/>
        <v/>
      </c>
      <c r="I190" s="35" t="str">
        <f t="shared" si="43"/>
        <v/>
      </c>
      <c r="J190" s="35" t="str">
        <f t="shared" si="44"/>
        <v/>
      </c>
      <c r="K190" s="35" t="str">
        <f t="shared" si="45"/>
        <v/>
      </c>
      <c r="L190" s="35" t="str">
        <f t="shared" si="46"/>
        <v/>
      </c>
      <c r="M190" s="35" t="str">
        <f t="shared" si="47"/>
        <v/>
      </c>
      <c r="N190" s="36" t="str">
        <f t="shared" si="48"/>
        <v/>
      </c>
      <c r="O190" s="35" t="str">
        <f t="shared" si="49"/>
        <v/>
      </c>
      <c r="P190" s="35" t="str">
        <f t="shared" si="50"/>
        <v/>
      </c>
      <c r="Q190" s="35" t="str">
        <f t="shared" si="51"/>
        <v/>
      </c>
      <c r="R190" s="35" t="str">
        <f t="shared" si="52"/>
        <v/>
      </c>
      <c r="S190" s="33" t="str">
        <f t="shared" si="53"/>
        <v/>
      </c>
    </row>
    <row r="191" spans="1:19" x14ac:dyDescent="0.3">
      <c r="A191" s="33">
        <f>187</f>
        <v>187</v>
      </c>
      <c r="B191" s="34" t="str">
        <f t="shared" si="36"/>
        <v/>
      </c>
      <c r="C191" s="33" t="str">
        <f t="shared" si="37"/>
        <v/>
      </c>
      <c r="D191" s="33" t="str">
        <f t="shared" si="38"/>
        <v/>
      </c>
      <c r="E191" s="35" t="str">
        <f t="shared" si="39"/>
        <v/>
      </c>
      <c r="F191" s="35" t="str">
        <f t="shared" si="40"/>
        <v/>
      </c>
      <c r="G191" s="33" t="str">
        <f t="shared" si="41"/>
        <v/>
      </c>
      <c r="H191" s="35" t="str">
        <f t="shared" si="42"/>
        <v/>
      </c>
      <c r="I191" s="35" t="str">
        <f t="shared" si="43"/>
        <v/>
      </c>
      <c r="J191" s="35" t="str">
        <f t="shared" si="44"/>
        <v/>
      </c>
      <c r="K191" s="35" t="str">
        <f t="shared" si="45"/>
        <v/>
      </c>
      <c r="L191" s="35" t="str">
        <f t="shared" si="46"/>
        <v/>
      </c>
      <c r="M191" s="35" t="str">
        <f t="shared" si="47"/>
        <v/>
      </c>
      <c r="N191" s="36" t="str">
        <f t="shared" si="48"/>
        <v/>
      </c>
      <c r="O191" s="35" t="str">
        <f t="shared" si="49"/>
        <v/>
      </c>
      <c r="P191" s="35" t="str">
        <f t="shared" si="50"/>
        <v/>
      </c>
      <c r="Q191" s="35" t="str">
        <f t="shared" si="51"/>
        <v/>
      </c>
      <c r="R191" s="35" t="str">
        <f t="shared" si="52"/>
        <v/>
      </c>
      <c r="S191" s="33" t="str">
        <f t="shared" si="53"/>
        <v/>
      </c>
    </row>
    <row r="192" spans="1:19" x14ac:dyDescent="0.3">
      <c r="A192" s="33">
        <f>188</f>
        <v>188</v>
      </c>
      <c r="B192" s="34" t="str">
        <f t="shared" si="36"/>
        <v/>
      </c>
      <c r="C192" s="33" t="str">
        <f t="shared" si="37"/>
        <v/>
      </c>
      <c r="D192" s="33" t="str">
        <f t="shared" si="38"/>
        <v/>
      </c>
      <c r="E192" s="35" t="str">
        <f t="shared" si="39"/>
        <v/>
      </c>
      <c r="F192" s="35" t="str">
        <f t="shared" si="40"/>
        <v/>
      </c>
      <c r="G192" s="33" t="str">
        <f t="shared" si="41"/>
        <v/>
      </c>
      <c r="H192" s="35" t="str">
        <f t="shared" si="42"/>
        <v/>
      </c>
      <c r="I192" s="35" t="str">
        <f t="shared" si="43"/>
        <v/>
      </c>
      <c r="J192" s="35" t="str">
        <f t="shared" si="44"/>
        <v/>
      </c>
      <c r="K192" s="35" t="str">
        <f t="shared" si="45"/>
        <v/>
      </c>
      <c r="L192" s="35" t="str">
        <f t="shared" si="46"/>
        <v/>
      </c>
      <c r="M192" s="35" t="str">
        <f t="shared" si="47"/>
        <v/>
      </c>
      <c r="N192" s="36" t="str">
        <f t="shared" si="48"/>
        <v/>
      </c>
      <c r="O192" s="35" t="str">
        <f t="shared" si="49"/>
        <v/>
      </c>
      <c r="P192" s="35" t="str">
        <f t="shared" si="50"/>
        <v/>
      </c>
      <c r="Q192" s="35" t="str">
        <f t="shared" si="51"/>
        <v/>
      </c>
      <c r="R192" s="35" t="str">
        <f t="shared" si="52"/>
        <v/>
      </c>
      <c r="S192" s="33" t="str">
        <f t="shared" si="53"/>
        <v/>
      </c>
    </row>
    <row r="193" spans="1:19" x14ac:dyDescent="0.3">
      <c r="A193" s="33">
        <f>189</f>
        <v>189</v>
      </c>
      <c r="B193" s="34" t="str">
        <f t="shared" si="36"/>
        <v/>
      </c>
      <c r="C193" s="33" t="str">
        <f t="shared" si="37"/>
        <v/>
      </c>
      <c r="D193" s="33" t="str">
        <f t="shared" si="38"/>
        <v/>
      </c>
      <c r="E193" s="35" t="str">
        <f t="shared" si="39"/>
        <v/>
      </c>
      <c r="F193" s="35" t="str">
        <f t="shared" si="40"/>
        <v/>
      </c>
      <c r="G193" s="33" t="str">
        <f t="shared" si="41"/>
        <v/>
      </c>
      <c r="H193" s="35" t="str">
        <f t="shared" si="42"/>
        <v/>
      </c>
      <c r="I193" s="35" t="str">
        <f t="shared" si="43"/>
        <v/>
      </c>
      <c r="J193" s="35" t="str">
        <f t="shared" si="44"/>
        <v/>
      </c>
      <c r="K193" s="35" t="str">
        <f t="shared" si="45"/>
        <v/>
      </c>
      <c r="L193" s="35" t="str">
        <f t="shared" si="46"/>
        <v/>
      </c>
      <c r="M193" s="35" t="str">
        <f t="shared" si="47"/>
        <v/>
      </c>
      <c r="N193" s="36" t="str">
        <f t="shared" si="48"/>
        <v/>
      </c>
      <c r="O193" s="35" t="str">
        <f t="shared" si="49"/>
        <v/>
      </c>
      <c r="P193" s="35" t="str">
        <f t="shared" si="50"/>
        <v/>
      </c>
      <c r="Q193" s="35" t="str">
        <f t="shared" si="51"/>
        <v/>
      </c>
      <c r="R193" s="35" t="str">
        <f t="shared" si="52"/>
        <v/>
      </c>
      <c r="S193" s="33" t="str">
        <f t="shared" si="53"/>
        <v/>
      </c>
    </row>
    <row r="194" spans="1:19" x14ac:dyDescent="0.3">
      <c r="A194" s="33">
        <f>190</f>
        <v>190</v>
      </c>
      <c r="B194" s="34" t="str">
        <f t="shared" si="36"/>
        <v/>
      </c>
      <c r="C194" s="33" t="str">
        <f t="shared" si="37"/>
        <v/>
      </c>
      <c r="D194" s="33" t="str">
        <f t="shared" si="38"/>
        <v/>
      </c>
      <c r="E194" s="35" t="str">
        <f t="shared" si="39"/>
        <v/>
      </c>
      <c r="F194" s="35" t="str">
        <f t="shared" si="40"/>
        <v/>
      </c>
      <c r="G194" s="33" t="str">
        <f t="shared" si="41"/>
        <v/>
      </c>
      <c r="H194" s="35" t="str">
        <f t="shared" si="42"/>
        <v/>
      </c>
      <c r="I194" s="35" t="str">
        <f t="shared" si="43"/>
        <v/>
      </c>
      <c r="J194" s="35" t="str">
        <f t="shared" si="44"/>
        <v/>
      </c>
      <c r="K194" s="35" t="str">
        <f t="shared" si="45"/>
        <v/>
      </c>
      <c r="L194" s="35" t="str">
        <f t="shared" si="46"/>
        <v/>
      </c>
      <c r="M194" s="35" t="str">
        <f t="shared" si="47"/>
        <v/>
      </c>
      <c r="N194" s="36" t="str">
        <f t="shared" si="48"/>
        <v/>
      </c>
      <c r="O194" s="35" t="str">
        <f t="shared" si="49"/>
        <v/>
      </c>
      <c r="P194" s="35" t="str">
        <f t="shared" si="50"/>
        <v/>
      </c>
      <c r="Q194" s="35" t="str">
        <f t="shared" si="51"/>
        <v/>
      </c>
      <c r="R194" s="35" t="str">
        <f t="shared" si="52"/>
        <v/>
      </c>
      <c r="S194" s="33" t="str">
        <f t="shared" si="53"/>
        <v/>
      </c>
    </row>
    <row r="195" spans="1:19" x14ac:dyDescent="0.3">
      <c r="A195" s="33">
        <f>191</f>
        <v>191</v>
      </c>
      <c r="B195" s="34" t="str">
        <f t="shared" si="36"/>
        <v/>
      </c>
      <c r="C195" s="33" t="str">
        <f t="shared" si="37"/>
        <v/>
      </c>
      <c r="D195" s="33" t="str">
        <f t="shared" si="38"/>
        <v/>
      </c>
      <c r="E195" s="35" t="str">
        <f t="shared" si="39"/>
        <v/>
      </c>
      <c r="F195" s="35" t="str">
        <f t="shared" si="40"/>
        <v/>
      </c>
      <c r="G195" s="33" t="str">
        <f t="shared" si="41"/>
        <v/>
      </c>
      <c r="H195" s="35" t="str">
        <f t="shared" si="42"/>
        <v/>
      </c>
      <c r="I195" s="35" t="str">
        <f t="shared" si="43"/>
        <v/>
      </c>
      <c r="J195" s="35" t="str">
        <f t="shared" si="44"/>
        <v/>
      </c>
      <c r="K195" s="35" t="str">
        <f t="shared" si="45"/>
        <v/>
      </c>
      <c r="L195" s="35" t="str">
        <f t="shared" si="46"/>
        <v/>
      </c>
      <c r="M195" s="35" t="str">
        <f t="shared" si="47"/>
        <v/>
      </c>
      <c r="N195" s="36" t="str">
        <f t="shared" si="48"/>
        <v/>
      </c>
      <c r="O195" s="35" t="str">
        <f t="shared" si="49"/>
        <v/>
      </c>
      <c r="P195" s="35" t="str">
        <f t="shared" si="50"/>
        <v/>
      </c>
      <c r="Q195" s="35" t="str">
        <f t="shared" si="51"/>
        <v/>
      </c>
      <c r="R195" s="35" t="str">
        <f t="shared" si="52"/>
        <v/>
      </c>
      <c r="S195" s="33" t="str">
        <f t="shared" si="53"/>
        <v/>
      </c>
    </row>
    <row r="196" spans="1:19" x14ac:dyDescent="0.3">
      <c r="A196" s="37">
        <f>192</f>
        <v>192</v>
      </c>
      <c r="B196" s="38" t="str">
        <f t="shared" si="36"/>
        <v/>
      </c>
      <c r="C196" s="37" t="str">
        <f t="shared" si="37"/>
        <v/>
      </c>
      <c r="D196" s="37" t="str">
        <f t="shared" si="38"/>
        <v/>
      </c>
      <c r="E196" s="39" t="str">
        <f t="shared" si="39"/>
        <v/>
      </c>
      <c r="F196" s="39" t="str">
        <f t="shared" si="40"/>
        <v/>
      </c>
      <c r="G196" s="37" t="str">
        <f t="shared" si="41"/>
        <v/>
      </c>
      <c r="H196" s="39" t="str">
        <f t="shared" si="42"/>
        <v/>
      </c>
      <c r="I196" s="39" t="str">
        <f t="shared" si="43"/>
        <v/>
      </c>
      <c r="J196" s="39" t="str">
        <f t="shared" si="44"/>
        <v/>
      </c>
      <c r="K196" s="39" t="str">
        <f t="shared" si="45"/>
        <v/>
      </c>
      <c r="L196" s="39" t="str">
        <f t="shared" si="46"/>
        <v/>
      </c>
      <c r="M196" s="39" t="str">
        <f t="shared" si="47"/>
        <v/>
      </c>
      <c r="N196" s="40" t="str">
        <f t="shared" si="48"/>
        <v/>
      </c>
      <c r="O196" s="39" t="str">
        <f t="shared" si="49"/>
        <v/>
      </c>
      <c r="P196" s="39" t="str">
        <f t="shared" si="50"/>
        <v/>
      </c>
      <c r="Q196" s="39" t="str">
        <f t="shared" si="51"/>
        <v/>
      </c>
      <c r="R196" s="39" t="str">
        <f t="shared" si="52"/>
        <v/>
      </c>
      <c r="S196" s="37" t="str">
        <f t="shared" si="53"/>
        <v/>
      </c>
    </row>
    <row r="197" spans="1:19" x14ac:dyDescent="0.3">
      <c r="A197" s="33">
        <f>193</f>
        <v>193</v>
      </c>
      <c r="B197" s="34" t="str">
        <f t="shared" ref="B197:B260" si="54">IF($A197&gt;NYears*12,"",EDATE(StartMonth,$A197-1))</f>
        <v/>
      </c>
      <c r="C197" s="33" t="str">
        <f t="shared" ref="C197:C260" si="55">IF($A197&gt;NYears*12,"",INT(($A197-1)/12)+1)</f>
        <v/>
      </c>
      <c r="D197" s="33" t="str">
        <f t="shared" ref="D197:D260" si="56">IF($A197&gt;NYears*12,"",MOD($A197-1,12)+1)</f>
        <v/>
      </c>
      <c r="E197" s="35" t="str">
        <f t="shared" ref="E197:E260" si="57">IF($A197&gt;NYears*12,"",LotValue0*(1+LotGrowth)^($C197-1))</f>
        <v/>
      </c>
      <c r="F197" s="35" t="str">
        <f t="shared" ref="F197:F260" si="58">IF($A197&gt;NYears*12,"",IF($A197=1,InitInvest,$R196))</f>
        <v/>
      </c>
      <c r="G197" s="33" t="str">
        <f t="shared" ref="G197:G260" si="59">IF($A197&gt;NYears*12,"",INT($F197/$E197))</f>
        <v/>
      </c>
      <c r="H197" s="35" t="str">
        <f t="shared" ref="H197:H260" si="60">IF($A197&gt;NYears*12,"",$G197*$E197)</f>
        <v/>
      </c>
      <c r="I197" s="35" t="str">
        <f t="shared" ref="I197:I260" si="61">IF($A197&gt;NYears*12,"",$F197-$H197)</f>
        <v/>
      </c>
      <c r="J197" s="35" t="str">
        <f t="shared" ref="J197:J260" si="62">IF($A197&gt;NYears*12,"",$H197*RateD)</f>
        <v/>
      </c>
      <c r="K197" s="35" t="str">
        <f t="shared" ref="K197:K260" si="63">IF($A197&gt;NYears*12,"",IF($D197=1,$J197,$K196+$J197))</f>
        <v/>
      </c>
      <c r="L197" s="35" t="str">
        <f t="shared" ref="L197:L260" si="64">IF($A197&gt;NYears*12,"",IF(MOD($D197,3)=0,SUM($J195:$J197),0))</f>
        <v/>
      </c>
      <c r="M197" s="35" t="str">
        <f t="shared" ref="M197:M260" si="65">IF($A197&gt;NYears*12,"",IF(TaxFreq="Quarterly",$K197*12/$D197,$K197))</f>
        <v/>
      </c>
      <c r="N197" s="36" t="str">
        <f t="shared" ref="N197:N260" si="66">IF($A197&gt;NYears*12,"",LOOKUP($M197,TaxLower,TaxRate))</f>
        <v/>
      </c>
      <c r="O197" s="35" t="str">
        <f t="shared" ref="O197:O260" si="67">IF($A197&gt;NYears*12,"",IF(TaxFreq="Quarterly",IF(MOD($D197,3)=0,$L197*$N197,0),IF($D197=12,$K197*$N197,0)))</f>
        <v/>
      </c>
      <c r="P197" s="35" t="str">
        <f t="shared" ref="P197:P260" si="68">IF($A197&gt;NYears*12,"",IF($D197=1,$O197,$P196+$O197))</f>
        <v/>
      </c>
      <c r="Q197" s="35" t="str">
        <f t="shared" ref="Q197:Q260" si="69">IF($A197&gt;NYears*12,"",IF($D197=12,MIN(WdrPct*IF(WdrBase="Post-tax profit",$K197-$P197,$K197),WdrCap),0))</f>
        <v/>
      </c>
      <c r="R197" s="35" t="str">
        <f t="shared" ref="R197:R260" si="70">IF($A197&gt;NYears*12,"",$F197+$J197-$O197-$Q197)</f>
        <v/>
      </c>
      <c r="S197" s="33" t="str">
        <f t="shared" ref="S197:S260" si="71">IF($A197&gt;NYears*12,"",INT($R197/$E197))</f>
        <v/>
      </c>
    </row>
    <row r="198" spans="1:19" x14ac:dyDescent="0.3">
      <c r="A198" s="33">
        <f>194</f>
        <v>194</v>
      </c>
      <c r="B198" s="34" t="str">
        <f t="shared" si="54"/>
        <v/>
      </c>
      <c r="C198" s="33" t="str">
        <f t="shared" si="55"/>
        <v/>
      </c>
      <c r="D198" s="33" t="str">
        <f t="shared" si="56"/>
        <v/>
      </c>
      <c r="E198" s="35" t="str">
        <f t="shared" si="57"/>
        <v/>
      </c>
      <c r="F198" s="35" t="str">
        <f t="shared" si="58"/>
        <v/>
      </c>
      <c r="G198" s="33" t="str">
        <f t="shared" si="59"/>
        <v/>
      </c>
      <c r="H198" s="35" t="str">
        <f t="shared" si="60"/>
        <v/>
      </c>
      <c r="I198" s="35" t="str">
        <f t="shared" si="61"/>
        <v/>
      </c>
      <c r="J198" s="35" t="str">
        <f t="shared" si="62"/>
        <v/>
      </c>
      <c r="K198" s="35" t="str">
        <f t="shared" si="63"/>
        <v/>
      </c>
      <c r="L198" s="35" t="str">
        <f t="shared" si="64"/>
        <v/>
      </c>
      <c r="M198" s="35" t="str">
        <f t="shared" si="65"/>
        <v/>
      </c>
      <c r="N198" s="36" t="str">
        <f t="shared" si="66"/>
        <v/>
      </c>
      <c r="O198" s="35" t="str">
        <f t="shared" si="67"/>
        <v/>
      </c>
      <c r="P198" s="35" t="str">
        <f t="shared" si="68"/>
        <v/>
      </c>
      <c r="Q198" s="35" t="str">
        <f t="shared" si="69"/>
        <v/>
      </c>
      <c r="R198" s="35" t="str">
        <f t="shared" si="70"/>
        <v/>
      </c>
      <c r="S198" s="33" t="str">
        <f t="shared" si="71"/>
        <v/>
      </c>
    </row>
    <row r="199" spans="1:19" x14ac:dyDescent="0.3">
      <c r="A199" s="33">
        <f>195</f>
        <v>195</v>
      </c>
      <c r="B199" s="34" t="str">
        <f t="shared" si="54"/>
        <v/>
      </c>
      <c r="C199" s="33" t="str">
        <f t="shared" si="55"/>
        <v/>
      </c>
      <c r="D199" s="33" t="str">
        <f t="shared" si="56"/>
        <v/>
      </c>
      <c r="E199" s="35" t="str">
        <f t="shared" si="57"/>
        <v/>
      </c>
      <c r="F199" s="35" t="str">
        <f t="shared" si="58"/>
        <v/>
      </c>
      <c r="G199" s="33" t="str">
        <f t="shared" si="59"/>
        <v/>
      </c>
      <c r="H199" s="35" t="str">
        <f t="shared" si="60"/>
        <v/>
      </c>
      <c r="I199" s="35" t="str">
        <f t="shared" si="61"/>
        <v/>
      </c>
      <c r="J199" s="35" t="str">
        <f t="shared" si="62"/>
        <v/>
      </c>
      <c r="K199" s="35" t="str">
        <f t="shared" si="63"/>
        <v/>
      </c>
      <c r="L199" s="35" t="str">
        <f t="shared" si="64"/>
        <v/>
      </c>
      <c r="M199" s="35" t="str">
        <f t="shared" si="65"/>
        <v/>
      </c>
      <c r="N199" s="36" t="str">
        <f t="shared" si="66"/>
        <v/>
      </c>
      <c r="O199" s="35" t="str">
        <f t="shared" si="67"/>
        <v/>
      </c>
      <c r="P199" s="35" t="str">
        <f t="shared" si="68"/>
        <v/>
      </c>
      <c r="Q199" s="35" t="str">
        <f t="shared" si="69"/>
        <v/>
      </c>
      <c r="R199" s="35" t="str">
        <f t="shared" si="70"/>
        <v/>
      </c>
      <c r="S199" s="33" t="str">
        <f t="shared" si="71"/>
        <v/>
      </c>
    </row>
    <row r="200" spans="1:19" x14ac:dyDescent="0.3">
      <c r="A200" s="33">
        <f>196</f>
        <v>196</v>
      </c>
      <c r="B200" s="34" t="str">
        <f t="shared" si="54"/>
        <v/>
      </c>
      <c r="C200" s="33" t="str">
        <f t="shared" si="55"/>
        <v/>
      </c>
      <c r="D200" s="33" t="str">
        <f t="shared" si="56"/>
        <v/>
      </c>
      <c r="E200" s="35" t="str">
        <f t="shared" si="57"/>
        <v/>
      </c>
      <c r="F200" s="35" t="str">
        <f t="shared" si="58"/>
        <v/>
      </c>
      <c r="G200" s="33" t="str">
        <f t="shared" si="59"/>
        <v/>
      </c>
      <c r="H200" s="35" t="str">
        <f t="shared" si="60"/>
        <v/>
      </c>
      <c r="I200" s="35" t="str">
        <f t="shared" si="61"/>
        <v/>
      </c>
      <c r="J200" s="35" t="str">
        <f t="shared" si="62"/>
        <v/>
      </c>
      <c r="K200" s="35" t="str">
        <f t="shared" si="63"/>
        <v/>
      </c>
      <c r="L200" s="35" t="str">
        <f t="shared" si="64"/>
        <v/>
      </c>
      <c r="M200" s="35" t="str">
        <f t="shared" si="65"/>
        <v/>
      </c>
      <c r="N200" s="36" t="str">
        <f t="shared" si="66"/>
        <v/>
      </c>
      <c r="O200" s="35" t="str">
        <f t="shared" si="67"/>
        <v/>
      </c>
      <c r="P200" s="35" t="str">
        <f t="shared" si="68"/>
        <v/>
      </c>
      <c r="Q200" s="35" t="str">
        <f t="shared" si="69"/>
        <v/>
      </c>
      <c r="R200" s="35" t="str">
        <f t="shared" si="70"/>
        <v/>
      </c>
      <c r="S200" s="33" t="str">
        <f t="shared" si="71"/>
        <v/>
      </c>
    </row>
    <row r="201" spans="1:19" x14ac:dyDescent="0.3">
      <c r="A201" s="33">
        <f>197</f>
        <v>197</v>
      </c>
      <c r="B201" s="34" t="str">
        <f t="shared" si="54"/>
        <v/>
      </c>
      <c r="C201" s="33" t="str">
        <f t="shared" si="55"/>
        <v/>
      </c>
      <c r="D201" s="33" t="str">
        <f t="shared" si="56"/>
        <v/>
      </c>
      <c r="E201" s="35" t="str">
        <f t="shared" si="57"/>
        <v/>
      </c>
      <c r="F201" s="35" t="str">
        <f t="shared" si="58"/>
        <v/>
      </c>
      <c r="G201" s="33" t="str">
        <f t="shared" si="59"/>
        <v/>
      </c>
      <c r="H201" s="35" t="str">
        <f t="shared" si="60"/>
        <v/>
      </c>
      <c r="I201" s="35" t="str">
        <f t="shared" si="61"/>
        <v/>
      </c>
      <c r="J201" s="35" t="str">
        <f t="shared" si="62"/>
        <v/>
      </c>
      <c r="K201" s="35" t="str">
        <f t="shared" si="63"/>
        <v/>
      </c>
      <c r="L201" s="35" t="str">
        <f t="shared" si="64"/>
        <v/>
      </c>
      <c r="M201" s="35" t="str">
        <f t="shared" si="65"/>
        <v/>
      </c>
      <c r="N201" s="36" t="str">
        <f t="shared" si="66"/>
        <v/>
      </c>
      <c r="O201" s="35" t="str">
        <f t="shared" si="67"/>
        <v/>
      </c>
      <c r="P201" s="35" t="str">
        <f t="shared" si="68"/>
        <v/>
      </c>
      <c r="Q201" s="35" t="str">
        <f t="shared" si="69"/>
        <v/>
      </c>
      <c r="R201" s="35" t="str">
        <f t="shared" si="70"/>
        <v/>
      </c>
      <c r="S201" s="33" t="str">
        <f t="shared" si="71"/>
        <v/>
      </c>
    </row>
    <row r="202" spans="1:19" x14ac:dyDescent="0.3">
      <c r="A202" s="33">
        <f>198</f>
        <v>198</v>
      </c>
      <c r="B202" s="34" t="str">
        <f t="shared" si="54"/>
        <v/>
      </c>
      <c r="C202" s="33" t="str">
        <f t="shared" si="55"/>
        <v/>
      </c>
      <c r="D202" s="33" t="str">
        <f t="shared" si="56"/>
        <v/>
      </c>
      <c r="E202" s="35" t="str">
        <f t="shared" si="57"/>
        <v/>
      </c>
      <c r="F202" s="35" t="str">
        <f t="shared" si="58"/>
        <v/>
      </c>
      <c r="G202" s="33" t="str">
        <f t="shared" si="59"/>
        <v/>
      </c>
      <c r="H202" s="35" t="str">
        <f t="shared" si="60"/>
        <v/>
      </c>
      <c r="I202" s="35" t="str">
        <f t="shared" si="61"/>
        <v/>
      </c>
      <c r="J202" s="35" t="str">
        <f t="shared" si="62"/>
        <v/>
      </c>
      <c r="K202" s="35" t="str">
        <f t="shared" si="63"/>
        <v/>
      </c>
      <c r="L202" s="35" t="str">
        <f t="shared" si="64"/>
        <v/>
      </c>
      <c r="M202" s="35" t="str">
        <f t="shared" si="65"/>
        <v/>
      </c>
      <c r="N202" s="36" t="str">
        <f t="shared" si="66"/>
        <v/>
      </c>
      <c r="O202" s="35" t="str">
        <f t="shared" si="67"/>
        <v/>
      </c>
      <c r="P202" s="35" t="str">
        <f t="shared" si="68"/>
        <v/>
      </c>
      <c r="Q202" s="35" t="str">
        <f t="shared" si="69"/>
        <v/>
      </c>
      <c r="R202" s="35" t="str">
        <f t="shared" si="70"/>
        <v/>
      </c>
      <c r="S202" s="33" t="str">
        <f t="shared" si="71"/>
        <v/>
      </c>
    </row>
    <row r="203" spans="1:19" x14ac:dyDescent="0.3">
      <c r="A203" s="33">
        <f>199</f>
        <v>199</v>
      </c>
      <c r="B203" s="34" t="str">
        <f t="shared" si="54"/>
        <v/>
      </c>
      <c r="C203" s="33" t="str">
        <f t="shared" si="55"/>
        <v/>
      </c>
      <c r="D203" s="33" t="str">
        <f t="shared" si="56"/>
        <v/>
      </c>
      <c r="E203" s="35" t="str">
        <f t="shared" si="57"/>
        <v/>
      </c>
      <c r="F203" s="35" t="str">
        <f t="shared" si="58"/>
        <v/>
      </c>
      <c r="G203" s="33" t="str">
        <f t="shared" si="59"/>
        <v/>
      </c>
      <c r="H203" s="35" t="str">
        <f t="shared" si="60"/>
        <v/>
      </c>
      <c r="I203" s="35" t="str">
        <f t="shared" si="61"/>
        <v/>
      </c>
      <c r="J203" s="35" t="str">
        <f t="shared" si="62"/>
        <v/>
      </c>
      <c r="K203" s="35" t="str">
        <f t="shared" si="63"/>
        <v/>
      </c>
      <c r="L203" s="35" t="str">
        <f t="shared" si="64"/>
        <v/>
      </c>
      <c r="M203" s="35" t="str">
        <f t="shared" si="65"/>
        <v/>
      </c>
      <c r="N203" s="36" t="str">
        <f t="shared" si="66"/>
        <v/>
      </c>
      <c r="O203" s="35" t="str">
        <f t="shared" si="67"/>
        <v/>
      </c>
      <c r="P203" s="35" t="str">
        <f t="shared" si="68"/>
        <v/>
      </c>
      <c r="Q203" s="35" t="str">
        <f t="shared" si="69"/>
        <v/>
      </c>
      <c r="R203" s="35" t="str">
        <f t="shared" si="70"/>
        <v/>
      </c>
      <c r="S203" s="33" t="str">
        <f t="shared" si="71"/>
        <v/>
      </c>
    </row>
    <row r="204" spans="1:19" x14ac:dyDescent="0.3">
      <c r="A204" s="33">
        <f>200</f>
        <v>200</v>
      </c>
      <c r="B204" s="34" t="str">
        <f t="shared" si="54"/>
        <v/>
      </c>
      <c r="C204" s="33" t="str">
        <f t="shared" si="55"/>
        <v/>
      </c>
      <c r="D204" s="33" t="str">
        <f t="shared" si="56"/>
        <v/>
      </c>
      <c r="E204" s="35" t="str">
        <f t="shared" si="57"/>
        <v/>
      </c>
      <c r="F204" s="35" t="str">
        <f t="shared" si="58"/>
        <v/>
      </c>
      <c r="G204" s="33" t="str">
        <f t="shared" si="59"/>
        <v/>
      </c>
      <c r="H204" s="35" t="str">
        <f t="shared" si="60"/>
        <v/>
      </c>
      <c r="I204" s="35" t="str">
        <f t="shared" si="61"/>
        <v/>
      </c>
      <c r="J204" s="35" t="str">
        <f t="shared" si="62"/>
        <v/>
      </c>
      <c r="K204" s="35" t="str">
        <f t="shared" si="63"/>
        <v/>
      </c>
      <c r="L204" s="35" t="str">
        <f t="shared" si="64"/>
        <v/>
      </c>
      <c r="M204" s="35" t="str">
        <f t="shared" si="65"/>
        <v/>
      </c>
      <c r="N204" s="36" t="str">
        <f t="shared" si="66"/>
        <v/>
      </c>
      <c r="O204" s="35" t="str">
        <f t="shared" si="67"/>
        <v/>
      </c>
      <c r="P204" s="35" t="str">
        <f t="shared" si="68"/>
        <v/>
      </c>
      <c r="Q204" s="35" t="str">
        <f t="shared" si="69"/>
        <v/>
      </c>
      <c r="R204" s="35" t="str">
        <f t="shared" si="70"/>
        <v/>
      </c>
      <c r="S204" s="33" t="str">
        <f t="shared" si="71"/>
        <v/>
      </c>
    </row>
    <row r="205" spans="1:19" x14ac:dyDescent="0.3">
      <c r="A205" s="33">
        <f>201</f>
        <v>201</v>
      </c>
      <c r="B205" s="34" t="str">
        <f t="shared" si="54"/>
        <v/>
      </c>
      <c r="C205" s="33" t="str">
        <f t="shared" si="55"/>
        <v/>
      </c>
      <c r="D205" s="33" t="str">
        <f t="shared" si="56"/>
        <v/>
      </c>
      <c r="E205" s="35" t="str">
        <f t="shared" si="57"/>
        <v/>
      </c>
      <c r="F205" s="35" t="str">
        <f t="shared" si="58"/>
        <v/>
      </c>
      <c r="G205" s="33" t="str">
        <f t="shared" si="59"/>
        <v/>
      </c>
      <c r="H205" s="35" t="str">
        <f t="shared" si="60"/>
        <v/>
      </c>
      <c r="I205" s="35" t="str">
        <f t="shared" si="61"/>
        <v/>
      </c>
      <c r="J205" s="35" t="str">
        <f t="shared" si="62"/>
        <v/>
      </c>
      <c r="K205" s="35" t="str">
        <f t="shared" si="63"/>
        <v/>
      </c>
      <c r="L205" s="35" t="str">
        <f t="shared" si="64"/>
        <v/>
      </c>
      <c r="M205" s="35" t="str">
        <f t="shared" si="65"/>
        <v/>
      </c>
      <c r="N205" s="36" t="str">
        <f t="shared" si="66"/>
        <v/>
      </c>
      <c r="O205" s="35" t="str">
        <f t="shared" si="67"/>
        <v/>
      </c>
      <c r="P205" s="35" t="str">
        <f t="shared" si="68"/>
        <v/>
      </c>
      <c r="Q205" s="35" t="str">
        <f t="shared" si="69"/>
        <v/>
      </c>
      <c r="R205" s="35" t="str">
        <f t="shared" si="70"/>
        <v/>
      </c>
      <c r="S205" s="33" t="str">
        <f t="shared" si="71"/>
        <v/>
      </c>
    </row>
    <row r="206" spans="1:19" x14ac:dyDescent="0.3">
      <c r="A206" s="33">
        <f>202</f>
        <v>202</v>
      </c>
      <c r="B206" s="34" t="str">
        <f t="shared" si="54"/>
        <v/>
      </c>
      <c r="C206" s="33" t="str">
        <f t="shared" si="55"/>
        <v/>
      </c>
      <c r="D206" s="33" t="str">
        <f t="shared" si="56"/>
        <v/>
      </c>
      <c r="E206" s="35" t="str">
        <f t="shared" si="57"/>
        <v/>
      </c>
      <c r="F206" s="35" t="str">
        <f t="shared" si="58"/>
        <v/>
      </c>
      <c r="G206" s="33" t="str">
        <f t="shared" si="59"/>
        <v/>
      </c>
      <c r="H206" s="35" t="str">
        <f t="shared" si="60"/>
        <v/>
      </c>
      <c r="I206" s="35" t="str">
        <f t="shared" si="61"/>
        <v/>
      </c>
      <c r="J206" s="35" t="str">
        <f t="shared" si="62"/>
        <v/>
      </c>
      <c r="K206" s="35" t="str">
        <f t="shared" si="63"/>
        <v/>
      </c>
      <c r="L206" s="35" t="str">
        <f t="shared" si="64"/>
        <v/>
      </c>
      <c r="M206" s="35" t="str">
        <f t="shared" si="65"/>
        <v/>
      </c>
      <c r="N206" s="36" t="str">
        <f t="shared" si="66"/>
        <v/>
      </c>
      <c r="O206" s="35" t="str">
        <f t="shared" si="67"/>
        <v/>
      </c>
      <c r="P206" s="35" t="str">
        <f t="shared" si="68"/>
        <v/>
      </c>
      <c r="Q206" s="35" t="str">
        <f t="shared" si="69"/>
        <v/>
      </c>
      <c r="R206" s="35" t="str">
        <f t="shared" si="70"/>
        <v/>
      </c>
      <c r="S206" s="33" t="str">
        <f t="shared" si="71"/>
        <v/>
      </c>
    </row>
    <row r="207" spans="1:19" x14ac:dyDescent="0.3">
      <c r="A207" s="33">
        <f>203</f>
        <v>203</v>
      </c>
      <c r="B207" s="34" t="str">
        <f t="shared" si="54"/>
        <v/>
      </c>
      <c r="C207" s="33" t="str">
        <f t="shared" si="55"/>
        <v/>
      </c>
      <c r="D207" s="33" t="str">
        <f t="shared" si="56"/>
        <v/>
      </c>
      <c r="E207" s="35" t="str">
        <f t="shared" si="57"/>
        <v/>
      </c>
      <c r="F207" s="35" t="str">
        <f t="shared" si="58"/>
        <v/>
      </c>
      <c r="G207" s="33" t="str">
        <f t="shared" si="59"/>
        <v/>
      </c>
      <c r="H207" s="35" t="str">
        <f t="shared" si="60"/>
        <v/>
      </c>
      <c r="I207" s="35" t="str">
        <f t="shared" si="61"/>
        <v/>
      </c>
      <c r="J207" s="35" t="str">
        <f t="shared" si="62"/>
        <v/>
      </c>
      <c r="K207" s="35" t="str">
        <f t="shared" si="63"/>
        <v/>
      </c>
      <c r="L207" s="35" t="str">
        <f t="shared" si="64"/>
        <v/>
      </c>
      <c r="M207" s="35" t="str">
        <f t="shared" si="65"/>
        <v/>
      </c>
      <c r="N207" s="36" t="str">
        <f t="shared" si="66"/>
        <v/>
      </c>
      <c r="O207" s="35" t="str">
        <f t="shared" si="67"/>
        <v/>
      </c>
      <c r="P207" s="35" t="str">
        <f t="shared" si="68"/>
        <v/>
      </c>
      <c r="Q207" s="35" t="str">
        <f t="shared" si="69"/>
        <v/>
      </c>
      <c r="R207" s="35" t="str">
        <f t="shared" si="70"/>
        <v/>
      </c>
      <c r="S207" s="33" t="str">
        <f t="shared" si="71"/>
        <v/>
      </c>
    </row>
    <row r="208" spans="1:19" x14ac:dyDescent="0.3">
      <c r="A208" s="37">
        <f>204</f>
        <v>204</v>
      </c>
      <c r="B208" s="38" t="str">
        <f t="shared" si="54"/>
        <v/>
      </c>
      <c r="C208" s="37" t="str">
        <f t="shared" si="55"/>
        <v/>
      </c>
      <c r="D208" s="37" t="str">
        <f t="shared" si="56"/>
        <v/>
      </c>
      <c r="E208" s="39" t="str">
        <f t="shared" si="57"/>
        <v/>
      </c>
      <c r="F208" s="39" t="str">
        <f t="shared" si="58"/>
        <v/>
      </c>
      <c r="G208" s="37" t="str">
        <f t="shared" si="59"/>
        <v/>
      </c>
      <c r="H208" s="39" t="str">
        <f t="shared" si="60"/>
        <v/>
      </c>
      <c r="I208" s="39" t="str">
        <f t="shared" si="61"/>
        <v/>
      </c>
      <c r="J208" s="39" t="str">
        <f t="shared" si="62"/>
        <v/>
      </c>
      <c r="K208" s="39" t="str">
        <f t="shared" si="63"/>
        <v/>
      </c>
      <c r="L208" s="39" t="str">
        <f t="shared" si="64"/>
        <v/>
      </c>
      <c r="M208" s="39" t="str">
        <f t="shared" si="65"/>
        <v/>
      </c>
      <c r="N208" s="40" t="str">
        <f t="shared" si="66"/>
        <v/>
      </c>
      <c r="O208" s="39" t="str">
        <f t="shared" si="67"/>
        <v/>
      </c>
      <c r="P208" s="39" t="str">
        <f t="shared" si="68"/>
        <v/>
      </c>
      <c r="Q208" s="39" t="str">
        <f t="shared" si="69"/>
        <v/>
      </c>
      <c r="R208" s="39" t="str">
        <f t="shared" si="70"/>
        <v/>
      </c>
      <c r="S208" s="37" t="str">
        <f t="shared" si="71"/>
        <v/>
      </c>
    </row>
    <row r="209" spans="1:19" x14ac:dyDescent="0.3">
      <c r="A209" s="33">
        <f>205</f>
        <v>205</v>
      </c>
      <c r="B209" s="34" t="str">
        <f t="shared" si="54"/>
        <v/>
      </c>
      <c r="C209" s="33" t="str">
        <f t="shared" si="55"/>
        <v/>
      </c>
      <c r="D209" s="33" t="str">
        <f t="shared" si="56"/>
        <v/>
      </c>
      <c r="E209" s="35" t="str">
        <f t="shared" si="57"/>
        <v/>
      </c>
      <c r="F209" s="35" t="str">
        <f t="shared" si="58"/>
        <v/>
      </c>
      <c r="G209" s="33" t="str">
        <f t="shared" si="59"/>
        <v/>
      </c>
      <c r="H209" s="35" t="str">
        <f t="shared" si="60"/>
        <v/>
      </c>
      <c r="I209" s="35" t="str">
        <f t="shared" si="61"/>
        <v/>
      </c>
      <c r="J209" s="35" t="str">
        <f t="shared" si="62"/>
        <v/>
      </c>
      <c r="K209" s="35" t="str">
        <f t="shared" si="63"/>
        <v/>
      </c>
      <c r="L209" s="35" t="str">
        <f t="shared" si="64"/>
        <v/>
      </c>
      <c r="M209" s="35" t="str">
        <f t="shared" si="65"/>
        <v/>
      </c>
      <c r="N209" s="36" t="str">
        <f t="shared" si="66"/>
        <v/>
      </c>
      <c r="O209" s="35" t="str">
        <f t="shared" si="67"/>
        <v/>
      </c>
      <c r="P209" s="35" t="str">
        <f t="shared" si="68"/>
        <v/>
      </c>
      <c r="Q209" s="35" t="str">
        <f t="shared" si="69"/>
        <v/>
      </c>
      <c r="R209" s="35" t="str">
        <f t="shared" si="70"/>
        <v/>
      </c>
      <c r="S209" s="33" t="str">
        <f t="shared" si="71"/>
        <v/>
      </c>
    </row>
    <row r="210" spans="1:19" x14ac:dyDescent="0.3">
      <c r="A210" s="33">
        <f>206</f>
        <v>206</v>
      </c>
      <c r="B210" s="34" t="str">
        <f t="shared" si="54"/>
        <v/>
      </c>
      <c r="C210" s="33" t="str">
        <f t="shared" si="55"/>
        <v/>
      </c>
      <c r="D210" s="33" t="str">
        <f t="shared" si="56"/>
        <v/>
      </c>
      <c r="E210" s="35" t="str">
        <f t="shared" si="57"/>
        <v/>
      </c>
      <c r="F210" s="35" t="str">
        <f t="shared" si="58"/>
        <v/>
      </c>
      <c r="G210" s="33" t="str">
        <f t="shared" si="59"/>
        <v/>
      </c>
      <c r="H210" s="35" t="str">
        <f t="shared" si="60"/>
        <v/>
      </c>
      <c r="I210" s="35" t="str">
        <f t="shared" si="61"/>
        <v/>
      </c>
      <c r="J210" s="35" t="str">
        <f t="shared" si="62"/>
        <v/>
      </c>
      <c r="K210" s="35" t="str">
        <f t="shared" si="63"/>
        <v/>
      </c>
      <c r="L210" s="35" t="str">
        <f t="shared" si="64"/>
        <v/>
      </c>
      <c r="M210" s="35" t="str">
        <f t="shared" si="65"/>
        <v/>
      </c>
      <c r="N210" s="36" t="str">
        <f t="shared" si="66"/>
        <v/>
      </c>
      <c r="O210" s="35" t="str">
        <f t="shared" si="67"/>
        <v/>
      </c>
      <c r="P210" s="35" t="str">
        <f t="shared" si="68"/>
        <v/>
      </c>
      <c r="Q210" s="35" t="str">
        <f t="shared" si="69"/>
        <v/>
      </c>
      <c r="R210" s="35" t="str">
        <f t="shared" si="70"/>
        <v/>
      </c>
      <c r="S210" s="33" t="str">
        <f t="shared" si="71"/>
        <v/>
      </c>
    </row>
    <row r="211" spans="1:19" x14ac:dyDescent="0.3">
      <c r="A211" s="33">
        <f>207</f>
        <v>207</v>
      </c>
      <c r="B211" s="34" t="str">
        <f t="shared" si="54"/>
        <v/>
      </c>
      <c r="C211" s="33" t="str">
        <f t="shared" si="55"/>
        <v/>
      </c>
      <c r="D211" s="33" t="str">
        <f t="shared" si="56"/>
        <v/>
      </c>
      <c r="E211" s="35" t="str">
        <f t="shared" si="57"/>
        <v/>
      </c>
      <c r="F211" s="35" t="str">
        <f t="shared" si="58"/>
        <v/>
      </c>
      <c r="G211" s="33" t="str">
        <f t="shared" si="59"/>
        <v/>
      </c>
      <c r="H211" s="35" t="str">
        <f t="shared" si="60"/>
        <v/>
      </c>
      <c r="I211" s="35" t="str">
        <f t="shared" si="61"/>
        <v/>
      </c>
      <c r="J211" s="35" t="str">
        <f t="shared" si="62"/>
        <v/>
      </c>
      <c r="K211" s="35" t="str">
        <f t="shared" si="63"/>
        <v/>
      </c>
      <c r="L211" s="35" t="str">
        <f t="shared" si="64"/>
        <v/>
      </c>
      <c r="M211" s="35" t="str">
        <f t="shared" si="65"/>
        <v/>
      </c>
      <c r="N211" s="36" t="str">
        <f t="shared" si="66"/>
        <v/>
      </c>
      <c r="O211" s="35" t="str">
        <f t="shared" si="67"/>
        <v/>
      </c>
      <c r="P211" s="35" t="str">
        <f t="shared" si="68"/>
        <v/>
      </c>
      <c r="Q211" s="35" t="str">
        <f t="shared" si="69"/>
        <v/>
      </c>
      <c r="R211" s="35" t="str">
        <f t="shared" si="70"/>
        <v/>
      </c>
      <c r="S211" s="33" t="str">
        <f t="shared" si="71"/>
        <v/>
      </c>
    </row>
    <row r="212" spans="1:19" x14ac:dyDescent="0.3">
      <c r="A212" s="33">
        <f>208</f>
        <v>208</v>
      </c>
      <c r="B212" s="34" t="str">
        <f t="shared" si="54"/>
        <v/>
      </c>
      <c r="C212" s="33" t="str">
        <f t="shared" si="55"/>
        <v/>
      </c>
      <c r="D212" s="33" t="str">
        <f t="shared" si="56"/>
        <v/>
      </c>
      <c r="E212" s="35" t="str">
        <f t="shared" si="57"/>
        <v/>
      </c>
      <c r="F212" s="35" t="str">
        <f t="shared" si="58"/>
        <v/>
      </c>
      <c r="G212" s="33" t="str">
        <f t="shared" si="59"/>
        <v/>
      </c>
      <c r="H212" s="35" t="str">
        <f t="shared" si="60"/>
        <v/>
      </c>
      <c r="I212" s="35" t="str">
        <f t="shared" si="61"/>
        <v/>
      </c>
      <c r="J212" s="35" t="str">
        <f t="shared" si="62"/>
        <v/>
      </c>
      <c r="K212" s="35" t="str">
        <f t="shared" si="63"/>
        <v/>
      </c>
      <c r="L212" s="35" t="str">
        <f t="shared" si="64"/>
        <v/>
      </c>
      <c r="M212" s="35" t="str">
        <f t="shared" si="65"/>
        <v/>
      </c>
      <c r="N212" s="36" t="str">
        <f t="shared" si="66"/>
        <v/>
      </c>
      <c r="O212" s="35" t="str">
        <f t="shared" si="67"/>
        <v/>
      </c>
      <c r="P212" s="35" t="str">
        <f t="shared" si="68"/>
        <v/>
      </c>
      <c r="Q212" s="35" t="str">
        <f t="shared" si="69"/>
        <v/>
      </c>
      <c r="R212" s="35" t="str">
        <f t="shared" si="70"/>
        <v/>
      </c>
      <c r="S212" s="33" t="str">
        <f t="shared" si="71"/>
        <v/>
      </c>
    </row>
    <row r="213" spans="1:19" x14ac:dyDescent="0.3">
      <c r="A213" s="33">
        <f>209</f>
        <v>209</v>
      </c>
      <c r="B213" s="34" t="str">
        <f t="shared" si="54"/>
        <v/>
      </c>
      <c r="C213" s="33" t="str">
        <f t="shared" si="55"/>
        <v/>
      </c>
      <c r="D213" s="33" t="str">
        <f t="shared" si="56"/>
        <v/>
      </c>
      <c r="E213" s="35" t="str">
        <f t="shared" si="57"/>
        <v/>
      </c>
      <c r="F213" s="35" t="str">
        <f t="shared" si="58"/>
        <v/>
      </c>
      <c r="G213" s="33" t="str">
        <f t="shared" si="59"/>
        <v/>
      </c>
      <c r="H213" s="35" t="str">
        <f t="shared" si="60"/>
        <v/>
      </c>
      <c r="I213" s="35" t="str">
        <f t="shared" si="61"/>
        <v/>
      </c>
      <c r="J213" s="35" t="str">
        <f t="shared" si="62"/>
        <v/>
      </c>
      <c r="K213" s="35" t="str">
        <f t="shared" si="63"/>
        <v/>
      </c>
      <c r="L213" s="35" t="str">
        <f t="shared" si="64"/>
        <v/>
      </c>
      <c r="M213" s="35" t="str">
        <f t="shared" si="65"/>
        <v/>
      </c>
      <c r="N213" s="36" t="str">
        <f t="shared" si="66"/>
        <v/>
      </c>
      <c r="O213" s="35" t="str">
        <f t="shared" si="67"/>
        <v/>
      </c>
      <c r="P213" s="35" t="str">
        <f t="shared" si="68"/>
        <v/>
      </c>
      <c r="Q213" s="35" t="str">
        <f t="shared" si="69"/>
        <v/>
      </c>
      <c r="R213" s="35" t="str">
        <f t="shared" si="70"/>
        <v/>
      </c>
      <c r="S213" s="33" t="str">
        <f t="shared" si="71"/>
        <v/>
      </c>
    </row>
    <row r="214" spans="1:19" x14ac:dyDescent="0.3">
      <c r="A214" s="33">
        <f>210</f>
        <v>210</v>
      </c>
      <c r="B214" s="34" t="str">
        <f t="shared" si="54"/>
        <v/>
      </c>
      <c r="C214" s="33" t="str">
        <f t="shared" si="55"/>
        <v/>
      </c>
      <c r="D214" s="33" t="str">
        <f t="shared" si="56"/>
        <v/>
      </c>
      <c r="E214" s="35" t="str">
        <f t="shared" si="57"/>
        <v/>
      </c>
      <c r="F214" s="35" t="str">
        <f t="shared" si="58"/>
        <v/>
      </c>
      <c r="G214" s="33" t="str">
        <f t="shared" si="59"/>
        <v/>
      </c>
      <c r="H214" s="35" t="str">
        <f t="shared" si="60"/>
        <v/>
      </c>
      <c r="I214" s="35" t="str">
        <f t="shared" si="61"/>
        <v/>
      </c>
      <c r="J214" s="35" t="str">
        <f t="shared" si="62"/>
        <v/>
      </c>
      <c r="K214" s="35" t="str">
        <f t="shared" si="63"/>
        <v/>
      </c>
      <c r="L214" s="35" t="str">
        <f t="shared" si="64"/>
        <v/>
      </c>
      <c r="M214" s="35" t="str">
        <f t="shared" si="65"/>
        <v/>
      </c>
      <c r="N214" s="36" t="str">
        <f t="shared" si="66"/>
        <v/>
      </c>
      <c r="O214" s="35" t="str">
        <f t="shared" si="67"/>
        <v/>
      </c>
      <c r="P214" s="35" t="str">
        <f t="shared" si="68"/>
        <v/>
      </c>
      <c r="Q214" s="35" t="str">
        <f t="shared" si="69"/>
        <v/>
      </c>
      <c r="R214" s="35" t="str">
        <f t="shared" si="70"/>
        <v/>
      </c>
      <c r="S214" s="33" t="str">
        <f t="shared" si="71"/>
        <v/>
      </c>
    </row>
    <row r="215" spans="1:19" x14ac:dyDescent="0.3">
      <c r="A215" s="33">
        <f>211</f>
        <v>211</v>
      </c>
      <c r="B215" s="34" t="str">
        <f t="shared" si="54"/>
        <v/>
      </c>
      <c r="C215" s="33" t="str">
        <f t="shared" si="55"/>
        <v/>
      </c>
      <c r="D215" s="33" t="str">
        <f t="shared" si="56"/>
        <v/>
      </c>
      <c r="E215" s="35" t="str">
        <f t="shared" si="57"/>
        <v/>
      </c>
      <c r="F215" s="35" t="str">
        <f t="shared" si="58"/>
        <v/>
      </c>
      <c r="G215" s="33" t="str">
        <f t="shared" si="59"/>
        <v/>
      </c>
      <c r="H215" s="35" t="str">
        <f t="shared" si="60"/>
        <v/>
      </c>
      <c r="I215" s="35" t="str">
        <f t="shared" si="61"/>
        <v/>
      </c>
      <c r="J215" s="35" t="str">
        <f t="shared" si="62"/>
        <v/>
      </c>
      <c r="K215" s="35" t="str">
        <f t="shared" si="63"/>
        <v/>
      </c>
      <c r="L215" s="35" t="str">
        <f t="shared" si="64"/>
        <v/>
      </c>
      <c r="M215" s="35" t="str">
        <f t="shared" si="65"/>
        <v/>
      </c>
      <c r="N215" s="36" t="str">
        <f t="shared" si="66"/>
        <v/>
      </c>
      <c r="O215" s="35" t="str">
        <f t="shared" si="67"/>
        <v/>
      </c>
      <c r="P215" s="35" t="str">
        <f t="shared" si="68"/>
        <v/>
      </c>
      <c r="Q215" s="35" t="str">
        <f t="shared" si="69"/>
        <v/>
      </c>
      <c r="R215" s="35" t="str">
        <f t="shared" si="70"/>
        <v/>
      </c>
      <c r="S215" s="33" t="str">
        <f t="shared" si="71"/>
        <v/>
      </c>
    </row>
    <row r="216" spans="1:19" x14ac:dyDescent="0.3">
      <c r="A216" s="33">
        <f>212</f>
        <v>212</v>
      </c>
      <c r="B216" s="34" t="str">
        <f t="shared" si="54"/>
        <v/>
      </c>
      <c r="C216" s="33" t="str">
        <f t="shared" si="55"/>
        <v/>
      </c>
      <c r="D216" s="33" t="str">
        <f t="shared" si="56"/>
        <v/>
      </c>
      <c r="E216" s="35" t="str">
        <f t="shared" si="57"/>
        <v/>
      </c>
      <c r="F216" s="35" t="str">
        <f t="shared" si="58"/>
        <v/>
      </c>
      <c r="G216" s="33" t="str">
        <f t="shared" si="59"/>
        <v/>
      </c>
      <c r="H216" s="35" t="str">
        <f t="shared" si="60"/>
        <v/>
      </c>
      <c r="I216" s="35" t="str">
        <f t="shared" si="61"/>
        <v/>
      </c>
      <c r="J216" s="35" t="str">
        <f t="shared" si="62"/>
        <v/>
      </c>
      <c r="K216" s="35" t="str">
        <f t="shared" si="63"/>
        <v/>
      </c>
      <c r="L216" s="35" t="str">
        <f t="shared" si="64"/>
        <v/>
      </c>
      <c r="M216" s="35" t="str">
        <f t="shared" si="65"/>
        <v/>
      </c>
      <c r="N216" s="36" t="str">
        <f t="shared" si="66"/>
        <v/>
      </c>
      <c r="O216" s="35" t="str">
        <f t="shared" si="67"/>
        <v/>
      </c>
      <c r="P216" s="35" t="str">
        <f t="shared" si="68"/>
        <v/>
      </c>
      <c r="Q216" s="35" t="str">
        <f t="shared" si="69"/>
        <v/>
      </c>
      <c r="R216" s="35" t="str">
        <f t="shared" si="70"/>
        <v/>
      </c>
      <c r="S216" s="33" t="str">
        <f t="shared" si="71"/>
        <v/>
      </c>
    </row>
    <row r="217" spans="1:19" x14ac:dyDescent="0.3">
      <c r="A217" s="33">
        <f>213</f>
        <v>213</v>
      </c>
      <c r="B217" s="34" t="str">
        <f t="shared" si="54"/>
        <v/>
      </c>
      <c r="C217" s="33" t="str">
        <f t="shared" si="55"/>
        <v/>
      </c>
      <c r="D217" s="33" t="str">
        <f t="shared" si="56"/>
        <v/>
      </c>
      <c r="E217" s="35" t="str">
        <f t="shared" si="57"/>
        <v/>
      </c>
      <c r="F217" s="35" t="str">
        <f t="shared" si="58"/>
        <v/>
      </c>
      <c r="G217" s="33" t="str">
        <f t="shared" si="59"/>
        <v/>
      </c>
      <c r="H217" s="35" t="str">
        <f t="shared" si="60"/>
        <v/>
      </c>
      <c r="I217" s="35" t="str">
        <f t="shared" si="61"/>
        <v/>
      </c>
      <c r="J217" s="35" t="str">
        <f t="shared" si="62"/>
        <v/>
      </c>
      <c r="K217" s="35" t="str">
        <f t="shared" si="63"/>
        <v/>
      </c>
      <c r="L217" s="35" t="str">
        <f t="shared" si="64"/>
        <v/>
      </c>
      <c r="M217" s="35" t="str">
        <f t="shared" si="65"/>
        <v/>
      </c>
      <c r="N217" s="36" t="str">
        <f t="shared" si="66"/>
        <v/>
      </c>
      <c r="O217" s="35" t="str">
        <f t="shared" si="67"/>
        <v/>
      </c>
      <c r="P217" s="35" t="str">
        <f t="shared" si="68"/>
        <v/>
      </c>
      <c r="Q217" s="35" t="str">
        <f t="shared" si="69"/>
        <v/>
      </c>
      <c r="R217" s="35" t="str">
        <f t="shared" si="70"/>
        <v/>
      </c>
      <c r="S217" s="33" t="str">
        <f t="shared" si="71"/>
        <v/>
      </c>
    </row>
    <row r="218" spans="1:19" x14ac:dyDescent="0.3">
      <c r="A218" s="33">
        <f>214</f>
        <v>214</v>
      </c>
      <c r="B218" s="34" t="str">
        <f t="shared" si="54"/>
        <v/>
      </c>
      <c r="C218" s="33" t="str">
        <f t="shared" si="55"/>
        <v/>
      </c>
      <c r="D218" s="33" t="str">
        <f t="shared" si="56"/>
        <v/>
      </c>
      <c r="E218" s="35" t="str">
        <f t="shared" si="57"/>
        <v/>
      </c>
      <c r="F218" s="35" t="str">
        <f t="shared" si="58"/>
        <v/>
      </c>
      <c r="G218" s="33" t="str">
        <f t="shared" si="59"/>
        <v/>
      </c>
      <c r="H218" s="35" t="str">
        <f t="shared" si="60"/>
        <v/>
      </c>
      <c r="I218" s="35" t="str">
        <f t="shared" si="61"/>
        <v/>
      </c>
      <c r="J218" s="35" t="str">
        <f t="shared" si="62"/>
        <v/>
      </c>
      <c r="K218" s="35" t="str">
        <f t="shared" si="63"/>
        <v/>
      </c>
      <c r="L218" s="35" t="str">
        <f t="shared" si="64"/>
        <v/>
      </c>
      <c r="M218" s="35" t="str">
        <f t="shared" si="65"/>
        <v/>
      </c>
      <c r="N218" s="36" t="str">
        <f t="shared" si="66"/>
        <v/>
      </c>
      <c r="O218" s="35" t="str">
        <f t="shared" si="67"/>
        <v/>
      </c>
      <c r="P218" s="35" t="str">
        <f t="shared" si="68"/>
        <v/>
      </c>
      <c r="Q218" s="35" t="str">
        <f t="shared" si="69"/>
        <v/>
      </c>
      <c r="R218" s="35" t="str">
        <f t="shared" si="70"/>
        <v/>
      </c>
      <c r="S218" s="33" t="str">
        <f t="shared" si="71"/>
        <v/>
      </c>
    </row>
    <row r="219" spans="1:19" x14ac:dyDescent="0.3">
      <c r="A219" s="33">
        <f>215</f>
        <v>215</v>
      </c>
      <c r="B219" s="34" t="str">
        <f t="shared" si="54"/>
        <v/>
      </c>
      <c r="C219" s="33" t="str">
        <f t="shared" si="55"/>
        <v/>
      </c>
      <c r="D219" s="33" t="str">
        <f t="shared" si="56"/>
        <v/>
      </c>
      <c r="E219" s="35" t="str">
        <f t="shared" si="57"/>
        <v/>
      </c>
      <c r="F219" s="35" t="str">
        <f t="shared" si="58"/>
        <v/>
      </c>
      <c r="G219" s="33" t="str">
        <f t="shared" si="59"/>
        <v/>
      </c>
      <c r="H219" s="35" t="str">
        <f t="shared" si="60"/>
        <v/>
      </c>
      <c r="I219" s="35" t="str">
        <f t="shared" si="61"/>
        <v/>
      </c>
      <c r="J219" s="35" t="str">
        <f t="shared" si="62"/>
        <v/>
      </c>
      <c r="K219" s="35" t="str">
        <f t="shared" si="63"/>
        <v/>
      </c>
      <c r="L219" s="35" t="str">
        <f t="shared" si="64"/>
        <v/>
      </c>
      <c r="M219" s="35" t="str">
        <f t="shared" si="65"/>
        <v/>
      </c>
      <c r="N219" s="36" t="str">
        <f t="shared" si="66"/>
        <v/>
      </c>
      <c r="O219" s="35" t="str">
        <f t="shared" si="67"/>
        <v/>
      </c>
      <c r="P219" s="35" t="str">
        <f t="shared" si="68"/>
        <v/>
      </c>
      <c r="Q219" s="35" t="str">
        <f t="shared" si="69"/>
        <v/>
      </c>
      <c r="R219" s="35" t="str">
        <f t="shared" si="70"/>
        <v/>
      </c>
      <c r="S219" s="33" t="str">
        <f t="shared" si="71"/>
        <v/>
      </c>
    </row>
    <row r="220" spans="1:19" x14ac:dyDescent="0.3">
      <c r="A220" s="37">
        <f>216</f>
        <v>216</v>
      </c>
      <c r="B220" s="38" t="str">
        <f t="shared" si="54"/>
        <v/>
      </c>
      <c r="C220" s="37" t="str">
        <f t="shared" si="55"/>
        <v/>
      </c>
      <c r="D220" s="37" t="str">
        <f t="shared" si="56"/>
        <v/>
      </c>
      <c r="E220" s="39" t="str">
        <f t="shared" si="57"/>
        <v/>
      </c>
      <c r="F220" s="39" t="str">
        <f t="shared" si="58"/>
        <v/>
      </c>
      <c r="G220" s="37" t="str">
        <f t="shared" si="59"/>
        <v/>
      </c>
      <c r="H220" s="39" t="str">
        <f t="shared" si="60"/>
        <v/>
      </c>
      <c r="I220" s="39" t="str">
        <f t="shared" si="61"/>
        <v/>
      </c>
      <c r="J220" s="39" t="str">
        <f t="shared" si="62"/>
        <v/>
      </c>
      <c r="K220" s="39" t="str">
        <f t="shared" si="63"/>
        <v/>
      </c>
      <c r="L220" s="39" t="str">
        <f t="shared" si="64"/>
        <v/>
      </c>
      <c r="M220" s="39" t="str">
        <f t="shared" si="65"/>
        <v/>
      </c>
      <c r="N220" s="40" t="str">
        <f t="shared" si="66"/>
        <v/>
      </c>
      <c r="O220" s="39" t="str">
        <f t="shared" si="67"/>
        <v/>
      </c>
      <c r="P220" s="39" t="str">
        <f t="shared" si="68"/>
        <v/>
      </c>
      <c r="Q220" s="39" t="str">
        <f t="shared" si="69"/>
        <v/>
      </c>
      <c r="R220" s="39" t="str">
        <f t="shared" si="70"/>
        <v/>
      </c>
      <c r="S220" s="37" t="str">
        <f t="shared" si="71"/>
        <v/>
      </c>
    </row>
    <row r="221" spans="1:19" x14ac:dyDescent="0.3">
      <c r="A221" s="33">
        <f>217</f>
        <v>217</v>
      </c>
      <c r="B221" s="34" t="str">
        <f t="shared" si="54"/>
        <v/>
      </c>
      <c r="C221" s="33" t="str">
        <f t="shared" si="55"/>
        <v/>
      </c>
      <c r="D221" s="33" t="str">
        <f t="shared" si="56"/>
        <v/>
      </c>
      <c r="E221" s="35" t="str">
        <f t="shared" si="57"/>
        <v/>
      </c>
      <c r="F221" s="35" t="str">
        <f t="shared" si="58"/>
        <v/>
      </c>
      <c r="G221" s="33" t="str">
        <f t="shared" si="59"/>
        <v/>
      </c>
      <c r="H221" s="35" t="str">
        <f t="shared" si="60"/>
        <v/>
      </c>
      <c r="I221" s="35" t="str">
        <f t="shared" si="61"/>
        <v/>
      </c>
      <c r="J221" s="35" t="str">
        <f t="shared" si="62"/>
        <v/>
      </c>
      <c r="K221" s="35" t="str">
        <f t="shared" si="63"/>
        <v/>
      </c>
      <c r="L221" s="35" t="str">
        <f t="shared" si="64"/>
        <v/>
      </c>
      <c r="M221" s="35" t="str">
        <f t="shared" si="65"/>
        <v/>
      </c>
      <c r="N221" s="36" t="str">
        <f t="shared" si="66"/>
        <v/>
      </c>
      <c r="O221" s="35" t="str">
        <f t="shared" si="67"/>
        <v/>
      </c>
      <c r="P221" s="35" t="str">
        <f t="shared" si="68"/>
        <v/>
      </c>
      <c r="Q221" s="35" t="str">
        <f t="shared" si="69"/>
        <v/>
      </c>
      <c r="R221" s="35" t="str">
        <f t="shared" si="70"/>
        <v/>
      </c>
      <c r="S221" s="33" t="str">
        <f t="shared" si="71"/>
        <v/>
      </c>
    </row>
    <row r="222" spans="1:19" x14ac:dyDescent="0.3">
      <c r="A222" s="33">
        <f>218</f>
        <v>218</v>
      </c>
      <c r="B222" s="34" t="str">
        <f t="shared" si="54"/>
        <v/>
      </c>
      <c r="C222" s="33" t="str">
        <f t="shared" si="55"/>
        <v/>
      </c>
      <c r="D222" s="33" t="str">
        <f t="shared" si="56"/>
        <v/>
      </c>
      <c r="E222" s="35" t="str">
        <f t="shared" si="57"/>
        <v/>
      </c>
      <c r="F222" s="35" t="str">
        <f t="shared" si="58"/>
        <v/>
      </c>
      <c r="G222" s="33" t="str">
        <f t="shared" si="59"/>
        <v/>
      </c>
      <c r="H222" s="35" t="str">
        <f t="shared" si="60"/>
        <v/>
      </c>
      <c r="I222" s="35" t="str">
        <f t="shared" si="61"/>
        <v/>
      </c>
      <c r="J222" s="35" t="str">
        <f t="shared" si="62"/>
        <v/>
      </c>
      <c r="K222" s="35" t="str">
        <f t="shared" si="63"/>
        <v/>
      </c>
      <c r="L222" s="35" t="str">
        <f t="shared" si="64"/>
        <v/>
      </c>
      <c r="M222" s="35" t="str">
        <f t="shared" si="65"/>
        <v/>
      </c>
      <c r="N222" s="36" t="str">
        <f t="shared" si="66"/>
        <v/>
      </c>
      <c r="O222" s="35" t="str">
        <f t="shared" si="67"/>
        <v/>
      </c>
      <c r="P222" s="35" t="str">
        <f t="shared" si="68"/>
        <v/>
      </c>
      <c r="Q222" s="35" t="str">
        <f t="shared" si="69"/>
        <v/>
      </c>
      <c r="R222" s="35" t="str">
        <f t="shared" si="70"/>
        <v/>
      </c>
      <c r="S222" s="33" t="str">
        <f t="shared" si="71"/>
        <v/>
      </c>
    </row>
    <row r="223" spans="1:19" x14ac:dyDescent="0.3">
      <c r="A223" s="33">
        <f>219</f>
        <v>219</v>
      </c>
      <c r="B223" s="34" t="str">
        <f t="shared" si="54"/>
        <v/>
      </c>
      <c r="C223" s="33" t="str">
        <f t="shared" si="55"/>
        <v/>
      </c>
      <c r="D223" s="33" t="str">
        <f t="shared" si="56"/>
        <v/>
      </c>
      <c r="E223" s="35" t="str">
        <f t="shared" si="57"/>
        <v/>
      </c>
      <c r="F223" s="35" t="str">
        <f t="shared" si="58"/>
        <v/>
      </c>
      <c r="G223" s="33" t="str">
        <f t="shared" si="59"/>
        <v/>
      </c>
      <c r="H223" s="35" t="str">
        <f t="shared" si="60"/>
        <v/>
      </c>
      <c r="I223" s="35" t="str">
        <f t="shared" si="61"/>
        <v/>
      </c>
      <c r="J223" s="35" t="str">
        <f t="shared" si="62"/>
        <v/>
      </c>
      <c r="K223" s="35" t="str">
        <f t="shared" si="63"/>
        <v/>
      </c>
      <c r="L223" s="35" t="str">
        <f t="shared" si="64"/>
        <v/>
      </c>
      <c r="M223" s="35" t="str">
        <f t="shared" si="65"/>
        <v/>
      </c>
      <c r="N223" s="36" t="str">
        <f t="shared" si="66"/>
        <v/>
      </c>
      <c r="O223" s="35" t="str">
        <f t="shared" si="67"/>
        <v/>
      </c>
      <c r="P223" s="35" t="str">
        <f t="shared" si="68"/>
        <v/>
      </c>
      <c r="Q223" s="35" t="str">
        <f t="shared" si="69"/>
        <v/>
      </c>
      <c r="R223" s="35" t="str">
        <f t="shared" si="70"/>
        <v/>
      </c>
      <c r="S223" s="33" t="str">
        <f t="shared" si="71"/>
        <v/>
      </c>
    </row>
    <row r="224" spans="1:19" x14ac:dyDescent="0.3">
      <c r="A224" s="33">
        <f>220</f>
        <v>220</v>
      </c>
      <c r="B224" s="34" t="str">
        <f t="shared" si="54"/>
        <v/>
      </c>
      <c r="C224" s="33" t="str">
        <f t="shared" si="55"/>
        <v/>
      </c>
      <c r="D224" s="33" t="str">
        <f t="shared" si="56"/>
        <v/>
      </c>
      <c r="E224" s="35" t="str">
        <f t="shared" si="57"/>
        <v/>
      </c>
      <c r="F224" s="35" t="str">
        <f t="shared" si="58"/>
        <v/>
      </c>
      <c r="G224" s="33" t="str">
        <f t="shared" si="59"/>
        <v/>
      </c>
      <c r="H224" s="35" t="str">
        <f t="shared" si="60"/>
        <v/>
      </c>
      <c r="I224" s="35" t="str">
        <f t="shared" si="61"/>
        <v/>
      </c>
      <c r="J224" s="35" t="str">
        <f t="shared" si="62"/>
        <v/>
      </c>
      <c r="K224" s="35" t="str">
        <f t="shared" si="63"/>
        <v/>
      </c>
      <c r="L224" s="35" t="str">
        <f t="shared" si="64"/>
        <v/>
      </c>
      <c r="M224" s="35" t="str">
        <f t="shared" si="65"/>
        <v/>
      </c>
      <c r="N224" s="36" t="str">
        <f t="shared" si="66"/>
        <v/>
      </c>
      <c r="O224" s="35" t="str">
        <f t="shared" si="67"/>
        <v/>
      </c>
      <c r="P224" s="35" t="str">
        <f t="shared" si="68"/>
        <v/>
      </c>
      <c r="Q224" s="35" t="str">
        <f t="shared" si="69"/>
        <v/>
      </c>
      <c r="R224" s="35" t="str">
        <f t="shared" si="70"/>
        <v/>
      </c>
      <c r="S224" s="33" t="str">
        <f t="shared" si="71"/>
        <v/>
      </c>
    </row>
    <row r="225" spans="1:19" x14ac:dyDescent="0.3">
      <c r="A225" s="33">
        <f>221</f>
        <v>221</v>
      </c>
      <c r="B225" s="34" t="str">
        <f t="shared" si="54"/>
        <v/>
      </c>
      <c r="C225" s="33" t="str">
        <f t="shared" si="55"/>
        <v/>
      </c>
      <c r="D225" s="33" t="str">
        <f t="shared" si="56"/>
        <v/>
      </c>
      <c r="E225" s="35" t="str">
        <f t="shared" si="57"/>
        <v/>
      </c>
      <c r="F225" s="35" t="str">
        <f t="shared" si="58"/>
        <v/>
      </c>
      <c r="G225" s="33" t="str">
        <f t="shared" si="59"/>
        <v/>
      </c>
      <c r="H225" s="35" t="str">
        <f t="shared" si="60"/>
        <v/>
      </c>
      <c r="I225" s="35" t="str">
        <f t="shared" si="61"/>
        <v/>
      </c>
      <c r="J225" s="35" t="str">
        <f t="shared" si="62"/>
        <v/>
      </c>
      <c r="K225" s="35" t="str">
        <f t="shared" si="63"/>
        <v/>
      </c>
      <c r="L225" s="35" t="str">
        <f t="shared" si="64"/>
        <v/>
      </c>
      <c r="M225" s="35" t="str">
        <f t="shared" si="65"/>
        <v/>
      </c>
      <c r="N225" s="36" t="str">
        <f t="shared" si="66"/>
        <v/>
      </c>
      <c r="O225" s="35" t="str">
        <f t="shared" si="67"/>
        <v/>
      </c>
      <c r="P225" s="35" t="str">
        <f t="shared" si="68"/>
        <v/>
      </c>
      <c r="Q225" s="35" t="str">
        <f t="shared" si="69"/>
        <v/>
      </c>
      <c r="R225" s="35" t="str">
        <f t="shared" si="70"/>
        <v/>
      </c>
      <c r="S225" s="33" t="str">
        <f t="shared" si="71"/>
        <v/>
      </c>
    </row>
    <row r="226" spans="1:19" x14ac:dyDescent="0.3">
      <c r="A226" s="33">
        <f>222</f>
        <v>222</v>
      </c>
      <c r="B226" s="34" t="str">
        <f t="shared" si="54"/>
        <v/>
      </c>
      <c r="C226" s="33" t="str">
        <f t="shared" si="55"/>
        <v/>
      </c>
      <c r="D226" s="33" t="str">
        <f t="shared" si="56"/>
        <v/>
      </c>
      <c r="E226" s="35" t="str">
        <f t="shared" si="57"/>
        <v/>
      </c>
      <c r="F226" s="35" t="str">
        <f t="shared" si="58"/>
        <v/>
      </c>
      <c r="G226" s="33" t="str">
        <f t="shared" si="59"/>
        <v/>
      </c>
      <c r="H226" s="35" t="str">
        <f t="shared" si="60"/>
        <v/>
      </c>
      <c r="I226" s="35" t="str">
        <f t="shared" si="61"/>
        <v/>
      </c>
      <c r="J226" s="35" t="str">
        <f t="shared" si="62"/>
        <v/>
      </c>
      <c r="K226" s="35" t="str">
        <f t="shared" si="63"/>
        <v/>
      </c>
      <c r="L226" s="35" t="str">
        <f t="shared" si="64"/>
        <v/>
      </c>
      <c r="M226" s="35" t="str">
        <f t="shared" si="65"/>
        <v/>
      </c>
      <c r="N226" s="36" t="str">
        <f t="shared" si="66"/>
        <v/>
      </c>
      <c r="O226" s="35" t="str">
        <f t="shared" si="67"/>
        <v/>
      </c>
      <c r="P226" s="35" t="str">
        <f t="shared" si="68"/>
        <v/>
      </c>
      <c r="Q226" s="35" t="str">
        <f t="shared" si="69"/>
        <v/>
      </c>
      <c r="R226" s="35" t="str">
        <f t="shared" si="70"/>
        <v/>
      </c>
      <c r="S226" s="33" t="str">
        <f t="shared" si="71"/>
        <v/>
      </c>
    </row>
    <row r="227" spans="1:19" x14ac:dyDescent="0.3">
      <c r="A227" s="33">
        <f>223</f>
        <v>223</v>
      </c>
      <c r="B227" s="34" t="str">
        <f t="shared" si="54"/>
        <v/>
      </c>
      <c r="C227" s="33" t="str">
        <f t="shared" si="55"/>
        <v/>
      </c>
      <c r="D227" s="33" t="str">
        <f t="shared" si="56"/>
        <v/>
      </c>
      <c r="E227" s="35" t="str">
        <f t="shared" si="57"/>
        <v/>
      </c>
      <c r="F227" s="35" t="str">
        <f t="shared" si="58"/>
        <v/>
      </c>
      <c r="G227" s="33" t="str">
        <f t="shared" si="59"/>
        <v/>
      </c>
      <c r="H227" s="35" t="str">
        <f t="shared" si="60"/>
        <v/>
      </c>
      <c r="I227" s="35" t="str">
        <f t="shared" si="61"/>
        <v/>
      </c>
      <c r="J227" s="35" t="str">
        <f t="shared" si="62"/>
        <v/>
      </c>
      <c r="K227" s="35" t="str">
        <f t="shared" si="63"/>
        <v/>
      </c>
      <c r="L227" s="35" t="str">
        <f t="shared" si="64"/>
        <v/>
      </c>
      <c r="M227" s="35" t="str">
        <f t="shared" si="65"/>
        <v/>
      </c>
      <c r="N227" s="36" t="str">
        <f t="shared" si="66"/>
        <v/>
      </c>
      <c r="O227" s="35" t="str">
        <f t="shared" si="67"/>
        <v/>
      </c>
      <c r="P227" s="35" t="str">
        <f t="shared" si="68"/>
        <v/>
      </c>
      <c r="Q227" s="35" t="str">
        <f t="shared" si="69"/>
        <v/>
      </c>
      <c r="R227" s="35" t="str">
        <f t="shared" si="70"/>
        <v/>
      </c>
      <c r="S227" s="33" t="str">
        <f t="shared" si="71"/>
        <v/>
      </c>
    </row>
    <row r="228" spans="1:19" x14ac:dyDescent="0.3">
      <c r="A228" s="33">
        <f>224</f>
        <v>224</v>
      </c>
      <c r="B228" s="34" t="str">
        <f t="shared" si="54"/>
        <v/>
      </c>
      <c r="C228" s="33" t="str">
        <f t="shared" si="55"/>
        <v/>
      </c>
      <c r="D228" s="33" t="str">
        <f t="shared" si="56"/>
        <v/>
      </c>
      <c r="E228" s="35" t="str">
        <f t="shared" si="57"/>
        <v/>
      </c>
      <c r="F228" s="35" t="str">
        <f t="shared" si="58"/>
        <v/>
      </c>
      <c r="G228" s="33" t="str">
        <f t="shared" si="59"/>
        <v/>
      </c>
      <c r="H228" s="35" t="str">
        <f t="shared" si="60"/>
        <v/>
      </c>
      <c r="I228" s="35" t="str">
        <f t="shared" si="61"/>
        <v/>
      </c>
      <c r="J228" s="35" t="str">
        <f t="shared" si="62"/>
        <v/>
      </c>
      <c r="K228" s="35" t="str">
        <f t="shared" si="63"/>
        <v/>
      </c>
      <c r="L228" s="35" t="str">
        <f t="shared" si="64"/>
        <v/>
      </c>
      <c r="M228" s="35" t="str">
        <f t="shared" si="65"/>
        <v/>
      </c>
      <c r="N228" s="36" t="str">
        <f t="shared" si="66"/>
        <v/>
      </c>
      <c r="O228" s="35" t="str">
        <f t="shared" si="67"/>
        <v/>
      </c>
      <c r="P228" s="35" t="str">
        <f t="shared" si="68"/>
        <v/>
      </c>
      <c r="Q228" s="35" t="str">
        <f t="shared" si="69"/>
        <v/>
      </c>
      <c r="R228" s="35" t="str">
        <f t="shared" si="70"/>
        <v/>
      </c>
      <c r="S228" s="33" t="str">
        <f t="shared" si="71"/>
        <v/>
      </c>
    </row>
    <row r="229" spans="1:19" x14ac:dyDescent="0.3">
      <c r="A229" s="33">
        <f>225</f>
        <v>225</v>
      </c>
      <c r="B229" s="34" t="str">
        <f t="shared" si="54"/>
        <v/>
      </c>
      <c r="C229" s="33" t="str">
        <f t="shared" si="55"/>
        <v/>
      </c>
      <c r="D229" s="33" t="str">
        <f t="shared" si="56"/>
        <v/>
      </c>
      <c r="E229" s="35" t="str">
        <f t="shared" si="57"/>
        <v/>
      </c>
      <c r="F229" s="35" t="str">
        <f t="shared" si="58"/>
        <v/>
      </c>
      <c r="G229" s="33" t="str">
        <f t="shared" si="59"/>
        <v/>
      </c>
      <c r="H229" s="35" t="str">
        <f t="shared" si="60"/>
        <v/>
      </c>
      <c r="I229" s="35" t="str">
        <f t="shared" si="61"/>
        <v/>
      </c>
      <c r="J229" s="35" t="str">
        <f t="shared" si="62"/>
        <v/>
      </c>
      <c r="K229" s="35" t="str">
        <f t="shared" si="63"/>
        <v/>
      </c>
      <c r="L229" s="35" t="str">
        <f t="shared" si="64"/>
        <v/>
      </c>
      <c r="M229" s="35" t="str">
        <f t="shared" si="65"/>
        <v/>
      </c>
      <c r="N229" s="36" t="str">
        <f t="shared" si="66"/>
        <v/>
      </c>
      <c r="O229" s="35" t="str">
        <f t="shared" si="67"/>
        <v/>
      </c>
      <c r="P229" s="35" t="str">
        <f t="shared" si="68"/>
        <v/>
      </c>
      <c r="Q229" s="35" t="str">
        <f t="shared" si="69"/>
        <v/>
      </c>
      <c r="R229" s="35" t="str">
        <f t="shared" si="70"/>
        <v/>
      </c>
      <c r="S229" s="33" t="str">
        <f t="shared" si="71"/>
        <v/>
      </c>
    </row>
    <row r="230" spans="1:19" x14ac:dyDescent="0.3">
      <c r="A230" s="33">
        <f>226</f>
        <v>226</v>
      </c>
      <c r="B230" s="34" t="str">
        <f t="shared" si="54"/>
        <v/>
      </c>
      <c r="C230" s="33" t="str">
        <f t="shared" si="55"/>
        <v/>
      </c>
      <c r="D230" s="33" t="str">
        <f t="shared" si="56"/>
        <v/>
      </c>
      <c r="E230" s="35" t="str">
        <f t="shared" si="57"/>
        <v/>
      </c>
      <c r="F230" s="35" t="str">
        <f t="shared" si="58"/>
        <v/>
      </c>
      <c r="G230" s="33" t="str">
        <f t="shared" si="59"/>
        <v/>
      </c>
      <c r="H230" s="35" t="str">
        <f t="shared" si="60"/>
        <v/>
      </c>
      <c r="I230" s="35" t="str">
        <f t="shared" si="61"/>
        <v/>
      </c>
      <c r="J230" s="35" t="str">
        <f t="shared" si="62"/>
        <v/>
      </c>
      <c r="K230" s="35" t="str">
        <f t="shared" si="63"/>
        <v/>
      </c>
      <c r="L230" s="35" t="str">
        <f t="shared" si="64"/>
        <v/>
      </c>
      <c r="M230" s="35" t="str">
        <f t="shared" si="65"/>
        <v/>
      </c>
      <c r="N230" s="36" t="str">
        <f t="shared" si="66"/>
        <v/>
      </c>
      <c r="O230" s="35" t="str">
        <f t="shared" si="67"/>
        <v/>
      </c>
      <c r="P230" s="35" t="str">
        <f t="shared" si="68"/>
        <v/>
      </c>
      <c r="Q230" s="35" t="str">
        <f t="shared" si="69"/>
        <v/>
      </c>
      <c r="R230" s="35" t="str">
        <f t="shared" si="70"/>
        <v/>
      </c>
      <c r="S230" s="33" t="str">
        <f t="shared" si="71"/>
        <v/>
      </c>
    </row>
    <row r="231" spans="1:19" x14ac:dyDescent="0.3">
      <c r="A231" s="33">
        <f>227</f>
        <v>227</v>
      </c>
      <c r="B231" s="34" t="str">
        <f t="shared" si="54"/>
        <v/>
      </c>
      <c r="C231" s="33" t="str">
        <f t="shared" si="55"/>
        <v/>
      </c>
      <c r="D231" s="33" t="str">
        <f t="shared" si="56"/>
        <v/>
      </c>
      <c r="E231" s="35" t="str">
        <f t="shared" si="57"/>
        <v/>
      </c>
      <c r="F231" s="35" t="str">
        <f t="shared" si="58"/>
        <v/>
      </c>
      <c r="G231" s="33" t="str">
        <f t="shared" si="59"/>
        <v/>
      </c>
      <c r="H231" s="35" t="str">
        <f t="shared" si="60"/>
        <v/>
      </c>
      <c r="I231" s="35" t="str">
        <f t="shared" si="61"/>
        <v/>
      </c>
      <c r="J231" s="35" t="str">
        <f t="shared" si="62"/>
        <v/>
      </c>
      <c r="K231" s="35" t="str">
        <f t="shared" si="63"/>
        <v/>
      </c>
      <c r="L231" s="35" t="str">
        <f t="shared" si="64"/>
        <v/>
      </c>
      <c r="M231" s="35" t="str">
        <f t="shared" si="65"/>
        <v/>
      </c>
      <c r="N231" s="36" t="str">
        <f t="shared" si="66"/>
        <v/>
      </c>
      <c r="O231" s="35" t="str">
        <f t="shared" si="67"/>
        <v/>
      </c>
      <c r="P231" s="35" t="str">
        <f t="shared" si="68"/>
        <v/>
      </c>
      <c r="Q231" s="35" t="str">
        <f t="shared" si="69"/>
        <v/>
      </c>
      <c r="R231" s="35" t="str">
        <f t="shared" si="70"/>
        <v/>
      </c>
      <c r="S231" s="33" t="str">
        <f t="shared" si="71"/>
        <v/>
      </c>
    </row>
    <row r="232" spans="1:19" x14ac:dyDescent="0.3">
      <c r="A232" s="37">
        <f>228</f>
        <v>228</v>
      </c>
      <c r="B232" s="38" t="str">
        <f t="shared" si="54"/>
        <v/>
      </c>
      <c r="C232" s="37" t="str">
        <f t="shared" si="55"/>
        <v/>
      </c>
      <c r="D232" s="37" t="str">
        <f t="shared" si="56"/>
        <v/>
      </c>
      <c r="E232" s="39" t="str">
        <f t="shared" si="57"/>
        <v/>
      </c>
      <c r="F232" s="39" t="str">
        <f t="shared" si="58"/>
        <v/>
      </c>
      <c r="G232" s="37" t="str">
        <f t="shared" si="59"/>
        <v/>
      </c>
      <c r="H232" s="39" t="str">
        <f t="shared" si="60"/>
        <v/>
      </c>
      <c r="I232" s="39" t="str">
        <f t="shared" si="61"/>
        <v/>
      </c>
      <c r="J232" s="39" t="str">
        <f t="shared" si="62"/>
        <v/>
      </c>
      <c r="K232" s="39" t="str">
        <f t="shared" si="63"/>
        <v/>
      </c>
      <c r="L232" s="39" t="str">
        <f t="shared" si="64"/>
        <v/>
      </c>
      <c r="M232" s="39" t="str">
        <f t="shared" si="65"/>
        <v/>
      </c>
      <c r="N232" s="40" t="str">
        <f t="shared" si="66"/>
        <v/>
      </c>
      <c r="O232" s="39" t="str">
        <f t="shared" si="67"/>
        <v/>
      </c>
      <c r="P232" s="39" t="str">
        <f t="shared" si="68"/>
        <v/>
      </c>
      <c r="Q232" s="39" t="str">
        <f t="shared" si="69"/>
        <v/>
      </c>
      <c r="R232" s="39" t="str">
        <f t="shared" si="70"/>
        <v/>
      </c>
      <c r="S232" s="37" t="str">
        <f t="shared" si="71"/>
        <v/>
      </c>
    </row>
    <row r="233" spans="1:19" x14ac:dyDescent="0.3">
      <c r="A233" s="33">
        <f>229</f>
        <v>229</v>
      </c>
      <c r="B233" s="34" t="str">
        <f t="shared" si="54"/>
        <v/>
      </c>
      <c r="C233" s="33" t="str">
        <f t="shared" si="55"/>
        <v/>
      </c>
      <c r="D233" s="33" t="str">
        <f t="shared" si="56"/>
        <v/>
      </c>
      <c r="E233" s="35" t="str">
        <f t="shared" si="57"/>
        <v/>
      </c>
      <c r="F233" s="35" t="str">
        <f t="shared" si="58"/>
        <v/>
      </c>
      <c r="G233" s="33" t="str">
        <f t="shared" si="59"/>
        <v/>
      </c>
      <c r="H233" s="35" t="str">
        <f t="shared" si="60"/>
        <v/>
      </c>
      <c r="I233" s="35" t="str">
        <f t="shared" si="61"/>
        <v/>
      </c>
      <c r="J233" s="35" t="str">
        <f t="shared" si="62"/>
        <v/>
      </c>
      <c r="K233" s="35" t="str">
        <f t="shared" si="63"/>
        <v/>
      </c>
      <c r="L233" s="35" t="str">
        <f t="shared" si="64"/>
        <v/>
      </c>
      <c r="M233" s="35" t="str">
        <f t="shared" si="65"/>
        <v/>
      </c>
      <c r="N233" s="36" t="str">
        <f t="shared" si="66"/>
        <v/>
      </c>
      <c r="O233" s="35" t="str">
        <f t="shared" si="67"/>
        <v/>
      </c>
      <c r="P233" s="35" t="str">
        <f t="shared" si="68"/>
        <v/>
      </c>
      <c r="Q233" s="35" t="str">
        <f t="shared" si="69"/>
        <v/>
      </c>
      <c r="R233" s="35" t="str">
        <f t="shared" si="70"/>
        <v/>
      </c>
      <c r="S233" s="33" t="str">
        <f t="shared" si="71"/>
        <v/>
      </c>
    </row>
    <row r="234" spans="1:19" x14ac:dyDescent="0.3">
      <c r="A234" s="33">
        <f>230</f>
        <v>230</v>
      </c>
      <c r="B234" s="34" t="str">
        <f t="shared" si="54"/>
        <v/>
      </c>
      <c r="C234" s="33" t="str">
        <f t="shared" si="55"/>
        <v/>
      </c>
      <c r="D234" s="33" t="str">
        <f t="shared" si="56"/>
        <v/>
      </c>
      <c r="E234" s="35" t="str">
        <f t="shared" si="57"/>
        <v/>
      </c>
      <c r="F234" s="35" t="str">
        <f t="shared" si="58"/>
        <v/>
      </c>
      <c r="G234" s="33" t="str">
        <f t="shared" si="59"/>
        <v/>
      </c>
      <c r="H234" s="35" t="str">
        <f t="shared" si="60"/>
        <v/>
      </c>
      <c r="I234" s="35" t="str">
        <f t="shared" si="61"/>
        <v/>
      </c>
      <c r="J234" s="35" t="str">
        <f t="shared" si="62"/>
        <v/>
      </c>
      <c r="K234" s="35" t="str">
        <f t="shared" si="63"/>
        <v/>
      </c>
      <c r="L234" s="35" t="str">
        <f t="shared" si="64"/>
        <v/>
      </c>
      <c r="M234" s="35" t="str">
        <f t="shared" si="65"/>
        <v/>
      </c>
      <c r="N234" s="36" t="str">
        <f t="shared" si="66"/>
        <v/>
      </c>
      <c r="O234" s="35" t="str">
        <f t="shared" si="67"/>
        <v/>
      </c>
      <c r="P234" s="35" t="str">
        <f t="shared" si="68"/>
        <v/>
      </c>
      <c r="Q234" s="35" t="str">
        <f t="shared" si="69"/>
        <v/>
      </c>
      <c r="R234" s="35" t="str">
        <f t="shared" si="70"/>
        <v/>
      </c>
      <c r="S234" s="33" t="str">
        <f t="shared" si="71"/>
        <v/>
      </c>
    </row>
    <row r="235" spans="1:19" x14ac:dyDescent="0.3">
      <c r="A235" s="33">
        <f>231</f>
        <v>231</v>
      </c>
      <c r="B235" s="34" t="str">
        <f t="shared" si="54"/>
        <v/>
      </c>
      <c r="C235" s="33" t="str">
        <f t="shared" si="55"/>
        <v/>
      </c>
      <c r="D235" s="33" t="str">
        <f t="shared" si="56"/>
        <v/>
      </c>
      <c r="E235" s="35" t="str">
        <f t="shared" si="57"/>
        <v/>
      </c>
      <c r="F235" s="35" t="str">
        <f t="shared" si="58"/>
        <v/>
      </c>
      <c r="G235" s="33" t="str">
        <f t="shared" si="59"/>
        <v/>
      </c>
      <c r="H235" s="35" t="str">
        <f t="shared" si="60"/>
        <v/>
      </c>
      <c r="I235" s="35" t="str">
        <f t="shared" si="61"/>
        <v/>
      </c>
      <c r="J235" s="35" t="str">
        <f t="shared" si="62"/>
        <v/>
      </c>
      <c r="K235" s="35" t="str">
        <f t="shared" si="63"/>
        <v/>
      </c>
      <c r="L235" s="35" t="str">
        <f t="shared" si="64"/>
        <v/>
      </c>
      <c r="M235" s="35" t="str">
        <f t="shared" si="65"/>
        <v/>
      </c>
      <c r="N235" s="36" t="str">
        <f t="shared" si="66"/>
        <v/>
      </c>
      <c r="O235" s="35" t="str">
        <f t="shared" si="67"/>
        <v/>
      </c>
      <c r="P235" s="35" t="str">
        <f t="shared" si="68"/>
        <v/>
      </c>
      <c r="Q235" s="35" t="str">
        <f t="shared" si="69"/>
        <v/>
      </c>
      <c r="R235" s="35" t="str">
        <f t="shared" si="70"/>
        <v/>
      </c>
      <c r="S235" s="33" t="str">
        <f t="shared" si="71"/>
        <v/>
      </c>
    </row>
    <row r="236" spans="1:19" x14ac:dyDescent="0.3">
      <c r="A236" s="33">
        <f>232</f>
        <v>232</v>
      </c>
      <c r="B236" s="34" t="str">
        <f t="shared" si="54"/>
        <v/>
      </c>
      <c r="C236" s="33" t="str">
        <f t="shared" si="55"/>
        <v/>
      </c>
      <c r="D236" s="33" t="str">
        <f t="shared" si="56"/>
        <v/>
      </c>
      <c r="E236" s="35" t="str">
        <f t="shared" si="57"/>
        <v/>
      </c>
      <c r="F236" s="35" t="str">
        <f t="shared" si="58"/>
        <v/>
      </c>
      <c r="G236" s="33" t="str">
        <f t="shared" si="59"/>
        <v/>
      </c>
      <c r="H236" s="35" t="str">
        <f t="shared" si="60"/>
        <v/>
      </c>
      <c r="I236" s="35" t="str">
        <f t="shared" si="61"/>
        <v/>
      </c>
      <c r="J236" s="35" t="str">
        <f t="shared" si="62"/>
        <v/>
      </c>
      <c r="K236" s="35" t="str">
        <f t="shared" si="63"/>
        <v/>
      </c>
      <c r="L236" s="35" t="str">
        <f t="shared" si="64"/>
        <v/>
      </c>
      <c r="M236" s="35" t="str">
        <f t="shared" si="65"/>
        <v/>
      </c>
      <c r="N236" s="36" t="str">
        <f t="shared" si="66"/>
        <v/>
      </c>
      <c r="O236" s="35" t="str">
        <f t="shared" si="67"/>
        <v/>
      </c>
      <c r="P236" s="35" t="str">
        <f t="shared" si="68"/>
        <v/>
      </c>
      <c r="Q236" s="35" t="str">
        <f t="shared" si="69"/>
        <v/>
      </c>
      <c r="R236" s="35" t="str">
        <f t="shared" si="70"/>
        <v/>
      </c>
      <c r="S236" s="33" t="str">
        <f t="shared" si="71"/>
        <v/>
      </c>
    </row>
    <row r="237" spans="1:19" x14ac:dyDescent="0.3">
      <c r="A237" s="33">
        <f>233</f>
        <v>233</v>
      </c>
      <c r="B237" s="34" t="str">
        <f t="shared" si="54"/>
        <v/>
      </c>
      <c r="C237" s="33" t="str">
        <f t="shared" si="55"/>
        <v/>
      </c>
      <c r="D237" s="33" t="str">
        <f t="shared" si="56"/>
        <v/>
      </c>
      <c r="E237" s="35" t="str">
        <f t="shared" si="57"/>
        <v/>
      </c>
      <c r="F237" s="35" t="str">
        <f t="shared" si="58"/>
        <v/>
      </c>
      <c r="G237" s="33" t="str">
        <f t="shared" si="59"/>
        <v/>
      </c>
      <c r="H237" s="35" t="str">
        <f t="shared" si="60"/>
        <v/>
      </c>
      <c r="I237" s="35" t="str">
        <f t="shared" si="61"/>
        <v/>
      </c>
      <c r="J237" s="35" t="str">
        <f t="shared" si="62"/>
        <v/>
      </c>
      <c r="K237" s="35" t="str">
        <f t="shared" si="63"/>
        <v/>
      </c>
      <c r="L237" s="35" t="str">
        <f t="shared" si="64"/>
        <v/>
      </c>
      <c r="M237" s="35" t="str">
        <f t="shared" si="65"/>
        <v/>
      </c>
      <c r="N237" s="36" t="str">
        <f t="shared" si="66"/>
        <v/>
      </c>
      <c r="O237" s="35" t="str">
        <f t="shared" si="67"/>
        <v/>
      </c>
      <c r="P237" s="35" t="str">
        <f t="shared" si="68"/>
        <v/>
      </c>
      <c r="Q237" s="35" t="str">
        <f t="shared" si="69"/>
        <v/>
      </c>
      <c r="R237" s="35" t="str">
        <f t="shared" si="70"/>
        <v/>
      </c>
      <c r="S237" s="33" t="str">
        <f t="shared" si="71"/>
        <v/>
      </c>
    </row>
    <row r="238" spans="1:19" x14ac:dyDescent="0.3">
      <c r="A238" s="33">
        <f>234</f>
        <v>234</v>
      </c>
      <c r="B238" s="34" t="str">
        <f t="shared" si="54"/>
        <v/>
      </c>
      <c r="C238" s="33" t="str">
        <f t="shared" si="55"/>
        <v/>
      </c>
      <c r="D238" s="33" t="str">
        <f t="shared" si="56"/>
        <v/>
      </c>
      <c r="E238" s="35" t="str">
        <f t="shared" si="57"/>
        <v/>
      </c>
      <c r="F238" s="35" t="str">
        <f t="shared" si="58"/>
        <v/>
      </c>
      <c r="G238" s="33" t="str">
        <f t="shared" si="59"/>
        <v/>
      </c>
      <c r="H238" s="35" t="str">
        <f t="shared" si="60"/>
        <v/>
      </c>
      <c r="I238" s="35" t="str">
        <f t="shared" si="61"/>
        <v/>
      </c>
      <c r="J238" s="35" t="str">
        <f t="shared" si="62"/>
        <v/>
      </c>
      <c r="K238" s="35" t="str">
        <f t="shared" si="63"/>
        <v/>
      </c>
      <c r="L238" s="35" t="str">
        <f t="shared" si="64"/>
        <v/>
      </c>
      <c r="M238" s="35" t="str">
        <f t="shared" si="65"/>
        <v/>
      </c>
      <c r="N238" s="36" t="str">
        <f t="shared" si="66"/>
        <v/>
      </c>
      <c r="O238" s="35" t="str">
        <f t="shared" si="67"/>
        <v/>
      </c>
      <c r="P238" s="35" t="str">
        <f t="shared" si="68"/>
        <v/>
      </c>
      <c r="Q238" s="35" t="str">
        <f t="shared" si="69"/>
        <v/>
      </c>
      <c r="R238" s="35" t="str">
        <f t="shared" si="70"/>
        <v/>
      </c>
      <c r="S238" s="33" t="str">
        <f t="shared" si="71"/>
        <v/>
      </c>
    </row>
    <row r="239" spans="1:19" x14ac:dyDescent="0.3">
      <c r="A239" s="33">
        <f>235</f>
        <v>235</v>
      </c>
      <c r="B239" s="34" t="str">
        <f t="shared" si="54"/>
        <v/>
      </c>
      <c r="C239" s="33" t="str">
        <f t="shared" si="55"/>
        <v/>
      </c>
      <c r="D239" s="33" t="str">
        <f t="shared" si="56"/>
        <v/>
      </c>
      <c r="E239" s="35" t="str">
        <f t="shared" si="57"/>
        <v/>
      </c>
      <c r="F239" s="35" t="str">
        <f t="shared" si="58"/>
        <v/>
      </c>
      <c r="G239" s="33" t="str">
        <f t="shared" si="59"/>
        <v/>
      </c>
      <c r="H239" s="35" t="str">
        <f t="shared" si="60"/>
        <v/>
      </c>
      <c r="I239" s="35" t="str">
        <f t="shared" si="61"/>
        <v/>
      </c>
      <c r="J239" s="35" t="str">
        <f t="shared" si="62"/>
        <v/>
      </c>
      <c r="K239" s="35" t="str">
        <f t="shared" si="63"/>
        <v/>
      </c>
      <c r="L239" s="35" t="str">
        <f t="shared" si="64"/>
        <v/>
      </c>
      <c r="M239" s="35" t="str">
        <f t="shared" si="65"/>
        <v/>
      </c>
      <c r="N239" s="36" t="str">
        <f t="shared" si="66"/>
        <v/>
      </c>
      <c r="O239" s="35" t="str">
        <f t="shared" si="67"/>
        <v/>
      </c>
      <c r="P239" s="35" t="str">
        <f t="shared" si="68"/>
        <v/>
      </c>
      <c r="Q239" s="35" t="str">
        <f t="shared" si="69"/>
        <v/>
      </c>
      <c r="R239" s="35" t="str">
        <f t="shared" si="70"/>
        <v/>
      </c>
      <c r="S239" s="33" t="str">
        <f t="shared" si="71"/>
        <v/>
      </c>
    </row>
    <row r="240" spans="1:19" x14ac:dyDescent="0.3">
      <c r="A240" s="33">
        <f>236</f>
        <v>236</v>
      </c>
      <c r="B240" s="34" t="str">
        <f t="shared" si="54"/>
        <v/>
      </c>
      <c r="C240" s="33" t="str">
        <f t="shared" si="55"/>
        <v/>
      </c>
      <c r="D240" s="33" t="str">
        <f t="shared" si="56"/>
        <v/>
      </c>
      <c r="E240" s="35" t="str">
        <f t="shared" si="57"/>
        <v/>
      </c>
      <c r="F240" s="35" t="str">
        <f t="shared" si="58"/>
        <v/>
      </c>
      <c r="G240" s="33" t="str">
        <f t="shared" si="59"/>
        <v/>
      </c>
      <c r="H240" s="35" t="str">
        <f t="shared" si="60"/>
        <v/>
      </c>
      <c r="I240" s="35" t="str">
        <f t="shared" si="61"/>
        <v/>
      </c>
      <c r="J240" s="35" t="str">
        <f t="shared" si="62"/>
        <v/>
      </c>
      <c r="K240" s="35" t="str">
        <f t="shared" si="63"/>
        <v/>
      </c>
      <c r="L240" s="35" t="str">
        <f t="shared" si="64"/>
        <v/>
      </c>
      <c r="M240" s="35" t="str">
        <f t="shared" si="65"/>
        <v/>
      </c>
      <c r="N240" s="36" t="str">
        <f t="shared" si="66"/>
        <v/>
      </c>
      <c r="O240" s="35" t="str">
        <f t="shared" si="67"/>
        <v/>
      </c>
      <c r="P240" s="35" t="str">
        <f t="shared" si="68"/>
        <v/>
      </c>
      <c r="Q240" s="35" t="str">
        <f t="shared" si="69"/>
        <v/>
      </c>
      <c r="R240" s="35" t="str">
        <f t="shared" si="70"/>
        <v/>
      </c>
      <c r="S240" s="33" t="str">
        <f t="shared" si="71"/>
        <v/>
      </c>
    </row>
    <row r="241" spans="1:19" x14ac:dyDescent="0.3">
      <c r="A241" s="33">
        <f>237</f>
        <v>237</v>
      </c>
      <c r="B241" s="34" t="str">
        <f t="shared" si="54"/>
        <v/>
      </c>
      <c r="C241" s="33" t="str">
        <f t="shared" si="55"/>
        <v/>
      </c>
      <c r="D241" s="33" t="str">
        <f t="shared" si="56"/>
        <v/>
      </c>
      <c r="E241" s="35" t="str">
        <f t="shared" si="57"/>
        <v/>
      </c>
      <c r="F241" s="35" t="str">
        <f t="shared" si="58"/>
        <v/>
      </c>
      <c r="G241" s="33" t="str">
        <f t="shared" si="59"/>
        <v/>
      </c>
      <c r="H241" s="35" t="str">
        <f t="shared" si="60"/>
        <v/>
      </c>
      <c r="I241" s="35" t="str">
        <f t="shared" si="61"/>
        <v/>
      </c>
      <c r="J241" s="35" t="str">
        <f t="shared" si="62"/>
        <v/>
      </c>
      <c r="K241" s="35" t="str">
        <f t="shared" si="63"/>
        <v/>
      </c>
      <c r="L241" s="35" t="str">
        <f t="shared" si="64"/>
        <v/>
      </c>
      <c r="M241" s="35" t="str">
        <f t="shared" si="65"/>
        <v/>
      </c>
      <c r="N241" s="36" t="str">
        <f t="shared" si="66"/>
        <v/>
      </c>
      <c r="O241" s="35" t="str">
        <f t="shared" si="67"/>
        <v/>
      </c>
      <c r="P241" s="35" t="str">
        <f t="shared" si="68"/>
        <v/>
      </c>
      <c r="Q241" s="35" t="str">
        <f t="shared" si="69"/>
        <v/>
      </c>
      <c r="R241" s="35" t="str">
        <f t="shared" si="70"/>
        <v/>
      </c>
      <c r="S241" s="33" t="str">
        <f t="shared" si="71"/>
        <v/>
      </c>
    </row>
    <row r="242" spans="1:19" x14ac:dyDescent="0.3">
      <c r="A242" s="33">
        <f>238</f>
        <v>238</v>
      </c>
      <c r="B242" s="34" t="str">
        <f t="shared" si="54"/>
        <v/>
      </c>
      <c r="C242" s="33" t="str">
        <f t="shared" si="55"/>
        <v/>
      </c>
      <c r="D242" s="33" t="str">
        <f t="shared" si="56"/>
        <v/>
      </c>
      <c r="E242" s="35" t="str">
        <f t="shared" si="57"/>
        <v/>
      </c>
      <c r="F242" s="35" t="str">
        <f t="shared" si="58"/>
        <v/>
      </c>
      <c r="G242" s="33" t="str">
        <f t="shared" si="59"/>
        <v/>
      </c>
      <c r="H242" s="35" t="str">
        <f t="shared" si="60"/>
        <v/>
      </c>
      <c r="I242" s="35" t="str">
        <f t="shared" si="61"/>
        <v/>
      </c>
      <c r="J242" s="35" t="str">
        <f t="shared" si="62"/>
        <v/>
      </c>
      <c r="K242" s="35" t="str">
        <f t="shared" si="63"/>
        <v/>
      </c>
      <c r="L242" s="35" t="str">
        <f t="shared" si="64"/>
        <v/>
      </c>
      <c r="M242" s="35" t="str">
        <f t="shared" si="65"/>
        <v/>
      </c>
      <c r="N242" s="36" t="str">
        <f t="shared" si="66"/>
        <v/>
      </c>
      <c r="O242" s="35" t="str">
        <f t="shared" si="67"/>
        <v/>
      </c>
      <c r="P242" s="35" t="str">
        <f t="shared" si="68"/>
        <v/>
      </c>
      <c r="Q242" s="35" t="str">
        <f t="shared" si="69"/>
        <v/>
      </c>
      <c r="R242" s="35" t="str">
        <f t="shared" si="70"/>
        <v/>
      </c>
      <c r="S242" s="33" t="str">
        <f t="shared" si="71"/>
        <v/>
      </c>
    </row>
    <row r="243" spans="1:19" x14ac:dyDescent="0.3">
      <c r="A243" s="33">
        <f>239</f>
        <v>239</v>
      </c>
      <c r="B243" s="34" t="str">
        <f t="shared" si="54"/>
        <v/>
      </c>
      <c r="C243" s="33" t="str">
        <f t="shared" si="55"/>
        <v/>
      </c>
      <c r="D243" s="33" t="str">
        <f t="shared" si="56"/>
        <v/>
      </c>
      <c r="E243" s="35" t="str">
        <f t="shared" si="57"/>
        <v/>
      </c>
      <c r="F243" s="35" t="str">
        <f t="shared" si="58"/>
        <v/>
      </c>
      <c r="G243" s="33" t="str">
        <f t="shared" si="59"/>
        <v/>
      </c>
      <c r="H243" s="35" t="str">
        <f t="shared" si="60"/>
        <v/>
      </c>
      <c r="I243" s="35" t="str">
        <f t="shared" si="61"/>
        <v/>
      </c>
      <c r="J243" s="35" t="str">
        <f t="shared" si="62"/>
        <v/>
      </c>
      <c r="K243" s="35" t="str">
        <f t="shared" si="63"/>
        <v/>
      </c>
      <c r="L243" s="35" t="str">
        <f t="shared" si="64"/>
        <v/>
      </c>
      <c r="M243" s="35" t="str">
        <f t="shared" si="65"/>
        <v/>
      </c>
      <c r="N243" s="36" t="str">
        <f t="shared" si="66"/>
        <v/>
      </c>
      <c r="O243" s="35" t="str">
        <f t="shared" si="67"/>
        <v/>
      </c>
      <c r="P243" s="35" t="str">
        <f t="shared" si="68"/>
        <v/>
      </c>
      <c r="Q243" s="35" t="str">
        <f t="shared" si="69"/>
        <v/>
      </c>
      <c r="R243" s="35" t="str">
        <f t="shared" si="70"/>
        <v/>
      </c>
      <c r="S243" s="33" t="str">
        <f t="shared" si="71"/>
        <v/>
      </c>
    </row>
    <row r="244" spans="1:19" x14ac:dyDescent="0.3">
      <c r="A244" s="37">
        <f>240</f>
        <v>240</v>
      </c>
      <c r="B244" s="38" t="str">
        <f t="shared" si="54"/>
        <v/>
      </c>
      <c r="C244" s="37" t="str">
        <f t="shared" si="55"/>
        <v/>
      </c>
      <c r="D244" s="37" t="str">
        <f t="shared" si="56"/>
        <v/>
      </c>
      <c r="E244" s="39" t="str">
        <f t="shared" si="57"/>
        <v/>
      </c>
      <c r="F244" s="39" t="str">
        <f t="shared" si="58"/>
        <v/>
      </c>
      <c r="G244" s="37" t="str">
        <f t="shared" si="59"/>
        <v/>
      </c>
      <c r="H244" s="39" t="str">
        <f t="shared" si="60"/>
        <v/>
      </c>
      <c r="I244" s="39" t="str">
        <f t="shared" si="61"/>
        <v/>
      </c>
      <c r="J244" s="39" t="str">
        <f t="shared" si="62"/>
        <v/>
      </c>
      <c r="K244" s="39" t="str">
        <f t="shared" si="63"/>
        <v/>
      </c>
      <c r="L244" s="39" t="str">
        <f t="shared" si="64"/>
        <v/>
      </c>
      <c r="M244" s="39" t="str">
        <f t="shared" si="65"/>
        <v/>
      </c>
      <c r="N244" s="40" t="str">
        <f t="shared" si="66"/>
        <v/>
      </c>
      <c r="O244" s="39" t="str">
        <f t="shared" si="67"/>
        <v/>
      </c>
      <c r="P244" s="39" t="str">
        <f t="shared" si="68"/>
        <v/>
      </c>
      <c r="Q244" s="39" t="str">
        <f t="shared" si="69"/>
        <v/>
      </c>
      <c r="R244" s="39" t="str">
        <f t="shared" si="70"/>
        <v/>
      </c>
      <c r="S244" s="37" t="str">
        <f t="shared" si="71"/>
        <v/>
      </c>
    </row>
    <row r="245" spans="1:19" x14ac:dyDescent="0.3">
      <c r="A245" s="33">
        <f>241</f>
        <v>241</v>
      </c>
      <c r="B245" s="34" t="str">
        <f t="shared" si="54"/>
        <v/>
      </c>
      <c r="C245" s="33" t="str">
        <f t="shared" si="55"/>
        <v/>
      </c>
      <c r="D245" s="33" t="str">
        <f t="shared" si="56"/>
        <v/>
      </c>
      <c r="E245" s="35" t="str">
        <f t="shared" si="57"/>
        <v/>
      </c>
      <c r="F245" s="35" t="str">
        <f t="shared" si="58"/>
        <v/>
      </c>
      <c r="G245" s="33" t="str">
        <f t="shared" si="59"/>
        <v/>
      </c>
      <c r="H245" s="35" t="str">
        <f t="shared" si="60"/>
        <v/>
      </c>
      <c r="I245" s="35" t="str">
        <f t="shared" si="61"/>
        <v/>
      </c>
      <c r="J245" s="35" t="str">
        <f t="shared" si="62"/>
        <v/>
      </c>
      <c r="K245" s="35" t="str">
        <f t="shared" si="63"/>
        <v/>
      </c>
      <c r="L245" s="35" t="str">
        <f t="shared" si="64"/>
        <v/>
      </c>
      <c r="M245" s="35" t="str">
        <f t="shared" si="65"/>
        <v/>
      </c>
      <c r="N245" s="36" t="str">
        <f t="shared" si="66"/>
        <v/>
      </c>
      <c r="O245" s="35" t="str">
        <f t="shared" si="67"/>
        <v/>
      </c>
      <c r="P245" s="35" t="str">
        <f t="shared" si="68"/>
        <v/>
      </c>
      <c r="Q245" s="35" t="str">
        <f t="shared" si="69"/>
        <v/>
      </c>
      <c r="R245" s="35" t="str">
        <f t="shared" si="70"/>
        <v/>
      </c>
      <c r="S245" s="33" t="str">
        <f t="shared" si="71"/>
        <v/>
      </c>
    </row>
    <row r="246" spans="1:19" x14ac:dyDescent="0.3">
      <c r="A246" s="33">
        <f>242</f>
        <v>242</v>
      </c>
      <c r="B246" s="34" t="str">
        <f t="shared" si="54"/>
        <v/>
      </c>
      <c r="C246" s="33" t="str">
        <f t="shared" si="55"/>
        <v/>
      </c>
      <c r="D246" s="33" t="str">
        <f t="shared" si="56"/>
        <v/>
      </c>
      <c r="E246" s="35" t="str">
        <f t="shared" si="57"/>
        <v/>
      </c>
      <c r="F246" s="35" t="str">
        <f t="shared" si="58"/>
        <v/>
      </c>
      <c r="G246" s="33" t="str">
        <f t="shared" si="59"/>
        <v/>
      </c>
      <c r="H246" s="35" t="str">
        <f t="shared" si="60"/>
        <v/>
      </c>
      <c r="I246" s="35" t="str">
        <f t="shared" si="61"/>
        <v/>
      </c>
      <c r="J246" s="35" t="str">
        <f t="shared" si="62"/>
        <v/>
      </c>
      <c r="K246" s="35" t="str">
        <f t="shared" si="63"/>
        <v/>
      </c>
      <c r="L246" s="35" t="str">
        <f t="shared" si="64"/>
        <v/>
      </c>
      <c r="M246" s="35" t="str">
        <f t="shared" si="65"/>
        <v/>
      </c>
      <c r="N246" s="36" t="str">
        <f t="shared" si="66"/>
        <v/>
      </c>
      <c r="O246" s="35" t="str">
        <f t="shared" si="67"/>
        <v/>
      </c>
      <c r="P246" s="35" t="str">
        <f t="shared" si="68"/>
        <v/>
      </c>
      <c r="Q246" s="35" t="str">
        <f t="shared" si="69"/>
        <v/>
      </c>
      <c r="R246" s="35" t="str">
        <f t="shared" si="70"/>
        <v/>
      </c>
      <c r="S246" s="33" t="str">
        <f t="shared" si="71"/>
        <v/>
      </c>
    </row>
    <row r="247" spans="1:19" x14ac:dyDescent="0.3">
      <c r="A247" s="33">
        <f>243</f>
        <v>243</v>
      </c>
      <c r="B247" s="34" t="str">
        <f t="shared" si="54"/>
        <v/>
      </c>
      <c r="C247" s="33" t="str">
        <f t="shared" si="55"/>
        <v/>
      </c>
      <c r="D247" s="33" t="str">
        <f t="shared" si="56"/>
        <v/>
      </c>
      <c r="E247" s="35" t="str">
        <f t="shared" si="57"/>
        <v/>
      </c>
      <c r="F247" s="35" t="str">
        <f t="shared" si="58"/>
        <v/>
      </c>
      <c r="G247" s="33" t="str">
        <f t="shared" si="59"/>
        <v/>
      </c>
      <c r="H247" s="35" t="str">
        <f t="shared" si="60"/>
        <v/>
      </c>
      <c r="I247" s="35" t="str">
        <f t="shared" si="61"/>
        <v/>
      </c>
      <c r="J247" s="35" t="str">
        <f t="shared" si="62"/>
        <v/>
      </c>
      <c r="K247" s="35" t="str">
        <f t="shared" si="63"/>
        <v/>
      </c>
      <c r="L247" s="35" t="str">
        <f t="shared" si="64"/>
        <v/>
      </c>
      <c r="M247" s="35" t="str">
        <f t="shared" si="65"/>
        <v/>
      </c>
      <c r="N247" s="36" t="str">
        <f t="shared" si="66"/>
        <v/>
      </c>
      <c r="O247" s="35" t="str">
        <f t="shared" si="67"/>
        <v/>
      </c>
      <c r="P247" s="35" t="str">
        <f t="shared" si="68"/>
        <v/>
      </c>
      <c r="Q247" s="35" t="str">
        <f t="shared" si="69"/>
        <v/>
      </c>
      <c r="R247" s="35" t="str">
        <f t="shared" si="70"/>
        <v/>
      </c>
      <c r="S247" s="33" t="str">
        <f t="shared" si="71"/>
        <v/>
      </c>
    </row>
    <row r="248" spans="1:19" x14ac:dyDescent="0.3">
      <c r="A248" s="33">
        <f>244</f>
        <v>244</v>
      </c>
      <c r="B248" s="34" t="str">
        <f t="shared" si="54"/>
        <v/>
      </c>
      <c r="C248" s="33" t="str">
        <f t="shared" si="55"/>
        <v/>
      </c>
      <c r="D248" s="33" t="str">
        <f t="shared" si="56"/>
        <v/>
      </c>
      <c r="E248" s="35" t="str">
        <f t="shared" si="57"/>
        <v/>
      </c>
      <c r="F248" s="35" t="str">
        <f t="shared" si="58"/>
        <v/>
      </c>
      <c r="G248" s="33" t="str">
        <f t="shared" si="59"/>
        <v/>
      </c>
      <c r="H248" s="35" t="str">
        <f t="shared" si="60"/>
        <v/>
      </c>
      <c r="I248" s="35" t="str">
        <f t="shared" si="61"/>
        <v/>
      </c>
      <c r="J248" s="35" t="str">
        <f t="shared" si="62"/>
        <v/>
      </c>
      <c r="K248" s="35" t="str">
        <f t="shared" si="63"/>
        <v/>
      </c>
      <c r="L248" s="35" t="str">
        <f t="shared" si="64"/>
        <v/>
      </c>
      <c r="M248" s="35" t="str">
        <f t="shared" si="65"/>
        <v/>
      </c>
      <c r="N248" s="36" t="str">
        <f t="shared" si="66"/>
        <v/>
      </c>
      <c r="O248" s="35" t="str">
        <f t="shared" si="67"/>
        <v/>
      </c>
      <c r="P248" s="35" t="str">
        <f t="shared" si="68"/>
        <v/>
      </c>
      <c r="Q248" s="35" t="str">
        <f t="shared" si="69"/>
        <v/>
      </c>
      <c r="R248" s="35" t="str">
        <f t="shared" si="70"/>
        <v/>
      </c>
      <c r="S248" s="33" t="str">
        <f t="shared" si="71"/>
        <v/>
      </c>
    </row>
    <row r="249" spans="1:19" x14ac:dyDescent="0.3">
      <c r="A249" s="33">
        <f>245</f>
        <v>245</v>
      </c>
      <c r="B249" s="34" t="str">
        <f t="shared" si="54"/>
        <v/>
      </c>
      <c r="C249" s="33" t="str">
        <f t="shared" si="55"/>
        <v/>
      </c>
      <c r="D249" s="33" t="str">
        <f t="shared" si="56"/>
        <v/>
      </c>
      <c r="E249" s="35" t="str">
        <f t="shared" si="57"/>
        <v/>
      </c>
      <c r="F249" s="35" t="str">
        <f t="shared" si="58"/>
        <v/>
      </c>
      <c r="G249" s="33" t="str">
        <f t="shared" si="59"/>
        <v/>
      </c>
      <c r="H249" s="35" t="str">
        <f t="shared" si="60"/>
        <v/>
      </c>
      <c r="I249" s="35" t="str">
        <f t="shared" si="61"/>
        <v/>
      </c>
      <c r="J249" s="35" t="str">
        <f t="shared" si="62"/>
        <v/>
      </c>
      <c r="K249" s="35" t="str">
        <f t="shared" si="63"/>
        <v/>
      </c>
      <c r="L249" s="35" t="str">
        <f t="shared" si="64"/>
        <v/>
      </c>
      <c r="M249" s="35" t="str">
        <f t="shared" si="65"/>
        <v/>
      </c>
      <c r="N249" s="36" t="str">
        <f t="shared" si="66"/>
        <v/>
      </c>
      <c r="O249" s="35" t="str">
        <f t="shared" si="67"/>
        <v/>
      </c>
      <c r="P249" s="35" t="str">
        <f t="shared" si="68"/>
        <v/>
      </c>
      <c r="Q249" s="35" t="str">
        <f t="shared" si="69"/>
        <v/>
      </c>
      <c r="R249" s="35" t="str">
        <f t="shared" si="70"/>
        <v/>
      </c>
      <c r="S249" s="33" t="str">
        <f t="shared" si="71"/>
        <v/>
      </c>
    </row>
    <row r="250" spans="1:19" x14ac:dyDescent="0.3">
      <c r="A250" s="33">
        <f>246</f>
        <v>246</v>
      </c>
      <c r="B250" s="34" t="str">
        <f t="shared" si="54"/>
        <v/>
      </c>
      <c r="C250" s="33" t="str">
        <f t="shared" si="55"/>
        <v/>
      </c>
      <c r="D250" s="33" t="str">
        <f t="shared" si="56"/>
        <v/>
      </c>
      <c r="E250" s="35" t="str">
        <f t="shared" si="57"/>
        <v/>
      </c>
      <c r="F250" s="35" t="str">
        <f t="shared" si="58"/>
        <v/>
      </c>
      <c r="G250" s="33" t="str">
        <f t="shared" si="59"/>
        <v/>
      </c>
      <c r="H250" s="35" t="str">
        <f t="shared" si="60"/>
        <v/>
      </c>
      <c r="I250" s="35" t="str">
        <f t="shared" si="61"/>
        <v/>
      </c>
      <c r="J250" s="35" t="str">
        <f t="shared" si="62"/>
        <v/>
      </c>
      <c r="K250" s="35" t="str">
        <f t="shared" si="63"/>
        <v/>
      </c>
      <c r="L250" s="35" t="str">
        <f t="shared" si="64"/>
        <v/>
      </c>
      <c r="M250" s="35" t="str">
        <f t="shared" si="65"/>
        <v/>
      </c>
      <c r="N250" s="36" t="str">
        <f t="shared" si="66"/>
        <v/>
      </c>
      <c r="O250" s="35" t="str">
        <f t="shared" si="67"/>
        <v/>
      </c>
      <c r="P250" s="35" t="str">
        <f t="shared" si="68"/>
        <v/>
      </c>
      <c r="Q250" s="35" t="str">
        <f t="shared" si="69"/>
        <v/>
      </c>
      <c r="R250" s="35" t="str">
        <f t="shared" si="70"/>
        <v/>
      </c>
      <c r="S250" s="33" t="str">
        <f t="shared" si="71"/>
        <v/>
      </c>
    </row>
    <row r="251" spans="1:19" x14ac:dyDescent="0.3">
      <c r="A251" s="33">
        <f>247</f>
        <v>247</v>
      </c>
      <c r="B251" s="34" t="str">
        <f t="shared" si="54"/>
        <v/>
      </c>
      <c r="C251" s="33" t="str">
        <f t="shared" si="55"/>
        <v/>
      </c>
      <c r="D251" s="33" t="str">
        <f t="shared" si="56"/>
        <v/>
      </c>
      <c r="E251" s="35" t="str">
        <f t="shared" si="57"/>
        <v/>
      </c>
      <c r="F251" s="35" t="str">
        <f t="shared" si="58"/>
        <v/>
      </c>
      <c r="G251" s="33" t="str">
        <f t="shared" si="59"/>
        <v/>
      </c>
      <c r="H251" s="35" t="str">
        <f t="shared" si="60"/>
        <v/>
      </c>
      <c r="I251" s="35" t="str">
        <f t="shared" si="61"/>
        <v/>
      </c>
      <c r="J251" s="35" t="str">
        <f t="shared" si="62"/>
        <v/>
      </c>
      <c r="K251" s="35" t="str">
        <f t="shared" si="63"/>
        <v/>
      </c>
      <c r="L251" s="35" t="str">
        <f t="shared" si="64"/>
        <v/>
      </c>
      <c r="M251" s="35" t="str">
        <f t="shared" si="65"/>
        <v/>
      </c>
      <c r="N251" s="36" t="str">
        <f t="shared" si="66"/>
        <v/>
      </c>
      <c r="O251" s="35" t="str">
        <f t="shared" si="67"/>
        <v/>
      </c>
      <c r="P251" s="35" t="str">
        <f t="shared" si="68"/>
        <v/>
      </c>
      <c r="Q251" s="35" t="str">
        <f t="shared" si="69"/>
        <v/>
      </c>
      <c r="R251" s="35" t="str">
        <f t="shared" si="70"/>
        <v/>
      </c>
      <c r="S251" s="33" t="str">
        <f t="shared" si="71"/>
        <v/>
      </c>
    </row>
    <row r="252" spans="1:19" x14ac:dyDescent="0.3">
      <c r="A252" s="33">
        <f>248</f>
        <v>248</v>
      </c>
      <c r="B252" s="34" t="str">
        <f t="shared" si="54"/>
        <v/>
      </c>
      <c r="C252" s="33" t="str">
        <f t="shared" si="55"/>
        <v/>
      </c>
      <c r="D252" s="33" t="str">
        <f t="shared" si="56"/>
        <v/>
      </c>
      <c r="E252" s="35" t="str">
        <f t="shared" si="57"/>
        <v/>
      </c>
      <c r="F252" s="35" t="str">
        <f t="shared" si="58"/>
        <v/>
      </c>
      <c r="G252" s="33" t="str">
        <f t="shared" si="59"/>
        <v/>
      </c>
      <c r="H252" s="35" t="str">
        <f t="shared" si="60"/>
        <v/>
      </c>
      <c r="I252" s="35" t="str">
        <f t="shared" si="61"/>
        <v/>
      </c>
      <c r="J252" s="35" t="str">
        <f t="shared" si="62"/>
        <v/>
      </c>
      <c r="K252" s="35" t="str">
        <f t="shared" si="63"/>
        <v/>
      </c>
      <c r="L252" s="35" t="str">
        <f t="shared" si="64"/>
        <v/>
      </c>
      <c r="M252" s="35" t="str">
        <f t="shared" si="65"/>
        <v/>
      </c>
      <c r="N252" s="36" t="str">
        <f t="shared" si="66"/>
        <v/>
      </c>
      <c r="O252" s="35" t="str">
        <f t="shared" si="67"/>
        <v/>
      </c>
      <c r="P252" s="35" t="str">
        <f t="shared" si="68"/>
        <v/>
      </c>
      <c r="Q252" s="35" t="str">
        <f t="shared" si="69"/>
        <v/>
      </c>
      <c r="R252" s="35" t="str">
        <f t="shared" si="70"/>
        <v/>
      </c>
      <c r="S252" s="33" t="str">
        <f t="shared" si="71"/>
        <v/>
      </c>
    </row>
    <row r="253" spans="1:19" x14ac:dyDescent="0.3">
      <c r="A253" s="33">
        <f>249</f>
        <v>249</v>
      </c>
      <c r="B253" s="34" t="str">
        <f t="shared" si="54"/>
        <v/>
      </c>
      <c r="C253" s="33" t="str">
        <f t="shared" si="55"/>
        <v/>
      </c>
      <c r="D253" s="33" t="str">
        <f t="shared" si="56"/>
        <v/>
      </c>
      <c r="E253" s="35" t="str">
        <f t="shared" si="57"/>
        <v/>
      </c>
      <c r="F253" s="35" t="str">
        <f t="shared" si="58"/>
        <v/>
      </c>
      <c r="G253" s="33" t="str">
        <f t="shared" si="59"/>
        <v/>
      </c>
      <c r="H253" s="35" t="str">
        <f t="shared" si="60"/>
        <v/>
      </c>
      <c r="I253" s="35" t="str">
        <f t="shared" si="61"/>
        <v/>
      </c>
      <c r="J253" s="35" t="str">
        <f t="shared" si="62"/>
        <v/>
      </c>
      <c r="K253" s="35" t="str">
        <f t="shared" si="63"/>
        <v/>
      </c>
      <c r="L253" s="35" t="str">
        <f t="shared" si="64"/>
        <v/>
      </c>
      <c r="M253" s="35" t="str">
        <f t="shared" si="65"/>
        <v/>
      </c>
      <c r="N253" s="36" t="str">
        <f t="shared" si="66"/>
        <v/>
      </c>
      <c r="O253" s="35" t="str">
        <f t="shared" si="67"/>
        <v/>
      </c>
      <c r="P253" s="35" t="str">
        <f t="shared" si="68"/>
        <v/>
      </c>
      <c r="Q253" s="35" t="str">
        <f t="shared" si="69"/>
        <v/>
      </c>
      <c r="R253" s="35" t="str">
        <f t="shared" si="70"/>
        <v/>
      </c>
      <c r="S253" s="33" t="str">
        <f t="shared" si="71"/>
        <v/>
      </c>
    </row>
    <row r="254" spans="1:19" x14ac:dyDescent="0.3">
      <c r="A254" s="33">
        <f>250</f>
        <v>250</v>
      </c>
      <c r="B254" s="34" t="str">
        <f t="shared" si="54"/>
        <v/>
      </c>
      <c r="C254" s="33" t="str">
        <f t="shared" si="55"/>
        <v/>
      </c>
      <c r="D254" s="33" t="str">
        <f t="shared" si="56"/>
        <v/>
      </c>
      <c r="E254" s="35" t="str">
        <f t="shared" si="57"/>
        <v/>
      </c>
      <c r="F254" s="35" t="str">
        <f t="shared" si="58"/>
        <v/>
      </c>
      <c r="G254" s="33" t="str">
        <f t="shared" si="59"/>
        <v/>
      </c>
      <c r="H254" s="35" t="str">
        <f t="shared" si="60"/>
        <v/>
      </c>
      <c r="I254" s="35" t="str">
        <f t="shared" si="61"/>
        <v/>
      </c>
      <c r="J254" s="35" t="str">
        <f t="shared" si="62"/>
        <v/>
      </c>
      <c r="K254" s="35" t="str">
        <f t="shared" si="63"/>
        <v/>
      </c>
      <c r="L254" s="35" t="str">
        <f t="shared" si="64"/>
        <v/>
      </c>
      <c r="M254" s="35" t="str">
        <f t="shared" si="65"/>
        <v/>
      </c>
      <c r="N254" s="36" t="str">
        <f t="shared" si="66"/>
        <v/>
      </c>
      <c r="O254" s="35" t="str">
        <f t="shared" si="67"/>
        <v/>
      </c>
      <c r="P254" s="35" t="str">
        <f t="shared" si="68"/>
        <v/>
      </c>
      <c r="Q254" s="35" t="str">
        <f t="shared" si="69"/>
        <v/>
      </c>
      <c r="R254" s="35" t="str">
        <f t="shared" si="70"/>
        <v/>
      </c>
      <c r="S254" s="33" t="str">
        <f t="shared" si="71"/>
        <v/>
      </c>
    </row>
    <row r="255" spans="1:19" x14ac:dyDescent="0.3">
      <c r="A255" s="33">
        <f>251</f>
        <v>251</v>
      </c>
      <c r="B255" s="34" t="str">
        <f t="shared" si="54"/>
        <v/>
      </c>
      <c r="C255" s="33" t="str">
        <f t="shared" si="55"/>
        <v/>
      </c>
      <c r="D255" s="33" t="str">
        <f t="shared" si="56"/>
        <v/>
      </c>
      <c r="E255" s="35" t="str">
        <f t="shared" si="57"/>
        <v/>
      </c>
      <c r="F255" s="35" t="str">
        <f t="shared" si="58"/>
        <v/>
      </c>
      <c r="G255" s="33" t="str">
        <f t="shared" si="59"/>
        <v/>
      </c>
      <c r="H255" s="35" t="str">
        <f t="shared" si="60"/>
        <v/>
      </c>
      <c r="I255" s="35" t="str">
        <f t="shared" si="61"/>
        <v/>
      </c>
      <c r="J255" s="35" t="str">
        <f t="shared" si="62"/>
        <v/>
      </c>
      <c r="K255" s="35" t="str">
        <f t="shared" si="63"/>
        <v/>
      </c>
      <c r="L255" s="35" t="str">
        <f t="shared" si="64"/>
        <v/>
      </c>
      <c r="M255" s="35" t="str">
        <f t="shared" si="65"/>
        <v/>
      </c>
      <c r="N255" s="36" t="str">
        <f t="shared" si="66"/>
        <v/>
      </c>
      <c r="O255" s="35" t="str">
        <f t="shared" si="67"/>
        <v/>
      </c>
      <c r="P255" s="35" t="str">
        <f t="shared" si="68"/>
        <v/>
      </c>
      <c r="Q255" s="35" t="str">
        <f t="shared" si="69"/>
        <v/>
      </c>
      <c r="R255" s="35" t="str">
        <f t="shared" si="70"/>
        <v/>
      </c>
      <c r="S255" s="33" t="str">
        <f t="shared" si="71"/>
        <v/>
      </c>
    </row>
    <row r="256" spans="1:19" x14ac:dyDescent="0.3">
      <c r="A256" s="37">
        <f>252</f>
        <v>252</v>
      </c>
      <c r="B256" s="38" t="str">
        <f t="shared" si="54"/>
        <v/>
      </c>
      <c r="C256" s="37" t="str">
        <f t="shared" si="55"/>
        <v/>
      </c>
      <c r="D256" s="37" t="str">
        <f t="shared" si="56"/>
        <v/>
      </c>
      <c r="E256" s="39" t="str">
        <f t="shared" si="57"/>
        <v/>
      </c>
      <c r="F256" s="39" t="str">
        <f t="shared" si="58"/>
        <v/>
      </c>
      <c r="G256" s="37" t="str">
        <f t="shared" si="59"/>
        <v/>
      </c>
      <c r="H256" s="39" t="str">
        <f t="shared" si="60"/>
        <v/>
      </c>
      <c r="I256" s="39" t="str">
        <f t="shared" si="61"/>
        <v/>
      </c>
      <c r="J256" s="39" t="str">
        <f t="shared" si="62"/>
        <v/>
      </c>
      <c r="K256" s="39" t="str">
        <f t="shared" si="63"/>
        <v/>
      </c>
      <c r="L256" s="39" t="str">
        <f t="shared" si="64"/>
        <v/>
      </c>
      <c r="M256" s="39" t="str">
        <f t="shared" si="65"/>
        <v/>
      </c>
      <c r="N256" s="40" t="str">
        <f t="shared" si="66"/>
        <v/>
      </c>
      <c r="O256" s="39" t="str">
        <f t="shared" si="67"/>
        <v/>
      </c>
      <c r="P256" s="39" t="str">
        <f t="shared" si="68"/>
        <v/>
      </c>
      <c r="Q256" s="39" t="str">
        <f t="shared" si="69"/>
        <v/>
      </c>
      <c r="R256" s="39" t="str">
        <f t="shared" si="70"/>
        <v/>
      </c>
      <c r="S256" s="37" t="str">
        <f t="shared" si="71"/>
        <v/>
      </c>
    </row>
    <row r="257" spans="1:19" x14ac:dyDescent="0.3">
      <c r="A257" s="33">
        <f>253</f>
        <v>253</v>
      </c>
      <c r="B257" s="34" t="str">
        <f t="shared" si="54"/>
        <v/>
      </c>
      <c r="C257" s="33" t="str">
        <f t="shared" si="55"/>
        <v/>
      </c>
      <c r="D257" s="33" t="str">
        <f t="shared" si="56"/>
        <v/>
      </c>
      <c r="E257" s="35" t="str">
        <f t="shared" si="57"/>
        <v/>
      </c>
      <c r="F257" s="35" t="str">
        <f t="shared" si="58"/>
        <v/>
      </c>
      <c r="G257" s="33" t="str">
        <f t="shared" si="59"/>
        <v/>
      </c>
      <c r="H257" s="35" t="str">
        <f t="shared" si="60"/>
        <v/>
      </c>
      <c r="I257" s="35" t="str">
        <f t="shared" si="61"/>
        <v/>
      </c>
      <c r="J257" s="35" t="str">
        <f t="shared" si="62"/>
        <v/>
      </c>
      <c r="K257" s="35" t="str">
        <f t="shared" si="63"/>
        <v/>
      </c>
      <c r="L257" s="35" t="str">
        <f t="shared" si="64"/>
        <v/>
      </c>
      <c r="M257" s="35" t="str">
        <f t="shared" si="65"/>
        <v/>
      </c>
      <c r="N257" s="36" t="str">
        <f t="shared" si="66"/>
        <v/>
      </c>
      <c r="O257" s="35" t="str">
        <f t="shared" si="67"/>
        <v/>
      </c>
      <c r="P257" s="35" t="str">
        <f t="shared" si="68"/>
        <v/>
      </c>
      <c r="Q257" s="35" t="str">
        <f t="shared" si="69"/>
        <v/>
      </c>
      <c r="R257" s="35" t="str">
        <f t="shared" si="70"/>
        <v/>
      </c>
      <c r="S257" s="33" t="str">
        <f t="shared" si="71"/>
        <v/>
      </c>
    </row>
    <row r="258" spans="1:19" x14ac:dyDescent="0.3">
      <c r="A258" s="33">
        <f>254</f>
        <v>254</v>
      </c>
      <c r="B258" s="34" t="str">
        <f t="shared" si="54"/>
        <v/>
      </c>
      <c r="C258" s="33" t="str">
        <f t="shared" si="55"/>
        <v/>
      </c>
      <c r="D258" s="33" t="str">
        <f t="shared" si="56"/>
        <v/>
      </c>
      <c r="E258" s="35" t="str">
        <f t="shared" si="57"/>
        <v/>
      </c>
      <c r="F258" s="35" t="str">
        <f t="shared" si="58"/>
        <v/>
      </c>
      <c r="G258" s="33" t="str">
        <f t="shared" si="59"/>
        <v/>
      </c>
      <c r="H258" s="35" t="str">
        <f t="shared" si="60"/>
        <v/>
      </c>
      <c r="I258" s="35" t="str">
        <f t="shared" si="61"/>
        <v/>
      </c>
      <c r="J258" s="35" t="str">
        <f t="shared" si="62"/>
        <v/>
      </c>
      <c r="K258" s="35" t="str">
        <f t="shared" si="63"/>
        <v/>
      </c>
      <c r="L258" s="35" t="str">
        <f t="shared" si="64"/>
        <v/>
      </c>
      <c r="M258" s="35" t="str">
        <f t="shared" si="65"/>
        <v/>
      </c>
      <c r="N258" s="36" t="str">
        <f t="shared" si="66"/>
        <v/>
      </c>
      <c r="O258" s="35" t="str">
        <f t="shared" si="67"/>
        <v/>
      </c>
      <c r="P258" s="35" t="str">
        <f t="shared" si="68"/>
        <v/>
      </c>
      <c r="Q258" s="35" t="str">
        <f t="shared" si="69"/>
        <v/>
      </c>
      <c r="R258" s="35" t="str">
        <f t="shared" si="70"/>
        <v/>
      </c>
      <c r="S258" s="33" t="str">
        <f t="shared" si="71"/>
        <v/>
      </c>
    </row>
    <row r="259" spans="1:19" x14ac:dyDescent="0.3">
      <c r="A259" s="33">
        <f>255</f>
        <v>255</v>
      </c>
      <c r="B259" s="34" t="str">
        <f t="shared" si="54"/>
        <v/>
      </c>
      <c r="C259" s="33" t="str">
        <f t="shared" si="55"/>
        <v/>
      </c>
      <c r="D259" s="33" t="str">
        <f t="shared" si="56"/>
        <v/>
      </c>
      <c r="E259" s="35" t="str">
        <f t="shared" si="57"/>
        <v/>
      </c>
      <c r="F259" s="35" t="str">
        <f t="shared" si="58"/>
        <v/>
      </c>
      <c r="G259" s="33" t="str">
        <f t="shared" si="59"/>
        <v/>
      </c>
      <c r="H259" s="35" t="str">
        <f t="shared" si="60"/>
        <v/>
      </c>
      <c r="I259" s="35" t="str">
        <f t="shared" si="61"/>
        <v/>
      </c>
      <c r="J259" s="35" t="str">
        <f t="shared" si="62"/>
        <v/>
      </c>
      <c r="K259" s="35" t="str">
        <f t="shared" si="63"/>
        <v/>
      </c>
      <c r="L259" s="35" t="str">
        <f t="shared" si="64"/>
        <v/>
      </c>
      <c r="M259" s="35" t="str">
        <f t="shared" si="65"/>
        <v/>
      </c>
      <c r="N259" s="36" t="str">
        <f t="shared" si="66"/>
        <v/>
      </c>
      <c r="O259" s="35" t="str">
        <f t="shared" si="67"/>
        <v/>
      </c>
      <c r="P259" s="35" t="str">
        <f t="shared" si="68"/>
        <v/>
      </c>
      <c r="Q259" s="35" t="str">
        <f t="shared" si="69"/>
        <v/>
      </c>
      <c r="R259" s="35" t="str">
        <f t="shared" si="70"/>
        <v/>
      </c>
      <c r="S259" s="33" t="str">
        <f t="shared" si="71"/>
        <v/>
      </c>
    </row>
    <row r="260" spans="1:19" x14ac:dyDescent="0.3">
      <c r="A260" s="33">
        <f>256</f>
        <v>256</v>
      </c>
      <c r="B260" s="34" t="str">
        <f t="shared" si="54"/>
        <v/>
      </c>
      <c r="C260" s="33" t="str">
        <f t="shared" si="55"/>
        <v/>
      </c>
      <c r="D260" s="33" t="str">
        <f t="shared" si="56"/>
        <v/>
      </c>
      <c r="E260" s="35" t="str">
        <f t="shared" si="57"/>
        <v/>
      </c>
      <c r="F260" s="35" t="str">
        <f t="shared" si="58"/>
        <v/>
      </c>
      <c r="G260" s="33" t="str">
        <f t="shared" si="59"/>
        <v/>
      </c>
      <c r="H260" s="35" t="str">
        <f t="shared" si="60"/>
        <v/>
      </c>
      <c r="I260" s="35" t="str">
        <f t="shared" si="61"/>
        <v/>
      </c>
      <c r="J260" s="35" t="str">
        <f t="shared" si="62"/>
        <v/>
      </c>
      <c r="K260" s="35" t="str">
        <f t="shared" si="63"/>
        <v/>
      </c>
      <c r="L260" s="35" t="str">
        <f t="shared" si="64"/>
        <v/>
      </c>
      <c r="M260" s="35" t="str">
        <f t="shared" si="65"/>
        <v/>
      </c>
      <c r="N260" s="36" t="str">
        <f t="shared" si="66"/>
        <v/>
      </c>
      <c r="O260" s="35" t="str">
        <f t="shared" si="67"/>
        <v/>
      </c>
      <c r="P260" s="35" t="str">
        <f t="shared" si="68"/>
        <v/>
      </c>
      <c r="Q260" s="35" t="str">
        <f t="shared" si="69"/>
        <v/>
      </c>
      <c r="R260" s="35" t="str">
        <f t="shared" si="70"/>
        <v/>
      </c>
      <c r="S260" s="33" t="str">
        <f t="shared" si="71"/>
        <v/>
      </c>
    </row>
    <row r="261" spans="1:19" x14ac:dyDescent="0.3">
      <c r="A261" s="33">
        <f>257</f>
        <v>257</v>
      </c>
      <c r="B261" s="34" t="str">
        <f t="shared" ref="B261:B324" si="72">IF($A261&gt;NYears*12,"",EDATE(StartMonth,$A261-1))</f>
        <v/>
      </c>
      <c r="C261" s="33" t="str">
        <f t="shared" ref="C261:C324" si="73">IF($A261&gt;NYears*12,"",INT(($A261-1)/12)+1)</f>
        <v/>
      </c>
      <c r="D261" s="33" t="str">
        <f t="shared" ref="D261:D324" si="74">IF($A261&gt;NYears*12,"",MOD($A261-1,12)+1)</f>
        <v/>
      </c>
      <c r="E261" s="35" t="str">
        <f t="shared" ref="E261:E324" si="75">IF($A261&gt;NYears*12,"",LotValue0*(1+LotGrowth)^($C261-1))</f>
        <v/>
      </c>
      <c r="F261" s="35" t="str">
        <f t="shared" ref="F261:F324" si="76">IF($A261&gt;NYears*12,"",IF($A261=1,InitInvest,$R260))</f>
        <v/>
      </c>
      <c r="G261" s="33" t="str">
        <f t="shared" ref="G261:G324" si="77">IF($A261&gt;NYears*12,"",INT($F261/$E261))</f>
        <v/>
      </c>
      <c r="H261" s="35" t="str">
        <f t="shared" ref="H261:H324" si="78">IF($A261&gt;NYears*12,"",$G261*$E261)</f>
        <v/>
      </c>
      <c r="I261" s="35" t="str">
        <f t="shared" ref="I261:I324" si="79">IF($A261&gt;NYears*12,"",$F261-$H261)</f>
        <v/>
      </c>
      <c r="J261" s="35" t="str">
        <f t="shared" ref="J261:J324" si="80">IF($A261&gt;NYears*12,"",$H261*RateD)</f>
        <v/>
      </c>
      <c r="K261" s="35" t="str">
        <f t="shared" ref="K261:K324" si="81">IF($A261&gt;NYears*12,"",IF($D261=1,$J261,$K260+$J261))</f>
        <v/>
      </c>
      <c r="L261" s="35" t="str">
        <f t="shared" ref="L261:L324" si="82">IF($A261&gt;NYears*12,"",IF(MOD($D261,3)=0,SUM($J259:$J261),0))</f>
        <v/>
      </c>
      <c r="M261" s="35" t="str">
        <f t="shared" ref="M261:M324" si="83">IF($A261&gt;NYears*12,"",IF(TaxFreq="Quarterly",$K261*12/$D261,$K261))</f>
        <v/>
      </c>
      <c r="N261" s="36" t="str">
        <f t="shared" ref="N261:N324" si="84">IF($A261&gt;NYears*12,"",LOOKUP($M261,TaxLower,TaxRate))</f>
        <v/>
      </c>
      <c r="O261" s="35" t="str">
        <f t="shared" ref="O261:O324" si="85">IF($A261&gt;NYears*12,"",IF(TaxFreq="Quarterly",IF(MOD($D261,3)=0,$L261*$N261,0),IF($D261=12,$K261*$N261,0)))</f>
        <v/>
      </c>
      <c r="P261" s="35" t="str">
        <f t="shared" ref="P261:P324" si="86">IF($A261&gt;NYears*12,"",IF($D261=1,$O261,$P260+$O261))</f>
        <v/>
      </c>
      <c r="Q261" s="35" t="str">
        <f t="shared" ref="Q261:Q324" si="87">IF($A261&gt;NYears*12,"",IF($D261=12,MIN(WdrPct*IF(WdrBase="Post-tax profit",$K261-$P261,$K261),WdrCap),0))</f>
        <v/>
      </c>
      <c r="R261" s="35" t="str">
        <f t="shared" ref="R261:R324" si="88">IF($A261&gt;NYears*12,"",$F261+$J261-$O261-$Q261)</f>
        <v/>
      </c>
      <c r="S261" s="33" t="str">
        <f t="shared" ref="S261:S324" si="89">IF($A261&gt;NYears*12,"",INT($R261/$E261))</f>
        <v/>
      </c>
    </row>
    <row r="262" spans="1:19" x14ac:dyDescent="0.3">
      <c r="A262" s="33">
        <f>258</f>
        <v>258</v>
      </c>
      <c r="B262" s="34" t="str">
        <f t="shared" si="72"/>
        <v/>
      </c>
      <c r="C262" s="33" t="str">
        <f t="shared" si="73"/>
        <v/>
      </c>
      <c r="D262" s="33" t="str">
        <f t="shared" si="74"/>
        <v/>
      </c>
      <c r="E262" s="35" t="str">
        <f t="shared" si="75"/>
        <v/>
      </c>
      <c r="F262" s="35" t="str">
        <f t="shared" si="76"/>
        <v/>
      </c>
      <c r="G262" s="33" t="str">
        <f t="shared" si="77"/>
        <v/>
      </c>
      <c r="H262" s="35" t="str">
        <f t="shared" si="78"/>
        <v/>
      </c>
      <c r="I262" s="35" t="str">
        <f t="shared" si="79"/>
        <v/>
      </c>
      <c r="J262" s="35" t="str">
        <f t="shared" si="80"/>
        <v/>
      </c>
      <c r="K262" s="35" t="str">
        <f t="shared" si="81"/>
        <v/>
      </c>
      <c r="L262" s="35" t="str">
        <f t="shared" si="82"/>
        <v/>
      </c>
      <c r="M262" s="35" t="str">
        <f t="shared" si="83"/>
        <v/>
      </c>
      <c r="N262" s="36" t="str">
        <f t="shared" si="84"/>
        <v/>
      </c>
      <c r="O262" s="35" t="str">
        <f t="shared" si="85"/>
        <v/>
      </c>
      <c r="P262" s="35" t="str">
        <f t="shared" si="86"/>
        <v/>
      </c>
      <c r="Q262" s="35" t="str">
        <f t="shared" si="87"/>
        <v/>
      </c>
      <c r="R262" s="35" t="str">
        <f t="shared" si="88"/>
        <v/>
      </c>
      <c r="S262" s="33" t="str">
        <f t="shared" si="89"/>
        <v/>
      </c>
    </row>
    <row r="263" spans="1:19" x14ac:dyDescent="0.3">
      <c r="A263" s="33">
        <f>259</f>
        <v>259</v>
      </c>
      <c r="B263" s="34" t="str">
        <f t="shared" si="72"/>
        <v/>
      </c>
      <c r="C263" s="33" t="str">
        <f t="shared" si="73"/>
        <v/>
      </c>
      <c r="D263" s="33" t="str">
        <f t="shared" si="74"/>
        <v/>
      </c>
      <c r="E263" s="35" t="str">
        <f t="shared" si="75"/>
        <v/>
      </c>
      <c r="F263" s="35" t="str">
        <f t="shared" si="76"/>
        <v/>
      </c>
      <c r="G263" s="33" t="str">
        <f t="shared" si="77"/>
        <v/>
      </c>
      <c r="H263" s="35" t="str">
        <f t="shared" si="78"/>
        <v/>
      </c>
      <c r="I263" s="35" t="str">
        <f t="shared" si="79"/>
        <v/>
      </c>
      <c r="J263" s="35" t="str">
        <f t="shared" si="80"/>
        <v/>
      </c>
      <c r="K263" s="35" t="str">
        <f t="shared" si="81"/>
        <v/>
      </c>
      <c r="L263" s="35" t="str">
        <f t="shared" si="82"/>
        <v/>
      </c>
      <c r="M263" s="35" t="str">
        <f t="shared" si="83"/>
        <v/>
      </c>
      <c r="N263" s="36" t="str">
        <f t="shared" si="84"/>
        <v/>
      </c>
      <c r="O263" s="35" t="str">
        <f t="shared" si="85"/>
        <v/>
      </c>
      <c r="P263" s="35" t="str">
        <f t="shared" si="86"/>
        <v/>
      </c>
      <c r="Q263" s="35" t="str">
        <f t="shared" si="87"/>
        <v/>
      </c>
      <c r="R263" s="35" t="str">
        <f t="shared" si="88"/>
        <v/>
      </c>
      <c r="S263" s="33" t="str">
        <f t="shared" si="89"/>
        <v/>
      </c>
    </row>
    <row r="264" spans="1:19" x14ac:dyDescent="0.3">
      <c r="A264" s="33">
        <f>260</f>
        <v>260</v>
      </c>
      <c r="B264" s="34" t="str">
        <f t="shared" si="72"/>
        <v/>
      </c>
      <c r="C264" s="33" t="str">
        <f t="shared" si="73"/>
        <v/>
      </c>
      <c r="D264" s="33" t="str">
        <f t="shared" si="74"/>
        <v/>
      </c>
      <c r="E264" s="35" t="str">
        <f t="shared" si="75"/>
        <v/>
      </c>
      <c r="F264" s="35" t="str">
        <f t="shared" si="76"/>
        <v/>
      </c>
      <c r="G264" s="33" t="str">
        <f t="shared" si="77"/>
        <v/>
      </c>
      <c r="H264" s="35" t="str">
        <f t="shared" si="78"/>
        <v/>
      </c>
      <c r="I264" s="35" t="str">
        <f t="shared" si="79"/>
        <v/>
      </c>
      <c r="J264" s="35" t="str">
        <f t="shared" si="80"/>
        <v/>
      </c>
      <c r="K264" s="35" t="str">
        <f t="shared" si="81"/>
        <v/>
      </c>
      <c r="L264" s="35" t="str">
        <f t="shared" si="82"/>
        <v/>
      </c>
      <c r="M264" s="35" t="str">
        <f t="shared" si="83"/>
        <v/>
      </c>
      <c r="N264" s="36" t="str">
        <f t="shared" si="84"/>
        <v/>
      </c>
      <c r="O264" s="35" t="str">
        <f t="shared" si="85"/>
        <v/>
      </c>
      <c r="P264" s="35" t="str">
        <f t="shared" si="86"/>
        <v/>
      </c>
      <c r="Q264" s="35" t="str">
        <f t="shared" si="87"/>
        <v/>
      </c>
      <c r="R264" s="35" t="str">
        <f t="shared" si="88"/>
        <v/>
      </c>
      <c r="S264" s="33" t="str">
        <f t="shared" si="89"/>
        <v/>
      </c>
    </row>
    <row r="265" spans="1:19" x14ac:dyDescent="0.3">
      <c r="A265" s="33">
        <f>261</f>
        <v>261</v>
      </c>
      <c r="B265" s="34" t="str">
        <f t="shared" si="72"/>
        <v/>
      </c>
      <c r="C265" s="33" t="str">
        <f t="shared" si="73"/>
        <v/>
      </c>
      <c r="D265" s="33" t="str">
        <f t="shared" si="74"/>
        <v/>
      </c>
      <c r="E265" s="35" t="str">
        <f t="shared" si="75"/>
        <v/>
      </c>
      <c r="F265" s="35" t="str">
        <f t="shared" si="76"/>
        <v/>
      </c>
      <c r="G265" s="33" t="str">
        <f t="shared" si="77"/>
        <v/>
      </c>
      <c r="H265" s="35" t="str">
        <f t="shared" si="78"/>
        <v/>
      </c>
      <c r="I265" s="35" t="str">
        <f t="shared" si="79"/>
        <v/>
      </c>
      <c r="J265" s="35" t="str">
        <f t="shared" si="80"/>
        <v/>
      </c>
      <c r="K265" s="35" t="str">
        <f t="shared" si="81"/>
        <v/>
      </c>
      <c r="L265" s="35" t="str">
        <f t="shared" si="82"/>
        <v/>
      </c>
      <c r="M265" s="35" t="str">
        <f t="shared" si="83"/>
        <v/>
      </c>
      <c r="N265" s="36" t="str">
        <f t="shared" si="84"/>
        <v/>
      </c>
      <c r="O265" s="35" t="str">
        <f t="shared" si="85"/>
        <v/>
      </c>
      <c r="P265" s="35" t="str">
        <f t="shared" si="86"/>
        <v/>
      </c>
      <c r="Q265" s="35" t="str">
        <f t="shared" si="87"/>
        <v/>
      </c>
      <c r="R265" s="35" t="str">
        <f t="shared" si="88"/>
        <v/>
      </c>
      <c r="S265" s="33" t="str">
        <f t="shared" si="89"/>
        <v/>
      </c>
    </row>
    <row r="266" spans="1:19" x14ac:dyDescent="0.3">
      <c r="A266" s="33">
        <f>262</f>
        <v>262</v>
      </c>
      <c r="B266" s="34" t="str">
        <f t="shared" si="72"/>
        <v/>
      </c>
      <c r="C266" s="33" t="str">
        <f t="shared" si="73"/>
        <v/>
      </c>
      <c r="D266" s="33" t="str">
        <f t="shared" si="74"/>
        <v/>
      </c>
      <c r="E266" s="35" t="str">
        <f t="shared" si="75"/>
        <v/>
      </c>
      <c r="F266" s="35" t="str">
        <f t="shared" si="76"/>
        <v/>
      </c>
      <c r="G266" s="33" t="str">
        <f t="shared" si="77"/>
        <v/>
      </c>
      <c r="H266" s="35" t="str">
        <f t="shared" si="78"/>
        <v/>
      </c>
      <c r="I266" s="35" t="str">
        <f t="shared" si="79"/>
        <v/>
      </c>
      <c r="J266" s="35" t="str">
        <f t="shared" si="80"/>
        <v/>
      </c>
      <c r="K266" s="35" t="str">
        <f t="shared" si="81"/>
        <v/>
      </c>
      <c r="L266" s="35" t="str">
        <f t="shared" si="82"/>
        <v/>
      </c>
      <c r="M266" s="35" t="str">
        <f t="shared" si="83"/>
        <v/>
      </c>
      <c r="N266" s="36" t="str">
        <f t="shared" si="84"/>
        <v/>
      </c>
      <c r="O266" s="35" t="str">
        <f t="shared" si="85"/>
        <v/>
      </c>
      <c r="P266" s="35" t="str">
        <f t="shared" si="86"/>
        <v/>
      </c>
      <c r="Q266" s="35" t="str">
        <f t="shared" si="87"/>
        <v/>
      </c>
      <c r="R266" s="35" t="str">
        <f t="shared" si="88"/>
        <v/>
      </c>
      <c r="S266" s="33" t="str">
        <f t="shared" si="89"/>
        <v/>
      </c>
    </row>
    <row r="267" spans="1:19" x14ac:dyDescent="0.3">
      <c r="A267" s="33">
        <f>263</f>
        <v>263</v>
      </c>
      <c r="B267" s="34" t="str">
        <f t="shared" si="72"/>
        <v/>
      </c>
      <c r="C267" s="33" t="str">
        <f t="shared" si="73"/>
        <v/>
      </c>
      <c r="D267" s="33" t="str">
        <f t="shared" si="74"/>
        <v/>
      </c>
      <c r="E267" s="35" t="str">
        <f t="shared" si="75"/>
        <v/>
      </c>
      <c r="F267" s="35" t="str">
        <f t="shared" si="76"/>
        <v/>
      </c>
      <c r="G267" s="33" t="str">
        <f t="shared" si="77"/>
        <v/>
      </c>
      <c r="H267" s="35" t="str">
        <f t="shared" si="78"/>
        <v/>
      </c>
      <c r="I267" s="35" t="str">
        <f t="shared" si="79"/>
        <v/>
      </c>
      <c r="J267" s="35" t="str">
        <f t="shared" si="80"/>
        <v/>
      </c>
      <c r="K267" s="35" t="str">
        <f t="shared" si="81"/>
        <v/>
      </c>
      <c r="L267" s="35" t="str">
        <f t="shared" si="82"/>
        <v/>
      </c>
      <c r="M267" s="35" t="str">
        <f t="shared" si="83"/>
        <v/>
      </c>
      <c r="N267" s="36" t="str">
        <f t="shared" si="84"/>
        <v/>
      </c>
      <c r="O267" s="35" t="str">
        <f t="shared" si="85"/>
        <v/>
      </c>
      <c r="P267" s="35" t="str">
        <f t="shared" si="86"/>
        <v/>
      </c>
      <c r="Q267" s="35" t="str">
        <f t="shared" si="87"/>
        <v/>
      </c>
      <c r="R267" s="35" t="str">
        <f t="shared" si="88"/>
        <v/>
      </c>
      <c r="S267" s="33" t="str">
        <f t="shared" si="89"/>
        <v/>
      </c>
    </row>
    <row r="268" spans="1:19" x14ac:dyDescent="0.3">
      <c r="A268" s="37">
        <f>264</f>
        <v>264</v>
      </c>
      <c r="B268" s="38" t="str">
        <f t="shared" si="72"/>
        <v/>
      </c>
      <c r="C268" s="37" t="str">
        <f t="shared" si="73"/>
        <v/>
      </c>
      <c r="D268" s="37" t="str">
        <f t="shared" si="74"/>
        <v/>
      </c>
      <c r="E268" s="39" t="str">
        <f t="shared" si="75"/>
        <v/>
      </c>
      <c r="F268" s="39" t="str">
        <f t="shared" si="76"/>
        <v/>
      </c>
      <c r="G268" s="37" t="str">
        <f t="shared" si="77"/>
        <v/>
      </c>
      <c r="H268" s="39" t="str">
        <f t="shared" si="78"/>
        <v/>
      </c>
      <c r="I268" s="39" t="str">
        <f t="shared" si="79"/>
        <v/>
      </c>
      <c r="J268" s="39" t="str">
        <f t="shared" si="80"/>
        <v/>
      </c>
      <c r="K268" s="39" t="str">
        <f t="shared" si="81"/>
        <v/>
      </c>
      <c r="L268" s="39" t="str">
        <f t="shared" si="82"/>
        <v/>
      </c>
      <c r="M268" s="39" t="str">
        <f t="shared" si="83"/>
        <v/>
      </c>
      <c r="N268" s="40" t="str">
        <f t="shared" si="84"/>
        <v/>
      </c>
      <c r="O268" s="39" t="str">
        <f t="shared" si="85"/>
        <v/>
      </c>
      <c r="P268" s="39" t="str">
        <f t="shared" si="86"/>
        <v/>
      </c>
      <c r="Q268" s="39" t="str">
        <f t="shared" si="87"/>
        <v/>
      </c>
      <c r="R268" s="39" t="str">
        <f t="shared" si="88"/>
        <v/>
      </c>
      <c r="S268" s="37" t="str">
        <f t="shared" si="89"/>
        <v/>
      </c>
    </row>
    <row r="269" spans="1:19" x14ac:dyDescent="0.3">
      <c r="A269" s="33">
        <f>265</f>
        <v>265</v>
      </c>
      <c r="B269" s="34" t="str">
        <f t="shared" si="72"/>
        <v/>
      </c>
      <c r="C269" s="33" t="str">
        <f t="shared" si="73"/>
        <v/>
      </c>
      <c r="D269" s="33" t="str">
        <f t="shared" si="74"/>
        <v/>
      </c>
      <c r="E269" s="35" t="str">
        <f t="shared" si="75"/>
        <v/>
      </c>
      <c r="F269" s="35" t="str">
        <f t="shared" si="76"/>
        <v/>
      </c>
      <c r="G269" s="33" t="str">
        <f t="shared" si="77"/>
        <v/>
      </c>
      <c r="H269" s="35" t="str">
        <f t="shared" si="78"/>
        <v/>
      </c>
      <c r="I269" s="35" t="str">
        <f t="shared" si="79"/>
        <v/>
      </c>
      <c r="J269" s="35" t="str">
        <f t="shared" si="80"/>
        <v/>
      </c>
      <c r="K269" s="35" t="str">
        <f t="shared" si="81"/>
        <v/>
      </c>
      <c r="L269" s="35" t="str">
        <f t="shared" si="82"/>
        <v/>
      </c>
      <c r="M269" s="35" t="str">
        <f t="shared" si="83"/>
        <v/>
      </c>
      <c r="N269" s="36" t="str">
        <f t="shared" si="84"/>
        <v/>
      </c>
      <c r="O269" s="35" t="str">
        <f t="shared" si="85"/>
        <v/>
      </c>
      <c r="P269" s="35" t="str">
        <f t="shared" si="86"/>
        <v/>
      </c>
      <c r="Q269" s="35" t="str">
        <f t="shared" si="87"/>
        <v/>
      </c>
      <c r="R269" s="35" t="str">
        <f t="shared" si="88"/>
        <v/>
      </c>
      <c r="S269" s="33" t="str">
        <f t="shared" si="89"/>
        <v/>
      </c>
    </row>
    <row r="270" spans="1:19" x14ac:dyDescent="0.3">
      <c r="A270" s="33">
        <f>266</f>
        <v>266</v>
      </c>
      <c r="B270" s="34" t="str">
        <f t="shared" si="72"/>
        <v/>
      </c>
      <c r="C270" s="33" t="str">
        <f t="shared" si="73"/>
        <v/>
      </c>
      <c r="D270" s="33" t="str">
        <f t="shared" si="74"/>
        <v/>
      </c>
      <c r="E270" s="35" t="str">
        <f t="shared" si="75"/>
        <v/>
      </c>
      <c r="F270" s="35" t="str">
        <f t="shared" si="76"/>
        <v/>
      </c>
      <c r="G270" s="33" t="str">
        <f t="shared" si="77"/>
        <v/>
      </c>
      <c r="H270" s="35" t="str">
        <f t="shared" si="78"/>
        <v/>
      </c>
      <c r="I270" s="35" t="str">
        <f t="shared" si="79"/>
        <v/>
      </c>
      <c r="J270" s="35" t="str">
        <f t="shared" si="80"/>
        <v/>
      </c>
      <c r="K270" s="35" t="str">
        <f t="shared" si="81"/>
        <v/>
      </c>
      <c r="L270" s="35" t="str">
        <f t="shared" si="82"/>
        <v/>
      </c>
      <c r="M270" s="35" t="str">
        <f t="shared" si="83"/>
        <v/>
      </c>
      <c r="N270" s="36" t="str">
        <f t="shared" si="84"/>
        <v/>
      </c>
      <c r="O270" s="35" t="str">
        <f t="shared" si="85"/>
        <v/>
      </c>
      <c r="P270" s="35" t="str">
        <f t="shared" si="86"/>
        <v/>
      </c>
      <c r="Q270" s="35" t="str">
        <f t="shared" si="87"/>
        <v/>
      </c>
      <c r="R270" s="35" t="str">
        <f t="shared" si="88"/>
        <v/>
      </c>
      <c r="S270" s="33" t="str">
        <f t="shared" si="89"/>
        <v/>
      </c>
    </row>
    <row r="271" spans="1:19" x14ac:dyDescent="0.3">
      <c r="A271" s="33">
        <f>267</f>
        <v>267</v>
      </c>
      <c r="B271" s="34" t="str">
        <f t="shared" si="72"/>
        <v/>
      </c>
      <c r="C271" s="33" t="str">
        <f t="shared" si="73"/>
        <v/>
      </c>
      <c r="D271" s="33" t="str">
        <f t="shared" si="74"/>
        <v/>
      </c>
      <c r="E271" s="35" t="str">
        <f t="shared" si="75"/>
        <v/>
      </c>
      <c r="F271" s="35" t="str">
        <f t="shared" si="76"/>
        <v/>
      </c>
      <c r="G271" s="33" t="str">
        <f t="shared" si="77"/>
        <v/>
      </c>
      <c r="H271" s="35" t="str">
        <f t="shared" si="78"/>
        <v/>
      </c>
      <c r="I271" s="35" t="str">
        <f t="shared" si="79"/>
        <v/>
      </c>
      <c r="J271" s="35" t="str">
        <f t="shared" si="80"/>
        <v/>
      </c>
      <c r="K271" s="35" t="str">
        <f t="shared" si="81"/>
        <v/>
      </c>
      <c r="L271" s="35" t="str">
        <f t="shared" si="82"/>
        <v/>
      </c>
      <c r="M271" s="35" t="str">
        <f t="shared" si="83"/>
        <v/>
      </c>
      <c r="N271" s="36" t="str">
        <f t="shared" si="84"/>
        <v/>
      </c>
      <c r="O271" s="35" t="str">
        <f t="shared" si="85"/>
        <v/>
      </c>
      <c r="P271" s="35" t="str">
        <f t="shared" si="86"/>
        <v/>
      </c>
      <c r="Q271" s="35" t="str">
        <f t="shared" si="87"/>
        <v/>
      </c>
      <c r="R271" s="35" t="str">
        <f t="shared" si="88"/>
        <v/>
      </c>
      <c r="S271" s="33" t="str">
        <f t="shared" si="89"/>
        <v/>
      </c>
    </row>
    <row r="272" spans="1:19" x14ac:dyDescent="0.3">
      <c r="A272" s="33">
        <f>268</f>
        <v>268</v>
      </c>
      <c r="B272" s="34" t="str">
        <f t="shared" si="72"/>
        <v/>
      </c>
      <c r="C272" s="33" t="str">
        <f t="shared" si="73"/>
        <v/>
      </c>
      <c r="D272" s="33" t="str">
        <f t="shared" si="74"/>
        <v/>
      </c>
      <c r="E272" s="35" t="str">
        <f t="shared" si="75"/>
        <v/>
      </c>
      <c r="F272" s="35" t="str">
        <f t="shared" si="76"/>
        <v/>
      </c>
      <c r="G272" s="33" t="str">
        <f t="shared" si="77"/>
        <v/>
      </c>
      <c r="H272" s="35" t="str">
        <f t="shared" si="78"/>
        <v/>
      </c>
      <c r="I272" s="35" t="str">
        <f t="shared" si="79"/>
        <v/>
      </c>
      <c r="J272" s="35" t="str">
        <f t="shared" si="80"/>
        <v/>
      </c>
      <c r="K272" s="35" t="str">
        <f t="shared" si="81"/>
        <v/>
      </c>
      <c r="L272" s="35" t="str">
        <f t="shared" si="82"/>
        <v/>
      </c>
      <c r="M272" s="35" t="str">
        <f t="shared" si="83"/>
        <v/>
      </c>
      <c r="N272" s="36" t="str">
        <f t="shared" si="84"/>
        <v/>
      </c>
      <c r="O272" s="35" t="str">
        <f t="shared" si="85"/>
        <v/>
      </c>
      <c r="P272" s="35" t="str">
        <f t="shared" si="86"/>
        <v/>
      </c>
      <c r="Q272" s="35" t="str">
        <f t="shared" si="87"/>
        <v/>
      </c>
      <c r="R272" s="35" t="str">
        <f t="shared" si="88"/>
        <v/>
      </c>
      <c r="S272" s="33" t="str">
        <f t="shared" si="89"/>
        <v/>
      </c>
    </row>
    <row r="273" spans="1:19" x14ac:dyDescent="0.3">
      <c r="A273" s="33">
        <f>269</f>
        <v>269</v>
      </c>
      <c r="B273" s="34" t="str">
        <f t="shared" si="72"/>
        <v/>
      </c>
      <c r="C273" s="33" t="str">
        <f t="shared" si="73"/>
        <v/>
      </c>
      <c r="D273" s="33" t="str">
        <f t="shared" si="74"/>
        <v/>
      </c>
      <c r="E273" s="35" t="str">
        <f t="shared" si="75"/>
        <v/>
      </c>
      <c r="F273" s="35" t="str">
        <f t="shared" si="76"/>
        <v/>
      </c>
      <c r="G273" s="33" t="str">
        <f t="shared" si="77"/>
        <v/>
      </c>
      <c r="H273" s="35" t="str">
        <f t="shared" si="78"/>
        <v/>
      </c>
      <c r="I273" s="35" t="str">
        <f t="shared" si="79"/>
        <v/>
      </c>
      <c r="J273" s="35" t="str">
        <f t="shared" si="80"/>
        <v/>
      </c>
      <c r="K273" s="35" t="str">
        <f t="shared" si="81"/>
        <v/>
      </c>
      <c r="L273" s="35" t="str">
        <f t="shared" si="82"/>
        <v/>
      </c>
      <c r="M273" s="35" t="str">
        <f t="shared" si="83"/>
        <v/>
      </c>
      <c r="N273" s="36" t="str">
        <f t="shared" si="84"/>
        <v/>
      </c>
      <c r="O273" s="35" t="str">
        <f t="shared" si="85"/>
        <v/>
      </c>
      <c r="P273" s="35" t="str">
        <f t="shared" si="86"/>
        <v/>
      </c>
      <c r="Q273" s="35" t="str">
        <f t="shared" si="87"/>
        <v/>
      </c>
      <c r="R273" s="35" t="str">
        <f t="shared" si="88"/>
        <v/>
      </c>
      <c r="S273" s="33" t="str">
        <f t="shared" si="89"/>
        <v/>
      </c>
    </row>
    <row r="274" spans="1:19" x14ac:dyDescent="0.3">
      <c r="A274" s="33">
        <f>270</f>
        <v>270</v>
      </c>
      <c r="B274" s="34" t="str">
        <f t="shared" si="72"/>
        <v/>
      </c>
      <c r="C274" s="33" t="str">
        <f t="shared" si="73"/>
        <v/>
      </c>
      <c r="D274" s="33" t="str">
        <f t="shared" si="74"/>
        <v/>
      </c>
      <c r="E274" s="35" t="str">
        <f t="shared" si="75"/>
        <v/>
      </c>
      <c r="F274" s="35" t="str">
        <f t="shared" si="76"/>
        <v/>
      </c>
      <c r="G274" s="33" t="str">
        <f t="shared" si="77"/>
        <v/>
      </c>
      <c r="H274" s="35" t="str">
        <f t="shared" si="78"/>
        <v/>
      </c>
      <c r="I274" s="35" t="str">
        <f t="shared" si="79"/>
        <v/>
      </c>
      <c r="J274" s="35" t="str">
        <f t="shared" si="80"/>
        <v/>
      </c>
      <c r="K274" s="35" t="str">
        <f t="shared" si="81"/>
        <v/>
      </c>
      <c r="L274" s="35" t="str">
        <f t="shared" si="82"/>
        <v/>
      </c>
      <c r="M274" s="35" t="str">
        <f t="shared" si="83"/>
        <v/>
      </c>
      <c r="N274" s="36" t="str">
        <f t="shared" si="84"/>
        <v/>
      </c>
      <c r="O274" s="35" t="str">
        <f t="shared" si="85"/>
        <v/>
      </c>
      <c r="P274" s="35" t="str">
        <f t="shared" si="86"/>
        <v/>
      </c>
      <c r="Q274" s="35" t="str">
        <f t="shared" si="87"/>
        <v/>
      </c>
      <c r="R274" s="35" t="str">
        <f t="shared" si="88"/>
        <v/>
      </c>
      <c r="S274" s="33" t="str">
        <f t="shared" si="89"/>
        <v/>
      </c>
    </row>
    <row r="275" spans="1:19" x14ac:dyDescent="0.3">
      <c r="A275" s="33">
        <f>271</f>
        <v>271</v>
      </c>
      <c r="B275" s="34" t="str">
        <f t="shared" si="72"/>
        <v/>
      </c>
      <c r="C275" s="33" t="str">
        <f t="shared" si="73"/>
        <v/>
      </c>
      <c r="D275" s="33" t="str">
        <f t="shared" si="74"/>
        <v/>
      </c>
      <c r="E275" s="35" t="str">
        <f t="shared" si="75"/>
        <v/>
      </c>
      <c r="F275" s="35" t="str">
        <f t="shared" si="76"/>
        <v/>
      </c>
      <c r="G275" s="33" t="str">
        <f t="shared" si="77"/>
        <v/>
      </c>
      <c r="H275" s="35" t="str">
        <f t="shared" si="78"/>
        <v/>
      </c>
      <c r="I275" s="35" t="str">
        <f t="shared" si="79"/>
        <v/>
      </c>
      <c r="J275" s="35" t="str">
        <f t="shared" si="80"/>
        <v/>
      </c>
      <c r="K275" s="35" t="str">
        <f t="shared" si="81"/>
        <v/>
      </c>
      <c r="L275" s="35" t="str">
        <f t="shared" si="82"/>
        <v/>
      </c>
      <c r="M275" s="35" t="str">
        <f t="shared" si="83"/>
        <v/>
      </c>
      <c r="N275" s="36" t="str">
        <f t="shared" si="84"/>
        <v/>
      </c>
      <c r="O275" s="35" t="str">
        <f t="shared" si="85"/>
        <v/>
      </c>
      <c r="P275" s="35" t="str">
        <f t="shared" si="86"/>
        <v/>
      </c>
      <c r="Q275" s="35" t="str">
        <f t="shared" si="87"/>
        <v/>
      </c>
      <c r="R275" s="35" t="str">
        <f t="shared" si="88"/>
        <v/>
      </c>
      <c r="S275" s="33" t="str">
        <f t="shared" si="89"/>
        <v/>
      </c>
    </row>
    <row r="276" spans="1:19" x14ac:dyDescent="0.3">
      <c r="A276" s="33">
        <f>272</f>
        <v>272</v>
      </c>
      <c r="B276" s="34" t="str">
        <f t="shared" si="72"/>
        <v/>
      </c>
      <c r="C276" s="33" t="str">
        <f t="shared" si="73"/>
        <v/>
      </c>
      <c r="D276" s="33" t="str">
        <f t="shared" si="74"/>
        <v/>
      </c>
      <c r="E276" s="35" t="str">
        <f t="shared" si="75"/>
        <v/>
      </c>
      <c r="F276" s="35" t="str">
        <f t="shared" si="76"/>
        <v/>
      </c>
      <c r="G276" s="33" t="str">
        <f t="shared" si="77"/>
        <v/>
      </c>
      <c r="H276" s="35" t="str">
        <f t="shared" si="78"/>
        <v/>
      </c>
      <c r="I276" s="35" t="str">
        <f t="shared" si="79"/>
        <v/>
      </c>
      <c r="J276" s="35" t="str">
        <f t="shared" si="80"/>
        <v/>
      </c>
      <c r="K276" s="35" t="str">
        <f t="shared" si="81"/>
        <v/>
      </c>
      <c r="L276" s="35" t="str">
        <f t="shared" si="82"/>
        <v/>
      </c>
      <c r="M276" s="35" t="str">
        <f t="shared" si="83"/>
        <v/>
      </c>
      <c r="N276" s="36" t="str">
        <f t="shared" si="84"/>
        <v/>
      </c>
      <c r="O276" s="35" t="str">
        <f t="shared" si="85"/>
        <v/>
      </c>
      <c r="P276" s="35" t="str">
        <f t="shared" si="86"/>
        <v/>
      </c>
      <c r="Q276" s="35" t="str">
        <f t="shared" si="87"/>
        <v/>
      </c>
      <c r="R276" s="35" t="str">
        <f t="shared" si="88"/>
        <v/>
      </c>
      <c r="S276" s="33" t="str">
        <f t="shared" si="89"/>
        <v/>
      </c>
    </row>
    <row r="277" spans="1:19" x14ac:dyDescent="0.3">
      <c r="A277" s="33">
        <f>273</f>
        <v>273</v>
      </c>
      <c r="B277" s="34" t="str">
        <f t="shared" si="72"/>
        <v/>
      </c>
      <c r="C277" s="33" t="str">
        <f t="shared" si="73"/>
        <v/>
      </c>
      <c r="D277" s="33" t="str">
        <f t="shared" si="74"/>
        <v/>
      </c>
      <c r="E277" s="35" t="str">
        <f t="shared" si="75"/>
        <v/>
      </c>
      <c r="F277" s="35" t="str">
        <f t="shared" si="76"/>
        <v/>
      </c>
      <c r="G277" s="33" t="str">
        <f t="shared" si="77"/>
        <v/>
      </c>
      <c r="H277" s="35" t="str">
        <f t="shared" si="78"/>
        <v/>
      </c>
      <c r="I277" s="35" t="str">
        <f t="shared" si="79"/>
        <v/>
      </c>
      <c r="J277" s="35" t="str">
        <f t="shared" si="80"/>
        <v/>
      </c>
      <c r="K277" s="35" t="str">
        <f t="shared" si="81"/>
        <v/>
      </c>
      <c r="L277" s="35" t="str">
        <f t="shared" si="82"/>
        <v/>
      </c>
      <c r="M277" s="35" t="str">
        <f t="shared" si="83"/>
        <v/>
      </c>
      <c r="N277" s="36" t="str">
        <f t="shared" si="84"/>
        <v/>
      </c>
      <c r="O277" s="35" t="str">
        <f t="shared" si="85"/>
        <v/>
      </c>
      <c r="P277" s="35" t="str">
        <f t="shared" si="86"/>
        <v/>
      </c>
      <c r="Q277" s="35" t="str">
        <f t="shared" si="87"/>
        <v/>
      </c>
      <c r="R277" s="35" t="str">
        <f t="shared" si="88"/>
        <v/>
      </c>
      <c r="S277" s="33" t="str">
        <f t="shared" si="89"/>
        <v/>
      </c>
    </row>
    <row r="278" spans="1:19" x14ac:dyDescent="0.3">
      <c r="A278" s="33">
        <f>274</f>
        <v>274</v>
      </c>
      <c r="B278" s="34" t="str">
        <f t="shared" si="72"/>
        <v/>
      </c>
      <c r="C278" s="33" t="str">
        <f t="shared" si="73"/>
        <v/>
      </c>
      <c r="D278" s="33" t="str">
        <f t="shared" si="74"/>
        <v/>
      </c>
      <c r="E278" s="35" t="str">
        <f t="shared" si="75"/>
        <v/>
      </c>
      <c r="F278" s="35" t="str">
        <f t="shared" si="76"/>
        <v/>
      </c>
      <c r="G278" s="33" t="str">
        <f t="shared" si="77"/>
        <v/>
      </c>
      <c r="H278" s="35" t="str">
        <f t="shared" si="78"/>
        <v/>
      </c>
      <c r="I278" s="35" t="str">
        <f t="shared" si="79"/>
        <v/>
      </c>
      <c r="J278" s="35" t="str">
        <f t="shared" si="80"/>
        <v/>
      </c>
      <c r="K278" s="35" t="str">
        <f t="shared" si="81"/>
        <v/>
      </c>
      <c r="L278" s="35" t="str">
        <f t="shared" si="82"/>
        <v/>
      </c>
      <c r="M278" s="35" t="str">
        <f t="shared" si="83"/>
        <v/>
      </c>
      <c r="N278" s="36" t="str">
        <f t="shared" si="84"/>
        <v/>
      </c>
      <c r="O278" s="35" t="str">
        <f t="shared" si="85"/>
        <v/>
      </c>
      <c r="P278" s="35" t="str">
        <f t="shared" si="86"/>
        <v/>
      </c>
      <c r="Q278" s="35" t="str">
        <f t="shared" si="87"/>
        <v/>
      </c>
      <c r="R278" s="35" t="str">
        <f t="shared" si="88"/>
        <v/>
      </c>
      <c r="S278" s="33" t="str">
        <f t="shared" si="89"/>
        <v/>
      </c>
    </row>
    <row r="279" spans="1:19" x14ac:dyDescent="0.3">
      <c r="A279" s="33">
        <f>275</f>
        <v>275</v>
      </c>
      <c r="B279" s="34" t="str">
        <f t="shared" si="72"/>
        <v/>
      </c>
      <c r="C279" s="33" t="str">
        <f t="shared" si="73"/>
        <v/>
      </c>
      <c r="D279" s="33" t="str">
        <f t="shared" si="74"/>
        <v/>
      </c>
      <c r="E279" s="35" t="str">
        <f t="shared" si="75"/>
        <v/>
      </c>
      <c r="F279" s="35" t="str">
        <f t="shared" si="76"/>
        <v/>
      </c>
      <c r="G279" s="33" t="str">
        <f t="shared" si="77"/>
        <v/>
      </c>
      <c r="H279" s="35" t="str">
        <f t="shared" si="78"/>
        <v/>
      </c>
      <c r="I279" s="35" t="str">
        <f t="shared" si="79"/>
        <v/>
      </c>
      <c r="J279" s="35" t="str">
        <f t="shared" si="80"/>
        <v/>
      </c>
      <c r="K279" s="35" t="str">
        <f t="shared" si="81"/>
        <v/>
      </c>
      <c r="L279" s="35" t="str">
        <f t="shared" si="82"/>
        <v/>
      </c>
      <c r="M279" s="35" t="str">
        <f t="shared" si="83"/>
        <v/>
      </c>
      <c r="N279" s="36" t="str">
        <f t="shared" si="84"/>
        <v/>
      </c>
      <c r="O279" s="35" t="str">
        <f t="shared" si="85"/>
        <v/>
      </c>
      <c r="P279" s="35" t="str">
        <f t="shared" si="86"/>
        <v/>
      </c>
      <c r="Q279" s="35" t="str">
        <f t="shared" si="87"/>
        <v/>
      </c>
      <c r="R279" s="35" t="str">
        <f t="shared" si="88"/>
        <v/>
      </c>
      <c r="S279" s="33" t="str">
        <f t="shared" si="89"/>
        <v/>
      </c>
    </row>
    <row r="280" spans="1:19" x14ac:dyDescent="0.3">
      <c r="A280" s="37">
        <f>276</f>
        <v>276</v>
      </c>
      <c r="B280" s="38" t="str">
        <f t="shared" si="72"/>
        <v/>
      </c>
      <c r="C280" s="37" t="str">
        <f t="shared" si="73"/>
        <v/>
      </c>
      <c r="D280" s="37" t="str">
        <f t="shared" si="74"/>
        <v/>
      </c>
      <c r="E280" s="39" t="str">
        <f t="shared" si="75"/>
        <v/>
      </c>
      <c r="F280" s="39" t="str">
        <f t="shared" si="76"/>
        <v/>
      </c>
      <c r="G280" s="37" t="str">
        <f t="shared" si="77"/>
        <v/>
      </c>
      <c r="H280" s="39" t="str">
        <f t="shared" si="78"/>
        <v/>
      </c>
      <c r="I280" s="39" t="str">
        <f t="shared" si="79"/>
        <v/>
      </c>
      <c r="J280" s="39" t="str">
        <f t="shared" si="80"/>
        <v/>
      </c>
      <c r="K280" s="39" t="str">
        <f t="shared" si="81"/>
        <v/>
      </c>
      <c r="L280" s="39" t="str">
        <f t="shared" si="82"/>
        <v/>
      </c>
      <c r="M280" s="39" t="str">
        <f t="shared" si="83"/>
        <v/>
      </c>
      <c r="N280" s="40" t="str">
        <f t="shared" si="84"/>
        <v/>
      </c>
      <c r="O280" s="39" t="str">
        <f t="shared" si="85"/>
        <v/>
      </c>
      <c r="P280" s="39" t="str">
        <f t="shared" si="86"/>
        <v/>
      </c>
      <c r="Q280" s="39" t="str">
        <f t="shared" si="87"/>
        <v/>
      </c>
      <c r="R280" s="39" t="str">
        <f t="shared" si="88"/>
        <v/>
      </c>
      <c r="S280" s="37" t="str">
        <f t="shared" si="89"/>
        <v/>
      </c>
    </row>
    <row r="281" spans="1:19" x14ac:dyDescent="0.3">
      <c r="A281" s="33">
        <f>277</f>
        <v>277</v>
      </c>
      <c r="B281" s="34" t="str">
        <f t="shared" si="72"/>
        <v/>
      </c>
      <c r="C281" s="33" t="str">
        <f t="shared" si="73"/>
        <v/>
      </c>
      <c r="D281" s="33" t="str">
        <f t="shared" si="74"/>
        <v/>
      </c>
      <c r="E281" s="35" t="str">
        <f t="shared" si="75"/>
        <v/>
      </c>
      <c r="F281" s="35" t="str">
        <f t="shared" si="76"/>
        <v/>
      </c>
      <c r="G281" s="33" t="str">
        <f t="shared" si="77"/>
        <v/>
      </c>
      <c r="H281" s="35" t="str">
        <f t="shared" si="78"/>
        <v/>
      </c>
      <c r="I281" s="35" t="str">
        <f t="shared" si="79"/>
        <v/>
      </c>
      <c r="J281" s="35" t="str">
        <f t="shared" si="80"/>
        <v/>
      </c>
      <c r="K281" s="35" t="str">
        <f t="shared" si="81"/>
        <v/>
      </c>
      <c r="L281" s="35" t="str">
        <f t="shared" si="82"/>
        <v/>
      </c>
      <c r="M281" s="35" t="str">
        <f t="shared" si="83"/>
        <v/>
      </c>
      <c r="N281" s="36" t="str">
        <f t="shared" si="84"/>
        <v/>
      </c>
      <c r="O281" s="35" t="str">
        <f t="shared" si="85"/>
        <v/>
      </c>
      <c r="P281" s="35" t="str">
        <f t="shared" si="86"/>
        <v/>
      </c>
      <c r="Q281" s="35" t="str">
        <f t="shared" si="87"/>
        <v/>
      </c>
      <c r="R281" s="35" t="str">
        <f t="shared" si="88"/>
        <v/>
      </c>
      <c r="S281" s="33" t="str">
        <f t="shared" si="89"/>
        <v/>
      </c>
    </row>
    <row r="282" spans="1:19" x14ac:dyDescent="0.3">
      <c r="A282" s="33">
        <f>278</f>
        <v>278</v>
      </c>
      <c r="B282" s="34" t="str">
        <f t="shared" si="72"/>
        <v/>
      </c>
      <c r="C282" s="33" t="str">
        <f t="shared" si="73"/>
        <v/>
      </c>
      <c r="D282" s="33" t="str">
        <f t="shared" si="74"/>
        <v/>
      </c>
      <c r="E282" s="35" t="str">
        <f t="shared" si="75"/>
        <v/>
      </c>
      <c r="F282" s="35" t="str">
        <f t="shared" si="76"/>
        <v/>
      </c>
      <c r="G282" s="33" t="str">
        <f t="shared" si="77"/>
        <v/>
      </c>
      <c r="H282" s="35" t="str">
        <f t="shared" si="78"/>
        <v/>
      </c>
      <c r="I282" s="35" t="str">
        <f t="shared" si="79"/>
        <v/>
      </c>
      <c r="J282" s="35" t="str">
        <f t="shared" si="80"/>
        <v/>
      </c>
      <c r="K282" s="35" t="str">
        <f t="shared" si="81"/>
        <v/>
      </c>
      <c r="L282" s="35" t="str">
        <f t="shared" si="82"/>
        <v/>
      </c>
      <c r="M282" s="35" t="str">
        <f t="shared" si="83"/>
        <v/>
      </c>
      <c r="N282" s="36" t="str">
        <f t="shared" si="84"/>
        <v/>
      </c>
      <c r="O282" s="35" t="str">
        <f t="shared" si="85"/>
        <v/>
      </c>
      <c r="P282" s="35" t="str">
        <f t="shared" si="86"/>
        <v/>
      </c>
      <c r="Q282" s="35" t="str">
        <f t="shared" si="87"/>
        <v/>
      </c>
      <c r="R282" s="35" t="str">
        <f t="shared" si="88"/>
        <v/>
      </c>
      <c r="S282" s="33" t="str">
        <f t="shared" si="89"/>
        <v/>
      </c>
    </row>
    <row r="283" spans="1:19" x14ac:dyDescent="0.3">
      <c r="A283" s="33">
        <f>279</f>
        <v>279</v>
      </c>
      <c r="B283" s="34" t="str">
        <f t="shared" si="72"/>
        <v/>
      </c>
      <c r="C283" s="33" t="str">
        <f t="shared" si="73"/>
        <v/>
      </c>
      <c r="D283" s="33" t="str">
        <f t="shared" si="74"/>
        <v/>
      </c>
      <c r="E283" s="35" t="str">
        <f t="shared" si="75"/>
        <v/>
      </c>
      <c r="F283" s="35" t="str">
        <f t="shared" si="76"/>
        <v/>
      </c>
      <c r="G283" s="33" t="str">
        <f t="shared" si="77"/>
        <v/>
      </c>
      <c r="H283" s="35" t="str">
        <f t="shared" si="78"/>
        <v/>
      </c>
      <c r="I283" s="35" t="str">
        <f t="shared" si="79"/>
        <v/>
      </c>
      <c r="J283" s="35" t="str">
        <f t="shared" si="80"/>
        <v/>
      </c>
      <c r="K283" s="35" t="str">
        <f t="shared" si="81"/>
        <v/>
      </c>
      <c r="L283" s="35" t="str">
        <f t="shared" si="82"/>
        <v/>
      </c>
      <c r="M283" s="35" t="str">
        <f t="shared" si="83"/>
        <v/>
      </c>
      <c r="N283" s="36" t="str">
        <f t="shared" si="84"/>
        <v/>
      </c>
      <c r="O283" s="35" t="str">
        <f t="shared" si="85"/>
        <v/>
      </c>
      <c r="P283" s="35" t="str">
        <f t="shared" si="86"/>
        <v/>
      </c>
      <c r="Q283" s="35" t="str">
        <f t="shared" si="87"/>
        <v/>
      </c>
      <c r="R283" s="35" t="str">
        <f t="shared" si="88"/>
        <v/>
      </c>
      <c r="S283" s="33" t="str">
        <f t="shared" si="89"/>
        <v/>
      </c>
    </row>
    <row r="284" spans="1:19" x14ac:dyDescent="0.3">
      <c r="A284" s="33">
        <f>280</f>
        <v>280</v>
      </c>
      <c r="B284" s="34" t="str">
        <f t="shared" si="72"/>
        <v/>
      </c>
      <c r="C284" s="33" t="str">
        <f t="shared" si="73"/>
        <v/>
      </c>
      <c r="D284" s="33" t="str">
        <f t="shared" si="74"/>
        <v/>
      </c>
      <c r="E284" s="35" t="str">
        <f t="shared" si="75"/>
        <v/>
      </c>
      <c r="F284" s="35" t="str">
        <f t="shared" si="76"/>
        <v/>
      </c>
      <c r="G284" s="33" t="str">
        <f t="shared" si="77"/>
        <v/>
      </c>
      <c r="H284" s="35" t="str">
        <f t="shared" si="78"/>
        <v/>
      </c>
      <c r="I284" s="35" t="str">
        <f t="shared" si="79"/>
        <v/>
      </c>
      <c r="J284" s="35" t="str">
        <f t="shared" si="80"/>
        <v/>
      </c>
      <c r="K284" s="35" t="str">
        <f t="shared" si="81"/>
        <v/>
      </c>
      <c r="L284" s="35" t="str">
        <f t="shared" si="82"/>
        <v/>
      </c>
      <c r="M284" s="35" t="str">
        <f t="shared" si="83"/>
        <v/>
      </c>
      <c r="N284" s="36" t="str">
        <f t="shared" si="84"/>
        <v/>
      </c>
      <c r="O284" s="35" t="str">
        <f t="shared" si="85"/>
        <v/>
      </c>
      <c r="P284" s="35" t="str">
        <f t="shared" si="86"/>
        <v/>
      </c>
      <c r="Q284" s="35" t="str">
        <f t="shared" si="87"/>
        <v/>
      </c>
      <c r="R284" s="35" t="str">
        <f t="shared" si="88"/>
        <v/>
      </c>
      <c r="S284" s="33" t="str">
        <f t="shared" si="89"/>
        <v/>
      </c>
    </row>
    <row r="285" spans="1:19" x14ac:dyDescent="0.3">
      <c r="A285" s="33">
        <f>281</f>
        <v>281</v>
      </c>
      <c r="B285" s="34" t="str">
        <f t="shared" si="72"/>
        <v/>
      </c>
      <c r="C285" s="33" t="str">
        <f t="shared" si="73"/>
        <v/>
      </c>
      <c r="D285" s="33" t="str">
        <f t="shared" si="74"/>
        <v/>
      </c>
      <c r="E285" s="35" t="str">
        <f t="shared" si="75"/>
        <v/>
      </c>
      <c r="F285" s="35" t="str">
        <f t="shared" si="76"/>
        <v/>
      </c>
      <c r="G285" s="33" t="str">
        <f t="shared" si="77"/>
        <v/>
      </c>
      <c r="H285" s="35" t="str">
        <f t="shared" si="78"/>
        <v/>
      </c>
      <c r="I285" s="35" t="str">
        <f t="shared" si="79"/>
        <v/>
      </c>
      <c r="J285" s="35" t="str">
        <f t="shared" si="80"/>
        <v/>
      </c>
      <c r="K285" s="35" t="str">
        <f t="shared" si="81"/>
        <v/>
      </c>
      <c r="L285" s="35" t="str">
        <f t="shared" si="82"/>
        <v/>
      </c>
      <c r="M285" s="35" t="str">
        <f t="shared" si="83"/>
        <v/>
      </c>
      <c r="N285" s="36" t="str">
        <f t="shared" si="84"/>
        <v/>
      </c>
      <c r="O285" s="35" t="str">
        <f t="shared" si="85"/>
        <v/>
      </c>
      <c r="P285" s="35" t="str">
        <f t="shared" si="86"/>
        <v/>
      </c>
      <c r="Q285" s="35" t="str">
        <f t="shared" si="87"/>
        <v/>
      </c>
      <c r="R285" s="35" t="str">
        <f t="shared" si="88"/>
        <v/>
      </c>
      <c r="S285" s="33" t="str">
        <f t="shared" si="89"/>
        <v/>
      </c>
    </row>
    <row r="286" spans="1:19" x14ac:dyDescent="0.3">
      <c r="A286" s="33">
        <f>282</f>
        <v>282</v>
      </c>
      <c r="B286" s="34" t="str">
        <f t="shared" si="72"/>
        <v/>
      </c>
      <c r="C286" s="33" t="str">
        <f t="shared" si="73"/>
        <v/>
      </c>
      <c r="D286" s="33" t="str">
        <f t="shared" si="74"/>
        <v/>
      </c>
      <c r="E286" s="35" t="str">
        <f t="shared" si="75"/>
        <v/>
      </c>
      <c r="F286" s="35" t="str">
        <f t="shared" si="76"/>
        <v/>
      </c>
      <c r="G286" s="33" t="str">
        <f t="shared" si="77"/>
        <v/>
      </c>
      <c r="H286" s="35" t="str">
        <f t="shared" si="78"/>
        <v/>
      </c>
      <c r="I286" s="35" t="str">
        <f t="shared" si="79"/>
        <v/>
      </c>
      <c r="J286" s="35" t="str">
        <f t="shared" si="80"/>
        <v/>
      </c>
      <c r="K286" s="35" t="str">
        <f t="shared" si="81"/>
        <v/>
      </c>
      <c r="L286" s="35" t="str">
        <f t="shared" si="82"/>
        <v/>
      </c>
      <c r="M286" s="35" t="str">
        <f t="shared" si="83"/>
        <v/>
      </c>
      <c r="N286" s="36" t="str">
        <f t="shared" si="84"/>
        <v/>
      </c>
      <c r="O286" s="35" t="str">
        <f t="shared" si="85"/>
        <v/>
      </c>
      <c r="P286" s="35" t="str">
        <f t="shared" si="86"/>
        <v/>
      </c>
      <c r="Q286" s="35" t="str">
        <f t="shared" si="87"/>
        <v/>
      </c>
      <c r="R286" s="35" t="str">
        <f t="shared" si="88"/>
        <v/>
      </c>
      <c r="S286" s="33" t="str">
        <f t="shared" si="89"/>
        <v/>
      </c>
    </row>
    <row r="287" spans="1:19" x14ac:dyDescent="0.3">
      <c r="A287" s="33">
        <f>283</f>
        <v>283</v>
      </c>
      <c r="B287" s="34" t="str">
        <f t="shared" si="72"/>
        <v/>
      </c>
      <c r="C287" s="33" t="str">
        <f t="shared" si="73"/>
        <v/>
      </c>
      <c r="D287" s="33" t="str">
        <f t="shared" si="74"/>
        <v/>
      </c>
      <c r="E287" s="35" t="str">
        <f t="shared" si="75"/>
        <v/>
      </c>
      <c r="F287" s="35" t="str">
        <f t="shared" si="76"/>
        <v/>
      </c>
      <c r="G287" s="33" t="str">
        <f t="shared" si="77"/>
        <v/>
      </c>
      <c r="H287" s="35" t="str">
        <f t="shared" si="78"/>
        <v/>
      </c>
      <c r="I287" s="35" t="str">
        <f t="shared" si="79"/>
        <v/>
      </c>
      <c r="J287" s="35" t="str">
        <f t="shared" si="80"/>
        <v/>
      </c>
      <c r="K287" s="35" t="str">
        <f t="shared" si="81"/>
        <v/>
      </c>
      <c r="L287" s="35" t="str">
        <f t="shared" si="82"/>
        <v/>
      </c>
      <c r="M287" s="35" t="str">
        <f t="shared" si="83"/>
        <v/>
      </c>
      <c r="N287" s="36" t="str">
        <f t="shared" si="84"/>
        <v/>
      </c>
      <c r="O287" s="35" t="str">
        <f t="shared" si="85"/>
        <v/>
      </c>
      <c r="P287" s="35" t="str">
        <f t="shared" si="86"/>
        <v/>
      </c>
      <c r="Q287" s="35" t="str">
        <f t="shared" si="87"/>
        <v/>
      </c>
      <c r="R287" s="35" t="str">
        <f t="shared" si="88"/>
        <v/>
      </c>
      <c r="S287" s="33" t="str">
        <f t="shared" si="89"/>
        <v/>
      </c>
    </row>
    <row r="288" spans="1:19" x14ac:dyDescent="0.3">
      <c r="A288" s="33">
        <f>284</f>
        <v>284</v>
      </c>
      <c r="B288" s="34" t="str">
        <f t="shared" si="72"/>
        <v/>
      </c>
      <c r="C288" s="33" t="str">
        <f t="shared" si="73"/>
        <v/>
      </c>
      <c r="D288" s="33" t="str">
        <f t="shared" si="74"/>
        <v/>
      </c>
      <c r="E288" s="35" t="str">
        <f t="shared" si="75"/>
        <v/>
      </c>
      <c r="F288" s="35" t="str">
        <f t="shared" si="76"/>
        <v/>
      </c>
      <c r="G288" s="33" t="str">
        <f t="shared" si="77"/>
        <v/>
      </c>
      <c r="H288" s="35" t="str">
        <f t="shared" si="78"/>
        <v/>
      </c>
      <c r="I288" s="35" t="str">
        <f t="shared" si="79"/>
        <v/>
      </c>
      <c r="J288" s="35" t="str">
        <f t="shared" si="80"/>
        <v/>
      </c>
      <c r="K288" s="35" t="str">
        <f t="shared" si="81"/>
        <v/>
      </c>
      <c r="L288" s="35" t="str">
        <f t="shared" si="82"/>
        <v/>
      </c>
      <c r="M288" s="35" t="str">
        <f t="shared" si="83"/>
        <v/>
      </c>
      <c r="N288" s="36" t="str">
        <f t="shared" si="84"/>
        <v/>
      </c>
      <c r="O288" s="35" t="str">
        <f t="shared" si="85"/>
        <v/>
      </c>
      <c r="P288" s="35" t="str">
        <f t="shared" si="86"/>
        <v/>
      </c>
      <c r="Q288" s="35" t="str">
        <f t="shared" si="87"/>
        <v/>
      </c>
      <c r="R288" s="35" t="str">
        <f t="shared" si="88"/>
        <v/>
      </c>
      <c r="S288" s="33" t="str">
        <f t="shared" si="89"/>
        <v/>
      </c>
    </row>
    <row r="289" spans="1:19" x14ac:dyDescent="0.3">
      <c r="A289" s="33">
        <f>285</f>
        <v>285</v>
      </c>
      <c r="B289" s="34" t="str">
        <f t="shared" si="72"/>
        <v/>
      </c>
      <c r="C289" s="33" t="str">
        <f t="shared" si="73"/>
        <v/>
      </c>
      <c r="D289" s="33" t="str">
        <f t="shared" si="74"/>
        <v/>
      </c>
      <c r="E289" s="35" t="str">
        <f t="shared" si="75"/>
        <v/>
      </c>
      <c r="F289" s="35" t="str">
        <f t="shared" si="76"/>
        <v/>
      </c>
      <c r="G289" s="33" t="str">
        <f t="shared" si="77"/>
        <v/>
      </c>
      <c r="H289" s="35" t="str">
        <f t="shared" si="78"/>
        <v/>
      </c>
      <c r="I289" s="35" t="str">
        <f t="shared" si="79"/>
        <v/>
      </c>
      <c r="J289" s="35" t="str">
        <f t="shared" si="80"/>
        <v/>
      </c>
      <c r="K289" s="35" t="str">
        <f t="shared" si="81"/>
        <v/>
      </c>
      <c r="L289" s="35" t="str">
        <f t="shared" si="82"/>
        <v/>
      </c>
      <c r="M289" s="35" t="str">
        <f t="shared" si="83"/>
        <v/>
      </c>
      <c r="N289" s="36" t="str">
        <f t="shared" si="84"/>
        <v/>
      </c>
      <c r="O289" s="35" t="str">
        <f t="shared" si="85"/>
        <v/>
      </c>
      <c r="P289" s="35" t="str">
        <f t="shared" si="86"/>
        <v/>
      </c>
      <c r="Q289" s="35" t="str">
        <f t="shared" si="87"/>
        <v/>
      </c>
      <c r="R289" s="35" t="str">
        <f t="shared" si="88"/>
        <v/>
      </c>
      <c r="S289" s="33" t="str">
        <f t="shared" si="89"/>
        <v/>
      </c>
    </row>
    <row r="290" spans="1:19" x14ac:dyDescent="0.3">
      <c r="A290" s="33">
        <f>286</f>
        <v>286</v>
      </c>
      <c r="B290" s="34" t="str">
        <f t="shared" si="72"/>
        <v/>
      </c>
      <c r="C290" s="33" t="str">
        <f t="shared" si="73"/>
        <v/>
      </c>
      <c r="D290" s="33" t="str">
        <f t="shared" si="74"/>
        <v/>
      </c>
      <c r="E290" s="35" t="str">
        <f t="shared" si="75"/>
        <v/>
      </c>
      <c r="F290" s="35" t="str">
        <f t="shared" si="76"/>
        <v/>
      </c>
      <c r="G290" s="33" t="str">
        <f t="shared" si="77"/>
        <v/>
      </c>
      <c r="H290" s="35" t="str">
        <f t="shared" si="78"/>
        <v/>
      </c>
      <c r="I290" s="35" t="str">
        <f t="shared" si="79"/>
        <v/>
      </c>
      <c r="J290" s="35" t="str">
        <f t="shared" si="80"/>
        <v/>
      </c>
      <c r="K290" s="35" t="str">
        <f t="shared" si="81"/>
        <v/>
      </c>
      <c r="L290" s="35" t="str">
        <f t="shared" si="82"/>
        <v/>
      </c>
      <c r="M290" s="35" t="str">
        <f t="shared" si="83"/>
        <v/>
      </c>
      <c r="N290" s="36" t="str">
        <f t="shared" si="84"/>
        <v/>
      </c>
      <c r="O290" s="35" t="str">
        <f t="shared" si="85"/>
        <v/>
      </c>
      <c r="P290" s="35" t="str">
        <f t="shared" si="86"/>
        <v/>
      </c>
      <c r="Q290" s="35" t="str">
        <f t="shared" si="87"/>
        <v/>
      </c>
      <c r="R290" s="35" t="str">
        <f t="shared" si="88"/>
        <v/>
      </c>
      <c r="S290" s="33" t="str">
        <f t="shared" si="89"/>
        <v/>
      </c>
    </row>
    <row r="291" spans="1:19" x14ac:dyDescent="0.3">
      <c r="A291" s="33">
        <f>287</f>
        <v>287</v>
      </c>
      <c r="B291" s="34" t="str">
        <f t="shared" si="72"/>
        <v/>
      </c>
      <c r="C291" s="33" t="str">
        <f t="shared" si="73"/>
        <v/>
      </c>
      <c r="D291" s="33" t="str">
        <f t="shared" si="74"/>
        <v/>
      </c>
      <c r="E291" s="35" t="str">
        <f t="shared" si="75"/>
        <v/>
      </c>
      <c r="F291" s="35" t="str">
        <f t="shared" si="76"/>
        <v/>
      </c>
      <c r="G291" s="33" t="str">
        <f t="shared" si="77"/>
        <v/>
      </c>
      <c r="H291" s="35" t="str">
        <f t="shared" si="78"/>
        <v/>
      </c>
      <c r="I291" s="35" t="str">
        <f t="shared" si="79"/>
        <v/>
      </c>
      <c r="J291" s="35" t="str">
        <f t="shared" si="80"/>
        <v/>
      </c>
      <c r="K291" s="35" t="str">
        <f t="shared" si="81"/>
        <v/>
      </c>
      <c r="L291" s="35" t="str">
        <f t="shared" si="82"/>
        <v/>
      </c>
      <c r="M291" s="35" t="str">
        <f t="shared" si="83"/>
        <v/>
      </c>
      <c r="N291" s="36" t="str">
        <f t="shared" si="84"/>
        <v/>
      </c>
      <c r="O291" s="35" t="str">
        <f t="shared" si="85"/>
        <v/>
      </c>
      <c r="P291" s="35" t="str">
        <f t="shared" si="86"/>
        <v/>
      </c>
      <c r="Q291" s="35" t="str">
        <f t="shared" si="87"/>
        <v/>
      </c>
      <c r="R291" s="35" t="str">
        <f t="shared" si="88"/>
        <v/>
      </c>
      <c r="S291" s="33" t="str">
        <f t="shared" si="89"/>
        <v/>
      </c>
    </row>
    <row r="292" spans="1:19" x14ac:dyDescent="0.3">
      <c r="A292" s="37">
        <f>288</f>
        <v>288</v>
      </c>
      <c r="B292" s="38" t="str">
        <f t="shared" si="72"/>
        <v/>
      </c>
      <c r="C292" s="37" t="str">
        <f t="shared" si="73"/>
        <v/>
      </c>
      <c r="D292" s="37" t="str">
        <f t="shared" si="74"/>
        <v/>
      </c>
      <c r="E292" s="39" t="str">
        <f t="shared" si="75"/>
        <v/>
      </c>
      <c r="F292" s="39" t="str">
        <f t="shared" si="76"/>
        <v/>
      </c>
      <c r="G292" s="37" t="str">
        <f t="shared" si="77"/>
        <v/>
      </c>
      <c r="H292" s="39" t="str">
        <f t="shared" si="78"/>
        <v/>
      </c>
      <c r="I292" s="39" t="str">
        <f t="shared" si="79"/>
        <v/>
      </c>
      <c r="J292" s="39" t="str">
        <f t="shared" si="80"/>
        <v/>
      </c>
      <c r="K292" s="39" t="str">
        <f t="shared" si="81"/>
        <v/>
      </c>
      <c r="L292" s="39" t="str">
        <f t="shared" si="82"/>
        <v/>
      </c>
      <c r="M292" s="39" t="str">
        <f t="shared" si="83"/>
        <v/>
      </c>
      <c r="N292" s="40" t="str">
        <f t="shared" si="84"/>
        <v/>
      </c>
      <c r="O292" s="39" t="str">
        <f t="shared" si="85"/>
        <v/>
      </c>
      <c r="P292" s="39" t="str">
        <f t="shared" si="86"/>
        <v/>
      </c>
      <c r="Q292" s="39" t="str">
        <f t="shared" si="87"/>
        <v/>
      </c>
      <c r="R292" s="39" t="str">
        <f t="shared" si="88"/>
        <v/>
      </c>
      <c r="S292" s="37" t="str">
        <f t="shared" si="89"/>
        <v/>
      </c>
    </row>
    <row r="293" spans="1:19" x14ac:dyDescent="0.3">
      <c r="A293" s="33">
        <f>289</f>
        <v>289</v>
      </c>
      <c r="B293" s="34" t="str">
        <f t="shared" si="72"/>
        <v/>
      </c>
      <c r="C293" s="33" t="str">
        <f t="shared" si="73"/>
        <v/>
      </c>
      <c r="D293" s="33" t="str">
        <f t="shared" si="74"/>
        <v/>
      </c>
      <c r="E293" s="35" t="str">
        <f t="shared" si="75"/>
        <v/>
      </c>
      <c r="F293" s="35" t="str">
        <f t="shared" si="76"/>
        <v/>
      </c>
      <c r="G293" s="33" t="str">
        <f t="shared" si="77"/>
        <v/>
      </c>
      <c r="H293" s="35" t="str">
        <f t="shared" si="78"/>
        <v/>
      </c>
      <c r="I293" s="35" t="str">
        <f t="shared" si="79"/>
        <v/>
      </c>
      <c r="J293" s="35" t="str">
        <f t="shared" si="80"/>
        <v/>
      </c>
      <c r="K293" s="35" t="str">
        <f t="shared" si="81"/>
        <v/>
      </c>
      <c r="L293" s="35" t="str">
        <f t="shared" si="82"/>
        <v/>
      </c>
      <c r="M293" s="35" t="str">
        <f t="shared" si="83"/>
        <v/>
      </c>
      <c r="N293" s="36" t="str">
        <f t="shared" si="84"/>
        <v/>
      </c>
      <c r="O293" s="35" t="str">
        <f t="shared" si="85"/>
        <v/>
      </c>
      <c r="P293" s="35" t="str">
        <f t="shared" si="86"/>
        <v/>
      </c>
      <c r="Q293" s="35" t="str">
        <f t="shared" si="87"/>
        <v/>
      </c>
      <c r="R293" s="35" t="str">
        <f t="shared" si="88"/>
        <v/>
      </c>
      <c r="S293" s="33" t="str">
        <f t="shared" si="89"/>
        <v/>
      </c>
    </row>
    <row r="294" spans="1:19" x14ac:dyDescent="0.3">
      <c r="A294" s="33">
        <f>290</f>
        <v>290</v>
      </c>
      <c r="B294" s="34" t="str">
        <f t="shared" si="72"/>
        <v/>
      </c>
      <c r="C294" s="33" t="str">
        <f t="shared" si="73"/>
        <v/>
      </c>
      <c r="D294" s="33" t="str">
        <f t="shared" si="74"/>
        <v/>
      </c>
      <c r="E294" s="35" t="str">
        <f t="shared" si="75"/>
        <v/>
      </c>
      <c r="F294" s="35" t="str">
        <f t="shared" si="76"/>
        <v/>
      </c>
      <c r="G294" s="33" t="str">
        <f t="shared" si="77"/>
        <v/>
      </c>
      <c r="H294" s="35" t="str">
        <f t="shared" si="78"/>
        <v/>
      </c>
      <c r="I294" s="35" t="str">
        <f t="shared" si="79"/>
        <v/>
      </c>
      <c r="J294" s="35" t="str">
        <f t="shared" si="80"/>
        <v/>
      </c>
      <c r="K294" s="35" t="str">
        <f t="shared" si="81"/>
        <v/>
      </c>
      <c r="L294" s="35" t="str">
        <f t="shared" si="82"/>
        <v/>
      </c>
      <c r="M294" s="35" t="str">
        <f t="shared" si="83"/>
        <v/>
      </c>
      <c r="N294" s="36" t="str">
        <f t="shared" si="84"/>
        <v/>
      </c>
      <c r="O294" s="35" t="str">
        <f t="shared" si="85"/>
        <v/>
      </c>
      <c r="P294" s="35" t="str">
        <f t="shared" si="86"/>
        <v/>
      </c>
      <c r="Q294" s="35" t="str">
        <f t="shared" si="87"/>
        <v/>
      </c>
      <c r="R294" s="35" t="str">
        <f t="shared" si="88"/>
        <v/>
      </c>
      <c r="S294" s="33" t="str">
        <f t="shared" si="89"/>
        <v/>
      </c>
    </row>
    <row r="295" spans="1:19" x14ac:dyDescent="0.3">
      <c r="A295" s="33">
        <f>291</f>
        <v>291</v>
      </c>
      <c r="B295" s="34" t="str">
        <f t="shared" si="72"/>
        <v/>
      </c>
      <c r="C295" s="33" t="str">
        <f t="shared" si="73"/>
        <v/>
      </c>
      <c r="D295" s="33" t="str">
        <f t="shared" si="74"/>
        <v/>
      </c>
      <c r="E295" s="35" t="str">
        <f t="shared" si="75"/>
        <v/>
      </c>
      <c r="F295" s="35" t="str">
        <f t="shared" si="76"/>
        <v/>
      </c>
      <c r="G295" s="33" t="str">
        <f t="shared" si="77"/>
        <v/>
      </c>
      <c r="H295" s="35" t="str">
        <f t="shared" si="78"/>
        <v/>
      </c>
      <c r="I295" s="35" t="str">
        <f t="shared" si="79"/>
        <v/>
      </c>
      <c r="J295" s="35" t="str">
        <f t="shared" si="80"/>
        <v/>
      </c>
      <c r="K295" s="35" t="str">
        <f t="shared" si="81"/>
        <v/>
      </c>
      <c r="L295" s="35" t="str">
        <f t="shared" si="82"/>
        <v/>
      </c>
      <c r="M295" s="35" t="str">
        <f t="shared" si="83"/>
        <v/>
      </c>
      <c r="N295" s="36" t="str">
        <f t="shared" si="84"/>
        <v/>
      </c>
      <c r="O295" s="35" t="str">
        <f t="shared" si="85"/>
        <v/>
      </c>
      <c r="P295" s="35" t="str">
        <f t="shared" si="86"/>
        <v/>
      </c>
      <c r="Q295" s="35" t="str">
        <f t="shared" si="87"/>
        <v/>
      </c>
      <c r="R295" s="35" t="str">
        <f t="shared" si="88"/>
        <v/>
      </c>
      <c r="S295" s="33" t="str">
        <f t="shared" si="89"/>
        <v/>
      </c>
    </row>
    <row r="296" spans="1:19" x14ac:dyDescent="0.3">
      <c r="A296" s="33">
        <f>292</f>
        <v>292</v>
      </c>
      <c r="B296" s="34" t="str">
        <f t="shared" si="72"/>
        <v/>
      </c>
      <c r="C296" s="33" t="str">
        <f t="shared" si="73"/>
        <v/>
      </c>
      <c r="D296" s="33" t="str">
        <f t="shared" si="74"/>
        <v/>
      </c>
      <c r="E296" s="35" t="str">
        <f t="shared" si="75"/>
        <v/>
      </c>
      <c r="F296" s="35" t="str">
        <f t="shared" si="76"/>
        <v/>
      </c>
      <c r="G296" s="33" t="str">
        <f t="shared" si="77"/>
        <v/>
      </c>
      <c r="H296" s="35" t="str">
        <f t="shared" si="78"/>
        <v/>
      </c>
      <c r="I296" s="35" t="str">
        <f t="shared" si="79"/>
        <v/>
      </c>
      <c r="J296" s="35" t="str">
        <f t="shared" si="80"/>
        <v/>
      </c>
      <c r="K296" s="35" t="str">
        <f t="shared" si="81"/>
        <v/>
      </c>
      <c r="L296" s="35" t="str">
        <f t="shared" si="82"/>
        <v/>
      </c>
      <c r="M296" s="35" t="str">
        <f t="shared" si="83"/>
        <v/>
      </c>
      <c r="N296" s="36" t="str">
        <f t="shared" si="84"/>
        <v/>
      </c>
      <c r="O296" s="35" t="str">
        <f t="shared" si="85"/>
        <v/>
      </c>
      <c r="P296" s="35" t="str">
        <f t="shared" si="86"/>
        <v/>
      </c>
      <c r="Q296" s="35" t="str">
        <f t="shared" si="87"/>
        <v/>
      </c>
      <c r="R296" s="35" t="str">
        <f t="shared" si="88"/>
        <v/>
      </c>
      <c r="S296" s="33" t="str">
        <f t="shared" si="89"/>
        <v/>
      </c>
    </row>
    <row r="297" spans="1:19" x14ac:dyDescent="0.3">
      <c r="A297" s="33">
        <f>293</f>
        <v>293</v>
      </c>
      <c r="B297" s="34" t="str">
        <f t="shared" si="72"/>
        <v/>
      </c>
      <c r="C297" s="33" t="str">
        <f t="shared" si="73"/>
        <v/>
      </c>
      <c r="D297" s="33" t="str">
        <f t="shared" si="74"/>
        <v/>
      </c>
      <c r="E297" s="35" t="str">
        <f t="shared" si="75"/>
        <v/>
      </c>
      <c r="F297" s="35" t="str">
        <f t="shared" si="76"/>
        <v/>
      </c>
      <c r="G297" s="33" t="str">
        <f t="shared" si="77"/>
        <v/>
      </c>
      <c r="H297" s="35" t="str">
        <f t="shared" si="78"/>
        <v/>
      </c>
      <c r="I297" s="35" t="str">
        <f t="shared" si="79"/>
        <v/>
      </c>
      <c r="J297" s="35" t="str">
        <f t="shared" si="80"/>
        <v/>
      </c>
      <c r="K297" s="35" t="str">
        <f t="shared" si="81"/>
        <v/>
      </c>
      <c r="L297" s="35" t="str">
        <f t="shared" si="82"/>
        <v/>
      </c>
      <c r="M297" s="35" t="str">
        <f t="shared" si="83"/>
        <v/>
      </c>
      <c r="N297" s="36" t="str">
        <f t="shared" si="84"/>
        <v/>
      </c>
      <c r="O297" s="35" t="str">
        <f t="shared" si="85"/>
        <v/>
      </c>
      <c r="P297" s="35" t="str">
        <f t="shared" si="86"/>
        <v/>
      </c>
      <c r="Q297" s="35" t="str">
        <f t="shared" si="87"/>
        <v/>
      </c>
      <c r="R297" s="35" t="str">
        <f t="shared" si="88"/>
        <v/>
      </c>
      <c r="S297" s="33" t="str">
        <f t="shared" si="89"/>
        <v/>
      </c>
    </row>
    <row r="298" spans="1:19" x14ac:dyDescent="0.3">
      <c r="A298" s="33">
        <f>294</f>
        <v>294</v>
      </c>
      <c r="B298" s="34" t="str">
        <f t="shared" si="72"/>
        <v/>
      </c>
      <c r="C298" s="33" t="str">
        <f t="shared" si="73"/>
        <v/>
      </c>
      <c r="D298" s="33" t="str">
        <f t="shared" si="74"/>
        <v/>
      </c>
      <c r="E298" s="35" t="str">
        <f t="shared" si="75"/>
        <v/>
      </c>
      <c r="F298" s="35" t="str">
        <f t="shared" si="76"/>
        <v/>
      </c>
      <c r="G298" s="33" t="str">
        <f t="shared" si="77"/>
        <v/>
      </c>
      <c r="H298" s="35" t="str">
        <f t="shared" si="78"/>
        <v/>
      </c>
      <c r="I298" s="35" t="str">
        <f t="shared" si="79"/>
        <v/>
      </c>
      <c r="J298" s="35" t="str">
        <f t="shared" si="80"/>
        <v/>
      </c>
      <c r="K298" s="35" t="str">
        <f t="shared" si="81"/>
        <v/>
      </c>
      <c r="L298" s="35" t="str">
        <f t="shared" si="82"/>
        <v/>
      </c>
      <c r="M298" s="35" t="str">
        <f t="shared" si="83"/>
        <v/>
      </c>
      <c r="N298" s="36" t="str">
        <f t="shared" si="84"/>
        <v/>
      </c>
      <c r="O298" s="35" t="str">
        <f t="shared" si="85"/>
        <v/>
      </c>
      <c r="P298" s="35" t="str">
        <f t="shared" si="86"/>
        <v/>
      </c>
      <c r="Q298" s="35" t="str">
        <f t="shared" si="87"/>
        <v/>
      </c>
      <c r="R298" s="35" t="str">
        <f t="shared" si="88"/>
        <v/>
      </c>
      <c r="S298" s="33" t="str">
        <f t="shared" si="89"/>
        <v/>
      </c>
    </row>
    <row r="299" spans="1:19" x14ac:dyDescent="0.3">
      <c r="A299" s="33">
        <f>295</f>
        <v>295</v>
      </c>
      <c r="B299" s="34" t="str">
        <f t="shared" si="72"/>
        <v/>
      </c>
      <c r="C299" s="33" t="str">
        <f t="shared" si="73"/>
        <v/>
      </c>
      <c r="D299" s="33" t="str">
        <f t="shared" si="74"/>
        <v/>
      </c>
      <c r="E299" s="35" t="str">
        <f t="shared" si="75"/>
        <v/>
      </c>
      <c r="F299" s="35" t="str">
        <f t="shared" si="76"/>
        <v/>
      </c>
      <c r="G299" s="33" t="str">
        <f t="shared" si="77"/>
        <v/>
      </c>
      <c r="H299" s="35" t="str">
        <f t="shared" si="78"/>
        <v/>
      </c>
      <c r="I299" s="35" t="str">
        <f t="shared" si="79"/>
        <v/>
      </c>
      <c r="J299" s="35" t="str">
        <f t="shared" si="80"/>
        <v/>
      </c>
      <c r="K299" s="35" t="str">
        <f t="shared" si="81"/>
        <v/>
      </c>
      <c r="L299" s="35" t="str">
        <f t="shared" si="82"/>
        <v/>
      </c>
      <c r="M299" s="35" t="str">
        <f t="shared" si="83"/>
        <v/>
      </c>
      <c r="N299" s="36" t="str">
        <f t="shared" si="84"/>
        <v/>
      </c>
      <c r="O299" s="35" t="str">
        <f t="shared" si="85"/>
        <v/>
      </c>
      <c r="P299" s="35" t="str">
        <f t="shared" si="86"/>
        <v/>
      </c>
      <c r="Q299" s="35" t="str">
        <f t="shared" si="87"/>
        <v/>
      </c>
      <c r="R299" s="35" t="str">
        <f t="shared" si="88"/>
        <v/>
      </c>
      <c r="S299" s="33" t="str">
        <f t="shared" si="89"/>
        <v/>
      </c>
    </row>
    <row r="300" spans="1:19" x14ac:dyDescent="0.3">
      <c r="A300" s="33">
        <f>296</f>
        <v>296</v>
      </c>
      <c r="B300" s="34" t="str">
        <f t="shared" si="72"/>
        <v/>
      </c>
      <c r="C300" s="33" t="str">
        <f t="shared" si="73"/>
        <v/>
      </c>
      <c r="D300" s="33" t="str">
        <f t="shared" si="74"/>
        <v/>
      </c>
      <c r="E300" s="35" t="str">
        <f t="shared" si="75"/>
        <v/>
      </c>
      <c r="F300" s="35" t="str">
        <f t="shared" si="76"/>
        <v/>
      </c>
      <c r="G300" s="33" t="str">
        <f t="shared" si="77"/>
        <v/>
      </c>
      <c r="H300" s="35" t="str">
        <f t="shared" si="78"/>
        <v/>
      </c>
      <c r="I300" s="35" t="str">
        <f t="shared" si="79"/>
        <v/>
      </c>
      <c r="J300" s="35" t="str">
        <f t="shared" si="80"/>
        <v/>
      </c>
      <c r="K300" s="35" t="str">
        <f t="shared" si="81"/>
        <v/>
      </c>
      <c r="L300" s="35" t="str">
        <f t="shared" si="82"/>
        <v/>
      </c>
      <c r="M300" s="35" t="str">
        <f t="shared" si="83"/>
        <v/>
      </c>
      <c r="N300" s="36" t="str">
        <f t="shared" si="84"/>
        <v/>
      </c>
      <c r="O300" s="35" t="str">
        <f t="shared" si="85"/>
        <v/>
      </c>
      <c r="P300" s="35" t="str">
        <f t="shared" si="86"/>
        <v/>
      </c>
      <c r="Q300" s="35" t="str">
        <f t="shared" si="87"/>
        <v/>
      </c>
      <c r="R300" s="35" t="str">
        <f t="shared" si="88"/>
        <v/>
      </c>
      <c r="S300" s="33" t="str">
        <f t="shared" si="89"/>
        <v/>
      </c>
    </row>
    <row r="301" spans="1:19" x14ac:dyDescent="0.3">
      <c r="A301" s="33">
        <f>297</f>
        <v>297</v>
      </c>
      <c r="B301" s="34" t="str">
        <f t="shared" si="72"/>
        <v/>
      </c>
      <c r="C301" s="33" t="str">
        <f t="shared" si="73"/>
        <v/>
      </c>
      <c r="D301" s="33" t="str">
        <f t="shared" si="74"/>
        <v/>
      </c>
      <c r="E301" s="35" t="str">
        <f t="shared" si="75"/>
        <v/>
      </c>
      <c r="F301" s="35" t="str">
        <f t="shared" si="76"/>
        <v/>
      </c>
      <c r="G301" s="33" t="str">
        <f t="shared" si="77"/>
        <v/>
      </c>
      <c r="H301" s="35" t="str">
        <f t="shared" si="78"/>
        <v/>
      </c>
      <c r="I301" s="35" t="str">
        <f t="shared" si="79"/>
        <v/>
      </c>
      <c r="J301" s="35" t="str">
        <f t="shared" si="80"/>
        <v/>
      </c>
      <c r="K301" s="35" t="str">
        <f t="shared" si="81"/>
        <v/>
      </c>
      <c r="L301" s="35" t="str">
        <f t="shared" si="82"/>
        <v/>
      </c>
      <c r="M301" s="35" t="str">
        <f t="shared" si="83"/>
        <v/>
      </c>
      <c r="N301" s="36" t="str">
        <f t="shared" si="84"/>
        <v/>
      </c>
      <c r="O301" s="35" t="str">
        <f t="shared" si="85"/>
        <v/>
      </c>
      <c r="P301" s="35" t="str">
        <f t="shared" si="86"/>
        <v/>
      </c>
      <c r="Q301" s="35" t="str">
        <f t="shared" si="87"/>
        <v/>
      </c>
      <c r="R301" s="35" t="str">
        <f t="shared" si="88"/>
        <v/>
      </c>
      <c r="S301" s="33" t="str">
        <f t="shared" si="89"/>
        <v/>
      </c>
    </row>
    <row r="302" spans="1:19" x14ac:dyDescent="0.3">
      <c r="A302" s="33">
        <f>298</f>
        <v>298</v>
      </c>
      <c r="B302" s="34" t="str">
        <f t="shared" si="72"/>
        <v/>
      </c>
      <c r="C302" s="33" t="str">
        <f t="shared" si="73"/>
        <v/>
      </c>
      <c r="D302" s="33" t="str">
        <f t="shared" si="74"/>
        <v/>
      </c>
      <c r="E302" s="35" t="str">
        <f t="shared" si="75"/>
        <v/>
      </c>
      <c r="F302" s="35" t="str">
        <f t="shared" si="76"/>
        <v/>
      </c>
      <c r="G302" s="33" t="str">
        <f t="shared" si="77"/>
        <v/>
      </c>
      <c r="H302" s="35" t="str">
        <f t="shared" si="78"/>
        <v/>
      </c>
      <c r="I302" s="35" t="str">
        <f t="shared" si="79"/>
        <v/>
      </c>
      <c r="J302" s="35" t="str">
        <f t="shared" si="80"/>
        <v/>
      </c>
      <c r="K302" s="35" t="str">
        <f t="shared" si="81"/>
        <v/>
      </c>
      <c r="L302" s="35" t="str">
        <f t="shared" si="82"/>
        <v/>
      </c>
      <c r="M302" s="35" t="str">
        <f t="shared" si="83"/>
        <v/>
      </c>
      <c r="N302" s="36" t="str">
        <f t="shared" si="84"/>
        <v/>
      </c>
      <c r="O302" s="35" t="str">
        <f t="shared" si="85"/>
        <v/>
      </c>
      <c r="P302" s="35" t="str">
        <f t="shared" si="86"/>
        <v/>
      </c>
      <c r="Q302" s="35" t="str">
        <f t="shared" si="87"/>
        <v/>
      </c>
      <c r="R302" s="35" t="str">
        <f t="shared" si="88"/>
        <v/>
      </c>
      <c r="S302" s="33" t="str">
        <f t="shared" si="89"/>
        <v/>
      </c>
    </row>
    <row r="303" spans="1:19" x14ac:dyDescent="0.3">
      <c r="A303" s="33">
        <f>299</f>
        <v>299</v>
      </c>
      <c r="B303" s="34" t="str">
        <f t="shared" si="72"/>
        <v/>
      </c>
      <c r="C303" s="33" t="str">
        <f t="shared" si="73"/>
        <v/>
      </c>
      <c r="D303" s="33" t="str">
        <f t="shared" si="74"/>
        <v/>
      </c>
      <c r="E303" s="35" t="str">
        <f t="shared" si="75"/>
        <v/>
      </c>
      <c r="F303" s="35" t="str">
        <f t="shared" si="76"/>
        <v/>
      </c>
      <c r="G303" s="33" t="str">
        <f t="shared" si="77"/>
        <v/>
      </c>
      <c r="H303" s="35" t="str">
        <f t="shared" si="78"/>
        <v/>
      </c>
      <c r="I303" s="35" t="str">
        <f t="shared" si="79"/>
        <v/>
      </c>
      <c r="J303" s="35" t="str">
        <f t="shared" si="80"/>
        <v/>
      </c>
      <c r="K303" s="35" t="str">
        <f t="shared" si="81"/>
        <v/>
      </c>
      <c r="L303" s="35" t="str">
        <f t="shared" si="82"/>
        <v/>
      </c>
      <c r="M303" s="35" t="str">
        <f t="shared" si="83"/>
        <v/>
      </c>
      <c r="N303" s="36" t="str">
        <f t="shared" si="84"/>
        <v/>
      </c>
      <c r="O303" s="35" t="str">
        <f t="shared" si="85"/>
        <v/>
      </c>
      <c r="P303" s="35" t="str">
        <f t="shared" si="86"/>
        <v/>
      </c>
      <c r="Q303" s="35" t="str">
        <f t="shared" si="87"/>
        <v/>
      </c>
      <c r="R303" s="35" t="str">
        <f t="shared" si="88"/>
        <v/>
      </c>
      <c r="S303" s="33" t="str">
        <f t="shared" si="89"/>
        <v/>
      </c>
    </row>
    <row r="304" spans="1:19" x14ac:dyDescent="0.3">
      <c r="A304" s="37">
        <f>300</f>
        <v>300</v>
      </c>
      <c r="B304" s="38" t="str">
        <f t="shared" si="72"/>
        <v/>
      </c>
      <c r="C304" s="37" t="str">
        <f t="shared" si="73"/>
        <v/>
      </c>
      <c r="D304" s="37" t="str">
        <f t="shared" si="74"/>
        <v/>
      </c>
      <c r="E304" s="39" t="str">
        <f t="shared" si="75"/>
        <v/>
      </c>
      <c r="F304" s="39" t="str">
        <f t="shared" si="76"/>
        <v/>
      </c>
      <c r="G304" s="37" t="str">
        <f t="shared" si="77"/>
        <v/>
      </c>
      <c r="H304" s="39" t="str">
        <f t="shared" si="78"/>
        <v/>
      </c>
      <c r="I304" s="39" t="str">
        <f t="shared" si="79"/>
        <v/>
      </c>
      <c r="J304" s="39" t="str">
        <f t="shared" si="80"/>
        <v/>
      </c>
      <c r="K304" s="39" t="str">
        <f t="shared" si="81"/>
        <v/>
      </c>
      <c r="L304" s="39" t="str">
        <f t="shared" si="82"/>
        <v/>
      </c>
      <c r="M304" s="39" t="str">
        <f t="shared" si="83"/>
        <v/>
      </c>
      <c r="N304" s="40" t="str">
        <f t="shared" si="84"/>
        <v/>
      </c>
      <c r="O304" s="39" t="str">
        <f t="shared" si="85"/>
        <v/>
      </c>
      <c r="P304" s="39" t="str">
        <f t="shared" si="86"/>
        <v/>
      </c>
      <c r="Q304" s="39" t="str">
        <f t="shared" si="87"/>
        <v/>
      </c>
      <c r="R304" s="39" t="str">
        <f t="shared" si="88"/>
        <v/>
      </c>
      <c r="S304" s="37" t="str">
        <f t="shared" si="89"/>
        <v/>
      </c>
    </row>
    <row r="305" spans="1:19" x14ac:dyDescent="0.3">
      <c r="A305" s="33">
        <f>301</f>
        <v>301</v>
      </c>
      <c r="B305" s="34" t="str">
        <f t="shared" si="72"/>
        <v/>
      </c>
      <c r="C305" s="33" t="str">
        <f t="shared" si="73"/>
        <v/>
      </c>
      <c r="D305" s="33" t="str">
        <f t="shared" si="74"/>
        <v/>
      </c>
      <c r="E305" s="35" t="str">
        <f t="shared" si="75"/>
        <v/>
      </c>
      <c r="F305" s="35" t="str">
        <f t="shared" si="76"/>
        <v/>
      </c>
      <c r="G305" s="33" t="str">
        <f t="shared" si="77"/>
        <v/>
      </c>
      <c r="H305" s="35" t="str">
        <f t="shared" si="78"/>
        <v/>
      </c>
      <c r="I305" s="35" t="str">
        <f t="shared" si="79"/>
        <v/>
      </c>
      <c r="J305" s="35" t="str">
        <f t="shared" si="80"/>
        <v/>
      </c>
      <c r="K305" s="35" t="str">
        <f t="shared" si="81"/>
        <v/>
      </c>
      <c r="L305" s="35" t="str">
        <f t="shared" si="82"/>
        <v/>
      </c>
      <c r="M305" s="35" t="str">
        <f t="shared" si="83"/>
        <v/>
      </c>
      <c r="N305" s="36" t="str">
        <f t="shared" si="84"/>
        <v/>
      </c>
      <c r="O305" s="35" t="str">
        <f t="shared" si="85"/>
        <v/>
      </c>
      <c r="P305" s="35" t="str">
        <f t="shared" si="86"/>
        <v/>
      </c>
      <c r="Q305" s="35" t="str">
        <f t="shared" si="87"/>
        <v/>
      </c>
      <c r="R305" s="35" t="str">
        <f t="shared" si="88"/>
        <v/>
      </c>
      <c r="S305" s="33" t="str">
        <f t="shared" si="89"/>
        <v/>
      </c>
    </row>
    <row r="306" spans="1:19" x14ac:dyDescent="0.3">
      <c r="A306" s="33">
        <f>302</f>
        <v>302</v>
      </c>
      <c r="B306" s="34" t="str">
        <f t="shared" si="72"/>
        <v/>
      </c>
      <c r="C306" s="33" t="str">
        <f t="shared" si="73"/>
        <v/>
      </c>
      <c r="D306" s="33" t="str">
        <f t="shared" si="74"/>
        <v/>
      </c>
      <c r="E306" s="35" t="str">
        <f t="shared" si="75"/>
        <v/>
      </c>
      <c r="F306" s="35" t="str">
        <f t="shared" si="76"/>
        <v/>
      </c>
      <c r="G306" s="33" t="str">
        <f t="shared" si="77"/>
        <v/>
      </c>
      <c r="H306" s="35" t="str">
        <f t="shared" si="78"/>
        <v/>
      </c>
      <c r="I306" s="35" t="str">
        <f t="shared" si="79"/>
        <v/>
      </c>
      <c r="J306" s="35" t="str">
        <f t="shared" si="80"/>
        <v/>
      </c>
      <c r="K306" s="35" t="str">
        <f t="shared" si="81"/>
        <v/>
      </c>
      <c r="L306" s="35" t="str">
        <f t="shared" si="82"/>
        <v/>
      </c>
      <c r="M306" s="35" t="str">
        <f t="shared" si="83"/>
        <v/>
      </c>
      <c r="N306" s="36" t="str">
        <f t="shared" si="84"/>
        <v/>
      </c>
      <c r="O306" s="35" t="str">
        <f t="shared" si="85"/>
        <v/>
      </c>
      <c r="P306" s="35" t="str">
        <f t="shared" si="86"/>
        <v/>
      </c>
      <c r="Q306" s="35" t="str">
        <f t="shared" si="87"/>
        <v/>
      </c>
      <c r="R306" s="35" t="str">
        <f t="shared" si="88"/>
        <v/>
      </c>
      <c r="S306" s="33" t="str">
        <f t="shared" si="89"/>
        <v/>
      </c>
    </row>
    <row r="307" spans="1:19" x14ac:dyDescent="0.3">
      <c r="A307" s="33">
        <f>303</f>
        <v>303</v>
      </c>
      <c r="B307" s="34" t="str">
        <f t="shared" si="72"/>
        <v/>
      </c>
      <c r="C307" s="33" t="str">
        <f t="shared" si="73"/>
        <v/>
      </c>
      <c r="D307" s="33" t="str">
        <f t="shared" si="74"/>
        <v/>
      </c>
      <c r="E307" s="35" t="str">
        <f t="shared" si="75"/>
        <v/>
      </c>
      <c r="F307" s="35" t="str">
        <f t="shared" si="76"/>
        <v/>
      </c>
      <c r="G307" s="33" t="str">
        <f t="shared" si="77"/>
        <v/>
      </c>
      <c r="H307" s="35" t="str">
        <f t="shared" si="78"/>
        <v/>
      </c>
      <c r="I307" s="35" t="str">
        <f t="shared" si="79"/>
        <v/>
      </c>
      <c r="J307" s="35" t="str">
        <f t="shared" si="80"/>
        <v/>
      </c>
      <c r="K307" s="35" t="str">
        <f t="shared" si="81"/>
        <v/>
      </c>
      <c r="L307" s="35" t="str">
        <f t="shared" si="82"/>
        <v/>
      </c>
      <c r="M307" s="35" t="str">
        <f t="shared" si="83"/>
        <v/>
      </c>
      <c r="N307" s="36" t="str">
        <f t="shared" si="84"/>
        <v/>
      </c>
      <c r="O307" s="35" t="str">
        <f t="shared" si="85"/>
        <v/>
      </c>
      <c r="P307" s="35" t="str">
        <f t="shared" si="86"/>
        <v/>
      </c>
      <c r="Q307" s="35" t="str">
        <f t="shared" si="87"/>
        <v/>
      </c>
      <c r="R307" s="35" t="str">
        <f t="shared" si="88"/>
        <v/>
      </c>
      <c r="S307" s="33" t="str">
        <f t="shared" si="89"/>
        <v/>
      </c>
    </row>
    <row r="308" spans="1:19" x14ac:dyDescent="0.3">
      <c r="A308" s="33">
        <f>304</f>
        <v>304</v>
      </c>
      <c r="B308" s="34" t="str">
        <f t="shared" si="72"/>
        <v/>
      </c>
      <c r="C308" s="33" t="str">
        <f t="shared" si="73"/>
        <v/>
      </c>
      <c r="D308" s="33" t="str">
        <f t="shared" si="74"/>
        <v/>
      </c>
      <c r="E308" s="35" t="str">
        <f t="shared" si="75"/>
        <v/>
      </c>
      <c r="F308" s="35" t="str">
        <f t="shared" si="76"/>
        <v/>
      </c>
      <c r="G308" s="33" t="str">
        <f t="shared" si="77"/>
        <v/>
      </c>
      <c r="H308" s="35" t="str">
        <f t="shared" si="78"/>
        <v/>
      </c>
      <c r="I308" s="35" t="str">
        <f t="shared" si="79"/>
        <v/>
      </c>
      <c r="J308" s="35" t="str">
        <f t="shared" si="80"/>
        <v/>
      </c>
      <c r="K308" s="35" t="str">
        <f t="shared" si="81"/>
        <v/>
      </c>
      <c r="L308" s="35" t="str">
        <f t="shared" si="82"/>
        <v/>
      </c>
      <c r="M308" s="35" t="str">
        <f t="shared" si="83"/>
        <v/>
      </c>
      <c r="N308" s="36" t="str">
        <f t="shared" si="84"/>
        <v/>
      </c>
      <c r="O308" s="35" t="str">
        <f t="shared" si="85"/>
        <v/>
      </c>
      <c r="P308" s="35" t="str">
        <f t="shared" si="86"/>
        <v/>
      </c>
      <c r="Q308" s="35" t="str">
        <f t="shared" si="87"/>
        <v/>
      </c>
      <c r="R308" s="35" t="str">
        <f t="shared" si="88"/>
        <v/>
      </c>
      <c r="S308" s="33" t="str">
        <f t="shared" si="89"/>
        <v/>
      </c>
    </row>
    <row r="309" spans="1:19" x14ac:dyDescent="0.3">
      <c r="A309" s="33">
        <f>305</f>
        <v>305</v>
      </c>
      <c r="B309" s="34" t="str">
        <f t="shared" si="72"/>
        <v/>
      </c>
      <c r="C309" s="33" t="str">
        <f t="shared" si="73"/>
        <v/>
      </c>
      <c r="D309" s="33" t="str">
        <f t="shared" si="74"/>
        <v/>
      </c>
      <c r="E309" s="35" t="str">
        <f t="shared" si="75"/>
        <v/>
      </c>
      <c r="F309" s="35" t="str">
        <f t="shared" si="76"/>
        <v/>
      </c>
      <c r="G309" s="33" t="str">
        <f t="shared" si="77"/>
        <v/>
      </c>
      <c r="H309" s="35" t="str">
        <f t="shared" si="78"/>
        <v/>
      </c>
      <c r="I309" s="35" t="str">
        <f t="shared" si="79"/>
        <v/>
      </c>
      <c r="J309" s="35" t="str">
        <f t="shared" si="80"/>
        <v/>
      </c>
      <c r="K309" s="35" t="str">
        <f t="shared" si="81"/>
        <v/>
      </c>
      <c r="L309" s="35" t="str">
        <f t="shared" si="82"/>
        <v/>
      </c>
      <c r="M309" s="35" t="str">
        <f t="shared" si="83"/>
        <v/>
      </c>
      <c r="N309" s="36" t="str">
        <f t="shared" si="84"/>
        <v/>
      </c>
      <c r="O309" s="35" t="str">
        <f t="shared" si="85"/>
        <v/>
      </c>
      <c r="P309" s="35" t="str">
        <f t="shared" si="86"/>
        <v/>
      </c>
      <c r="Q309" s="35" t="str">
        <f t="shared" si="87"/>
        <v/>
      </c>
      <c r="R309" s="35" t="str">
        <f t="shared" si="88"/>
        <v/>
      </c>
      <c r="S309" s="33" t="str">
        <f t="shared" si="89"/>
        <v/>
      </c>
    </row>
    <row r="310" spans="1:19" x14ac:dyDescent="0.3">
      <c r="A310" s="33">
        <f>306</f>
        <v>306</v>
      </c>
      <c r="B310" s="34" t="str">
        <f t="shared" si="72"/>
        <v/>
      </c>
      <c r="C310" s="33" t="str">
        <f t="shared" si="73"/>
        <v/>
      </c>
      <c r="D310" s="33" t="str">
        <f t="shared" si="74"/>
        <v/>
      </c>
      <c r="E310" s="35" t="str">
        <f t="shared" si="75"/>
        <v/>
      </c>
      <c r="F310" s="35" t="str">
        <f t="shared" si="76"/>
        <v/>
      </c>
      <c r="G310" s="33" t="str">
        <f t="shared" si="77"/>
        <v/>
      </c>
      <c r="H310" s="35" t="str">
        <f t="shared" si="78"/>
        <v/>
      </c>
      <c r="I310" s="35" t="str">
        <f t="shared" si="79"/>
        <v/>
      </c>
      <c r="J310" s="35" t="str">
        <f t="shared" si="80"/>
        <v/>
      </c>
      <c r="K310" s="35" t="str">
        <f t="shared" si="81"/>
        <v/>
      </c>
      <c r="L310" s="35" t="str">
        <f t="shared" si="82"/>
        <v/>
      </c>
      <c r="M310" s="35" t="str">
        <f t="shared" si="83"/>
        <v/>
      </c>
      <c r="N310" s="36" t="str">
        <f t="shared" si="84"/>
        <v/>
      </c>
      <c r="O310" s="35" t="str">
        <f t="shared" si="85"/>
        <v/>
      </c>
      <c r="P310" s="35" t="str">
        <f t="shared" si="86"/>
        <v/>
      </c>
      <c r="Q310" s="35" t="str">
        <f t="shared" si="87"/>
        <v/>
      </c>
      <c r="R310" s="35" t="str">
        <f t="shared" si="88"/>
        <v/>
      </c>
      <c r="S310" s="33" t="str">
        <f t="shared" si="89"/>
        <v/>
      </c>
    </row>
    <row r="311" spans="1:19" x14ac:dyDescent="0.3">
      <c r="A311" s="33">
        <f>307</f>
        <v>307</v>
      </c>
      <c r="B311" s="34" t="str">
        <f t="shared" si="72"/>
        <v/>
      </c>
      <c r="C311" s="33" t="str">
        <f t="shared" si="73"/>
        <v/>
      </c>
      <c r="D311" s="33" t="str">
        <f t="shared" si="74"/>
        <v/>
      </c>
      <c r="E311" s="35" t="str">
        <f t="shared" si="75"/>
        <v/>
      </c>
      <c r="F311" s="35" t="str">
        <f t="shared" si="76"/>
        <v/>
      </c>
      <c r="G311" s="33" t="str">
        <f t="shared" si="77"/>
        <v/>
      </c>
      <c r="H311" s="35" t="str">
        <f t="shared" si="78"/>
        <v/>
      </c>
      <c r="I311" s="35" t="str">
        <f t="shared" si="79"/>
        <v/>
      </c>
      <c r="J311" s="35" t="str">
        <f t="shared" si="80"/>
        <v/>
      </c>
      <c r="K311" s="35" t="str">
        <f t="shared" si="81"/>
        <v/>
      </c>
      <c r="L311" s="35" t="str">
        <f t="shared" si="82"/>
        <v/>
      </c>
      <c r="M311" s="35" t="str">
        <f t="shared" si="83"/>
        <v/>
      </c>
      <c r="N311" s="36" t="str">
        <f t="shared" si="84"/>
        <v/>
      </c>
      <c r="O311" s="35" t="str">
        <f t="shared" si="85"/>
        <v/>
      </c>
      <c r="P311" s="35" t="str">
        <f t="shared" si="86"/>
        <v/>
      </c>
      <c r="Q311" s="35" t="str">
        <f t="shared" si="87"/>
        <v/>
      </c>
      <c r="R311" s="35" t="str">
        <f t="shared" si="88"/>
        <v/>
      </c>
      <c r="S311" s="33" t="str">
        <f t="shared" si="89"/>
        <v/>
      </c>
    </row>
    <row r="312" spans="1:19" x14ac:dyDescent="0.3">
      <c r="A312" s="33">
        <f>308</f>
        <v>308</v>
      </c>
      <c r="B312" s="34" t="str">
        <f t="shared" si="72"/>
        <v/>
      </c>
      <c r="C312" s="33" t="str">
        <f t="shared" si="73"/>
        <v/>
      </c>
      <c r="D312" s="33" t="str">
        <f t="shared" si="74"/>
        <v/>
      </c>
      <c r="E312" s="35" t="str">
        <f t="shared" si="75"/>
        <v/>
      </c>
      <c r="F312" s="35" t="str">
        <f t="shared" si="76"/>
        <v/>
      </c>
      <c r="G312" s="33" t="str">
        <f t="shared" si="77"/>
        <v/>
      </c>
      <c r="H312" s="35" t="str">
        <f t="shared" si="78"/>
        <v/>
      </c>
      <c r="I312" s="35" t="str">
        <f t="shared" si="79"/>
        <v/>
      </c>
      <c r="J312" s="35" t="str">
        <f t="shared" si="80"/>
        <v/>
      </c>
      <c r="K312" s="35" t="str">
        <f t="shared" si="81"/>
        <v/>
      </c>
      <c r="L312" s="35" t="str">
        <f t="shared" si="82"/>
        <v/>
      </c>
      <c r="M312" s="35" t="str">
        <f t="shared" si="83"/>
        <v/>
      </c>
      <c r="N312" s="36" t="str">
        <f t="shared" si="84"/>
        <v/>
      </c>
      <c r="O312" s="35" t="str">
        <f t="shared" si="85"/>
        <v/>
      </c>
      <c r="P312" s="35" t="str">
        <f t="shared" si="86"/>
        <v/>
      </c>
      <c r="Q312" s="35" t="str">
        <f t="shared" si="87"/>
        <v/>
      </c>
      <c r="R312" s="35" t="str">
        <f t="shared" si="88"/>
        <v/>
      </c>
      <c r="S312" s="33" t="str">
        <f t="shared" si="89"/>
        <v/>
      </c>
    </row>
    <row r="313" spans="1:19" x14ac:dyDescent="0.3">
      <c r="A313" s="33">
        <f>309</f>
        <v>309</v>
      </c>
      <c r="B313" s="34" t="str">
        <f t="shared" si="72"/>
        <v/>
      </c>
      <c r="C313" s="33" t="str">
        <f t="shared" si="73"/>
        <v/>
      </c>
      <c r="D313" s="33" t="str">
        <f t="shared" si="74"/>
        <v/>
      </c>
      <c r="E313" s="35" t="str">
        <f t="shared" si="75"/>
        <v/>
      </c>
      <c r="F313" s="35" t="str">
        <f t="shared" si="76"/>
        <v/>
      </c>
      <c r="G313" s="33" t="str">
        <f t="shared" si="77"/>
        <v/>
      </c>
      <c r="H313" s="35" t="str">
        <f t="shared" si="78"/>
        <v/>
      </c>
      <c r="I313" s="35" t="str">
        <f t="shared" si="79"/>
        <v/>
      </c>
      <c r="J313" s="35" t="str">
        <f t="shared" si="80"/>
        <v/>
      </c>
      <c r="K313" s="35" t="str">
        <f t="shared" si="81"/>
        <v/>
      </c>
      <c r="L313" s="35" t="str">
        <f t="shared" si="82"/>
        <v/>
      </c>
      <c r="M313" s="35" t="str">
        <f t="shared" si="83"/>
        <v/>
      </c>
      <c r="N313" s="36" t="str">
        <f t="shared" si="84"/>
        <v/>
      </c>
      <c r="O313" s="35" t="str">
        <f t="shared" si="85"/>
        <v/>
      </c>
      <c r="P313" s="35" t="str">
        <f t="shared" si="86"/>
        <v/>
      </c>
      <c r="Q313" s="35" t="str">
        <f t="shared" si="87"/>
        <v/>
      </c>
      <c r="R313" s="35" t="str">
        <f t="shared" si="88"/>
        <v/>
      </c>
      <c r="S313" s="33" t="str">
        <f t="shared" si="89"/>
        <v/>
      </c>
    </row>
    <row r="314" spans="1:19" x14ac:dyDescent="0.3">
      <c r="A314" s="33">
        <f>310</f>
        <v>310</v>
      </c>
      <c r="B314" s="34" t="str">
        <f t="shared" si="72"/>
        <v/>
      </c>
      <c r="C314" s="33" t="str">
        <f t="shared" si="73"/>
        <v/>
      </c>
      <c r="D314" s="33" t="str">
        <f t="shared" si="74"/>
        <v/>
      </c>
      <c r="E314" s="35" t="str">
        <f t="shared" si="75"/>
        <v/>
      </c>
      <c r="F314" s="35" t="str">
        <f t="shared" si="76"/>
        <v/>
      </c>
      <c r="G314" s="33" t="str">
        <f t="shared" si="77"/>
        <v/>
      </c>
      <c r="H314" s="35" t="str">
        <f t="shared" si="78"/>
        <v/>
      </c>
      <c r="I314" s="35" t="str">
        <f t="shared" si="79"/>
        <v/>
      </c>
      <c r="J314" s="35" t="str">
        <f t="shared" si="80"/>
        <v/>
      </c>
      <c r="K314" s="35" t="str">
        <f t="shared" si="81"/>
        <v/>
      </c>
      <c r="L314" s="35" t="str">
        <f t="shared" si="82"/>
        <v/>
      </c>
      <c r="M314" s="35" t="str">
        <f t="shared" si="83"/>
        <v/>
      </c>
      <c r="N314" s="36" t="str">
        <f t="shared" si="84"/>
        <v/>
      </c>
      <c r="O314" s="35" t="str">
        <f t="shared" si="85"/>
        <v/>
      </c>
      <c r="P314" s="35" t="str">
        <f t="shared" si="86"/>
        <v/>
      </c>
      <c r="Q314" s="35" t="str">
        <f t="shared" si="87"/>
        <v/>
      </c>
      <c r="R314" s="35" t="str">
        <f t="shared" si="88"/>
        <v/>
      </c>
      <c r="S314" s="33" t="str">
        <f t="shared" si="89"/>
        <v/>
      </c>
    </row>
    <row r="315" spans="1:19" x14ac:dyDescent="0.3">
      <c r="A315" s="33">
        <f>311</f>
        <v>311</v>
      </c>
      <c r="B315" s="34" t="str">
        <f t="shared" si="72"/>
        <v/>
      </c>
      <c r="C315" s="33" t="str">
        <f t="shared" si="73"/>
        <v/>
      </c>
      <c r="D315" s="33" t="str">
        <f t="shared" si="74"/>
        <v/>
      </c>
      <c r="E315" s="35" t="str">
        <f t="shared" si="75"/>
        <v/>
      </c>
      <c r="F315" s="35" t="str">
        <f t="shared" si="76"/>
        <v/>
      </c>
      <c r="G315" s="33" t="str">
        <f t="shared" si="77"/>
        <v/>
      </c>
      <c r="H315" s="35" t="str">
        <f t="shared" si="78"/>
        <v/>
      </c>
      <c r="I315" s="35" t="str">
        <f t="shared" si="79"/>
        <v/>
      </c>
      <c r="J315" s="35" t="str">
        <f t="shared" si="80"/>
        <v/>
      </c>
      <c r="K315" s="35" t="str">
        <f t="shared" si="81"/>
        <v/>
      </c>
      <c r="L315" s="35" t="str">
        <f t="shared" si="82"/>
        <v/>
      </c>
      <c r="M315" s="35" t="str">
        <f t="shared" si="83"/>
        <v/>
      </c>
      <c r="N315" s="36" t="str">
        <f t="shared" si="84"/>
        <v/>
      </c>
      <c r="O315" s="35" t="str">
        <f t="shared" si="85"/>
        <v/>
      </c>
      <c r="P315" s="35" t="str">
        <f t="shared" si="86"/>
        <v/>
      </c>
      <c r="Q315" s="35" t="str">
        <f t="shared" si="87"/>
        <v/>
      </c>
      <c r="R315" s="35" t="str">
        <f t="shared" si="88"/>
        <v/>
      </c>
      <c r="S315" s="33" t="str">
        <f t="shared" si="89"/>
        <v/>
      </c>
    </row>
    <row r="316" spans="1:19" x14ac:dyDescent="0.3">
      <c r="A316" s="37">
        <f>312</f>
        <v>312</v>
      </c>
      <c r="B316" s="38" t="str">
        <f t="shared" si="72"/>
        <v/>
      </c>
      <c r="C316" s="37" t="str">
        <f t="shared" si="73"/>
        <v/>
      </c>
      <c r="D316" s="37" t="str">
        <f t="shared" si="74"/>
        <v/>
      </c>
      <c r="E316" s="39" t="str">
        <f t="shared" si="75"/>
        <v/>
      </c>
      <c r="F316" s="39" t="str">
        <f t="shared" si="76"/>
        <v/>
      </c>
      <c r="G316" s="37" t="str">
        <f t="shared" si="77"/>
        <v/>
      </c>
      <c r="H316" s="39" t="str">
        <f t="shared" si="78"/>
        <v/>
      </c>
      <c r="I316" s="39" t="str">
        <f t="shared" si="79"/>
        <v/>
      </c>
      <c r="J316" s="39" t="str">
        <f t="shared" si="80"/>
        <v/>
      </c>
      <c r="K316" s="39" t="str">
        <f t="shared" si="81"/>
        <v/>
      </c>
      <c r="L316" s="39" t="str">
        <f t="shared" si="82"/>
        <v/>
      </c>
      <c r="M316" s="39" t="str">
        <f t="shared" si="83"/>
        <v/>
      </c>
      <c r="N316" s="40" t="str">
        <f t="shared" si="84"/>
        <v/>
      </c>
      <c r="O316" s="39" t="str">
        <f t="shared" si="85"/>
        <v/>
      </c>
      <c r="P316" s="39" t="str">
        <f t="shared" si="86"/>
        <v/>
      </c>
      <c r="Q316" s="39" t="str">
        <f t="shared" si="87"/>
        <v/>
      </c>
      <c r="R316" s="39" t="str">
        <f t="shared" si="88"/>
        <v/>
      </c>
      <c r="S316" s="37" t="str">
        <f t="shared" si="89"/>
        <v/>
      </c>
    </row>
    <row r="317" spans="1:19" x14ac:dyDescent="0.3">
      <c r="A317" s="33">
        <f>313</f>
        <v>313</v>
      </c>
      <c r="B317" s="34" t="str">
        <f t="shared" si="72"/>
        <v/>
      </c>
      <c r="C317" s="33" t="str">
        <f t="shared" si="73"/>
        <v/>
      </c>
      <c r="D317" s="33" t="str">
        <f t="shared" si="74"/>
        <v/>
      </c>
      <c r="E317" s="35" t="str">
        <f t="shared" si="75"/>
        <v/>
      </c>
      <c r="F317" s="35" t="str">
        <f t="shared" si="76"/>
        <v/>
      </c>
      <c r="G317" s="33" t="str">
        <f t="shared" si="77"/>
        <v/>
      </c>
      <c r="H317" s="35" t="str">
        <f t="shared" si="78"/>
        <v/>
      </c>
      <c r="I317" s="35" t="str">
        <f t="shared" si="79"/>
        <v/>
      </c>
      <c r="J317" s="35" t="str">
        <f t="shared" si="80"/>
        <v/>
      </c>
      <c r="K317" s="35" t="str">
        <f t="shared" si="81"/>
        <v/>
      </c>
      <c r="L317" s="35" t="str">
        <f t="shared" si="82"/>
        <v/>
      </c>
      <c r="M317" s="35" t="str">
        <f t="shared" si="83"/>
        <v/>
      </c>
      <c r="N317" s="36" t="str">
        <f t="shared" si="84"/>
        <v/>
      </c>
      <c r="O317" s="35" t="str">
        <f t="shared" si="85"/>
        <v/>
      </c>
      <c r="P317" s="35" t="str">
        <f t="shared" si="86"/>
        <v/>
      </c>
      <c r="Q317" s="35" t="str">
        <f t="shared" si="87"/>
        <v/>
      </c>
      <c r="R317" s="35" t="str">
        <f t="shared" si="88"/>
        <v/>
      </c>
      <c r="S317" s="33" t="str">
        <f t="shared" si="89"/>
        <v/>
      </c>
    </row>
    <row r="318" spans="1:19" x14ac:dyDescent="0.3">
      <c r="A318" s="33">
        <f>314</f>
        <v>314</v>
      </c>
      <c r="B318" s="34" t="str">
        <f t="shared" si="72"/>
        <v/>
      </c>
      <c r="C318" s="33" t="str">
        <f t="shared" si="73"/>
        <v/>
      </c>
      <c r="D318" s="33" t="str">
        <f t="shared" si="74"/>
        <v/>
      </c>
      <c r="E318" s="35" t="str">
        <f t="shared" si="75"/>
        <v/>
      </c>
      <c r="F318" s="35" t="str">
        <f t="shared" si="76"/>
        <v/>
      </c>
      <c r="G318" s="33" t="str">
        <f t="shared" si="77"/>
        <v/>
      </c>
      <c r="H318" s="35" t="str">
        <f t="shared" si="78"/>
        <v/>
      </c>
      <c r="I318" s="35" t="str">
        <f t="shared" si="79"/>
        <v/>
      </c>
      <c r="J318" s="35" t="str">
        <f t="shared" si="80"/>
        <v/>
      </c>
      <c r="K318" s="35" t="str">
        <f t="shared" si="81"/>
        <v/>
      </c>
      <c r="L318" s="35" t="str">
        <f t="shared" si="82"/>
        <v/>
      </c>
      <c r="M318" s="35" t="str">
        <f t="shared" si="83"/>
        <v/>
      </c>
      <c r="N318" s="36" t="str">
        <f t="shared" si="84"/>
        <v/>
      </c>
      <c r="O318" s="35" t="str">
        <f t="shared" si="85"/>
        <v/>
      </c>
      <c r="P318" s="35" t="str">
        <f t="shared" si="86"/>
        <v/>
      </c>
      <c r="Q318" s="35" t="str">
        <f t="shared" si="87"/>
        <v/>
      </c>
      <c r="R318" s="35" t="str">
        <f t="shared" si="88"/>
        <v/>
      </c>
      <c r="S318" s="33" t="str">
        <f t="shared" si="89"/>
        <v/>
      </c>
    </row>
    <row r="319" spans="1:19" x14ac:dyDescent="0.3">
      <c r="A319" s="33">
        <f>315</f>
        <v>315</v>
      </c>
      <c r="B319" s="34" t="str">
        <f t="shared" si="72"/>
        <v/>
      </c>
      <c r="C319" s="33" t="str">
        <f t="shared" si="73"/>
        <v/>
      </c>
      <c r="D319" s="33" t="str">
        <f t="shared" si="74"/>
        <v/>
      </c>
      <c r="E319" s="35" t="str">
        <f t="shared" si="75"/>
        <v/>
      </c>
      <c r="F319" s="35" t="str">
        <f t="shared" si="76"/>
        <v/>
      </c>
      <c r="G319" s="33" t="str">
        <f t="shared" si="77"/>
        <v/>
      </c>
      <c r="H319" s="35" t="str">
        <f t="shared" si="78"/>
        <v/>
      </c>
      <c r="I319" s="35" t="str">
        <f t="shared" si="79"/>
        <v/>
      </c>
      <c r="J319" s="35" t="str">
        <f t="shared" si="80"/>
        <v/>
      </c>
      <c r="K319" s="35" t="str">
        <f t="shared" si="81"/>
        <v/>
      </c>
      <c r="L319" s="35" t="str">
        <f t="shared" si="82"/>
        <v/>
      </c>
      <c r="M319" s="35" t="str">
        <f t="shared" si="83"/>
        <v/>
      </c>
      <c r="N319" s="36" t="str">
        <f t="shared" si="84"/>
        <v/>
      </c>
      <c r="O319" s="35" t="str">
        <f t="shared" si="85"/>
        <v/>
      </c>
      <c r="P319" s="35" t="str">
        <f t="shared" si="86"/>
        <v/>
      </c>
      <c r="Q319" s="35" t="str">
        <f t="shared" si="87"/>
        <v/>
      </c>
      <c r="R319" s="35" t="str">
        <f t="shared" si="88"/>
        <v/>
      </c>
      <c r="S319" s="33" t="str">
        <f t="shared" si="89"/>
        <v/>
      </c>
    </row>
    <row r="320" spans="1:19" x14ac:dyDescent="0.3">
      <c r="A320" s="33">
        <f>316</f>
        <v>316</v>
      </c>
      <c r="B320" s="34" t="str">
        <f t="shared" si="72"/>
        <v/>
      </c>
      <c r="C320" s="33" t="str">
        <f t="shared" si="73"/>
        <v/>
      </c>
      <c r="D320" s="33" t="str">
        <f t="shared" si="74"/>
        <v/>
      </c>
      <c r="E320" s="35" t="str">
        <f t="shared" si="75"/>
        <v/>
      </c>
      <c r="F320" s="35" t="str">
        <f t="shared" si="76"/>
        <v/>
      </c>
      <c r="G320" s="33" t="str">
        <f t="shared" si="77"/>
        <v/>
      </c>
      <c r="H320" s="35" t="str">
        <f t="shared" si="78"/>
        <v/>
      </c>
      <c r="I320" s="35" t="str">
        <f t="shared" si="79"/>
        <v/>
      </c>
      <c r="J320" s="35" t="str">
        <f t="shared" si="80"/>
        <v/>
      </c>
      <c r="K320" s="35" t="str">
        <f t="shared" si="81"/>
        <v/>
      </c>
      <c r="L320" s="35" t="str">
        <f t="shared" si="82"/>
        <v/>
      </c>
      <c r="M320" s="35" t="str">
        <f t="shared" si="83"/>
        <v/>
      </c>
      <c r="N320" s="36" t="str">
        <f t="shared" si="84"/>
        <v/>
      </c>
      <c r="O320" s="35" t="str">
        <f t="shared" si="85"/>
        <v/>
      </c>
      <c r="P320" s="35" t="str">
        <f t="shared" si="86"/>
        <v/>
      </c>
      <c r="Q320" s="35" t="str">
        <f t="shared" si="87"/>
        <v/>
      </c>
      <c r="R320" s="35" t="str">
        <f t="shared" si="88"/>
        <v/>
      </c>
      <c r="S320" s="33" t="str">
        <f t="shared" si="89"/>
        <v/>
      </c>
    </row>
    <row r="321" spans="1:19" x14ac:dyDescent="0.3">
      <c r="A321" s="33">
        <f>317</f>
        <v>317</v>
      </c>
      <c r="B321" s="34" t="str">
        <f t="shared" si="72"/>
        <v/>
      </c>
      <c r="C321" s="33" t="str">
        <f t="shared" si="73"/>
        <v/>
      </c>
      <c r="D321" s="33" t="str">
        <f t="shared" si="74"/>
        <v/>
      </c>
      <c r="E321" s="35" t="str">
        <f t="shared" si="75"/>
        <v/>
      </c>
      <c r="F321" s="35" t="str">
        <f t="shared" si="76"/>
        <v/>
      </c>
      <c r="G321" s="33" t="str">
        <f t="shared" si="77"/>
        <v/>
      </c>
      <c r="H321" s="35" t="str">
        <f t="shared" si="78"/>
        <v/>
      </c>
      <c r="I321" s="35" t="str">
        <f t="shared" si="79"/>
        <v/>
      </c>
      <c r="J321" s="35" t="str">
        <f t="shared" si="80"/>
        <v/>
      </c>
      <c r="K321" s="35" t="str">
        <f t="shared" si="81"/>
        <v/>
      </c>
      <c r="L321" s="35" t="str">
        <f t="shared" si="82"/>
        <v/>
      </c>
      <c r="M321" s="35" t="str">
        <f t="shared" si="83"/>
        <v/>
      </c>
      <c r="N321" s="36" t="str">
        <f t="shared" si="84"/>
        <v/>
      </c>
      <c r="O321" s="35" t="str">
        <f t="shared" si="85"/>
        <v/>
      </c>
      <c r="P321" s="35" t="str">
        <f t="shared" si="86"/>
        <v/>
      </c>
      <c r="Q321" s="35" t="str">
        <f t="shared" si="87"/>
        <v/>
      </c>
      <c r="R321" s="35" t="str">
        <f t="shared" si="88"/>
        <v/>
      </c>
      <c r="S321" s="33" t="str">
        <f t="shared" si="89"/>
        <v/>
      </c>
    </row>
    <row r="322" spans="1:19" x14ac:dyDescent="0.3">
      <c r="A322" s="33">
        <f>318</f>
        <v>318</v>
      </c>
      <c r="B322" s="34" t="str">
        <f t="shared" si="72"/>
        <v/>
      </c>
      <c r="C322" s="33" t="str">
        <f t="shared" si="73"/>
        <v/>
      </c>
      <c r="D322" s="33" t="str">
        <f t="shared" si="74"/>
        <v/>
      </c>
      <c r="E322" s="35" t="str">
        <f t="shared" si="75"/>
        <v/>
      </c>
      <c r="F322" s="35" t="str">
        <f t="shared" si="76"/>
        <v/>
      </c>
      <c r="G322" s="33" t="str">
        <f t="shared" si="77"/>
        <v/>
      </c>
      <c r="H322" s="35" t="str">
        <f t="shared" si="78"/>
        <v/>
      </c>
      <c r="I322" s="35" t="str">
        <f t="shared" si="79"/>
        <v/>
      </c>
      <c r="J322" s="35" t="str">
        <f t="shared" si="80"/>
        <v/>
      </c>
      <c r="K322" s="35" t="str">
        <f t="shared" si="81"/>
        <v/>
      </c>
      <c r="L322" s="35" t="str">
        <f t="shared" si="82"/>
        <v/>
      </c>
      <c r="M322" s="35" t="str">
        <f t="shared" si="83"/>
        <v/>
      </c>
      <c r="N322" s="36" t="str">
        <f t="shared" si="84"/>
        <v/>
      </c>
      <c r="O322" s="35" t="str">
        <f t="shared" si="85"/>
        <v/>
      </c>
      <c r="P322" s="35" t="str">
        <f t="shared" si="86"/>
        <v/>
      </c>
      <c r="Q322" s="35" t="str">
        <f t="shared" si="87"/>
        <v/>
      </c>
      <c r="R322" s="35" t="str">
        <f t="shared" si="88"/>
        <v/>
      </c>
      <c r="S322" s="33" t="str">
        <f t="shared" si="89"/>
        <v/>
      </c>
    </row>
    <row r="323" spans="1:19" x14ac:dyDescent="0.3">
      <c r="A323" s="33">
        <f>319</f>
        <v>319</v>
      </c>
      <c r="B323" s="34" t="str">
        <f t="shared" si="72"/>
        <v/>
      </c>
      <c r="C323" s="33" t="str">
        <f t="shared" si="73"/>
        <v/>
      </c>
      <c r="D323" s="33" t="str">
        <f t="shared" si="74"/>
        <v/>
      </c>
      <c r="E323" s="35" t="str">
        <f t="shared" si="75"/>
        <v/>
      </c>
      <c r="F323" s="35" t="str">
        <f t="shared" si="76"/>
        <v/>
      </c>
      <c r="G323" s="33" t="str">
        <f t="shared" si="77"/>
        <v/>
      </c>
      <c r="H323" s="35" t="str">
        <f t="shared" si="78"/>
        <v/>
      </c>
      <c r="I323" s="35" t="str">
        <f t="shared" si="79"/>
        <v/>
      </c>
      <c r="J323" s="35" t="str">
        <f t="shared" si="80"/>
        <v/>
      </c>
      <c r="K323" s="35" t="str">
        <f t="shared" si="81"/>
        <v/>
      </c>
      <c r="L323" s="35" t="str">
        <f t="shared" si="82"/>
        <v/>
      </c>
      <c r="M323" s="35" t="str">
        <f t="shared" si="83"/>
        <v/>
      </c>
      <c r="N323" s="36" t="str">
        <f t="shared" si="84"/>
        <v/>
      </c>
      <c r="O323" s="35" t="str">
        <f t="shared" si="85"/>
        <v/>
      </c>
      <c r="P323" s="35" t="str">
        <f t="shared" si="86"/>
        <v/>
      </c>
      <c r="Q323" s="35" t="str">
        <f t="shared" si="87"/>
        <v/>
      </c>
      <c r="R323" s="35" t="str">
        <f t="shared" si="88"/>
        <v/>
      </c>
      <c r="S323" s="33" t="str">
        <f t="shared" si="89"/>
        <v/>
      </c>
    </row>
    <row r="324" spans="1:19" x14ac:dyDescent="0.3">
      <c r="A324" s="33">
        <f>320</f>
        <v>320</v>
      </c>
      <c r="B324" s="34" t="str">
        <f t="shared" si="72"/>
        <v/>
      </c>
      <c r="C324" s="33" t="str">
        <f t="shared" si="73"/>
        <v/>
      </c>
      <c r="D324" s="33" t="str">
        <f t="shared" si="74"/>
        <v/>
      </c>
      <c r="E324" s="35" t="str">
        <f t="shared" si="75"/>
        <v/>
      </c>
      <c r="F324" s="35" t="str">
        <f t="shared" si="76"/>
        <v/>
      </c>
      <c r="G324" s="33" t="str">
        <f t="shared" si="77"/>
        <v/>
      </c>
      <c r="H324" s="35" t="str">
        <f t="shared" si="78"/>
        <v/>
      </c>
      <c r="I324" s="35" t="str">
        <f t="shared" si="79"/>
        <v/>
      </c>
      <c r="J324" s="35" t="str">
        <f t="shared" si="80"/>
        <v/>
      </c>
      <c r="K324" s="35" t="str">
        <f t="shared" si="81"/>
        <v/>
      </c>
      <c r="L324" s="35" t="str">
        <f t="shared" si="82"/>
        <v/>
      </c>
      <c r="M324" s="35" t="str">
        <f t="shared" si="83"/>
        <v/>
      </c>
      <c r="N324" s="36" t="str">
        <f t="shared" si="84"/>
        <v/>
      </c>
      <c r="O324" s="35" t="str">
        <f t="shared" si="85"/>
        <v/>
      </c>
      <c r="P324" s="35" t="str">
        <f t="shared" si="86"/>
        <v/>
      </c>
      <c r="Q324" s="35" t="str">
        <f t="shared" si="87"/>
        <v/>
      </c>
      <c r="R324" s="35" t="str">
        <f t="shared" si="88"/>
        <v/>
      </c>
      <c r="S324" s="33" t="str">
        <f t="shared" si="89"/>
        <v/>
      </c>
    </row>
    <row r="325" spans="1:19" x14ac:dyDescent="0.3">
      <c r="A325" s="33">
        <f>321</f>
        <v>321</v>
      </c>
      <c r="B325" s="34" t="str">
        <f t="shared" ref="B325:B364" si="90">IF($A325&gt;NYears*12,"",EDATE(StartMonth,$A325-1))</f>
        <v/>
      </c>
      <c r="C325" s="33" t="str">
        <f t="shared" ref="C325:C364" si="91">IF($A325&gt;NYears*12,"",INT(($A325-1)/12)+1)</f>
        <v/>
      </c>
      <c r="D325" s="33" t="str">
        <f t="shared" ref="D325:D364" si="92">IF($A325&gt;NYears*12,"",MOD($A325-1,12)+1)</f>
        <v/>
      </c>
      <c r="E325" s="35" t="str">
        <f t="shared" ref="E325:E364" si="93">IF($A325&gt;NYears*12,"",LotValue0*(1+LotGrowth)^($C325-1))</f>
        <v/>
      </c>
      <c r="F325" s="35" t="str">
        <f t="shared" ref="F325:F364" si="94">IF($A325&gt;NYears*12,"",IF($A325=1,InitInvest,$R324))</f>
        <v/>
      </c>
      <c r="G325" s="33" t="str">
        <f t="shared" ref="G325:G364" si="95">IF($A325&gt;NYears*12,"",INT($F325/$E325))</f>
        <v/>
      </c>
      <c r="H325" s="35" t="str">
        <f t="shared" ref="H325:H364" si="96">IF($A325&gt;NYears*12,"",$G325*$E325)</f>
        <v/>
      </c>
      <c r="I325" s="35" t="str">
        <f t="shared" ref="I325:I364" si="97">IF($A325&gt;NYears*12,"",$F325-$H325)</f>
        <v/>
      </c>
      <c r="J325" s="35" t="str">
        <f t="shared" ref="J325:J364" si="98">IF($A325&gt;NYears*12,"",$H325*RateD)</f>
        <v/>
      </c>
      <c r="K325" s="35" t="str">
        <f t="shared" ref="K325:K364" si="99">IF($A325&gt;NYears*12,"",IF($D325=1,$J325,$K324+$J325))</f>
        <v/>
      </c>
      <c r="L325" s="35" t="str">
        <f t="shared" ref="L325:L364" si="100">IF($A325&gt;NYears*12,"",IF(MOD($D325,3)=0,SUM($J323:$J325),0))</f>
        <v/>
      </c>
      <c r="M325" s="35" t="str">
        <f t="shared" ref="M325:M364" si="101">IF($A325&gt;NYears*12,"",IF(TaxFreq="Quarterly",$K325*12/$D325,$K325))</f>
        <v/>
      </c>
      <c r="N325" s="36" t="str">
        <f t="shared" ref="N325:N364" si="102">IF($A325&gt;NYears*12,"",LOOKUP($M325,TaxLower,TaxRate))</f>
        <v/>
      </c>
      <c r="O325" s="35" t="str">
        <f t="shared" ref="O325:O364" si="103">IF($A325&gt;NYears*12,"",IF(TaxFreq="Quarterly",IF(MOD($D325,3)=0,$L325*$N325,0),IF($D325=12,$K325*$N325,0)))</f>
        <v/>
      </c>
      <c r="P325" s="35" t="str">
        <f t="shared" ref="P325:P364" si="104">IF($A325&gt;NYears*12,"",IF($D325=1,$O325,$P324+$O325))</f>
        <v/>
      </c>
      <c r="Q325" s="35" t="str">
        <f t="shared" ref="Q325:Q364" si="105">IF($A325&gt;NYears*12,"",IF($D325=12,MIN(WdrPct*IF(WdrBase="Post-tax profit",$K325-$P325,$K325),WdrCap),0))</f>
        <v/>
      </c>
      <c r="R325" s="35" t="str">
        <f t="shared" ref="R325:R364" si="106">IF($A325&gt;NYears*12,"",$F325+$J325-$O325-$Q325)</f>
        <v/>
      </c>
      <c r="S325" s="33" t="str">
        <f t="shared" ref="S325:S364" si="107">IF($A325&gt;NYears*12,"",INT($R325/$E325))</f>
        <v/>
      </c>
    </row>
    <row r="326" spans="1:19" x14ac:dyDescent="0.3">
      <c r="A326" s="33">
        <f>322</f>
        <v>322</v>
      </c>
      <c r="B326" s="34" t="str">
        <f t="shared" si="90"/>
        <v/>
      </c>
      <c r="C326" s="33" t="str">
        <f t="shared" si="91"/>
        <v/>
      </c>
      <c r="D326" s="33" t="str">
        <f t="shared" si="92"/>
        <v/>
      </c>
      <c r="E326" s="35" t="str">
        <f t="shared" si="93"/>
        <v/>
      </c>
      <c r="F326" s="35" t="str">
        <f t="shared" si="94"/>
        <v/>
      </c>
      <c r="G326" s="33" t="str">
        <f t="shared" si="95"/>
        <v/>
      </c>
      <c r="H326" s="35" t="str">
        <f t="shared" si="96"/>
        <v/>
      </c>
      <c r="I326" s="35" t="str">
        <f t="shared" si="97"/>
        <v/>
      </c>
      <c r="J326" s="35" t="str">
        <f t="shared" si="98"/>
        <v/>
      </c>
      <c r="K326" s="35" t="str">
        <f t="shared" si="99"/>
        <v/>
      </c>
      <c r="L326" s="35" t="str">
        <f t="shared" si="100"/>
        <v/>
      </c>
      <c r="M326" s="35" t="str">
        <f t="shared" si="101"/>
        <v/>
      </c>
      <c r="N326" s="36" t="str">
        <f t="shared" si="102"/>
        <v/>
      </c>
      <c r="O326" s="35" t="str">
        <f t="shared" si="103"/>
        <v/>
      </c>
      <c r="P326" s="35" t="str">
        <f t="shared" si="104"/>
        <v/>
      </c>
      <c r="Q326" s="35" t="str">
        <f t="shared" si="105"/>
        <v/>
      </c>
      <c r="R326" s="35" t="str">
        <f t="shared" si="106"/>
        <v/>
      </c>
      <c r="S326" s="33" t="str">
        <f t="shared" si="107"/>
        <v/>
      </c>
    </row>
    <row r="327" spans="1:19" x14ac:dyDescent="0.3">
      <c r="A327" s="33">
        <f>323</f>
        <v>323</v>
      </c>
      <c r="B327" s="34" t="str">
        <f t="shared" si="90"/>
        <v/>
      </c>
      <c r="C327" s="33" t="str">
        <f t="shared" si="91"/>
        <v/>
      </c>
      <c r="D327" s="33" t="str">
        <f t="shared" si="92"/>
        <v/>
      </c>
      <c r="E327" s="35" t="str">
        <f t="shared" si="93"/>
        <v/>
      </c>
      <c r="F327" s="35" t="str">
        <f t="shared" si="94"/>
        <v/>
      </c>
      <c r="G327" s="33" t="str">
        <f t="shared" si="95"/>
        <v/>
      </c>
      <c r="H327" s="35" t="str">
        <f t="shared" si="96"/>
        <v/>
      </c>
      <c r="I327" s="35" t="str">
        <f t="shared" si="97"/>
        <v/>
      </c>
      <c r="J327" s="35" t="str">
        <f t="shared" si="98"/>
        <v/>
      </c>
      <c r="K327" s="35" t="str">
        <f t="shared" si="99"/>
        <v/>
      </c>
      <c r="L327" s="35" t="str">
        <f t="shared" si="100"/>
        <v/>
      </c>
      <c r="M327" s="35" t="str">
        <f t="shared" si="101"/>
        <v/>
      </c>
      <c r="N327" s="36" t="str">
        <f t="shared" si="102"/>
        <v/>
      </c>
      <c r="O327" s="35" t="str">
        <f t="shared" si="103"/>
        <v/>
      </c>
      <c r="P327" s="35" t="str">
        <f t="shared" si="104"/>
        <v/>
      </c>
      <c r="Q327" s="35" t="str">
        <f t="shared" si="105"/>
        <v/>
      </c>
      <c r="R327" s="35" t="str">
        <f t="shared" si="106"/>
        <v/>
      </c>
      <c r="S327" s="33" t="str">
        <f t="shared" si="107"/>
        <v/>
      </c>
    </row>
    <row r="328" spans="1:19" x14ac:dyDescent="0.3">
      <c r="A328" s="37">
        <f>324</f>
        <v>324</v>
      </c>
      <c r="B328" s="38" t="str">
        <f t="shared" si="90"/>
        <v/>
      </c>
      <c r="C328" s="37" t="str">
        <f t="shared" si="91"/>
        <v/>
      </c>
      <c r="D328" s="37" t="str">
        <f t="shared" si="92"/>
        <v/>
      </c>
      <c r="E328" s="39" t="str">
        <f t="shared" si="93"/>
        <v/>
      </c>
      <c r="F328" s="39" t="str">
        <f t="shared" si="94"/>
        <v/>
      </c>
      <c r="G328" s="37" t="str">
        <f t="shared" si="95"/>
        <v/>
      </c>
      <c r="H328" s="39" t="str">
        <f t="shared" si="96"/>
        <v/>
      </c>
      <c r="I328" s="39" t="str">
        <f t="shared" si="97"/>
        <v/>
      </c>
      <c r="J328" s="39" t="str">
        <f t="shared" si="98"/>
        <v/>
      </c>
      <c r="K328" s="39" t="str">
        <f t="shared" si="99"/>
        <v/>
      </c>
      <c r="L328" s="39" t="str">
        <f t="shared" si="100"/>
        <v/>
      </c>
      <c r="M328" s="39" t="str">
        <f t="shared" si="101"/>
        <v/>
      </c>
      <c r="N328" s="40" t="str">
        <f t="shared" si="102"/>
        <v/>
      </c>
      <c r="O328" s="39" t="str">
        <f t="shared" si="103"/>
        <v/>
      </c>
      <c r="P328" s="39" t="str">
        <f t="shared" si="104"/>
        <v/>
      </c>
      <c r="Q328" s="39" t="str">
        <f t="shared" si="105"/>
        <v/>
      </c>
      <c r="R328" s="39" t="str">
        <f t="shared" si="106"/>
        <v/>
      </c>
      <c r="S328" s="37" t="str">
        <f t="shared" si="107"/>
        <v/>
      </c>
    </row>
    <row r="329" spans="1:19" x14ac:dyDescent="0.3">
      <c r="A329" s="33">
        <f>325</f>
        <v>325</v>
      </c>
      <c r="B329" s="34" t="str">
        <f t="shared" si="90"/>
        <v/>
      </c>
      <c r="C329" s="33" t="str">
        <f t="shared" si="91"/>
        <v/>
      </c>
      <c r="D329" s="33" t="str">
        <f t="shared" si="92"/>
        <v/>
      </c>
      <c r="E329" s="35" t="str">
        <f t="shared" si="93"/>
        <v/>
      </c>
      <c r="F329" s="35" t="str">
        <f t="shared" si="94"/>
        <v/>
      </c>
      <c r="G329" s="33" t="str">
        <f t="shared" si="95"/>
        <v/>
      </c>
      <c r="H329" s="35" t="str">
        <f t="shared" si="96"/>
        <v/>
      </c>
      <c r="I329" s="35" t="str">
        <f t="shared" si="97"/>
        <v/>
      </c>
      <c r="J329" s="35" t="str">
        <f t="shared" si="98"/>
        <v/>
      </c>
      <c r="K329" s="35" t="str">
        <f t="shared" si="99"/>
        <v/>
      </c>
      <c r="L329" s="35" t="str">
        <f t="shared" si="100"/>
        <v/>
      </c>
      <c r="M329" s="35" t="str">
        <f t="shared" si="101"/>
        <v/>
      </c>
      <c r="N329" s="36" t="str">
        <f t="shared" si="102"/>
        <v/>
      </c>
      <c r="O329" s="35" t="str">
        <f t="shared" si="103"/>
        <v/>
      </c>
      <c r="P329" s="35" t="str">
        <f t="shared" si="104"/>
        <v/>
      </c>
      <c r="Q329" s="35" t="str">
        <f t="shared" si="105"/>
        <v/>
      </c>
      <c r="R329" s="35" t="str">
        <f t="shared" si="106"/>
        <v/>
      </c>
      <c r="S329" s="33" t="str">
        <f t="shared" si="107"/>
        <v/>
      </c>
    </row>
    <row r="330" spans="1:19" x14ac:dyDescent="0.3">
      <c r="A330" s="33">
        <f>326</f>
        <v>326</v>
      </c>
      <c r="B330" s="34" t="str">
        <f t="shared" si="90"/>
        <v/>
      </c>
      <c r="C330" s="33" t="str">
        <f t="shared" si="91"/>
        <v/>
      </c>
      <c r="D330" s="33" t="str">
        <f t="shared" si="92"/>
        <v/>
      </c>
      <c r="E330" s="35" t="str">
        <f t="shared" si="93"/>
        <v/>
      </c>
      <c r="F330" s="35" t="str">
        <f t="shared" si="94"/>
        <v/>
      </c>
      <c r="G330" s="33" t="str">
        <f t="shared" si="95"/>
        <v/>
      </c>
      <c r="H330" s="35" t="str">
        <f t="shared" si="96"/>
        <v/>
      </c>
      <c r="I330" s="35" t="str">
        <f t="shared" si="97"/>
        <v/>
      </c>
      <c r="J330" s="35" t="str">
        <f t="shared" si="98"/>
        <v/>
      </c>
      <c r="K330" s="35" t="str">
        <f t="shared" si="99"/>
        <v/>
      </c>
      <c r="L330" s="35" t="str">
        <f t="shared" si="100"/>
        <v/>
      </c>
      <c r="M330" s="35" t="str">
        <f t="shared" si="101"/>
        <v/>
      </c>
      <c r="N330" s="36" t="str">
        <f t="shared" si="102"/>
        <v/>
      </c>
      <c r="O330" s="35" t="str">
        <f t="shared" si="103"/>
        <v/>
      </c>
      <c r="P330" s="35" t="str">
        <f t="shared" si="104"/>
        <v/>
      </c>
      <c r="Q330" s="35" t="str">
        <f t="shared" si="105"/>
        <v/>
      </c>
      <c r="R330" s="35" t="str">
        <f t="shared" si="106"/>
        <v/>
      </c>
      <c r="S330" s="33" t="str">
        <f t="shared" si="107"/>
        <v/>
      </c>
    </row>
    <row r="331" spans="1:19" x14ac:dyDescent="0.3">
      <c r="A331" s="33">
        <f>327</f>
        <v>327</v>
      </c>
      <c r="B331" s="34" t="str">
        <f t="shared" si="90"/>
        <v/>
      </c>
      <c r="C331" s="33" t="str">
        <f t="shared" si="91"/>
        <v/>
      </c>
      <c r="D331" s="33" t="str">
        <f t="shared" si="92"/>
        <v/>
      </c>
      <c r="E331" s="35" t="str">
        <f t="shared" si="93"/>
        <v/>
      </c>
      <c r="F331" s="35" t="str">
        <f t="shared" si="94"/>
        <v/>
      </c>
      <c r="G331" s="33" t="str">
        <f t="shared" si="95"/>
        <v/>
      </c>
      <c r="H331" s="35" t="str">
        <f t="shared" si="96"/>
        <v/>
      </c>
      <c r="I331" s="35" t="str">
        <f t="shared" si="97"/>
        <v/>
      </c>
      <c r="J331" s="35" t="str">
        <f t="shared" si="98"/>
        <v/>
      </c>
      <c r="K331" s="35" t="str">
        <f t="shared" si="99"/>
        <v/>
      </c>
      <c r="L331" s="35" t="str">
        <f t="shared" si="100"/>
        <v/>
      </c>
      <c r="M331" s="35" t="str">
        <f t="shared" si="101"/>
        <v/>
      </c>
      <c r="N331" s="36" t="str">
        <f t="shared" si="102"/>
        <v/>
      </c>
      <c r="O331" s="35" t="str">
        <f t="shared" si="103"/>
        <v/>
      </c>
      <c r="P331" s="35" t="str">
        <f t="shared" si="104"/>
        <v/>
      </c>
      <c r="Q331" s="35" t="str">
        <f t="shared" si="105"/>
        <v/>
      </c>
      <c r="R331" s="35" t="str">
        <f t="shared" si="106"/>
        <v/>
      </c>
      <c r="S331" s="33" t="str">
        <f t="shared" si="107"/>
        <v/>
      </c>
    </row>
    <row r="332" spans="1:19" x14ac:dyDescent="0.3">
      <c r="A332" s="33">
        <f>328</f>
        <v>328</v>
      </c>
      <c r="B332" s="34" t="str">
        <f t="shared" si="90"/>
        <v/>
      </c>
      <c r="C332" s="33" t="str">
        <f t="shared" si="91"/>
        <v/>
      </c>
      <c r="D332" s="33" t="str">
        <f t="shared" si="92"/>
        <v/>
      </c>
      <c r="E332" s="35" t="str">
        <f t="shared" si="93"/>
        <v/>
      </c>
      <c r="F332" s="35" t="str">
        <f t="shared" si="94"/>
        <v/>
      </c>
      <c r="G332" s="33" t="str">
        <f t="shared" si="95"/>
        <v/>
      </c>
      <c r="H332" s="35" t="str">
        <f t="shared" si="96"/>
        <v/>
      </c>
      <c r="I332" s="35" t="str">
        <f t="shared" si="97"/>
        <v/>
      </c>
      <c r="J332" s="35" t="str">
        <f t="shared" si="98"/>
        <v/>
      </c>
      <c r="K332" s="35" t="str">
        <f t="shared" si="99"/>
        <v/>
      </c>
      <c r="L332" s="35" t="str">
        <f t="shared" si="100"/>
        <v/>
      </c>
      <c r="M332" s="35" t="str">
        <f t="shared" si="101"/>
        <v/>
      </c>
      <c r="N332" s="36" t="str">
        <f t="shared" si="102"/>
        <v/>
      </c>
      <c r="O332" s="35" t="str">
        <f t="shared" si="103"/>
        <v/>
      </c>
      <c r="P332" s="35" t="str">
        <f t="shared" si="104"/>
        <v/>
      </c>
      <c r="Q332" s="35" t="str">
        <f t="shared" si="105"/>
        <v/>
      </c>
      <c r="R332" s="35" t="str">
        <f t="shared" si="106"/>
        <v/>
      </c>
      <c r="S332" s="33" t="str">
        <f t="shared" si="107"/>
        <v/>
      </c>
    </row>
    <row r="333" spans="1:19" x14ac:dyDescent="0.3">
      <c r="A333" s="33">
        <f>329</f>
        <v>329</v>
      </c>
      <c r="B333" s="34" t="str">
        <f t="shared" si="90"/>
        <v/>
      </c>
      <c r="C333" s="33" t="str">
        <f t="shared" si="91"/>
        <v/>
      </c>
      <c r="D333" s="33" t="str">
        <f t="shared" si="92"/>
        <v/>
      </c>
      <c r="E333" s="35" t="str">
        <f t="shared" si="93"/>
        <v/>
      </c>
      <c r="F333" s="35" t="str">
        <f t="shared" si="94"/>
        <v/>
      </c>
      <c r="G333" s="33" t="str">
        <f t="shared" si="95"/>
        <v/>
      </c>
      <c r="H333" s="35" t="str">
        <f t="shared" si="96"/>
        <v/>
      </c>
      <c r="I333" s="35" t="str">
        <f t="shared" si="97"/>
        <v/>
      </c>
      <c r="J333" s="35" t="str">
        <f t="shared" si="98"/>
        <v/>
      </c>
      <c r="K333" s="35" t="str">
        <f t="shared" si="99"/>
        <v/>
      </c>
      <c r="L333" s="35" t="str">
        <f t="shared" si="100"/>
        <v/>
      </c>
      <c r="M333" s="35" t="str">
        <f t="shared" si="101"/>
        <v/>
      </c>
      <c r="N333" s="36" t="str">
        <f t="shared" si="102"/>
        <v/>
      </c>
      <c r="O333" s="35" t="str">
        <f t="shared" si="103"/>
        <v/>
      </c>
      <c r="P333" s="35" t="str">
        <f t="shared" si="104"/>
        <v/>
      </c>
      <c r="Q333" s="35" t="str">
        <f t="shared" si="105"/>
        <v/>
      </c>
      <c r="R333" s="35" t="str">
        <f t="shared" si="106"/>
        <v/>
      </c>
      <c r="S333" s="33" t="str">
        <f t="shared" si="107"/>
        <v/>
      </c>
    </row>
    <row r="334" spans="1:19" x14ac:dyDescent="0.3">
      <c r="A334" s="33">
        <f>330</f>
        <v>330</v>
      </c>
      <c r="B334" s="34" t="str">
        <f t="shared" si="90"/>
        <v/>
      </c>
      <c r="C334" s="33" t="str">
        <f t="shared" si="91"/>
        <v/>
      </c>
      <c r="D334" s="33" t="str">
        <f t="shared" si="92"/>
        <v/>
      </c>
      <c r="E334" s="35" t="str">
        <f t="shared" si="93"/>
        <v/>
      </c>
      <c r="F334" s="35" t="str">
        <f t="shared" si="94"/>
        <v/>
      </c>
      <c r="G334" s="33" t="str">
        <f t="shared" si="95"/>
        <v/>
      </c>
      <c r="H334" s="35" t="str">
        <f t="shared" si="96"/>
        <v/>
      </c>
      <c r="I334" s="35" t="str">
        <f t="shared" si="97"/>
        <v/>
      </c>
      <c r="J334" s="35" t="str">
        <f t="shared" si="98"/>
        <v/>
      </c>
      <c r="K334" s="35" t="str">
        <f t="shared" si="99"/>
        <v/>
      </c>
      <c r="L334" s="35" t="str">
        <f t="shared" si="100"/>
        <v/>
      </c>
      <c r="M334" s="35" t="str">
        <f t="shared" si="101"/>
        <v/>
      </c>
      <c r="N334" s="36" t="str">
        <f t="shared" si="102"/>
        <v/>
      </c>
      <c r="O334" s="35" t="str">
        <f t="shared" si="103"/>
        <v/>
      </c>
      <c r="P334" s="35" t="str">
        <f t="shared" si="104"/>
        <v/>
      </c>
      <c r="Q334" s="35" t="str">
        <f t="shared" si="105"/>
        <v/>
      </c>
      <c r="R334" s="35" t="str">
        <f t="shared" si="106"/>
        <v/>
      </c>
      <c r="S334" s="33" t="str">
        <f t="shared" si="107"/>
        <v/>
      </c>
    </row>
    <row r="335" spans="1:19" x14ac:dyDescent="0.3">
      <c r="A335" s="33">
        <f>331</f>
        <v>331</v>
      </c>
      <c r="B335" s="34" t="str">
        <f t="shared" si="90"/>
        <v/>
      </c>
      <c r="C335" s="33" t="str">
        <f t="shared" si="91"/>
        <v/>
      </c>
      <c r="D335" s="33" t="str">
        <f t="shared" si="92"/>
        <v/>
      </c>
      <c r="E335" s="35" t="str">
        <f t="shared" si="93"/>
        <v/>
      </c>
      <c r="F335" s="35" t="str">
        <f t="shared" si="94"/>
        <v/>
      </c>
      <c r="G335" s="33" t="str">
        <f t="shared" si="95"/>
        <v/>
      </c>
      <c r="H335" s="35" t="str">
        <f t="shared" si="96"/>
        <v/>
      </c>
      <c r="I335" s="35" t="str">
        <f t="shared" si="97"/>
        <v/>
      </c>
      <c r="J335" s="35" t="str">
        <f t="shared" si="98"/>
        <v/>
      </c>
      <c r="K335" s="35" t="str">
        <f t="shared" si="99"/>
        <v/>
      </c>
      <c r="L335" s="35" t="str">
        <f t="shared" si="100"/>
        <v/>
      </c>
      <c r="M335" s="35" t="str">
        <f t="shared" si="101"/>
        <v/>
      </c>
      <c r="N335" s="36" t="str">
        <f t="shared" si="102"/>
        <v/>
      </c>
      <c r="O335" s="35" t="str">
        <f t="shared" si="103"/>
        <v/>
      </c>
      <c r="P335" s="35" t="str">
        <f t="shared" si="104"/>
        <v/>
      </c>
      <c r="Q335" s="35" t="str">
        <f t="shared" si="105"/>
        <v/>
      </c>
      <c r="R335" s="35" t="str">
        <f t="shared" si="106"/>
        <v/>
      </c>
      <c r="S335" s="33" t="str">
        <f t="shared" si="107"/>
        <v/>
      </c>
    </row>
    <row r="336" spans="1:19" x14ac:dyDescent="0.3">
      <c r="A336" s="33">
        <f>332</f>
        <v>332</v>
      </c>
      <c r="B336" s="34" t="str">
        <f t="shared" si="90"/>
        <v/>
      </c>
      <c r="C336" s="33" t="str">
        <f t="shared" si="91"/>
        <v/>
      </c>
      <c r="D336" s="33" t="str">
        <f t="shared" si="92"/>
        <v/>
      </c>
      <c r="E336" s="35" t="str">
        <f t="shared" si="93"/>
        <v/>
      </c>
      <c r="F336" s="35" t="str">
        <f t="shared" si="94"/>
        <v/>
      </c>
      <c r="G336" s="33" t="str">
        <f t="shared" si="95"/>
        <v/>
      </c>
      <c r="H336" s="35" t="str">
        <f t="shared" si="96"/>
        <v/>
      </c>
      <c r="I336" s="35" t="str">
        <f t="shared" si="97"/>
        <v/>
      </c>
      <c r="J336" s="35" t="str">
        <f t="shared" si="98"/>
        <v/>
      </c>
      <c r="K336" s="35" t="str">
        <f t="shared" si="99"/>
        <v/>
      </c>
      <c r="L336" s="35" t="str">
        <f t="shared" si="100"/>
        <v/>
      </c>
      <c r="M336" s="35" t="str">
        <f t="shared" si="101"/>
        <v/>
      </c>
      <c r="N336" s="36" t="str">
        <f t="shared" si="102"/>
        <v/>
      </c>
      <c r="O336" s="35" t="str">
        <f t="shared" si="103"/>
        <v/>
      </c>
      <c r="P336" s="35" t="str">
        <f t="shared" si="104"/>
        <v/>
      </c>
      <c r="Q336" s="35" t="str">
        <f t="shared" si="105"/>
        <v/>
      </c>
      <c r="R336" s="35" t="str">
        <f t="shared" si="106"/>
        <v/>
      </c>
      <c r="S336" s="33" t="str">
        <f t="shared" si="107"/>
        <v/>
      </c>
    </row>
    <row r="337" spans="1:19" x14ac:dyDescent="0.3">
      <c r="A337" s="33">
        <f>333</f>
        <v>333</v>
      </c>
      <c r="B337" s="34" t="str">
        <f t="shared" si="90"/>
        <v/>
      </c>
      <c r="C337" s="33" t="str">
        <f t="shared" si="91"/>
        <v/>
      </c>
      <c r="D337" s="33" t="str">
        <f t="shared" si="92"/>
        <v/>
      </c>
      <c r="E337" s="35" t="str">
        <f t="shared" si="93"/>
        <v/>
      </c>
      <c r="F337" s="35" t="str">
        <f t="shared" si="94"/>
        <v/>
      </c>
      <c r="G337" s="33" t="str">
        <f t="shared" si="95"/>
        <v/>
      </c>
      <c r="H337" s="35" t="str">
        <f t="shared" si="96"/>
        <v/>
      </c>
      <c r="I337" s="35" t="str">
        <f t="shared" si="97"/>
        <v/>
      </c>
      <c r="J337" s="35" t="str">
        <f t="shared" si="98"/>
        <v/>
      </c>
      <c r="K337" s="35" t="str">
        <f t="shared" si="99"/>
        <v/>
      </c>
      <c r="L337" s="35" t="str">
        <f t="shared" si="100"/>
        <v/>
      </c>
      <c r="M337" s="35" t="str">
        <f t="shared" si="101"/>
        <v/>
      </c>
      <c r="N337" s="36" t="str">
        <f t="shared" si="102"/>
        <v/>
      </c>
      <c r="O337" s="35" t="str">
        <f t="shared" si="103"/>
        <v/>
      </c>
      <c r="P337" s="35" t="str">
        <f t="shared" si="104"/>
        <v/>
      </c>
      <c r="Q337" s="35" t="str">
        <f t="shared" si="105"/>
        <v/>
      </c>
      <c r="R337" s="35" t="str">
        <f t="shared" si="106"/>
        <v/>
      </c>
      <c r="S337" s="33" t="str">
        <f t="shared" si="107"/>
        <v/>
      </c>
    </row>
    <row r="338" spans="1:19" x14ac:dyDescent="0.3">
      <c r="A338" s="33">
        <f>334</f>
        <v>334</v>
      </c>
      <c r="B338" s="34" t="str">
        <f t="shared" si="90"/>
        <v/>
      </c>
      <c r="C338" s="33" t="str">
        <f t="shared" si="91"/>
        <v/>
      </c>
      <c r="D338" s="33" t="str">
        <f t="shared" si="92"/>
        <v/>
      </c>
      <c r="E338" s="35" t="str">
        <f t="shared" si="93"/>
        <v/>
      </c>
      <c r="F338" s="35" t="str">
        <f t="shared" si="94"/>
        <v/>
      </c>
      <c r="G338" s="33" t="str">
        <f t="shared" si="95"/>
        <v/>
      </c>
      <c r="H338" s="35" t="str">
        <f t="shared" si="96"/>
        <v/>
      </c>
      <c r="I338" s="35" t="str">
        <f t="shared" si="97"/>
        <v/>
      </c>
      <c r="J338" s="35" t="str">
        <f t="shared" si="98"/>
        <v/>
      </c>
      <c r="K338" s="35" t="str">
        <f t="shared" si="99"/>
        <v/>
      </c>
      <c r="L338" s="35" t="str">
        <f t="shared" si="100"/>
        <v/>
      </c>
      <c r="M338" s="35" t="str">
        <f t="shared" si="101"/>
        <v/>
      </c>
      <c r="N338" s="36" t="str">
        <f t="shared" si="102"/>
        <v/>
      </c>
      <c r="O338" s="35" t="str">
        <f t="shared" si="103"/>
        <v/>
      </c>
      <c r="P338" s="35" t="str">
        <f t="shared" si="104"/>
        <v/>
      </c>
      <c r="Q338" s="35" t="str">
        <f t="shared" si="105"/>
        <v/>
      </c>
      <c r="R338" s="35" t="str">
        <f t="shared" si="106"/>
        <v/>
      </c>
      <c r="S338" s="33" t="str">
        <f t="shared" si="107"/>
        <v/>
      </c>
    </row>
    <row r="339" spans="1:19" x14ac:dyDescent="0.3">
      <c r="A339" s="33">
        <f>335</f>
        <v>335</v>
      </c>
      <c r="B339" s="34" t="str">
        <f t="shared" si="90"/>
        <v/>
      </c>
      <c r="C339" s="33" t="str">
        <f t="shared" si="91"/>
        <v/>
      </c>
      <c r="D339" s="33" t="str">
        <f t="shared" si="92"/>
        <v/>
      </c>
      <c r="E339" s="35" t="str">
        <f t="shared" si="93"/>
        <v/>
      </c>
      <c r="F339" s="35" t="str">
        <f t="shared" si="94"/>
        <v/>
      </c>
      <c r="G339" s="33" t="str">
        <f t="shared" si="95"/>
        <v/>
      </c>
      <c r="H339" s="35" t="str">
        <f t="shared" si="96"/>
        <v/>
      </c>
      <c r="I339" s="35" t="str">
        <f t="shared" si="97"/>
        <v/>
      </c>
      <c r="J339" s="35" t="str">
        <f t="shared" si="98"/>
        <v/>
      </c>
      <c r="K339" s="35" t="str">
        <f t="shared" si="99"/>
        <v/>
      </c>
      <c r="L339" s="35" t="str">
        <f t="shared" si="100"/>
        <v/>
      </c>
      <c r="M339" s="35" t="str">
        <f t="shared" si="101"/>
        <v/>
      </c>
      <c r="N339" s="36" t="str">
        <f t="shared" si="102"/>
        <v/>
      </c>
      <c r="O339" s="35" t="str">
        <f t="shared" si="103"/>
        <v/>
      </c>
      <c r="P339" s="35" t="str">
        <f t="shared" si="104"/>
        <v/>
      </c>
      <c r="Q339" s="35" t="str">
        <f t="shared" si="105"/>
        <v/>
      </c>
      <c r="R339" s="35" t="str">
        <f t="shared" si="106"/>
        <v/>
      </c>
      <c r="S339" s="33" t="str">
        <f t="shared" si="107"/>
        <v/>
      </c>
    </row>
    <row r="340" spans="1:19" x14ac:dyDescent="0.3">
      <c r="A340" s="37">
        <f>336</f>
        <v>336</v>
      </c>
      <c r="B340" s="38" t="str">
        <f t="shared" si="90"/>
        <v/>
      </c>
      <c r="C340" s="37" t="str">
        <f t="shared" si="91"/>
        <v/>
      </c>
      <c r="D340" s="37" t="str">
        <f t="shared" si="92"/>
        <v/>
      </c>
      <c r="E340" s="39" t="str">
        <f t="shared" si="93"/>
        <v/>
      </c>
      <c r="F340" s="39" t="str">
        <f t="shared" si="94"/>
        <v/>
      </c>
      <c r="G340" s="37" t="str">
        <f t="shared" si="95"/>
        <v/>
      </c>
      <c r="H340" s="39" t="str">
        <f t="shared" si="96"/>
        <v/>
      </c>
      <c r="I340" s="39" t="str">
        <f t="shared" si="97"/>
        <v/>
      </c>
      <c r="J340" s="39" t="str">
        <f t="shared" si="98"/>
        <v/>
      </c>
      <c r="K340" s="39" t="str">
        <f t="shared" si="99"/>
        <v/>
      </c>
      <c r="L340" s="39" t="str">
        <f t="shared" si="100"/>
        <v/>
      </c>
      <c r="M340" s="39" t="str">
        <f t="shared" si="101"/>
        <v/>
      </c>
      <c r="N340" s="40" t="str">
        <f t="shared" si="102"/>
        <v/>
      </c>
      <c r="O340" s="39" t="str">
        <f t="shared" si="103"/>
        <v/>
      </c>
      <c r="P340" s="39" t="str">
        <f t="shared" si="104"/>
        <v/>
      </c>
      <c r="Q340" s="39" t="str">
        <f t="shared" si="105"/>
        <v/>
      </c>
      <c r="R340" s="39" t="str">
        <f t="shared" si="106"/>
        <v/>
      </c>
      <c r="S340" s="37" t="str">
        <f t="shared" si="107"/>
        <v/>
      </c>
    </row>
    <row r="341" spans="1:19" x14ac:dyDescent="0.3">
      <c r="A341" s="33">
        <f>337</f>
        <v>337</v>
      </c>
      <c r="B341" s="34" t="str">
        <f t="shared" si="90"/>
        <v/>
      </c>
      <c r="C341" s="33" t="str">
        <f t="shared" si="91"/>
        <v/>
      </c>
      <c r="D341" s="33" t="str">
        <f t="shared" si="92"/>
        <v/>
      </c>
      <c r="E341" s="35" t="str">
        <f t="shared" si="93"/>
        <v/>
      </c>
      <c r="F341" s="35" t="str">
        <f t="shared" si="94"/>
        <v/>
      </c>
      <c r="G341" s="33" t="str">
        <f t="shared" si="95"/>
        <v/>
      </c>
      <c r="H341" s="35" t="str">
        <f t="shared" si="96"/>
        <v/>
      </c>
      <c r="I341" s="35" t="str">
        <f t="shared" si="97"/>
        <v/>
      </c>
      <c r="J341" s="35" t="str">
        <f t="shared" si="98"/>
        <v/>
      </c>
      <c r="K341" s="35" t="str">
        <f t="shared" si="99"/>
        <v/>
      </c>
      <c r="L341" s="35" t="str">
        <f t="shared" si="100"/>
        <v/>
      </c>
      <c r="M341" s="35" t="str">
        <f t="shared" si="101"/>
        <v/>
      </c>
      <c r="N341" s="36" t="str">
        <f t="shared" si="102"/>
        <v/>
      </c>
      <c r="O341" s="35" t="str">
        <f t="shared" si="103"/>
        <v/>
      </c>
      <c r="P341" s="35" t="str">
        <f t="shared" si="104"/>
        <v/>
      </c>
      <c r="Q341" s="35" t="str">
        <f t="shared" si="105"/>
        <v/>
      </c>
      <c r="R341" s="35" t="str">
        <f t="shared" si="106"/>
        <v/>
      </c>
      <c r="S341" s="33" t="str">
        <f t="shared" si="107"/>
        <v/>
      </c>
    </row>
    <row r="342" spans="1:19" x14ac:dyDescent="0.3">
      <c r="A342" s="33">
        <f>338</f>
        <v>338</v>
      </c>
      <c r="B342" s="34" t="str">
        <f t="shared" si="90"/>
        <v/>
      </c>
      <c r="C342" s="33" t="str">
        <f t="shared" si="91"/>
        <v/>
      </c>
      <c r="D342" s="33" t="str">
        <f t="shared" si="92"/>
        <v/>
      </c>
      <c r="E342" s="35" t="str">
        <f t="shared" si="93"/>
        <v/>
      </c>
      <c r="F342" s="35" t="str">
        <f t="shared" si="94"/>
        <v/>
      </c>
      <c r="G342" s="33" t="str">
        <f t="shared" si="95"/>
        <v/>
      </c>
      <c r="H342" s="35" t="str">
        <f t="shared" si="96"/>
        <v/>
      </c>
      <c r="I342" s="35" t="str">
        <f t="shared" si="97"/>
        <v/>
      </c>
      <c r="J342" s="35" t="str">
        <f t="shared" si="98"/>
        <v/>
      </c>
      <c r="K342" s="35" t="str">
        <f t="shared" si="99"/>
        <v/>
      </c>
      <c r="L342" s="35" t="str">
        <f t="shared" si="100"/>
        <v/>
      </c>
      <c r="M342" s="35" t="str">
        <f t="shared" si="101"/>
        <v/>
      </c>
      <c r="N342" s="36" t="str">
        <f t="shared" si="102"/>
        <v/>
      </c>
      <c r="O342" s="35" t="str">
        <f t="shared" si="103"/>
        <v/>
      </c>
      <c r="P342" s="35" t="str">
        <f t="shared" si="104"/>
        <v/>
      </c>
      <c r="Q342" s="35" t="str">
        <f t="shared" si="105"/>
        <v/>
      </c>
      <c r="R342" s="35" t="str">
        <f t="shared" si="106"/>
        <v/>
      </c>
      <c r="S342" s="33" t="str">
        <f t="shared" si="107"/>
        <v/>
      </c>
    </row>
    <row r="343" spans="1:19" x14ac:dyDescent="0.3">
      <c r="A343" s="33">
        <f>339</f>
        <v>339</v>
      </c>
      <c r="B343" s="34" t="str">
        <f t="shared" si="90"/>
        <v/>
      </c>
      <c r="C343" s="33" t="str">
        <f t="shared" si="91"/>
        <v/>
      </c>
      <c r="D343" s="33" t="str">
        <f t="shared" si="92"/>
        <v/>
      </c>
      <c r="E343" s="35" t="str">
        <f t="shared" si="93"/>
        <v/>
      </c>
      <c r="F343" s="35" t="str">
        <f t="shared" si="94"/>
        <v/>
      </c>
      <c r="G343" s="33" t="str">
        <f t="shared" si="95"/>
        <v/>
      </c>
      <c r="H343" s="35" t="str">
        <f t="shared" si="96"/>
        <v/>
      </c>
      <c r="I343" s="35" t="str">
        <f t="shared" si="97"/>
        <v/>
      </c>
      <c r="J343" s="35" t="str">
        <f t="shared" si="98"/>
        <v/>
      </c>
      <c r="K343" s="35" t="str">
        <f t="shared" si="99"/>
        <v/>
      </c>
      <c r="L343" s="35" t="str">
        <f t="shared" si="100"/>
        <v/>
      </c>
      <c r="M343" s="35" t="str">
        <f t="shared" si="101"/>
        <v/>
      </c>
      <c r="N343" s="36" t="str">
        <f t="shared" si="102"/>
        <v/>
      </c>
      <c r="O343" s="35" t="str">
        <f t="shared" si="103"/>
        <v/>
      </c>
      <c r="P343" s="35" t="str">
        <f t="shared" si="104"/>
        <v/>
      </c>
      <c r="Q343" s="35" t="str">
        <f t="shared" si="105"/>
        <v/>
      </c>
      <c r="R343" s="35" t="str">
        <f t="shared" si="106"/>
        <v/>
      </c>
      <c r="S343" s="33" t="str">
        <f t="shared" si="107"/>
        <v/>
      </c>
    </row>
    <row r="344" spans="1:19" x14ac:dyDescent="0.3">
      <c r="A344" s="33">
        <f>340</f>
        <v>340</v>
      </c>
      <c r="B344" s="34" t="str">
        <f t="shared" si="90"/>
        <v/>
      </c>
      <c r="C344" s="33" t="str">
        <f t="shared" si="91"/>
        <v/>
      </c>
      <c r="D344" s="33" t="str">
        <f t="shared" si="92"/>
        <v/>
      </c>
      <c r="E344" s="35" t="str">
        <f t="shared" si="93"/>
        <v/>
      </c>
      <c r="F344" s="35" t="str">
        <f t="shared" si="94"/>
        <v/>
      </c>
      <c r="G344" s="33" t="str">
        <f t="shared" si="95"/>
        <v/>
      </c>
      <c r="H344" s="35" t="str">
        <f t="shared" si="96"/>
        <v/>
      </c>
      <c r="I344" s="35" t="str">
        <f t="shared" si="97"/>
        <v/>
      </c>
      <c r="J344" s="35" t="str">
        <f t="shared" si="98"/>
        <v/>
      </c>
      <c r="K344" s="35" t="str">
        <f t="shared" si="99"/>
        <v/>
      </c>
      <c r="L344" s="35" t="str">
        <f t="shared" si="100"/>
        <v/>
      </c>
      <c r="M344" s="35" t="str">
        <f t="shared" si="101"/>
        <v/>
      </c>
      <c r="N344" s="36" t="str">
        <f t="shared" si="102"/>
        <v/>
      </c>
      <c r="O344" s="35" t="str">
        <f t="shared" si="103"/>
        <v/>
      </c>
      <c r="P344" s="35" t="str">
        <f t="shared" si="104"/>
        <v/>
      </c>
      <c r="Q344" s="35" t="str">
        <f t="shared" si="105"/>
        <v/>
      </c>
      <c r="R344" s="35" t="str">
        <f t="shared" si="106"/>
        <v/>
      </c>
      <c r="S344" s="33" t="str">
        <f t="shared" si="107"/>
        <v/>
      </c>
    </row>
    <row r="345" spans="1:19" x14ac:dyDescent="0.3">
      <c r="A345" s="33">
        <f>341</f>
        <v>341</v>
      </c>
      <c r="B345" s="34" t="str">
        <f t="shared" si="90"/>
        <v/>
      </c>
      <c r="C345" s="33" t="str">
        <f t="shared" si="91"/>
        <v/>
      </c>
      <c r="D345" s="33" t="str">
        <f t="shared" si="92"/>
        <v/>
      </c>
      <c r="E345" s="35" t="str">
        <f t="shared" si="93"/>
        <v/>
      </c>
      <c r="F345" s="35" t="str">
        <f t="shared" si="94"/>
        <v/>
      </c>
      <c r="G345" s="33" t="str">
        <f t="shared" si="95"/>
        <v/>
      </c>
      <c r="H345" s="35" t="str">
        <f t="shared" si="96"/>
        <v/>
      </c>
      <c r="I345" s="35" t="str">
        <f t="shared" si="97"/>
        <v/>
      </c>
      <c r="J345" s="35" t="str">
        <f t="shared" si="98"/>
        <v/>
      </c>
      <c r="K345" s="35" t="str">
        <f t="shared" si="99"/>
        <v/>
      </c>
      <c r="L345" s="35" t="str">
        <f t="shared" si="100"/>
        <v/>
      </c>
      <c r="M345" s="35" t="str">
        <f t="shared" si="101"/>
        <v/>
      </c>
      <c r="N345" s="36" t="str">
        <f t="shared" si="102"/>
        <v/>
      </c>
      <c r="O345" s="35" t="str">
        <f t="shared" si="103"/>
        <v/>
      </c>
      <c r="P345" s="35" t="str">
        <f t="shared" si="104"/>
        <v/>
      </c>
      <c r="Q345" s="35" t="str">
        <f t="shared" si="105"/>
        <v/>
      </c>
      <c r="R345" s="35" t="str">
        <f t="shared" si="106"/>
        <v/>
      </c>
      <c r="S345" s="33" t="str">
        <f t="shared" si="107"/>
        <v/>
      </c>
    </row>
    <row r="346" spans="1:19" x14ac:dyDescent="0.3">
      <c r="A346" s="33">
        <f>342</f>
        <v>342</v>
      </c>
      <c r="B346" s="34" t="str">
        <f t="shared" si="90"/>
        <v/>
      </c>
      <c r="C346" s="33" t="str">
        <f t="shared" si="91"/>
        <v/>
      </c>
      <c r="D346" s="33" t="str">
        <f t="shared" si="92"/>
        <v/>
      </c>
      <c r="E346" s="35" t="str">
        <f t="shared" si="93"/>
        <v/>
      </c>
      <c r="F346" s="35" t="str">
        <f t="shared" si="94"/>
        <v/>
      </c>
      <c r="G346" s="33" t="str">
        <f t="shared" si="95"/>
        <v/>
      </c>
      <c r="H346" s="35" t="str">
        <f t="shared" si="96"/>
        <v/>
      </c>
      <c r="I346" s="35" t="str">
        <f t="shared" si="97"/>
        <v/>
      </c>
      <c r="J346" s="35" t="str">
        <f t="shared" si="98"/>
        <v/>
      </c>
      <c r="K346" s="35" t="str">
        <f t="shared" si="99"/>
        <v/>
      </c>
      <c r="L346" s="35" t="str">
        <f t="shared" si="100"/>
        <v/>
      </c>
      <c r="M346" s="35" t="str">
        <f t="shared" si="101"/>
        <v/>
      </c>
      <c r="N346" s="36" t="str">
        <f t="shared" si="102"/>
        <v/>
      </c>
      <c r="O346" s="35" t="str">
        <f t="shared" si="103"/>
        <v/>
      </c>
      <c r="P346" s="35" t="str">
        <f t="shared" si="104"/>
        <v/>
      </c>
      <c r="Q346" s="35" t="str">
        <f t="shared" si="105"/>
        <v/>
      </c>
      <c r="R346" s="35" t="str">
        <f t="shared" si="106"/>
        <v/>
      </c>
      <c r="S346" s="33" t="str">
        <f t="shared" si="107"/>
        <v/>
      </c>
    </row>
    <row r="347" spans="1:19" x14ac:dyDescent="0.3">
      <c r="A347" s="33">
        <f>343</f>
        <v>343</v>
      </c>
      <c r="B347" s="34" t="str">
        <f t="shared" si="90"/>
        <v/>
      </c>
      <c r="C347" s="33" t="str">
        <f t="shared" si="91"/>
        <v/>
      </c>
      <c r="D347" s="33" t="str">
        <f t="shared" si="92"/>
        <v/>
      </c>
      <c r="E347" s="35" t="str">
        <f t="shared" si="93"/>
        <v/>
      </c>
      <c r="F347" s="35" t="str">
        <f t="shared" si="94"/>
        <v/>
      </c>
      <c r="G347" s="33" t="str">
        <f t="shared" si="95"/>
        <v/>
      </c>
      <c r="H347" s="35" t="str">
        <f t="shared" si="96"/>
        <v/>
      </c>
      <c r="I347" s="35" t="str">
        <f t="shared" si="97"/>
        <v/>
      </c>
      <c r="J347" s="35" t="str">
        <f t="shared" si="98"/>
        <v/>
      </c>
      <c r="K347" s="35" t="str">
        <f t="shared" si="99"/>
        <v/>
      </c>
      <c r="L347" s="35" t="str">
        <f t="shared" si="100"/>
        <v/>
      </c>
      <c r="M347" s="35" t="str">
        <f t="shared" si="101"/>
        <v/>
      </c>
      <c r="N347" s="36" t="str">
        <f t="shared" si="102"/>
        <v/>
      </c>
      <c r="O347" s="35" t="str">
        <f t="shared" si="103"/>
        <v/>
      </c>
      <c r="P347" s="35" t="str">
        <f t="shared" si="104"/>
        <v/>
      </c>
      <c r="Q347" s="35" t="str">
        <f t="shared" si="105"/>
        <v/>
      </c>
      <c r="R347" s="35" t="str">
        <f t="shared" si="106"/>
        <v/>
      </c>
      <c r="S347" s="33" t="str">
        <f t="shared" si="107"/>
        <v/>
      </c>
    </row>
    <row r="348" spans="1:19" x14ac:dyDescent="0.3">
      <c r="A348" s="33">
        <f>344</f>
        <v>344</v>
      </c>
      <c r="B348" s="34" t="str">
        <f t="shared" si="90"/>
        <v/>
      </c>
      <c r="C348" s="33" t="str">
        <f t="shared" si="91"/>
        <v/>
      </c>
      <c r="D348" s="33" t="str">
        <f t="shared" si="92"/>
        <v/>
      </c>
      <c r="E348" s="35" t="str">
        <f t="shared" si="93"/>
        <v/>
      </c>
      <c r="F348" s="35" t="str">
        <f t="shared" si="94"/>
        <v/>
      </c>
      <c r="G348" s="33" t="str">
        <f t="shared" si="95"/>
        <v/>
      </c>
      <c r="H348" s="35" t="str">
        <f t="shared" si="96"/>
        <v/>
      </c>
      <c r="I348" s="35" t="str">
        <f t="shared" si="97"/>
        <v/>
      </c>
      <c r="J348" s="35" t="str">
        <f t="shared" si="98"/>
        <v/>
      </c>
      <c r="K348" s="35" t="str">
        <f t="shared" si="99"/>
        <v/>
      </c>
      <c r="L348" s="35" t="str">
        <f t="shared" si="100"/>
        <v/>
      </c>
      <c r="M348" s="35" t="str">
        <f t="shared" si="101"/>
        <v/>
      </c>
      <c r="N348" s="36" t="str">
        <f t="shared" si="102"/>
        <v/>
      </c>
      <c r="O348" s="35" t="str">
        <f t="shared" si="103"/>
        <v/>
      </c>
      <c r="P348" s="35" t="str">
        <f t="shared" si="104"/>
        <v/>
      </c>
      <c r="Q348" s="35" t="str">
        <f t="shared" si="105"/>
        <v/>
      </c>
      <c r="R348" s="35" t="str">
        <f t="shared" si="106"/>
        <v/>
      </c>
      <c r="S348" s="33" t="str">
        <f t="shared" si="107"/>
        <v/>
      </c>
    </row>
    <row r="349" spans="1:19" x14ac:dyDescent="0.3">
      <c r="A349" s="33">
        <f>345</f>
        <v>345</v>
      </c>
      <c r="B349" s="34" t="str">
        <f t="shared" si="90"/>
        <v/>
      </c>
      <c r="C349" s="33" t="str">
        <f t="shared" si="91"/>
        <v/>
      </c>
      <c r="D349" s="33" t="str">
        <f t="shared" si="92"/>
        <v/>
      </c>
      <c r="E349" s="35" t="str">
        <f t="shared" si="93"/>
        <v/>
      </c>
      <c r="F349" s="35" t="str">
        <f t="shared" si="94"/>
        <v/>
      </c>
      <c r="G349" s="33" t="str">
        <f t="shared" si="95"/>
        <v/>
      </c>
      <c r="H349" s="35" t="str">
        <f t="shared" si="96"/>
        <v/>
      </c>
      <c r="I349" s="35" t="str">
        <f t="shared" si="97"/>
        <v/>
      </c>
      <c r="J349" s="35" t="str">
        <f t="shared" si="98"/>
        <v/>
      </c>
      <c r="K349" s="35" t="str">
        <f t="shared" si="99"/>
        <v/>
      </c>
      <c r="L349" s="35" t="str">
        <f t="shared" si="100"/>
        <v/>
      </c>
      <c r="M349" s="35" t="str">
        <f t="shared" si="101"/>
        <v/>
      </c>
      <c r="N349" s="36" t="str">
        <f t="shared" si="102"/>
        <v/>
      </c>
      <c r="O349" s="35" t="str">
        <f t="shared" si="103"/>
        <v/>
      </c>
      <c r="P349" s="35" t="str">
        <f t="shared" si="104"/>
        <v/>
      </c>
      <c r="Q349" s="35" t="str">
        <f t="shared" si="105"/>
        <v/>
      </c>
      <c r="R349" s="35" t="str">
        <f t="shared" si="106"/>
        <v/>
      </c>
      <c r="S349" s="33" t="str">
        <f t="shared" si="107"/>
        <v/>
      </c>
    </row>
    <row r="350" spans="1:19" x14ac:dyDescent="0.3">
      <c r="A350" s="33">
        <f>346</f>
        <v>346</v>
      </c>
      <c r="B350" s="34" t="str">
        <f t="shared" si="90"/>
        <v/>
      </c>
      <c r="C350" s="33" t="str">
        <f t="shared" si="91"/>
        <v/>
      </c>
      <c r="D350" s="33" t="str">
        <f t="shared" si="92"/>
        <v/>
      </c>
      <c r="E350" s="35" t="str">
        <f t="shared" si="93"/>
        <v/>
      </c>
      <c r="F350" s="35" t="str">
        <f t="shared" si="94"/>
        <v/>
      </c>
      <c r="G350" s="33" t="str">
        <f t="shared" si="95"/>
        <v/>
      </c>
      <c r="H350" s="35" t="str">
        <f t="shared" si="96"/>
        <v/>
      </c>
      <c r="I350" s="35" t="str">
        <f t="shared" si="97"/>
        <v/>
      </c>
      <c r="J350" s="35" t="str">
        <f t="shared" si="98"/>
        <v/>
      </c>
      <c r="K350" s="35" t="str">
        <f t="shared" si="99"/>
        <v/>
      </c>
      <c r="L350" s="35" t="str">
        <f t="shared" si="100"/>
        <v/>
      </c>
      <c r="M350" s="35" t="str">
        <f t="shared" si="101"/>
        <v/>
      </c>
      <c r="N350" s="36" t="str">
        <f t="shared" si="102"/>
        <v/>
      </c>
      <c r="O350" s="35" t="str">
        <f t="shared" si="103"/>
        <v/>
      </c>
      <c r="P350" s="35" t="str">
        <f t="shared" si="104"/>
        <v/>
      </c>
      <c r="Q350" s="35" t="str">
        <f t="shared" si="105"/>
        <v/>
      </c>
      <c r="R350" s="35" t="str">
        <f t="shared" si="106"/>
        <v/>
      </c>
      <c r="S350" s="33" t="str">
        <f t="shared" si="107"/>
        <v/>
      </c>
    </row>
    <row r="351" spans="1:19" x14ac:dyDescent="0.3">
      <c r="A351" s="33">
        <f>347</f>
        <v>347</v>
      </c>
      <c r="B351" s="34" t="str">
        <f t="shared" si="90"/>
        <v/>
      </c>
      <c r="C351" s="33" t="str">
        <f t="shared" si="91"/>
        <v/>
      </c>
      <c r="D351" s="33" t="str">
        <f t="shared" si="92"/>
        <v/>
      </c>
      <c r="E351" s="35" t="str">
        <f t="shared" si="93"/>
        <v/>
      </c>
      <c r="F351" s="35" t="str">
        <f t="shared" si="94"/>
        <v/>
      </c>
      <c r="G351" s="33" t="str">
        <f t="shared" si="95"/>
        <v/>
      </c>
      <c r="H351" s="35" t="str">
        <f t="shared" si="96"/>
        <v/>
      </c>
      <c r="I351" s="35" t="str">
        <f t="shared" si="97"/>
        <v/>
      </c>
      <c r="J351" s="35" t="str">
        <f t="shared" si="98"/>
        <v/>
      </c>
      <c r="K351" s="35" t="str">
        <f t="shared" si="99"/>
        <v/>
      </c>
      <c r="L351" s="35" t="str">
        <f t="shared" si="100"/>
        <v/>
      </c>
      <c r="M351" s="35" t="str">
        <f t="shared" si="101"/>
        <v/>
      </c>
      <c r="N351" s="36" t="str">
        <f t="shared" si="102"/>
        <v/>
      </c>
      <c r="O351" s="35" t="str">
        <f t="shared" si="103"/>
        <v/>
      </c>
      <c r="P351" s="35" t="str">
        <f t="shared" si="104"/>
        <v/>
      </c>
      <c r="Q351" s="35" t="str">
        <f t="shared" si="105"/>
        <v/>
      </c>
      <c r="R351" s="35" t="str">
        <f t="shared" si="106"/>
        <v/>
      </c>
      <c r="S351" s="33" t="str">
        <f t="shared" si="107"/>
        <v/>
      </c>
    </row>
    <row r="352" spans="1:19" x14ac:dyDescent="0.3">
      <c r="A352" s="37">
        <f>348</f>
        <v>348</v>
      </c>
      <c r="B352" s="38" t="str">
        <f t="shared" si="90"/>
        <v/>
      </c>
      <c r="C352" s="37" t="str">
        <f t="shared" si="91"/>
        <v/>
      </c>
      <c r="D352" s="37" t="str">
        <f t="shared" si="92"/>
        <v/>
      </c>
      <c r="E352" s="39" t="str">
        <f t="shared" si="93"/>
        <v/>
      </c>
      <c r="F352" s="39" t="str">
        <f t="shared" si="94"/>
        <v/>
      </c>
      <c r="G352" s="37" t="str">
        <f t="shared" si="95"/>
        <v/>
      </c>
      <c r="H352" s="39" t="str">
        <f t="shared" si="96"/>
        <v/>
      </c>
      <c r="I352" s="39" t="str">
        <f t="shared" si="97"/>
        <v/>
      </c>
      <c r="J352" s="39" t="str">
        <f t="shared" si="98"/>
        <v/>
      </c>
      <c r="K352" s="39" t="str">
        <f t="shared" si="99"/>
        <v/>
      </c>
      <c r="L352" s="39" t="str">
        <f t="shared" si="100"/>
        <v/>
      </c>
      <c r="M352" s="39" t="str">
        <f t="shared" si="101"/>
        <v/>
      </c>
      <c r="N352" s="40" t="str">
        <f t="shared" si="102"/>
        <v/>
      </c>
      <c r="O352" s="39" t="str">
        <f t="shared" si="103"/>
        <v/>
      </c>
      <c r="P352" s="39" t="str">
        <f t="shared" si="104"/>
        <v/>
      </c>
      <c r="Q352" s="39" t="str">
        <f t="shared" si="105"/>
        <v/>
      </c>
      <c r="R352" s="39" t="str">
        <f t="shared" si="106"/>
        <v/>
      </c>
      <c r="S352" s="37" t="str">
        <f t="shared" si="107"/>
        <v/>
      </c>
    </row>
    <row r="353" spans="1:19" x14ac:dyDescent="0.3">
      <c r="A353" s="33">
        <f>349</f>
        <v>349</v>
      </c>
      <c r="B353" s="34" t="str">
        <f t="shared" si="90"/>
        <v/>
      </c>
      <c r="C353" s="33" t="str">
        <f t="shared" si="91"/>
        <v/>
      </c>
      <c r="D353" s="33" t="str">
        <f t="shared" si="92"/>
        <v/>
      </c>
      <c r="E353" s="35" t="str">
        <f t="shared" si="93"/>
        <v/>
      </c>
      <c r="F353" s="35" t="str">
        <f t="shared" si="94"/>
        <v/>
      </c>
      <c r="G353" s="33" t="str">
        <f t="shared" si="95"/>
        <v/>
      </c>
      <c r="H353" s="35" t="str">
        <f t="shared" si="96"/>
        <v/>
      </c>
      <c r="I353" s="35" t="str">
        <f t="shared" si="97"/>
        <v/>
      </c>
      <c r="J353" s="35" t="str">
        <f t="shared" si="98"/>
        <v/>
      </c>
      <c r="K353" s="35" t="str">
        <f t="shared" si="99"/>
        <v/>
      </c>
      <c r="L353" s="35" t="str">
        <f t="shared" si="100"/>
        <v/>
      </c>
      <c r="M353" s="35" t="str">
        <f t="shared" si="101"/>
        <v/>
      </c>
      <c r="N353" s="36" t="str">
        <f t="shared" si="102"/>
        <v/>
      </c>
      <c r="O353" s="35" t="str">
        <f t="shared" si="103"/>
        <v/>
      </c>
      <c r="P353" s="35" t="str">
        <f t="shared" si="104"/>
        <v/>
      </c>
      <c r="Q353" s="35" t="str">
        <f t="shared" si="105"/>
        <v/>
      </c>
      <c r="R353" s="35" t="str">
        <f t="shared" si="106"/>
        <v/>
      </c>
      <c r="S353" s="33" t="str">
        <f t="shared" si="107"/>
        <v/>
      </c>
    </row>
    <row r="354" spans="1:19" x14ac:dyDescent="0.3">
      <c r="A354" s="33">
        <f>350</f>
        <v>350</v>
      </c>
      <c r="B354" s="34" t="str">
        <f t="shared" si="90"/>
        <v/>
      </c>
      <c r="C354" s="33" t="str">
        <f t="shared" si="91"/>
        <v/>
      </c>
      <c r="D354" s="33" t="str">
        <f t="shared" si="92"/>
        <v/>
      </c>
      <c r="E354" s="35" t="str">
        <f t="shared" si="93"/>
        <v/>
      </c>
      <c r="F354" s="35" t="str">
        <f t="shared" si="94"/>
        <v/>
      </c>
      <c r="G354" s="33" t="str">
        <f t="shared" si="95"/>
        <v/>
      </c>
      <c r="H354" s="35" t="str">
        <f t="shared" si="96"/>
        <v/>
      </c>
      <c r="I354" s="35" t="str">
        <f t="shared" si="97"/>
        <v/>
      </c>
      <c r="J354" s="35" t="str">
        <f t="shared" si="98"/>
        <v/>
      </c>
      <c r="K354" s="35" t="str">
        <f t="shared" si="99"/>
        <v/>
      </c>
      <c r="L354" s="35" t="str">
        <f t="shared" si="100"/>
        <v/>
      </c>
      <c r="M354" s="35" t="str">
        <f t="shared" si="101"/>
        <v/>
      </c>
      <c r="N354" s="36" t="str">
        <f t="shared" si="102"/>
        <v/>
      </c>
      <c r="O354" s="35" t="str">
        <f t="shared" si="103"/>
        <v/>
      </c>
      <c r="P354" s="35" t="str">
        <f t="shared" si="104"/>
        <v/>
      </c>
      <c r="Q354" s="35" t="str">
        <f t="shared" si="105"/>
        <v/>
      </c>
      <c r="R354" s="35" t="str">
        <f t="shared" si="106"/>
        <v/>
      </c>
      <c r="S354" s="33" t="str">
        <f t="shared" si="107"/>
        <v/>
      </c>
    </row>
    <row r="355" spans="1:19" x14ac:dyDescent="0.3">
      <c r="A355" s="33">
        <f>351</f>
        <v>351</v>
      </c>
      <c r="B355" s="34" t="str">
        <f t="shared" si="90"/>
        <v/>
      </c>
      <c r="C355" s="33" t="str">
        <f t="shared" si="91"/>
        <v/>
      </c>
      <c r="D355" s="33" t="str">
        <f t="shared" si="92"/>
        <v/>
      </c>
      <c r="E355" s="35" t="str">
        <f t="shared" si="93"/>
        <v/>
      </c>
      <c r="F355" s="35" t="str">
        <f t="shared" si="94"/>
        <v/>
      </c>
      <c r="G355" s="33" t="str">
        <f t="shared" si="95"/>
        <v/>
      </c>
      <c r="H355" s="35" t="str">
        <f t="shared" si="96"/>
        <v/>
      </c>
      <c r="I355" s="35" t="str">
        <f t="shared" si="97"/>
        <v/>
      </c>
      <c r="J355" s="35" t="str">
        <f t="shared" si="98"/>
        <v/>
      </c>
      <c r="K355" s="35" t="str">
        <f t="shared" si="99"/>
        <v/>
      </c>
      <c r="L355" s="35" t="str">
        <f t="shared" si="100"/>
        <v/>
      </c>
      <c r="M355" s="35" t="str">
        <f t="shared" si="101"/>
        <v/>
      </c>
      <c r="N355" s="36" t="str">
        <f t="shared" si="102"/>
        <v/>
      </c>
      <c r="O355" s="35" t="str">
        <f t="shared" si="103"/>
        <v/>
      </c>
      <c r="P355" s="35" t="str">
        <f t="shared" si="104"/>
        <v/>
      </c>
      <c r="Q355" s="35" t="str">
        <f t="shared" si="105"/>
        <v/>
      </c>
      <c r="R355" s="35" t="str">
        <f t="shared" si="106"/>
        <v/>
      </c>
      <c r="S355" s="33" t="str">
        <f t="shared" si="107"/>
        <v/>
      </c>
    </row>
    <row r="356" spans="1:19" x14ac:dyDescent="0.3">
      <c r="A356" s="33">
        <f>352</f>
        <v>352</v>
      </c>
      <c r="B356" s="34" t="str">
        <f t="shared" si="90"/>
        <v/>
      </c>
      <c r="C356" s="33" t="str">
        <f t="shared" si="91"/>
        <v/>
      </c>
      <c r="D356" s="33" t="str">
        <f t="shared" si="92"/>
        <v/>
      </c>
      <c r="E356" s="35" t="str">
        <f t="shared" si="93"/>
        <v/>
      </c>
      <c r="F356" s="35" t="str">
        <f t="shared" si="94"/>
        <v/>
      </c>
      <c r="G356" s="33" t="str">
        <f t="shared" si="95"/>
        <v/>
      </c>
      <c r="H356" s="35" t="str">
        <f t="shared" si="96"/>
        <v/>
      </c>
      <c r="I356" s="35" t="str">
        <f t="shared" si="97"/>
        <v/>
      </c>
      <c r="J356" s="35" t="str">
        <f t="shared" si="98"/>
        <v/>
      </c>
      <c r="K356" s="35" t="str">
        <f t="shared" si="99"/>
        <v/>
      </c>
      <c r="L356" s="35" t="str">
        <f t="shared" si="100"/>
        <v/>
      </c>
      <c r="M356" s="35" t="str">
        <f t="shared" si="101"/>
        <v/>
      </c>
      <c r="N356" s="36" t="str">
        <f t="shared" si="102"/>
        <v/>
      </c>
      <c r="O356" s="35" t="str">
        <f t="shared" si="103"/>
        <v/>
      </c>
      <c r="P356" s="35" t="str">
        <f t="shared" si="104"/>
        <v/>
      </c>
      <c r="Q356" s="35" t="str">
        <f t="shared" si="105"/>
        <v/>
      </c>
      <c r="R356" s="35" t="str">
        <f t="shared" si="106"/>
        <v/>
      </c>
      <c r="S356" s="33" t="str">
        <f t="shared" si="107"/>
        <v/>
      </c>
    </row>
    <row r="357" spans="1:19" x14ac:dyDescent="0.3">
      <c r="A357" s="33">
        <f>353</f>
        <v>353</v>
      </c>
      <c r="B357" s="34" t="str">
        <f t="shared" si="90"/>
        <v/>
      </c>
      <c r="C357" s="33" t="str">
        <f t="shared" si="91"/>
        <v/>
      </c>
      <c r="D357" s="33" t="str">
        <f t="shared" si="92"/>
        <v/>
      </c>
      <c r="E357" s="35" t="str">
        <f t="shared" si="93"/>
        <v/>
      </c>
      <c r="F357" s="35" t="str">
        <f t="shared" si="94"/>
        <v/>
      </c>
      <c r="G357" s="33" t="str">
        <f t="shared" si="95"/>
        <v/>
      </c>
      <c r="H357" s="35" t="str">
        <f t="shared" si="96"/>
        <v/>
      </c>
      <c r="I357" s="35" t="str">
        <f t="shared" si="97"/>
        <v/>
      </c>
      <c r="J357" s="35" t="str">
        <f t="shared" si="98"/>
        <v/>
      </c>
      <c r="K357" s="35" t="str">
        <f t="shared" si="99"/>
        <v/>
      </c>
      <c r="L357" s="35" t="str">
        <f t="shared" si="100"/>
        <v/>
      </c>
      <c r="M357" s="35" t="str">
        <f t="shared" si="101"/>
        <v/>
      </c>
      <c r="N357" s="36" t="str">
        <f t="shared" si="102"/>
        <v/>
      </c>
      <c r="O357" s="35" t="str">
        <f t="shared" si="103"/>
        <v/>
      </c>
      <c r="P357" s="35" t="str">
        <f t="shared" si="104"/>
        <v/>
      </c>
      <c r="Q357" s="35" t="str">
        <f t="shared" si="105"/>
        <v/>
      </c>
      <c r="R357" s="35" t="str">
        <f t="shared" si="106"/>
        <v/>
      </c>
      <c r="S357" s="33" t="str">
        <f t="shared" si="107"/>
        <v/>
      </c>
    </row>
    <row r="358" spans="1:19" x14ac:dyDescent="0.3">
      <c r="A358" s="33">
        <f>354</f>
        <v>354</v>
      </c>
      <c r="B358" s="34" t="str">
        <f t="shared" si="90"/>
        <v/>
      </c>
      <c r="C358" s="33" t="str">
        <f t="shared" si="91"/>
        <v/>
      </c>
      <c r="D358" s="33" t="str">
        <f t="shared" si="92"/>
        <v/>
      </c>
      <c r="E358" s="35" t="str">
        <f t="shared" si="93"/>
        <v/>
      </c>
      <c r="F358" s="35" t="str">
        <f t="shared" si="94"/>
        <v/>
      </c>
      <c r="G358" s="33" t="str">
        <f t="shared" si="95"/>
        <v/>
      </c>
      <c r="H358" s="35" t="str">
        <f t="shared" si="96"/>
        <v/>
      </c>
      <c r="I358" s="35" t="str">
        <f t="shared" si="97"/>
        <v/>
      </c>
      <c r="J358" s="35" t="str">
        <f t="shared" si="98"/>
        <v/>
      </c>
      <c r="K358" s="35" t="str">
        <f t="shared" si="99"/>
        <v/>
      </c>
      <c r="L358" s="35" t="str">
        <f t="shared" si="100"/>
        <v/>
      </c>
      <c r="M358" s="35" t="str">
        <f t="shared" si="101"/>
        <v/>
      </c>
      <c r="N358" s="36" t="str">
        <f t="shared" si="102"/>
        <v/>
      </c>
      <c r="O358" s="35" t="str">
        <f t="shared" si="103"/>
        <v/>
      </c>
      <c r="P358" s="35" t="str">
        <f t="shared" si="104"/>
        <v/>
      </c>
      <c r="Q358" s="35" t="str">
        <f t="shared" si="105"/>
        <v/>
      </c>
      <c r="R358" s="35" t="str">
        <f t="shared" si="106"/>
        <v/>
      </c>
      <c r="S358" s="33" t="str">
        <f t="shared" si="107"/>
        <v/>
      </c>
    </row>
    <row r="359" spans="1:19" x14ac:dyDescent="0.3">
      <c r="A359" s="33">
        <f>355</f>
        <v>355</v>
      </c>
      <c r="B359" s="34" t="str">
        <f t="shared" si="90"/>
        <v/>
      </c>
      <c r="C359" s="33" t="str">
        <f t="shared" si="91"/>
        <v/>
      </c>
      <c r="D359" s="33" t="str">
        <f t="shared" si="92"/>
        <v/>
      </c>
      <c r="E359" s="35" t="str">
        <f t="shared" si="93"/>
        <v/>
      </c>
      <c r="F359" s="35" t="str">
        <f t="shared" si="94"/>
        <v/>
      </c>
      <c r="G359" s="33" t="str">
        <f t="shared" si="95"/>
        <v/>
      </c>
      <c r="H359" s="35" t="str">
        <f t="shared" si="96"/>
        <v/>
      </c>
      <c r="I359" s="35" t="str">
        <f t="shared" si="97"/>
        <v/>
      </c>
      <c r="J359" s="35" t="str">
        <f t="shared" si="98"/>
        <v/>
      </c>
      <c r="K359" s="35" t="str">
        <f t="shared" si="99"/>
        <v/>
      </c>
      <c r="L359" s="35" t="str">
        <f t="shared" si="100"/>
        <v/>
      </c>
      <c r="M359" s="35" t="str">
        <f t="shared" si="101"/>
        <v/>
      </c>
      <c r="N359" s="36" t="str">
        <f t="shared" si="102"/>
        <v/>
      </c>
      <c r="O359" s="35" t="str">
        <f t="shared" si="103"/>
        <v/>
      </c>
      <c r="P359" s="35" t="str">
        <f t="shared" si="104"/>
        <v/>
      </c>
      <c r="Q359" s="35" t="str">
        <f t="shared" si="105"/>
        <v/>
      </c>
      <c r="R359" s="35" t="str">
        <f t="shared" si="106"/>
        <v/>
      </c>
      <c r="S359" s="33" t="str">
        <f t="shared" si="107"/>
        <v/>
      </c>
    </row>
    <row r="360" spans="1:19" x14ac:dyDescent="0.3">
      <c r="A360" s="33">
        <f>356</f>
        <v>356</v>
      </c>
      <c r="B360" s="34" t="str">
        <f t="shared" si="90"/>
        <v/>
      </c>
      <c r="C360" s="33" t="str">
        <f t="shared" si="91"/>
        <v/>
      </c>
      <c r="D360" s="33" t="str">
        <f t="shared" si="92"/>
        <v/>
      </c>
      <c r="E360" s="35" t="str">
        <f t="shared" si="93"/>
        <v/>
      </c>
      <c r="F360" s="35" t="str">
        <f t="shared" si="94"/>
        <v/>
      </c>
      <c r="G360" s="33" t="str">
        <f t="shared" si="95"/>
        <v/>
      </c>
      <c r="H360" s="35" t="str">
        <f t="shared" si="96"/>
        <v/>
      </c>
      <c r="I360" s="35" t="str">
        <f t="shared" si="97"/>
        <v/>
      </c>
      <c r="J360" s="35" t="str">
        <f t="shared" si="98"/>
        <v/>
      </c>
      <c r="K360" s="35" t="str">
        <f t="shared" si="99"/>
        <v/>
      </c>
      <c r="L360" s="35" t="str">
        <f t="shared" si="100"/>
        <v/>
      </c>
      <c r="M360" s="35" t="str">
        <f t="shared" si="101"/>
        <v/>
      </c>
      <c r="N360" s="36" t="str">
        <f t="shared" si="102"/>
        <v/>
      </c>
      <c r="O360" s="35" t="str">
        <f t="shared" si="103"/>
        <v/>
      </c>
      <c r="P360" s="35" t="str">
        <f t="shared" si="104"/>
        <v/>
      </c>
      <c r="Q360" s="35" t="str">
        <f t="shared" si="105"/>
        <v/>
      </c>
      <c r="R360" s="35" t="str">
        <f t="shared" si="106"/>
        <v/>
      </c>
      <c r="S360" s="33" t="str">
        <f t="shared" si="107"/>
        <v/>
      </c>
    </row>
    <row r="361" spans="1:19" x14ac:dyDescent="0.3">
      <c r="A361" s="33">
        <f>357</f>
        <v>357</v>
      </c>
      <c r="B361" s="34" t="str">
        <f t="shared" si="90"/>
        <v/>
      </c>
      <c r="C361" s="33" t="str">
        <f t="shared" si="91"/>
        <v/>
      </c>
      <c r="D361" s="33" t="str">
        <f t="shared" si="92"/>
        <v/>
      </c>
      <c r="E361" s="35" t="str">
        <f t="shared" si="93"/>
        <v/>
      </c>
      <c r="F361" s="35" t="str">
        <f t="shared" si="94"/>
        <v/>
      </c>
      <c r="G361" s="33" t="str">
        <f t="shared" si="95"/>
        <v/>
      </c>
      <c r="H361" s="35" t="str">
        <f t="shared" si="96"/>
        <v/>
      </c>
      <c r="I361" s="35" t="str">
        <f t="shared" si="97"/>
        <v/>
      </c>
      <c r="J361" s="35" t="str">
        <f t="shared" si="98"/>
        <v/>
      </c>
      <c r="K361" s="35" t="str">
        <f t="shared" si="99"/>
        <v/>
      </c>
      <c r="L361" s="35" t="str">
        <f t="shared" si="100"/>
        <v/>
      </c>
      <c r="M361" s="35" t="str">
        <f t="shared" si="101"/>
        <v/>
      </c>
      <c r="N361" s="36" t="str">
        <f t="shared" si="102"/>
        <v/>
      </c>
      <c r="O361" s="35" t="str">
        <f t="shared" si="103"/>
        <v/>
      </c>
      <c r="P361" s="35" t="str">
        <f t="shared" si="104"/>
        <v/>
      </c>
      <c r="Q361" s="35" t="str">
        <f t="shared" si="105"/>
        <v/>
      </c>
      <c r="R361" s="35" t="str">
        <f t="shared" si="106"/>
        <v/>
      </c>
      <c r="S361" s="33" t="str">
        <f t="shared" si="107"/>
        <v/>
      </c>
    </row>
    <row r="362" spans="1:19" x14ac:dyDescent="0.3">
      <c r="A362" s="33">
        <f>358</f>
        <v>358</v>
      </c>
      <c r="B362" s="34" t="str">
        <f t="shared" si="90"/>
        <v/>
      </c>
      <c r="C362" s="33" t="str">
        <f t="shared" si="91"/>
        <v/>
      </c>
      <c r="D362" s="33" t="str">
        <f t="shared" si="92"/>
        <v/>
      </c>
      <c r="E362" s="35" t="str">
        <f t="shared" si="93"/>
        <v/>
      </c>
      <c r="F362" s="35" t="str">
        <f t="shared" si="94"/>
        <v/>
      </c>
      <c r="G362" s="33" t="str">
        <f t="shared" si="95"/>
        <v/>
      </c>
      <c r="H362" s="35" t="str">
        <f t="shared" si="96"/>
        <v/>
      </c>
      <c r="I362" s="35" t="str">
        <f t="shared" si="97"/>
        <v/>
      </c>
      <c r="J362" s="35" t="str">
        <f t="shared" si="98"/>
        <v/>
      </c>
      <c r="K362" s="35" t="str">
        <f t="shared" si="99"/>
        <v/>
      </c>
      <c r="L362" s="35" t="str">
        <f t="shared" si="100"/>
        <v/>
      </c>
      <c r="M362" s="35" t="str">
        <f t="shared" si="101"/>
        <v/>
      </c>
      <c r="N362" s="36" t="str">
        <f t="shared" si="102"/>
        <v/>
      </c>
      <c r="O362" s="35" t="str">
        <f t="shared" si="103"/>
        <v/>
      </c>
      <c r="P362" s="35" t="str">
        <f t="shared" si="104"/>
        <v/>
      </c>
      <c r="Q362" s="35" t="str">
        <f t="shared" si="105"/>
        <v/>
      </c>
      <c r="R362" s="35" t="str">
        <f t="shared" si="106"/>
        <v/>
      </c>
      <c r="S362" s="33" t="str">
        <f t="shared" si="107"/>
        <v/>
      </c>
    </row>
    <row r="363" spans="1:19" x14ac:dyDescent="0.3">
      <c r="A363" s="33">
        <f>359</f>
        <v>359</v>
      </c>
      <c r="B363" s="34" t="str">
        <f t="shared" si="90"/>
        <v/>
      </c>
      <c r="C363" s="33" t="str">
        <f t="shared" si="91"/>
        <v/>
      </c>
      <c r="D363" s="33" t="str">
        <f t="shared" si="92"/>
        <v/>
      </c>
      <c r="E363" s="35" t="str">
        <f t="shared" si="93"/>
        <v/>
      </c>
      <c r="F363" s="35" t="str">
        <f t="shared" si="94"/>
        <v/>
      </c>
      <c r="G363" s="33" t="str">
        <f t="shared" si="95"/>
        <v/>
      </c>
      <c r="H363" s="35" t="str">
        <f t="shared" si="96"/>
        <v/>
      </c>
      <c r="I363" s="35" t="str">
        <f t="shared" si="97"/>
        <v/>
      </c>
      <c r="J363" s="35" t="str">
        <f t="shared" si="98"/>
        <v/>
      </c>
      <c r="K363" s="35" t="str">
        <f t="shared" si="99"/>
        <v/>
      </c>
      <c r="L363" s="35" t="str">
        <f t="shared" si="100"/>
        <v/>
      </c>
      <c r="M363" s="35" t="str">
        <f t="shared" si="101"/>
        <v/>
      </c>
      <c r="N363" s="36" t="str">
        <f t="shared" si="102"/>
        <v/>
      </c>
      <c r="O363" s="35" t="str">
        <f t="shared" si="103"/>
        <v/>
      </c>
      <c r="P363" s="35" t="str">
        <f t="shared" si="104"/>
        <v/>
      </c>
      <c r="Q363" s="35" t="str">
        <f t="shared" si="105"/>
        <v/>
      </c>
      <c r="R363" s="35" t="str">
        <f t="shared" si="106"/>
        <v/>
      </c>
      <c r="S363" s="33" t="str">
        <f t="shared" si="107"/>
        <v/>
      </c>
    </row>
    <row r="364" spans="1:19" x14ac:dyDescent="0.3">
      <c r="A364" s="37">
        <f>360</f>
        <v>360</v>
      </c>
      <c r="B364" s="38" t="str">
        <f t="shared" si="90"/>
        <v/>
      </c>
      <c r="C364" s="37" t="str">
        <f t="shared" si="91"/>
        <v/>
      </c>
      <c r="D364" s="37" t="str">
        <f t="shared" si="92"/>
        <v/>
      </c>
      <c r="E364" s="39" t="str">
        <f t="shared" si="93"/>
        <v/>
      </c>
      <c r="F364" s="39" t="str">
        <f t="shared" si="94"/>
        <v/>
      </c>
      <c r="G364" s="37" t="str">
        <f t="shared" si="95"/>
        <v/>
      </c>
      <c r="H364" s="39" t="str">
        <f t="shared" si="96"/>
        <v/>
      </c>
      <c r="I364" s="39" t="str">
        <f t="shared" si="97"/>
        <v/>
      </c>
      <c r="J364" s="39" t="str">
        <f t="shared" si="98"/>
        <v/>
      </c>
      <c r="K364" s="39" t="str">
        <f t="shared" si="99"/>
        <v/>
      </c>
      <c r="L364" s="39" t="str">
        <f t="shared" si="100"/>
        <v/>
      </c>
      <c r="M364" s="39" t="str">
        <f t="shared" si="101"/>
        <v/>
      </c>
      <c r="N364" s="40" t="str">
        <f t="shared" si="102"/>
        <v/>
      </c>
      <c r="O364" s="39" t="str">
        <f t="shared" si="103"/>
        <v/>
      </c>
      <c r="P364" s="39" t="str">
        <f t="shared" si="104"/>
        <v/>
      </c>
      <c r="Q364" s="39" t="str">
        <f t="shared" si="105"/>
        <v/>
      </c>
      <c r="R364" s="39" t="str">
        <f t="shared" si="106"/>
        <v/>
      </c>
      <c r="S364" s="37" t="str">
        <f t="shared" si="107"/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8"/>
  <sheetViews>
    <sheetView showGridLines="0" topLeftCell="A5" workbookViewId="0"/>
  </sheetViews>
  <sheetFormatPr defaultRowHeight="14.4" x14ac:dyDescent="0.3"/>
  <cols>
    <col min="1" max="1" width="42" customWidth="1"/>
    <col min="2" max="2" width="105" customWidth="1"/>
  </cols>
  <sheetData>
    <row r="1" spans="1:2" ht="18" x14ac:dyDescent="0.35">
      <c r="A1" s="1" t="s">
        <v>96</v>
      </c>
    </row>
    <row r="4" spans="1:2" x14ac:dyDescent="0.3">
      <c r="A4" s="41" t="s">
        <v>97</v>
      </c>
    </row>
    <row r="5" spans="1:2" ht="28.8" x14ac:dyDescent="0.3">
      <c r="A5" s="42" t="s">
        <v>98</v>
      </c>
      <c r="B5" s="43" t="s">
        <v>99</v>
      </c>
    </row>
    <row r="6" spans="1:2" ht="28.8" x14ac:dyDescent="0.3">
      <c r="A6" s="42" t="s">
        <v>100</v>
      </c>
      <c r="B6" s="43" t="s">
        <v>101</v>
      </c>
    </row>
    <row r="7" spans="1:2" ht="28.8" x14ac:dyDescent="0.3">
      <c r="A7" s="42" t="s">
        <v>102</v>
      </c>
      <c r="B7" s="43" t="s">
        <v>103</v>
      </c>
    </row>
    <row r="8" spans="1:2" ht="28.8" x14ac:dyDescent="0.3">
      <c r="A8" s="42" t="s">
        <v>104</v>
      </c>
      <c r="B8" s="43" t="s">
        <v>105</v>
      </c>
    </row>
    <row r="10" spans="1:2" x14ac:dyDescent="0.3">
      <c r="A10" s="41" t="s">
        <v>106</v>
      </c>
    </row>
    <row r="11" spans="1:2" ht="43.2" x14ac:dyDescent="0.3">
      <c r="A11" s="42" t="s">
        <v>107</v>
      </c>
      <c r="B11" s="43" t="s">
        <v>108</v>
      </c>
    </row>
    <row r="12" spans="1:2" ht="28.8" x14ac:dyDescent="0.3">
      <c r="A12" s="42" t="s">
        <v>109</v>
      </c>
      <c r="B12" s="43" t="s">
        <v>110</v>
      </c>
    </row>
    <row r="13" spans="1:2" ht="28.8" x14ac:dyDescent="0.3">
      <c r="A13" s="42" t="s">
        <v>111</v>
      </c>
      <c r="B13" s="43" t="s">
        <v>112</v>
      </c>
    </row>
    <row r="15" spans="1:2" x14ac:dyDescent="0.3">
      <c r="A15" s="41" t="s">
        <v>113</v>
      </c>
    </row>
    <row r="16" spans="1:2" ht="28.8" x14ac:dyDescent="0.3">
      <c r="A16" s="42" t="s">
        <v>114</v>
      </c>
      <c r="B16" s="43" t="s">
        <v>115</v>
      </c>
    </row>
    <row r="17" spans="1:2" ht="43.2" x14ac:dyDescent="0.3">
      <c r="A17" s="42" t="s">
        <v>116</v>
      </c>
      <c r="B17" s="43" t="s">
        <v>117</v>
      </c>
    </row>
    <row r="18" spans="1:2" ht="28.8" x14ac:dyDescent="0.3">
      <c r="A18" s="42" t="s">
        <v>118</v>
      </c>
      <c r="B18" s="43" t="s">
        <v>119</v>
      </c>
    </row>
    <row r="20" spans="1:2" x14ac:dyDescent="0.3">
      <c r="A20" s="41" t="s">
        <v>120</v>
      </c>
    </row>
    <row r="21" spans="1:2" ht="28.8" x14ac:dyDescent="0.3">
      <c r="A21" s="42" t="s">
        <v>121</v>
      </c>
      <c r="B21" s="43" t="s">
        <v>122</v>
      </c>
    </row>
    <row r="22" spans="1:2" ht="28.8" x14ac:dyDescent="0.3">
      <c r="A22" s="42" t="s">
        <v>123</v>
      </c>
      <c r="B22" s="43" t="s">
        <v>124</v>
      </c>
    </row>
    <row r="24" spans="1:2" x14ac:dyDescent="0.3">
      <c r="A24" s="41" t="s">
        <v>125</v>
      </c>
    </row>
    <row r="25" spans="1:2" ht="28.8" x14ac:dyDescent="0.3">
      <c r="A25" s="42" t="s">
        <v>126</v>
      </c>
      <c r="B25" s="43" t="s">
        <v>127</v>
      </c>
    </row>
    <row r="26" spans="1:2" ht="28.8" x14ac:dyDescent="0.3">
      <c r="A26" s="42" t="s">
        <v>128</v>
      </c>
      <c r="B26" s="43" t="s">
        <v>129</v>
      </c>
    </row>
    <row r="27" spans="1:2" ht="28.8" x14ac:dyDescent="0.3">
      <c r="A27" s="42" t="s">
        <v>130</v>
      </c>
      <c r="B27" s="43" t="s">
        <v>131</v>
      </c>
    </row>
    <row r="28" spans="1:2" ht="28.8" x14ac:dyDescent="0.3">
      <c r="A28" s="42" t="s">
        <v>132</v>
      </c>
      <c r="B28" s="43" t="s">
        <v>133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15</vt:i4>
      </vt:variant>
    </vt:vector>
  </HeadingPairs>
  <TitlesOfParts>
    <vt:vector size="22" baseType="lpstr">
      <vt:lpstr>Inputs</vt:lpstr>
      <vt:lpstr>Summary</vt:lpstr>
      <vt:lpstr>Engine A</vt:lpstr>
      <vt:lpstr>Engine B</vt:lpstr>
      <vt:lpstr>Engine C</vt:lpstr>
      <vt:lpstr>Engine D</vt:lpstr>
      <vt:lpstr>Assumptions</vt:lpstr>
      <vt:lpstr>InitInvest</vt:lpstr>
      <vt:lpstr>LotGrowth</vt:lpstr>
      <vt:lpstr>LotValue0</vt:lpstr>
      <vt:lpstr>NYears</vt:lpstr>
      <vt:lpstr>RateA</vt:lpstr>
      <vt:lpstr>RateB</vt:lpstr>
      <vt:lpstr>RateC</vt:lpstr>
      <vt:lpstr>RateD</vt:lpstr>
      <vt:lpstr>StartMonth</vt:lpstr>
      <vt:lpstr>TaxFreq</vt:lpstr>
      <vt:lpstr>TaxLower</vt:lpstr>
      <vt:lpstr>TaxRate</vt:lpstr>
      <vt:lpstr>WdrBase</vt:lpstr>
      <vt:lpstr>WdrCap</vt:lpstr>
      <vt:lpstr>WdrPct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Mandar Khanolkar</cp:lastModifiedBy>
  <dcterms:created xsi:type="dcterms:W3CDTF">2026-08-14T19:22:52Z</dcterms:created>
  <dcterms:modified xsi:type="dcterms:W3CDTF">2026-08-19T14:48:08Z</dcterms:modified>
</cp:coreProperties>
</file>